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F13D224E-ADA7-4376-BA68-CC0A59798692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'골재사업소(누계)'!$D$4:$AG$33</definedName>
    <definedName name="_xlnm.Print_Area" localSheetId="9">'골재사업소(당월)'!$D$4:$AG$33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9" i="2" l="1"/>
  <c r="G38" i="2"/>
  <c r="G37" i="2"/>
  <c r="G36" i="2"/>
  <c r="G35" i="2"/>
  <c r="G34" i="2"/>
  <c r="G33" i="2"/>
  <c r="G31" i="2"/>
  <c r="G30" i="2"/>
  <c r="G29" i="2"/>
  <c r="G26" i="2" l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O39" i="2" l="1"/>
  <c r="R38" i="2"/>
  <c r="R34" i="2"/>
  <c r="P34" i="2"/>
  <c r="O34" i="2"/>
  <c r="R33" i="2"/>
  <c r="P33" i="2"/>
  <c r="O33" i="2"/>
  <c r="R31" i="2"/>
  <c r="P31" i="2"/>
  <c r="O31" i="2"/>
  <c r="R30" i="2"/>
  <c r="P30" i="2"/>
  <c r="O30" i="2"/>
  <c r="R29" i="2"/>
  <c r="P29" i="2"/>
  <c r="O29" i="2"/>
  <c r="R28" i="2"/>
  <c r="P28" i="2"/>
  <c r="O28" i="2"/>
  <c r="R23" i="2"/>
  <c r="P23" i="2"/>
  <c r="O23" i="2"/>
  <c r="R22" i="2"/>
  <c r="P22" i="2"/>
  <c r="O22" i="2"/>
  <c r="R21" i="2"/>
  <c r="P21" i="2"/>
  <c r="O21" i="2"/>
  <c r="R20" i="2"/>
  <c r="P20" i="2"/>
  <c r="O20" i="2"/>
  <c r="R19" i="2"/>
  <c r="P19" i="2"/>
  <c r="O19" i="2"/>
  <c r="R18" i="2"/>
  <c r="P18" i="2"/>
  <c r="O18" i="2"/>
  <c r="R17" i="2"/>
  <c r="P17" i="2"/>
  <c r="O17" i="2"/>
  <c r="R16" i="2"/>
  <c r="P16" i="2"/>
  <c r="O16" i="2"/>
  <c r="R15" i="2"/>
  <c r="P15" i="2"/>
  <c r="O15" i="2"/>
  <c r="R14" i="2"/>
  <c r="P14" i="2"/>
  <c r="O14" i="2"/>
  <c r="R13" i="2"/>
  <c r="P13" i="2"/>
  <c r="O13" i="2"/>
  <c r="R12" i="2"/>
  <c r="P12" i="2"/>
  <c r="O12" i="2"/>
  <c r="R11" i="2"/>
  <c r="P11" i="2"/>
  <c r="O11" i="2"/>
  <c r="R10" i="2"/>
  <c r="P10" i="2"/>
  <c r="O10" i="2"/>
  <c r="R9" i="2"/>
  <c r="P9" i="2"/>
  <c r="O9" i="2"/>
  <c r="R8" i="2"/>
  <c r="P8" i="2"/>
  <c r="O8" i="2"/>
  <c r="R7" i="2"/>
  <c r="P7" i="2"/>
  <c r="O7" i="2"/>
  <c r="M31" i="2"/>
  <c r="K31" i="2"/>
  <c r="J31" i="2"/>
  <c r="M30" i="2"/>
  <c r="K30" i="2"/>
  <c r="J30" i="2"/>
  <c r="M29" i="2"/>
  <c r="K29" i="2"/>
  <c r="J29" i="2"/>
  <c r="M28" i="2"/>
  <c r="K28" i="2"/>
  <c r="J28" i="2"/>
  <c r="M23" i="2"/>
  <c r="K23" i="2"/>
  <c r="J23" i="2"/>
  <c r="M22" i="2"/>
  <c r="K22" i="2"/>
  <c r="J22" i="2"/>
  <c r="M21" i="2"/>
  <c r="K21" i="2"/>
  <c r="J21" i="2"/>
  <c r="M20" i="2"/>
  <c r="K20" i="2"/>
  <c r="J20" i="2"/>
  <c r="M19" i="2"/>
  <c r="K19" i="2"/>
  <c r="J19" i="2"/>
  <c r="M18" i="2"/>
  <c r="K18" i="2"/>
  <c r="J18" i="2"/>
  <c r="M17" i="2"/>
  <c r="K17" i="2"/>
  <c r="J17" i="2"/>
  <c r="M16" i="2"/>
  <c r="K16" i="2"/>
  <c r="J16" i="2"/>
  <c r="M15" i="2"/>
  <c r="K15" i="2"/>
  <c r="J15" i="2"/>
  <c r="M14" i="2"/>
  <c r="K14" i="2"/>
  <c r="J14" i="2"/>
  <c r="M13" i="2"/>
  <c r="K13" i="2"/>
  <c r="J13" i="2"/>
  <c r="M12" i="2"/>
  <c r="K12" i="2"/>
  <c r="J12" i="2"/>
  <c r="M11" i="2"/>
  <c r="K11" i="2"/>
  <c r="J11" i="2"/>
  <c r="M10" i="2"/>
  <c r="K10" i="2"/>
  <c r="J10" i="2"/>
  <c r="M9" i="2"/>
  <c r="K9" i="2"/>
  <c r="J9" i="2"/>
  <c r="M8" i="2"/>
  <c r="K8" i="2"/>
  <c r="J8" i="2"/>
  <c r="M7" i="2"/>
  <c r="K7" i="2"/>
  <c r="J7" i="2"/>
  <c r="AM36" i="42" l="1"/>
  <c r="AK43" i="42" l="1"/>
  <c r="AJ43" i="42"/>
  <c r="AI43" i="42"/>
  <c r="S60" i="42" l="1"/>
  <c r="S59" i="42"/>
  <c r="S58" i="42"/>
  <c r="S57" i="42"/>
  <c r="AC40" i="43" l="1"/>
  <c r="AC26" i="43"/>
  <c r="N40" i="43"/>
  <c r="M40" i="43"/>
  <c r="N39" i="43"/>
  <c r="M39" i="43"/>
  <c r="N38" i="43"/>
  <c r="M38" i="43"/>
  <c r="N37" i="43"/>
  <c r="M37" i="43"/>
  <c r="N36" i="43"/>
  <c r="M36" i="43"/>
  <c r="N35" i="43"/>
  <c r="M35" i="43"/>
  <c r="N26" i="43"/>
  <c r="M26" i="43"/>
  <c r="N25" i="43"/>
  <c r="M25" i="43"/>
  <c r="N24" i="43"/>
  <c r="M24" i="43"/>
  <c r="N23" i="43"/>
  <c r="M23" i="43"/>
  <c r="N22" i="43"/>
  <c r="M22" i="43"/>
  <c r="N21" i="43"/>
  <c r="M21" i="43"/>
  <c r="N19" i="43"/>
  <c r="N18" i="43"/>
  <c r="N15" i="43"/>
  <c r="N13" i="43"/>
  <c r="N10" i="43"/>
  <c r="N8" i="43"/>
  <c r="M32" i="43" l="1"/>
  <c r="N31" i="43"/>
  <c r="M31" i="43"/>
  <c r="M30" i="43"/>
  <c r="N29" i="43"/>
  <c r="M29" i="43"/>
  <c r="N28" i="43"/>
  <c r="M28" i="43"/>
  <c r="N27" i="43"/>
  <c r="O27" i="43" s="1"/>
  <c r="M27" i="43"/>
  <c r="N32" i="43"/>
  <c r="O32" i="43" s="1"/>
  <c r="O25" i="43"/>
  <c r="O24" i="43"/>
  <c r="O23" i="43"/>
  <c r="O22" i="43"/>
  <c r="O21" i="43"/>
  <c r="N20" i="43"/>
  <c r="N16" i="43"/>
  <c r="N17" i="43"/>
  <c r="N12" i="43"/>
  <c r="O29" i="43" l="1"/>
  <c r="O31" i="43"/>
  <c r="O28" i="43"/>
  <c r="N11" i="43"/>
  <c r="N9" i="43"/>
  <c r="O26" i="43"/>
  <c r="N14" i="43"/>
  <c r="N30" i="43"/>
  <c r="O30" i="43" s="1"/>
  <c r="AC39" i="41" l="1"/>
  <c r="AC39" i="43" s="1"/>
  <c r="AC38" i="41"/>
  <c r="AC38" i="43" s="1"/>
  <c r="AC37" i="41"/>
  <c r="AC37" i="43" s="1"/>
  <c r="AC36" i="41"/>
  <c r="AC36" i="43" s="1"/>
  <c r="AC35" i="41"/>
  <c r="AC35" i="43" s="1"/>
  <c r="W26" i="41"/>
  <c r="W26" i="43" s="1"/>
  <c r="T26" i="41"/>
  <c r="T26" i="43" s="1"/>
  <c r="K26" i="41"/>
  <c r="K26" i="43" s="1"/>
  <c r="H26" i="41"/>
  <c r="H26" i="43" s="1"/>
  <c r="AC25" i="41"/>
  <c r="AC25" i="43" s="1"/>
  <c r="W25" i="41"/>
  <c r="W25" i="43" s="1"/>
  <c r="T25" i="41"/>
  <c r="T25" i="43" s="1"/>
  <c r="K25" i="41"/>
  <c r="K25" i="43" s="1"/>
  <c r="H25" i="41"/>
  <c r="H25" i="43" s="1"/>
  <c r="AC24" i="41"/>
  <c r="AC24" i="43" s="1"/>
  <c r="W24" i="41"/>
  <c r="W24" i="43" s="1"/>
  <c r="T24" i="41"/>
  <c r="T24" i="43" s="1"/>
  <c r="K24" i="41"/>
  <c r="K24" i="43" s="1"/>
  <c r="H24" i="41"/>
  <c r="H24" i="43" s="1"/>
  <c r="AC23" i="41"/>
  <c r="AC23" i="43" s="1"/>
  <c r="W23" i="41"/>
  <c r="W23" i="43" s="1"/>
  <c r="T23" i="41"/>
  <c r="T23" i="43" s="1"/>
  <c r="K23" i="41"/>
  <c r="K23" i="43" s="1"/>
  <c r="H23" i="41"/>
  <c r="H23" i="43" s="1"/>
  <c r="AC22" i="41"/>
  <c r="AC22" i="43" s="1"/>
  <c r="W22" i="41"/>
  <c r="W22" i="43" s="1"/>
  <c r="T22" i="41"/>
  <c r="T22" i="43" s="1"/>
  <c r="K22" i="41"/>
  <c r="K22" i="43" s="1"/>
  <c r="H22" i="41"/>
  <c r="H22" i="43" s="1"/>
  <c r="AC21" i="41"/>
  <c r="AC21" i="43" s="1"/>
  <c r="W21" i="41"/>
  <c r="W21" i="43" s="1"/>
  <c r="T21" i="41"/>
  <c r="T21" i="43" s="1"/>
  <c r="K21" i="41"/>
  <c r="K21" i="43" s="1"/>
  <c r="H21" i="41"/>
  <c r="H21" i="43" s="1"/>
  <c r="W19" i="41"/>
  <c r="W19" i="43" s="1"/>
  <c r="T19" i="41"/>
  <c r="T19" i="43" s="1"/>
  <c r="AC18" i="41"/>
  <c r="AC18" i="43" s="1"/>
  <c r="W18" i="41"/>
  <c r="W18" i="43" s="1"/>
  <c r="T18" i="41"/>
  <c r="T18" i="43" s="1"/>
  <c r="AC15" i="41"/>
  <c r="AC15" i="43" s="1"/>
  <c r="W15" i="41"/>
  <c r="W15" i="43" s="1"/>
  <c r="T15" i="41"/>
  <c r="T15" i="43" s="1"/>
  <c r="K15" i="41"/>
  <c r="K15" i="43" s="1"/>
  <c r="H15" i="41"/>
  <c r="H15" i="43" s="1"/>
  <c r="AC13" i="41"/>
  <c r="AC13" i="43" s="1"/>
  <c r="W13" i="41"/>
  <c r="W13" i="43" s="1"/>
  <c r="T13" i="41"/>
  <c r="T13" i="43" s="1"/>
  <c r="K13" i="41"/>
  <c r="K13" i="43" s="1"/>
  <c r="H13" i="41"/>
  <c r="H13" i="43" s="1"/>
  <c r="AC10" i="41"/>
  <c r="AC10" i="43" s="1"/>
  <c r="W10" i="41"/>
  <c r="W10" i="43" s="1"/>
  <c r="T10" i="41"/>
  <c r="T10" i="43" s="1"/>
  <c r="K10" i="41"/>
  <c r="K10" i="43" s="1"/>
  <c r="H10" i="41"/>
  <c r="H10" i="43" s="1"/>
  <c r="AC8" i="41"/>
  <c r="AC8" i="43" s="1"/>
  <c r="W8" i="41"/>
  <c r="W8" i="43" s="1"/>
  <c r="T8" i="41"/>
  <c r="T8" i="43" s="1"/>
  <c r="K8" i="41"/>
  <c r="K8" i="43" s="1"/>
  <c r="H8" i="41"/>
  <c r="H8" i="43" s="1"/>
  <c r="AJ39" i="29" l="1"/>
  <c r="AI39" i="29"/>
  <c r="AH39" i="29"/>
  <c r="AG39" i="29"/>
  <c r="AF39" i="29"/>
  <c r="AE39" i="29"/>
  <c r="AJ38" i="29" l="1"/>
  <c r="AJ37" i="29"/>
  <c r="G36" i="29"/>
  <c r="L36" i="29" s="1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W40" i="42"/>
  <c r="U40" i="42"/>
  <c r="T40" i="42"/>
  <c r="R40" i="42"/>
  <c r="P40" i="42"/>
  <c r="O40" i="42"/>
  <c r="P38" i="42"/>
  <c r="O38" i="42"/>
  <c r="T37" i="42"/>
  <c r="T58" i="42" s="1"/>
  <c r="R37" i="42"/>
  <c r="P37" i="42"/>
  <c r="O37" i="42"/>
  <c r="R36" i="42"/>
  <c r="P36" i="42"/>
  <c r="O36" i="42"/>
  <c r="R35" i="42"/>
  <c r="P35" i="42"/>
  <c r="O35" i="4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W46" i="2"/>
  <c r="W46" i="42" s="1"/>
  <c r="T46" i="2"/>
  <c r="T46" i="42" s="1"/>
  <c r="R46" i="2"/>
  <c r="R46" i="42" s="1"/>
  <c r="O46" i="2"/>
  <c r="O46" i="42" s="1"/>
  <c r="M46" i="2"/>
  <c r="M46" i="42" s="1"/>
  <c r="J46" i="2"/>
  <c r="J46" i="42" s="1"/>
  <c r="W39" i="2"/>
  <c r="W39" i="42" s="1"/>
  <c r="T39" i="2"/>
  <c r="T39" i="42" s="1"/>
  <c r="R39" i="2"/>
  <c r="R39" i="42" s="1"/>
  <c r="O39" i="42"/>
  <c r="W38" i="2"/>
  <c r="W38" i="42" s="1"/>
  <c r="T38" i="2"/>
  <c r="T38" i="42" s="1"/>
  <c r="R38" i="42"/>
  <c r="W37" i="2"/>
  <c r="W37" i="42" s="1"/>
  <c r="W36" i="2"/>
  <c r="W36" i="42" s="1"/>
  <c r="T36" i="2"/>
  <c r="T36" i="42" s="1"/>
  <c r="W35" i="2"/>
  <c r="W35" i="42" s="1"/>
  <c r="T35" i="2"/>
  <c r="T35" i="42" s="1"/>
  <c r="W34" i="2"/>
  <c r="W34" i="42" s="1"/>
  <c r="T34" i="2"/>
  <c r="T34" i="42" s="1"/>
  <c r="R34" i="42"/>
  <c r="O34" i="42"/>
  <c r="W33" i="2"/>
  <c r="W33" i="42" s="1"/>
  <c r="T33" i="2"/>
  <c r="T33" i="42" s="1"/>
  <c r="R33" i="42"/>
  <c r="O33" i="42"/>
  <c r="W31" i="2"/>
  <c r="W31" i="42" s="1"/>
  <c r="T31" i="2"/>
  <c r="T31" i="42" s="1"/>
  <c r="R31" i="42"/>
  <c r="O31" i="42"/>
  <c r="M31" i="42"/>
  <c r="J31" i="42"/>
  <c r="W30" i="2"/>
  <c r="W30" i="42" s="1"/>
  <c r="T30" i="2"/>
  <c r="T30" i="42" s="1"/>
  <c r="R30" i="42"/>
  <c r="O30" i="42"/>
  <c r="M30" i="42"/>
  <c r="J30" i="42"/>
  <c r="W29" i="2"/>
  <c r="W29" i="42" s="1"/>
  <c r="T29" i="2"/>
  <c r="T29" i="42" s="1"/>
  <c r="R29" i="42"/>
  <c r="O29" i="42"/>
  <c r="M29" i="42"/>
  <c r="J29" i="42"/>
  <c r="W28" i="2"/>
  <c r="W28" i="42" s="1"/>
  <c r="T28" i="2"/>
  <c r="T28" i="42" s="1"/>
  <c r="R28" i="42"/>
  <c r="O28" i="42"/>
  <c r="M28" i="42"/>
  <c r="J28" i="42"/>
  <c r="W23" i="2"/>
  <c r="T23" i="2"/>
  <c r="T23" i="42" s="1"/>
  <c r="R23" i="42"/>
  <c r="O23" i="42"/>
  <c r="M23" i="42"/>
  <c r="J23" i="42"/>
  <c r="W22" i="2"/>
  <c r="T22" i="2"/>
  <c r="T22" i="42" s="1"/>
  <c r="R22" i="42"/>
  <c r="O22" i="42"/>
  <c r="M22" i="42"/>
  <c r="J22" i="42"/>
  <c r="W21" i="2"/>
  <c r="T21" i="2"/>
  <c r="T21" i="42" s="1"/>
  <c r="R21" i="42"/>
  <c r="O21" i="42"/>
  <c r="M21" i="42"/>
  <c r="J21" i="42"/>
  <c r="W20" i="2"/>
  <c r="T20" i="2"/>
  <c r="T20" i="42" s="1"/>
  <c r="R20" i="42"/>
  <c r="O20" i="42"/>
  <c r="M20" i="42"/>
  <c r="J20" i="42"/>
  <c r="W19" i="2"/>
  <c r="T19" i="2"/>
  <c r="T19" i="42" s="1"/>
  <c r="R19" i="42"/>
  <c r="O19" i="42"/>
  <c r="M19" i="42"/>
  <c r="J19" i="42"/>
  <c r="W18" i="2"/>
  <c r="T18" i="2"/>
  <c r="T18" i="42" s="1"/>
  <c r="R18" i="42"/>
  <c r="O18" i="42"/>
  <c r="M18" i="42"/>
  <c r="J18" i="42"/>
  <c r="W17" i="2"/>
  <c r="T17" i="2"/>
  <c r="T17" i="42" s="1"/>
  <c r="R17" i="42"/>
  <c r="O17" i="42"/>
  <c r="M17" i="42"/>
  <c r="J17" i="42"/>
  <c r="W16" i="2"/>
  <c r="T16" i="2"/>
  <c r="T16" i="42" s="1"/>
  <c r="R16" i="42"/>
  <c r="O16" i="42"/>
  <c r="M16" i="42"/>
  <c r="J16" i="42"/>
  <c r="W15" i="2"/>
  <c r="T15" i="2"/>
  <c r="T15" i="42" s="1"/>
  <c r="R15" i="42"/>
  <c r="O15" i="42"/>
  <c r="M15" i="42"/>
  <c r="J15" i="42"/>
  <c r="W14" i="2"/>
  <c r="T14" i="2"/>
  <c r="T14" i="42" s="1"/>
  <c r="R14" i="42"/>
  <c r="O14" i="42"/>
  <c r="M14" i="42"/>
  <c r="J14" i="42"/>
  <c r="W13" i="2"/>
  <c r="T13" i="2"/>
  <c r="T13" i="42" s="1"/>
  <c r="R13" i="42"/>
  <c r="O13" i="42"/>
  <c r="M13" i="42"/>
  <c r="J13" i="42"/>
  <c r="W12" i="2"/>
  <c r="T12" i="2"/>
  <c r="T12" i="42" s="1"/>
  <c r="R12" i="42"/>
  <c r="O12" i="42"/>
  <c r="M12" i="42"/>
  <c r="J12" i="42"/>
  <c r="W11" i="2"/>
  <c r="T11" i="2"/>
  <c r="T11" i="42" s="1"/>
  <c r="R11" i="42"/>
  <c r="O11" i="42"/>
  <c r="M11" i="42"/>
  <c r="J11" i="42"/>
  <c r="W10" i="2"/>
  <c r="T10" i="2"/>
  <c r="T10" i="42" s="1"/>
  <c r="R10" i="42"/>
  <c r="O10" i="42"/>
  <c r="M10" i="42"/>
  <c r="J10" i="42"/>
  <c r="W9" i="2"/>
  <c r="T9" i="2"/>
  <c r="T9" i="42" s="1"/>
  <c r="R9" i="42"/>
  <c r="O9" i="42"/>
  <c r="M9" i="42"/>
  <c r="J9" i="42"/>
  <c r="W8" i="2"/>
  <c r="T8" i="2"/>
  <c r="T8" i="42" s="1"/>
  <c r="R8" i="42"/>
  <c r="O8" i="42"/>
  <c r="M8" i="42"/>
  <c r="J8" i="42"/>
  <c r="W7" i="2"/>
  <c r="T7" i="2"/>
  <c r="T7" i="42" s="1"/>
  <c r="R7" i="42"/>
  <c r="O7" i="42"/>
  <c r="M7" i="42"/>
  <c r="J7" i="42"/>
  <c r="V28" i="1"/>
  <c r="V27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H38" i="1"/>
  <c r="M38" i="1" s="1"/>
  <c r="E38" i="1"/>
  <c r="J38" i="1" s="1"/>
  <c r="H27" i="1"/>
  <c r="E27" i="1"/>
  <c r="J27" i="1" s="1"/>
  <c r="H26" i="1"/>
  <c r="M26" i="1" s="1"/>
  <c r="E26" i="1"/>
  <c r="J26" i="1" s="1"/>
  <c r="H25" i="1"/>
  <c r="M25" i="1" s="1"/>
  <c r="E25" i="1"/>
  <c r="V24" i="1"/>
  <c r="T24" i="1"/>
  <c r="S24" i="1"/>
  <c r="V23" i="1"/>
  <c r="T23" i="1"/>
  <c r="S23" i="1"/>
  <c r="H17" i="1"/>
  <c r="M17" i="1" s="1"/>
  <c r="E17" i="1"/>
  <c r="J17" i="1" s="1"/>
  <c r="H16" i="1"/>
  <c r="M16" i="1" s="1"/>
  <c r="E16" i="1"/>
  <c r="J16" i="1" s="1"/>
  <c r="H15" i="1"/>
  <c r="M15" i="1" s="1"/>
  <c r="E15" i="1"/>
  <c r="J15" i="1" s="1"/>
  <c r="H12" i="1"/>
  <c r="M12" i="1" s="1"/>
  <c r="E12" i="1"/>
  <c r="J12" i="1" s="1"/>
  <c r="H11" i="1"/>
  <c r="M11" i="1" s="1"/>
  <c r="E11" i="1"/>
  <c r="H10" i="1"/>
  <c r="E10" i="1"/>
  <c r="J10" i="1" s="1"/>
  <c r="H9" i="1"/>
  <c r="M9" i="1" s="1"/>
  <c r="E9" i="1"/>
  <c r="J9" i="1" s="1"/>
  <c r="H8" i="1"/>
  <c r="M8" i="1" s="1"/>
  <c r="E8" i="1"/>
  <c r="J8" i="1" s="1"/>
  <c r="H7" i="1"/>
  <c r="M7" i="1" s="1"/>
  <c r="E7" i="1"/>
  <c r="J7" i="1" s="1"/>
  <c r="AI38" i="29"/>
  <c r="AH38" i="29"/>
  <c r="AG38" i="29"/>
  <c r="AF38" i="29"/>
  <c r="AE38" i="29"/>
  <c r="AI30" i="42" l="1"/>
  <c r="AI31" i="42"/>
  <c r="T60" i="42"/>
  <c r="T56" i="42"/>
  <c r="T61" i="42" s="1"/>
  <c r="AI29" i="42"/>
  <c r="AI32" i="42" s="1"/>
  <c r="T59" i="42"/>
  <c r="T57" i="42"/>
  <c r="W10" i="42"/>
  <c r="W20" i="42"/>
  <c r="W11" i="42"/>
  <c r="W21" i="42"/>
  <c r="W16" i="42"/>
  <c r="W23" i="42"/>
  <c r="W7" i="42"/>
  <c r="W8" i="42"/>
  <c r="W18" i="42"/>
  <c r="W13" i="42"/>
  <c r="W17" i="42"/>
  <c r="W15" i="42"/>
  <c r="W12" i="42"/>
  <c r="W22" i="42"/>
  <c r="W14" i="42"/>
  <c r="W9" i="42"/>
  <c r="W19" i="42"/>
  <c r="H13" i="1"/>
  <c r="M13" i="1" s="1"/>
  <c r="H18" i="1"/>
  <c r="M18" i="1" s="1"/>
  <c r="H28" i="1"/>
  <c r="M28" i="1" s="1"/>
  <c r="E28" i="1"/>
  <c r="J28" i="1" s="1"/>
  <c r="E13" i="1"/>
  <c r="J13" i="1" s="1"/>
  <c r="E18" i="1"/>
  <c r="J18" i="1" s="1"/>
  <c r="M27" i="1"/>
  <c r="M10" i="1"/>
  <c r="J11" i="1"/>
  <c r="J25" i="1"/>
  <c r="P32" i="43" l="1"/>
  <c r="P31" i="43"/>
  <c r="P30" i="43"/>
  <c r="P29" i="43"/>
  <c r="P28" i="43"/>
  <c r="P27" i="43"/>
  <c r="O35" i="43" l="1"/>
  <c r="O37" i="43" l="1"/>
  <c r="N41" i="43"/>
  <c r="O39" i="43"/>
  <c r="O36" i="43"/>
  <c r="O38" i="43"/>
  <c r="O40" i="43"/>
  <c r="M41" i="43"/>
  <c r="N42" i="43" l="1"/>
  <c r="O41" i="43"/>
  <c r="M15" i="41" l="1"/>
  <c r="M15" i="43" s="1"/>
  <c r="M13" i="41"/>
  <c r="M13" i="43" s="1"/>
  <c r="M10" i="41"/>
  <c r="M8" i="41"/>
  <c r="M8" i="43" s="1"/>
  <c r="M10" i="43" l="1"/>
  <c r="O8" i="43"/>
  <c r="M17" i="43"/>
  <c r="O17" i="43" s="1"/>
  <c r="O13" i="43"/>
  <c r="M14" i="43"/>
  <c r="O14" i="43" s="1"/>
  <c r="M16" i="43"/>
  <c r="O16" i="43" s="1"/>
  <c r="O15" i="43"/>
  <c r="M42" i="43"/>
  <c r="M18" i="41"/>
  <c r="M18" i="43" s="1"/>
  <c r="O10" i="43" l="1"/>
  <c r="M12" i="43"/>
  <c r="M9" i="43" s="1"/>
  <c r="O9" i="43" s="1"/>
  <c r="O18" i="43"/>
  <c r="M11" i="43"/>
  <c r="O11" i="43" s="1"/>
  <c r="O12" i="43"/>
  <c r="M19" i="41"/>
  <c r="M19" i="43" l="1"/>
  <c r="G18" i="41"/>
  <c r="G18" i="43" s="1"/>
  <c r="O19" i="43" l="1"/>
  <c r="M20" i="43"/>
  <c r="O20" i="43" s="1"/>
  <c r="O30" i="4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41" i="41"/>
  <c r="O11" i="41"/>
  <c r="O9" i="41"/>
  <c r="AI37" i="29" l="1"/>
  <c r="AH37" i="29" l="1"/>
  <c r="AG37" i="29" l="1"/>
  <c r="AA21" i="1" l="1"/>
  <c r="AA19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C32" i="43" l="1"/>
  <c r="Y32" i="43" l="1"/>
  <c r="Y31" i="43"/>
  <c r="Y30" i="43"/>
  <c r="Y29" i="43"/>
  <c r="Y28" i="43"/>
  <c r="Y27" i="43"/>
  <c r="AF37" i="29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9" i="43" s="1"/>
  <c r="S18" i="41"/>
  <c r="S18" i="43" s="1"/>
  <c r="AB40" i="41" l="1"/>
  <c r="AB40" i="43" s="1"/>
  <c r="AB39" i="41"/>
  <c r="AB39" i="43" s="1"/>
  <c r="AB38" i="41"/>
  <c r="AB38" i="43" s="1"/>
  <c r="AB37" i="41"/>
  <c r="AB37" i="43" s="1"/>
  <c r="AB36" i="41"/>
  <c r="AB36" i="43" s="1"/>
  <c r="AB35" i="41"/>
  <c r="AB35" i="43" s="1"/>
  <c r="AB19" i="41"/>
  <c r="AB19" i="43" s="1"/>
  <c r="AB18" i="41"/>
  <c r="AB18" i="43" s="1"/>
  <c r="AB26" i="41" l="1"/>
  <c r="AB26" i="43" s="1"/>
  <c r="AB25" i="41"/>
  <c r="AB25" i="43" s="1"/>
  <c r="AB24" i="41"/>
  <c r="AB24" i="43" s="1"/>
  <c r="AB23" i="41"/>
  <c r="AB23" i="43" s="1"/>
  <c r="AB22" i="41"/>
  <c r="AB22" i="43" s="1"/>
  <c r="AB21" i="41"/>
  <c r="AB21" i="43" s="1"/>
  <c r="AB15" i="41"/>
  <c r="AB15" i="43" s="1"/>
  <c r="AB13" i="41"/>
  <c r="AB13" i="43" s="1"/>
  <c r="AB10" i="41"/>
  <c r="AB10" i="43" s="1"/>
  <c r="AB8" i="41"/>
  <c r="AB8" i="43" s="1"/>
  <c r="V19" i="41" l="1"/>
  <c r="V19" i="43" s="1"/>
  <c r="V18" i="41" l="1"/>
  <c r="V18" i="43" s="1"/>
  <c r="V40" i="41" l="1"/>
  <c r="V40" i="43" s="1"/>
  <c r="S40" i="41"/>
  <c r="S40" i="43" s="1"/>
  <c r="V39" i="41"/>
  <c r="V39" i="43" s="1"/>
  <c r="S39" i="41"/>
  <c r="S39" i="43" s="1"/>
  <c r="V38" i="41"/>
  <c r="V38" i="43" s="1"/>
  <c r="S38" i="41"/>
  <c r="S38" i="43" s="1"/>
  <c r="V37" i="41"/>
  <c r="V37" i="43" s="1"/>
  <c r="S37" i="41"/>
  <c r="S37" i="43" s="1"/>
  <c r="V36" i="41"/>
  <c r="V36" i="43" s="1"/>
  <c r="S36" i="41"/>
  <c r="S36" i="43" s="1"/>
  <c r="V35" i="41"/>
  <c r="V35" i="43" s="1"/>
  <c r="S35" i="41"/>
  <c r="S35" i="43" s="1"/>
  <c r="Y32" i="41"/>
  <c r="V32" i="41"/>
  <c r="S32" i="41"/>
  <c r="Y31" i="41"/>
  <c r="V31" i="41"/>
  <c r="S31" i="41"/>
  <c r="Y30" i="41"/>
  <c r="V30" i="41"/>
  <c r="S30" i="41"/>
  <c r="Y29" i="41"/>
  <c r="V29" i="41"/>
  <c r="S29" i="41"/>
  <c r="Y28" i="41"/>
  <c r="V28" i="41"/>
  <c r="S28" i="41"/>
  <c r="Y27" i="41"/>
  <c r="V27" i="41"/>
  <c r="S27" i="41"/>
  <c r="V26" i="41"/>
  <c r="V26" i="43" s="1"/>
  <c r="S26" i="41"/>
  <c r="S26" i="43" s="1"/>
  <c r="V25" i="41"/>
  <c r="V25" i="43" s="1"/>
  <c r="S25" i="41"/>
  <c r="S25" i="43" s="1"/>
  <c r="V24" i="41"/>
  <c r="V24" i="43" s="1"/>
  <c r="S24" i="41"/>
  <c r="S24" i="43" s="1"/>
  <c r="V23" i="41"/>
  <c r="V23" i="43" s="1"/>
  <c r="S23" i="41"/>
  <c r="S23" i="43" s="1"/>
  <c r="V22" i="41"/>
  <c r="V22" i="43" s="1"/>
  <c r="S22" i="41"/>
  <c r="S22" i="43" s="1"/>
  <c r="V21" i="41"/>
  <c r="V21" i="43" s="1"/>
  <c r="S21" i="41"/>
  <c r="S21" i="43" s="1"/>
  <c r="V15" i="41"/>
  <c r="V15" i="43" s="1"/>
  <c r="S15" i="41"/>
  <c r="S15" i="43" s="1"/>
  <c r="V13" i="41"/>
  <c r="V13" i="43" s="1"/>
  <c r="S13" i="41"/>
  <c r="S13" i="43" s="1"/>
  <c r="V10" i="41"/>
  <c r="V10" i="43" s="1"/>
  <c r="S10" i="41"/>
  <c r="S10" i="43" s="1"/>
  <c r="V8" i="41"/>
  <c r="V8" i="43" s="1"/>
  <c r="S8" i="41"/>
  <c r="S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P18" i="43" l="1"/>
  <c r="P19" i="43"/>
  <c r="P15" i="43"/>
  <c r="P38" i="41"/>
  <c r="P38" i="43"/>
  <c r="P35" i="41"/>
  <c r="P35" i="43"/>
  <c r="P36" i="41"/>
  <c r="P36" i="43"/>
  <c r="P40" i="41"/>
  <c r="P40" i="43"/>
  <c r="P37" i="41"/>
  <c r="P37" i="43"/>
  <c r="P39" i="41"/>
  <c r="P39" i="43"/>
  <c r="P13" i="43"/>
  <c r="P15" i="41"/>
  <c r="P19" i="41"/>
  <c r="P18" i="41"/>
  <c r="P13" i="41"/>
  <c r="P32" i="41"/>
  <c r="P31" i="41"/>
  <c r="P30" i="41"/>
  <c r="P29" i="41"/>
  <c r="P28" i="41"/>
  <c r="P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P20" i="43" l="1"/>
  <c r="P21" i="43"/>
  <c r="P24" i="43"/>
  <c r="P26" i="43"/>
  <c r="P10" i="43"/>
  <c r="P16" i="43" s="1"/>
  <c r="P23" i="43"/>
  <c r="P25" i="43"/>
  <c r="P22" i="43"/>
  <c r="P17" i="43"/>
  <c r="P8" i="43"/>
  <c r="P14" i="43" s="1"/>
  <c r="P25" i="41"/>
  <c r="P26" i="41"/>
  <c r="P8" i="41"/>
  <c r="P21" i="41"/>
  <c r="P24" i="41"/>
  <c r="P10" i="41"/>
  <c r="P23" i="41"/>
  <c r="P22" i="41"/>
  <c r="Y40" i="41"/>
  <c r="AB29" i="41"/>
  <c r="AB28" i="41"/>
  <c r="Y35" i="41"/>
  <c r="AC32" i="41"/>
  <c r="AB30" i="41"/>
  <c r="AD26" i="41"/>
  <c r="AB31" i="41"/>
  <c r="AD24" i="41"/>
  <c r="Y24" i="41"/>
  <c r="Y23" i="41"/>
  <c r="Y22" i="41"/>
  <c r="Y19" i="41"/>
  <c r="V20" i="41"/>
  <c r="S20" i="41"/>
  <c r="J20" i="41"/>
  <c r="J17" i="41"/>
  <c r="Y15" i="41"/>
  <c r="J14" i="41"/>
  <c r="AB14" i="41"/>
  <c r="V17" i="41"/>
  <c r="Y13" i="41"/>
  <c r="G14" i="41"/>
  <c r="G12" i="41"/>
  <c r="G9" i="41" s="1"/>
  <c r="V16" i="41"/>
  <c r="P12" i="43" l="1"/>
  <c r="G11" i="41"/>
  <c r="AE22" i="41"/>
  <c r="Y26" i="41"/>
  <c r="AE26" i="41" s="1"/>
  <c r="S14" i="41"/>
  <c r="AB20" i="41"/>
  <c r="AB32" i="41"/>
  <c r="AD32" i="41" s="1"/>
  <c r="Y36" i="41"/>
  <c r="AE36" i="41" s="1"/>
  <c r="Y39" i="41"/>
  <c r="Y25" i="41"/>
  <c r="AE25" i="41" s="1"/>
  <c r="Y21" i="41"/>
  <c r="AE21" i="41" s="1"/>
  <c r="Y17" i="41"/>
  <c r="AE24" i="41"/>
  <c r="V41" i="41"/>
  <c r="V42" i="41" s="1"/>
  <c r="Y37" i="41"/>
  <c r="AE37" i="41" s="1"/>
  <c r="AE40" i="41"/>
  <c r="J41" i="41"/>
  <c r="J42" i="41" s="1"/>
  <c r="AB17" i="41"/>
  <c r="AB16" i="41"/>
  <c r="AE19" i="41"/>
  <c r="G20" i="41"/>
  <c r="AE23" i="41"/>
  <c r="AE35" i="41"/>
  <c r="V12" i="41"/>
  <c r="G16" i="41"/>
  <c r="AB41" i="41"/>
  <c r="AB42" i="41" s="1"/>
  <c r="AB27" i="41"/>
  <c r="G41" i="41"/>
  <c r="S41" i="41"/>
  <c r="Y38" i="41"/>
  <c r="AE38" i="41" s="1"/>
  <c r="J16" i="41"/>
  <c r="V14" i="41"/>
  <c r="S12" i="41"/>
  <c r="Y8" i="41"/>
  <c r="AE8" i="41" s="1"/>
  <c r="S16" i="41"/>
  <c r="Y10" i="41"/>
  <c r="S17" i="41"/>
  <c r="AD23" i="41"/>
  <c r="AB12" i="41"/>
  <c r="G17" i="41"/>
  <c r="Y18" i="41"/>
  <c r="Y20" i="41" s="1"/>
  <c r="J12" i="41"/>
  <c r="J9" i="41" s="1"/>
  <c r="AB11" i="41" l="1"/>
  <c r="AB4" i="43"/>
  <c r="S9" i="41"/>
  <c r="S4" i="43"/>
  <c r="V11" i="41"/>
  <c r="V4" i="43"/>
  <c r="P41" i="41"/>
  <c r="P11" i="43"/>
  <c r="P9" i="43"/>
  <c r="AE28" i="41"/>
  <c r="V9" i="41"/>
  <c r="AB9" i="41"/>
  <c r="AE32" i="41"/>
  <c r="Y14" i="41"/>
  <c r="AE39" i="41"/>
  <c r="AE31" i="41" s="1"/>
  <c r="AE27" i="41"/>
  <c r="P17" i="41"/>
  <c r="AE13" i="41"/>
  <c r="P14" i="41"/>
  <c r="AE10" i="41"/>
  <c r="AE12" i="41" s="1"/>
  <c r="AE4" i="43" s="1"/>
  <c r="J11" i="41"/>
  <c r="AE30" i="41"/>
  <c r="AE18" i="41"/>
  <c r="AE20" i="41" s="1"/>
  <c r="P20" i="41"/>
  <c r="AE29" i="41"/>
  <c r="P16" i="41"/>
  <c r="AE15" i="41"/>
  <c r="S11" i="41"/>
  <c r="G42" i="41"/>
  <c r="Y16" i="41"/>
  <c r="Y41" i="41"/>
  <c r="Y42" i="41" s="1"/>
  <c r="S42" i="41"/>
  <c r="P12" i="41"/>
  <c r="Y12" i="41"/>
  <c r="Y11" i="41" l="1"/>
  <c r="Y4" i="43"/>
  <c r="P9" i="41"/>
  <c r="P4" i="43"/>
  <c r="AE16" i="41"/>
  <c r="AE11" i="41"/>
  <c r="P11" i="41"/>
  <c r="Y9" i="41"/>
  <c r="AE9" i="41"/>
  <c r="AE17" i="41"/>
  <c r="AE14" i="41"/>
  <c r="P42" i="41"/>
  <c r="AE41" i="41"/>
  <c r="AE42" i="41" s="1"/>
  <c r="AE37" i="29" l="1"/>
  <c r="I36" i="29"/>
  <c r="N36" i="29" s="1"/>
  <c r="I25" i="29" l="1"/>
  <c r="N25" i="29" s="1"/>
  <c r="I24" i="29"/>
  <c r="N24" i="29" s="1"/>
  <c r="I16" i="29"/>
  <c r="N16" i="29" s="1"/>
  <c r="I15" i="29"/>
  <c r="N15" i="29" s="1"/>
  <c r="I13" i="29"/>
  <c r="N13" i="29" s="1"/>
  <c r="I12" i="29"/>
  <c r="N12" i="29" s="1"/>
  <c r="I10" i="29"/>
  <c r="N10" i="29" s="1"/>
  <c r="F16" i="29"/>
  <c r="K16" i="29" s="1"/>
  <c r="F15" i="29"/>
  <c r="K15" i="29" s="1"/>
  <c r="F13" i="29"/>
  <c r="K13" i="29" s="1"/>
  <c r="F12" i="29"/>
  <c r="K12" i="29" s="1"/>
  <c r="F10" i="29"/>
  <c r="K10" i="29" s="1"/>
  <c r="F25" i="29" l="1"/>
  <c r="K25" i="29" s="1"/>
  <c r="F24" i="29"/>
  <c r="K24" i="29" s="1"/>
  <c r="F36" i="29" l="1"/>
  <c r="K36" i="29" s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F11" i="29" l="1"/>
  <c r="V29" i="1" l="1"/>
  <c r="I20" i="29" l="1"/>
  <c r="I18" i="29"/>
  <c r="I19" i="29" l="1"/>
  <c r="I21" i="29"/>
  <c r="I22" i="29"/>
  <c r="I26" i="29"/>
  <c r="I17" i="29"/>
  <c r="I14" i="29"/>
  <c r="I27" i="29" l="1"/>
  <c r="I23" i="29"/>
  <c r="F18" i="29"/>
  <c r="F20" i="29"/>
  <c r="F14" i="29"/>
  <c r="F26" i="29"/>
  <c r="F17" i="29"/>
  <c r="I37" i="29" l="1"/>
  <c r="I28" i="29"/>
  <c r="F22" i="29"/>
  <c r="F19" i="29"/>
  <c r="F21" i="29"/>
  <c r="F23" i="29" l="1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AE19" i="1" s="1"/>
  <c r="AE20" i="1" s="1"/>
  <c r="H29" i="1"/>
  <c r="H35" i="1" l="1"/>
  <c r="H36" i="1" l="1"/>
  <c r="AE21" i="1" s="1"/>
  <c r="W41" i="2" l="1"/>
  <c r="H40" i="1"/>
  <c r="H39" i="1"/>
  <c r="V36" i="1" l="1"/>
  <c r="W43" i="2"/>
  <c r="W47" i="2" l="1"/>
  <c r="V35" i="1"/>
  <c r="M26" i="2" l="1"/>
  <c r="M24" i="2" l="1"/>
  <c r="M25" i="2"/>
  <c r="M32" i="2"/>
  <c r="M27" i="2" l="1"/>
  <c r="M47" i="2" s="1"/>
  <c r="G32" i="43" l="1"/>
  <c r="S12" i="43"/>
  <c r="Y8" i="43"/>
  <c r="S28" i="43"/>
  <c r="Y22" i="43"/>
  <c r="V29" i="43"/>
  <c r="S31" i="43"/>
  <c r="Y39" i="43"/>
  <c r="V16" i="43"/>
  <c r="V27" i="43"/>
  <c r="Y13" i="43"/>
  <c r="S17" i="43"/>
  <c r="S14" i="43"/>
  <c r="Y24" i="43"/>
  <c r="S29" i="43"/>
  <c r="Y37" i="43"/>
  <c r="Y26" i="43"/>
  <c r="V41" i="43"/>
  <c r="V31" i="43"/>
  <c r="V17" i="43"/>
  <c r="G31" i="43"/>
  <c r="G12" i="43"/>
  <c r="J12" i="43"/>
  <c r="J9" i="43" s="1"/>
  <c r="V14" i="43"/>
  <c r="V12" i="43"/>
  <c r="J20" i="43"/>
  <c r="G28" i="43"/>
  <c r="G30" i="43"/>
  <c r="J29" i="43"/>
  <c r="Y18" i="43"/>
  <c r="J28" i="43"/>
  <c r="J30" i="43"/>
  <c r="J16" i="43"/>
  <c r="V20" i="43"/>
  <c r="Y36" i="43"/>
  <c r="J32" i="43"/>
  <c r="J31" i="43"/>
  <c r="G16" i="43"/>
  <c r="S41" i="43"/>
  <c r="S30" i="43"/>
  <c r="Y38" i="43"/>
  <c r="Y10" i="43"/>
  <c r="S27" i="43"/>
  <c r="Y21" i="43"/>
  <c r="Y23" i="43"/>
  <c r="V28" i="43"/>
  <c r="Y40" i="43"/>
  <c r="S32" i="43"/>
  <c r="G14" i="43"/>
  <c r="G17" i="43"/>
  <c r="V30" i="43"/>
  <c r="Y25" i="43"/>
  <c r="V32" i="43"/>
  <c r="J27" i="43"/>
  <c r="J41" i="43"/>
  <c r="G27" i="43"/>
  <c r="G41" i="43"/>
  <c r="Y35" i="43"/>
  <c r="G29" i="43"/>
  <c r="V11" i="43" l="1"/>
  <c r="P41" i="43"/>
  <c r="S20" i="43"/>
  <c r="Y19" i="43"/>
  <c r="Y14" i="43"/>
  <c r="G11" i="43"/>
  <c r="G20" i="43"/>
  <c r="J17" i="43"/>
  <c r="J14" i="43"/>
  <c r="J42" i="43"/>
  <c r="G42" i="43"/>
  <c r="V9" i="43"/>
  <c r="S16" i="43"/>
  <c r="Y15" i="43"/>
  <c r="S11" i="43"/>
  <c r="J11" i="43"/>
  <c r="S42" i="43"/>
  <c r="Y41" i="43"/>
  <c r="V42" i="43"/>
  <c r="Y12" i="43"/>
  <c r="G9" i="43"/>
  <c r="S9" i="43"/>
  <c r="Y9" i="43" l="1"/>
  <c r="Y20" i="43"/>
  <c r="Y16" i="43"/>
  <c r="Y17" i="43"/>
  <c r="Y42" i="43"/>
  <c r="P42" i="43"/>
  <c r="Y11" i="43"/>
  <c r="J25" i="29" l="1"/>
  <c r="H25" i="29"/>
  <c r="H24" i="29" l="1"/>
  <c r="J24" i="29"/>
  <c r="G26" i="29"/>
  <c r="J26" i="29" l="1"/>
  <c r="H26" i="29"/>
  <c r="L26" i="29"/>
  <c r="J13" i="29" l="1"/>
  <c r="H13" i="29"/>
  <c r="J15" i="29"/>
  <c r="H15" i="29"/>
  <c r="G17" i="29"/>
  <c r="W23" i="1"/>
  <c r="H17" i="29" l="1"/>
  <c r="J17" i="29"/>
  <c r="H16" i="29"/>
  <c r="J16" i="29"/>
  <c r="L17" i="29"/>
  <c r="G11" i="29"/>
  <c r="G18" i="29"/>
  <c r="J12" i="29"/>
  <c r="H12" i="29"/>
  <c r="G14" i="29"/>
  <c r="J10" i="29"/>
  <c r="H10" i="29"/>
  <c r="G20" i="29"/>
  <c r="L20" i="29"/>
  <c r="J14" i="29" l="1"/>
  <c r="H14" i="29"/>
  <c r="J11" i="29"/>
  <c r="H11" i="29"/>
  <c r="L18" i="29"/>
  <c r="L11" i="29"/>
  <c r="L14" i="29"/>
  <c r="G19" i="29"/>
  <c r="J18" i="29"/>
  <c r="H18" i="29"/>
  <c r="G22" i="29"/>
  <c r="H20" i="29"/>
  <c r="G21" i="29"/>
  <c r="J20" i="29"/>
  <c r="L21" i="29"/>
  <c r="H22" i="29" l="1"/>
  <c r="G23" i="29"/>
  <c r="J22" i="29"/>
  <c r="G27" i="29"/>
  <c r="W24" i="1"/>
  <c r="L19" i="29"/>
  <c r="H21" i="29"/>
  <c r="J21" i="29"/>
  <c r="J19" i="29"/>
  <c r="H19" i="29"/>
  <c r="L22" i="29"/>
  <c r="L23" i="29" l="1"/>
  <c r="L27" i="29"/>
  <c r="G37" i="29"/>
  <c r="J27" i="29"/>
  <c r="H27" i="29"/>
  <c r="G28" i="29"/>
  <c r="J23" i="29"/>
  <c r="H23" i="29"/>
  <c r="H28" i="29" l="1"/>
  <c r="J28" i="29"/>
  <c r="L28" i="29"/>
  <c r="L38" i="29"/>
  <c r="L37" i="29"/>
  <c r="AJ9" i="1" l="1"/>
  <c r="AJ8" i="1"/>
  <c r="AJ7" i="1"/>
  <c r="AJ11" i="1" l="1"/>
  <c r="M21" i="1"/>
  <c r="AJ12" i="1"/>
  <c r="M22" i="1"/>
  <c r="M19" i="1"/>
  <c r="M29" i="1"/>
  <c r="M33" i="1" l="1"/>
  <c r="AJ10" i="1"/>
  <c r="M14" i="1"/>
  <c r="M20" i="1"/>
  <c r="M32" i="1"/>
  <c r="AJ13" i="1"/>
  <c r="M23" i="1"/>
  <c r="M34" i="1" l="1"/>
  <c r="AJ14" i="1"/>
  <c r="AJ17" i="1"/>
  <c r="M24" i="1"/>
  <c r="M30" i="1"/>
  <c r="AJ18" i="1"/>
  <c r="AJ15" i="1" l="1"/>
  <c r="M31" i="1"/>
  <c r="M35" i="1"/>
  <c r="AJ19" i="1"/>
  <c r="AJ20" i="1" l="1"/>
  <c r="AJ16" i="1"/>
  <c r="M36" i="1"/>
  <c r="M40" i="1"/>
  <c r="M39" i="1"/>
  <c r="AJ21" i="1" l="1"/>
  <c r="AB20" i="43" l="1"/>
  <c r="AE18" i="43"/>
  <c r="AE19" i="43"/>
  <c r="AB41" i="43"/>
  <c r="AE35" i="43"/>
  <c r="AE36" i="43"/>
  <c r="AE37" i="43"/>
  <c r="AE38" i="43"/>
  <c r="AE39" i="43"/>
  <c r="AE40" i="43"/>
  <c r="AB30" i="43"/>
  <c r="AB29" i="43"/>
  <c r="AB28" i="43"/>
  <c r="AB27" i="43"/>
  <c r="AD26" i="43" l="1"/>
  <c r="AE26" i="43"/>
  <c r="AE32" i="43" s="1"/>
  <c r="AE25" i="43"/>
  <c r="AB31" i="43"/>
  <c r="AE31" i="43"/>
  <c r="AB12" i="43"/>
  <c r="AE8" i="43"/>
  <c r="AE10" i="43"/>
  <c r="AB42" i="43"/>
  <c r="AE41" i="43"/>
  <c r="AB14" i="43"/>
  <c r="AB17" i="43"/>
  <c r="AE13" i="43"/>
  <c r="AB16" i="43"/>
  <c r="AE15" i="43"/>
  <c r="AB32" i="43"/>
  <c r="AD32" i="43" s="1"/>
  <c r="AE21" i="43"/>
  <c r="AE27" i="43" s="1"/>
  <c r="AE22" i="43"/>
  <c r="AE28" i="43" s="1"/>
  <c r="AE20" i="43"/>
  <c r="AD23" i="43"/>
  <c r="AE23" i="43"/>
  <c r="AE29" i="43" s="1"/>
  <c r="AD24" i="43"/>
  <c r="AE24" i="43"/>
  <c r="AE30" i="43" s="1"/>
  <c r="AB11" i="43" l="1"/>
  <c r="AE12" i="43"/>
  <c r="AE16" i="43"/>
  <c r="AE42" i="43"/>
  <c r="AB9" i="43"/>
  <c r="AE14" i="43"/>
  <c r="AE17" i="43"/>
  <c r="AE11" i="43" l="1"/>
  <c r="AE9" i="43"/>
  <c r="O25" i="29" l="1"/>
  <c r="O16" i="29"/>
  <c r="O10" i="29"/>
  <c r="M16" i="29"/>
  <c r="M10" i="29"/>
  <c r="K17" i="29" l="1"/>
  <c r="M17" i="29" s="1"/>
  <c r="M15" i="29"/>
  <c r="N20" i="29"/>
  <c r="O13" i="29"/>
  <c r="N17" i="29"/>
  <c r="O17" i="29" s="1"/>
  <c r="O15" i="29"/>
  <c r="K20" i="29"/>
  <c r="M13" i="29"/>
  <c r="N18" i="29"/>
  <c r="N14" i="29"/>
  <c r="N11" i="29"/>
  <c r="O11" i="29" s="1"/>
  <c r="O12" i="29"/>
  <c r="N26" i="29"/>
  <c r="O26" i="29" s="1"/>
  <c r="O24" i="29"/>
  <c r="K14" i="29"/>
  <c r="K18" i="29"/>
  <c r="K11" i="29"/>
  <c r="M11" i="29" s="1"/>
  <c r="M12" i="29"/>
  <c r="M25" i="29"/>
  <c r="N19" i="29" l="1"/>
  <c r="O19" i="29" s="1"/>
  <c r="O18" i="29"/>
  <c r="N22" i="29"/>
  <c r="O14" i="29"/>
  <c r="N21" i="29"/>
  <c r="O21" i="29" s="1"/>
  <c r="O20" i="29"/>
  <c r="K22" i="29"/>
  <c r="M14" i="29"/>
  <c r="K21" i="29"/>
  <c r="M21" i="29" s="1"/>
  <c r="M20" i="29"/>
  <c r="K26" i="29"/>
  <c r="M26" i="29" s="1"/>
  <c r="M24" i="29"/>
  <c r="K19" i="29"/>
  <c r="M19" i="29" s="1"/>
  <c r="M18" i="29"/>
  <c r="N23" i="29" l="1"/>
  <c r="O23" i="29" s="1"/>
  <c r="N27" i="29"/>
  <c r="O22" i="29"/>
  <c r="K27" i="29"/>
  <c r="K23" i="29"/>
  <c r="M23" i="29" s="1"/>
  <c r="M22" i="29"/>
  <c r="K28" i="29" l="1"/>
  <c r="M28" i="29" s="1"/>
  <c r="K38" i="29"/>
  <c r="K37" i="29"/>
  <c r="M27" i="29"/>
  <c r="N28" i="29"/>
  <c r="O28" i="29" s="1"/>
  <c r="N37" i="29"/>
  <c r="N38" i="29"/>
  <c r="O27" i="29"/>
  <c r="AB11" i="1" l="1"/>
  <c r="E21" i="1"/>
  <c r="AB8" i="1"/>
  <c r="AG8" i="1" l="1"/>
  <c r="AG11" i="1"/>
  <c r="J21" i="1"/>
  <c r="O41" i="2" l="1"/>
  <c r="J32" i="2" l="1"/>
  <c r="O32" i="2" l="1"/>
  <c r="AI12" i="41"/>
  <c r="AI12" i="43" s="1"/>
  <c r="AI13" i="41" l="1"/>
  <c r="AI17" i="41"/>
  <c r="AI17" i="43" s="1"/>
  <c r="AB9" i="1"/>
  <c r="AG9" i="1" l="1"/>
  <c r="AB12" i="1"/>
  <c r="AI18" i="43"/>
  <c r="AI18" i="41"/>
  <c r="AI13" i="43"/>
  <c r="AG12" i="1" l="1"/>
  <c r="S33" i="1" l="1"/>
  <c r="S32" i="1" l="1"/>
  <c r="E32" i="1" l="1"/>
  <c r="AB17" i="1" l="1"/>
  <c r="J32" i="1"/>
  <c r="AG17" i="1" l="1"/>
  <c r="E22" i="1" l="1"/>
  <c r="J22" i="1" l="1"/>
  <c r="T32" i="2" l="1"/>
  <c r="E33" i="1"/>
  <c r="AB18" i="1" l="1"/>
  <c r="J33" i="1"/>
  <c r="AI20" i="41"/>
  <c r="AI20" i="43" s="1"/>
  <c r="AI22" i="41" l="1"/>
  <c r="AI21" i="41"/>
  <c r="AG18" i="1"/>
  <c r="AI21" i="43" l="1"/>
  <c r="AI22" i="43"/>
  <c r="O25" i="2" l="1"/>
  <c r="J25" i="2" l="1"/>
  <c r="O26" i="2" l="1"/>
  <c r="J26" i="2" l="1"/>
  <c r="O24" i="2" l="1"/>
  <c r="J24" i="2"/>
  <c r="J27" i="2" l="1"/>
  <c r="O27" i="2"/>
  <c r="O43" i="2" l="1"/>
  <c r="AB10" i="1"/>
  <c r="E14" i="1"/>
  <c r="AB7" i="1"/>
  <c r="J47" i="2"/>
  <c r="AB13" i="1" l="1"/>
  <c r="O47" i="2"/>
  <c r="AG7" i="1"/>
  <c r="AG13" i="1" l="1"/>
  <c r="AB14" i="1"/>
  <c r="AG10" i="1"/>
  <c r="J14" i="1"/>
  <c r="AG14" i="1" l="1"/>
  <c r="T26" i="2" l="1"/>
  <c r="T25" i="2" l="1"/>
  <c r="T24" i="2" l="1"/>
  <c r="T27" i="2" l="1"/>
  <c r="E20" i="1"/>
  <c r="E23" i="1" l="1"/>
  <c r="E30" i="1"/>
  <c r="E19" i="1"/>
  <c r="J23" i="1" l="1"/>
  <c r="J19" i="1"/>
  <c r="J20" i="1"/>
  <c r="AB15" i="1"/>
  <c r="E31" i="1"/>
  <c r="E24" i="1"/>
  <c r="AB16" i="1" l="1"/>
  <c r="J30" i="1"/>
  <c r="J24" i="1"/>
  <c r="AG15" i="1" l="1"/>
  <c r="J31" i="1"/>
  <c r="AG16" i="1" l="1"/>
  <c r="S34" i="1" l="1"/>
  <c r="E29" i="1" l="1"/>
  <c r="E34" i="1"/>
  <c r="J29" i="1" l="1"/>
  <c r="J34" i="1"/>
  <c r="T41" i="2"/>
  <c r="AB19" i="1"/>
  <c r="E35" i="1"/>
  <c r="AB20" i="1" l="1"/>
  <c r="S36" i="1"/>
  <c r="T43" i="2"/>
  <c r="J35" i="1"/>
  <c r="AG19" i="1"/>
  <c r="E40" i="1"/>
  <c r="E36" i="1"/>
  <c r="E39" i="1"/>
  <c r="AB21" i="1" l="1"/>
  <c r="AG20" i="1"/>
  <c r="T44" i="2"/>
  <c r="T47" i="2"/>
  <c r="S35" i="1"/>
  <c r="J36" i="1"/>
  <c r="J40" i="1"/>
  <c r="J39" i="1"/>
  <c r="AG21" i="1" l="1"/>
  <c r="AD18" i="41" l="1"/>
  <c r="AC30" i="41" l="1"/>
  <c r="AD30" i="41" s="1"/>
  <c r="AD18" i="43"/>
  <c r="AC29" i="41"/>
  <c r="AD29" i="41" s="1"/>
  <c r="AC28" i="41"/>
  <c r="AD28" i="41" s="1"/>
  <c r="AC27" i="41"/>
  <c r="AD27" i="41" s="1"/>
  <c r="AC41" i="41"/>
  <c r="AD22" i="43"/>
  <c r="AD22" i="41"/>
  <c r="AC12" i="41"/>
  <c r="AC4" i="43" s="1"/>
  <c r="AC14" i="41"/>
  <c r="AD14" i="41" s="1"/>
  <c r="AD13" i="41"/>
  <c r="AC31" i="41"/>
  <c r="AD31" i="41" s="1"/>
  <c r="AD8" i="41"/>
  <c r="AD21" i="43"/>
  <c r="AD21" i="41"/>
  <c r="AD25" i="43"/>
  <c r="AD25" i="41"/>
  <c r="AD12" i="41" l="1"/>
  <c r="AC9" i="41"/>
  <c r="AD9" i="41" s="1"/>
  <c r="AC42" i="41"/>
  <c r="AC27" i="43"/>
  <c r="AD27" i="43" s="1"/>
  <c r="AC41" i="43"/>
  <c r="AC28" i="43"/>
  <c r="AD28" i="43" s="1"/>
  <c r="AC17" i="43"/>
  <c r="AD17" i="43" s="1"/>
  <c r="AD15" i="41"/>
  <c r="AC16" i="41"/>
  <c r="AD16" i="41" s="1"/>
  <c r="AC29" i="43"/>
  <c r="AD29" i="43" s="1"/>
  <c r="AC17" i="41"/>
  <c r="AD17" i="41" s="1"/>
  <c r="AC31" i="43"/>
  <c r="AD31" i="43" s="1"/>
  <c r="AC12" i="43"/>
  <c r="AC9" i="43" s="1"/>
  <c r="AD9" i="43" s="1"/>
  <c r="AD8" i="43"/>
  <c r="AC14" i="43"/>
  <c r="AD14" i="43" s="1"/>
  <c r="AD13" i="43"/>
  <c r="AD10" i="43"/>
  <c r="AD10" i="41"/>
  <c r="AC11" i="41"/>
  <c r="AD11" i="41" s="1"/>
  <c r="AC30" i="43"/>
  <c r="AD30" i="43" s="1"/>
  <c r="AC16" i="43" l="1"/>
  <c r="AD16" i="43" s="1"/>
  <c r="AD15" i="43"/>
  <c r="AC42" i="43"/>
  <c r="AC11" i="43"/>
  <c r="AD11" i="43" s="1"/>
  <c r="AD12" i="43"/>
  <c r="X15" i="41" l="1"/>
  <c r="W16" i="41"/>
  <c r="X16" i="41" s="1"/>
  <c r="U21" i="41"/>
  <c r="Z21" i="41"/>
  <c r="Z15" i="41"/>
  <c r="T16" i="41"/>
  <c r="U16" i="41" s="1"/>
  <c r="U15" i="41"/>
  <c r="Z23" i="41"/>
  <c r="U23" i="41"/>
  <c r="W17" i="41"/>
  <c r="X17" i="41" s="1"/>
  <c r="X13" i="41"/>
  <c r="Z24" i="41"/>
  <c r="U24" i="41"/>
  <c r="X21" i="41"/>
  <c r="X24" i="41"/>
  <c r="X23" i="41"/>
  <c r="U22" i="41"/>
  <c r="Z22" i="41"/>
  <c r="Z25" i="41"/>
  <c r="U25" i="41"/>
  <c r="X22" i="41"/>
  <c r="X25" i="41"/>
  <c r="T17" i="41"/>
  <c r="U17" i="41" s="1"/>
  <c r="Z13" i="41"/>
  <c r="U13" i="41"/>
  <c r="U26" i="41"/>
  <c r="Z26" i="41"/>
  <c r="X26" i="41"/>
  <c r="X10" i="41"/>
  <c r="Z10" i="41"/>
  <c r="U10" i="41"/>
  <c r="AA22" i="41" l="1"/>
  <c r="X13" i="43"/>
  <c r="W17" i="43"/>
  <c r="X17" i="43" s="1"/>
  <c r="AA23" i="41"/>
  <c r="AA13" i="41"/>
  <c r="Z17" i="41"/>
  <c r="AA17" i="41" s="1"/>
  <c r="AA25" i="41"/>
  <c r="AA26" i="41"/>
  <c r="U13" i="43"/>
  <c r="T17" i="43"/>
  <c r="U17" i="43" s="1"/>
  <c r="Z13" i="43"/>
  <c r="AA15" i="41"/>
  <c r="Z16" i="41"/>
  <c r="AA16" i="41" s="1"/>
  <c r="U23" i="43"/>
  <c r="Z23" i="43"/>
  <c r="X24" i="43"/>
  <c r="U15" i="43"/>
  <c r="T16" i="43"/>
  <c r="U16" i="43" s="1"/>
  <c r="Z15" i="43"/>
  <c r="Z26" i="43"/>
  <c r="U26" i="43"/>
  <c r="X21" i="43"/>
  <c r="AA21" i="41"/>
  <c r="Z21" i="43"/>
  <c r="U21" i="43"/>
  <c r="X23" i="43"/>
  <c r="Z22" i="43"/>
  <c r="U22" i="43"/>
  <c r="X22" i="43"/>
  <c r="AA24" i="41"/>
  <c r="W16" i="43"/>
  <c r="X16" i="43" s="1"/>
  <c r="X15" i="43"/>
  <c r="X26" i="43"/>
  <c r="Z10" i="43"/>
  <c r="U10" i="43"/>
  <c r="X25" i="43"/>
  <c r="AA10" i="41"/>
  <c r="X10" i="43"/>
  <c r="Z25" i="43"/>
  <c r="U25" i="43"/>
  <c r="Z24" i="43"/>
  <c r="U24" i="43"/>
  <c r="AA15" i="43" l="1"/>
  <c r="Z16" i="43"/>
  <c r="AA16" i="43" s="1"/>
  <c r="Z17" i="43"/>
  <c r="AA17" i="43" s="1"/>
  <c r="AA13" i="43"/>
  <c r="AA10" i="43"/>
  <c r="AA23" i="43"/>
  <c r="AA22" i="43"/>
  <c r="AA26" i="43"/>
  <c r="AA25" i="43"/>
  <c r="AA24" i="43"/>
  <c r="AA21" i="43"/>
  <c r="I24" i="41" l="1"/>
  <c r="Q24" i="41"/>
  <c r="L24" i="41"/>
  <c r="L23" i="41"/>
  <c r="Q25" i="41"/>
  <c r="I25" i="41"/>
  <c r="L25" i="41"/>
  <c r="L22" i="41"/>
  <c r="Q26" i="41"/>
  <c r="I26" i="41"/>
  <c r="L26" i="41"/>
  <c r="Q23" i="41"/>
  <c r="I23" i="41"/>
  <c r="I10" i="41"/>
  <c r="Q10" i="41"/>
  <c r="K17" i="41"/>
  <c r="L17" i="41" s="1"/>
  <c r="L13" i="41"/>
  <c r="L10" i="41"/>
  <c r="I21" i="41"/>
  <c r="Q21" i="41"/>
  <c r="L21" i="41"/>
  <c r="I13" i="41"/>
  <c r="Q13" i="41"/>
  <c r="H17" i="41"/>
  <c r="I17" i="41" s="1"/>
  <c r="Q15" i="41"/>
  <c r="I15" i="41"/>
  <c r="H16" i="41"/>
  <c r="I16" i="41" s="1"/>
  <c r="Q22" i="41"/>
  <c r="I22" i="41"/>
  <c r="L15" i="41"/>
  <c r="K16" i="41"/>
  <c r="L16" i="41" s="1"/>
  <c r="L13" i="43" l="1"/>
  <c r="K17" i="43"/>
  <c r="L17" i="43" s="1"/>
  <c r="Q17" i="41"/>
  <c r="R17" i="41" s="1"/>
  <c r="R13" i="41"/>
  <c r="AF13" i="41"/>
  <c r="AF10" i="41"/>
  <c r="R10" i="41"/>
  <c r="R25" i="41"/>
  <c r="AF25" i="41"/>
  <c r="I13" i="43"/>
  <c r="Q13" i="43"/>
  <c r="H17" i="43"/>
  <c r="I17" i="43" s="1"/>
  <c r="Q15" i="43"/>
  <c r="H16" i="43"/>
  <c r="I16" i="43" s="1"/>
  <c r="I15" i="43"/>
  <c r="L21" i="43"/>
  <c r="Q23" i="43"/>
  <c r="I23" i="43"/>
  <c r="AF23" i="41"/>
  <c r="R23" i="41"/>
  <c r="L23" i="43"/>
  <c r="AF15" i="41"/>
  <c r="Q16" i="41"/>
  <c r="R16" i="41" s="1"/>
  <c r="R15" i="41"/>
  <c r="Q25" i="43"/>
  <c r="I25" i="43"/>
  <c r="L24" i="43"/>
  <c r="I10" i="43"/>
  <c r="Q10" i="43"/>
  <c r="L15" i="43"/>
  <c r="K16" i="43"/>
  <c r="L16" i="43" s="1"/>
  <c r="R21" i="41"/>
  <c r="AF21" i="41"/>
  <c r="L26" i="43"/>
  <c r="L22" i="43"/>
  <c r="L25" i="43"/>
  <c r="Q21" i="43"/>
  <c r="I21" i="43"/>
  <c r="I26" i="43"/>
  <c r="Q26" i="43"/>
  <c r="R24" i="41"/>
  <c r="AF24" i="41"/>
  <c r="Q22" i="43"/>
  <c r="I22" i="43"/>
  <c r="L10" i="43"/>
  <c r="AF22" i="41"/>
  <c r="R22" i="41"/>
  <c r="AF26" i="41"/>
  <c r="R26" i="41"/>
  <c r="Q24" i="43"/>
  <c r="I24" i="43"/>
  <c r="AG25" i="41" l="1"/>
  <c r="R25" i="43"/>
  <c r="AF25" i="43"/>
  <c r="AG26" i="41"/>
  <c r="AG15" i="41"/>
  <c r="AF16" i="41"/>
  <c r="AG16" i="41" s="1"/>
  <c r="AG10" i="41"/>
  <c r="AG23" i="41"/>
  <c r="R24" i="43"/>
  <c r="AF24" i="43"/>
  <c r="AG21" i="41"/>
  <c r="AG13" i="41"/>
  <c r="AF17" i="41"/>
  <c r="R23" i="43"/>
  <c r="AF23" i="43"/>
  <c r="R21" i="43"/>
  <c r="AF21" i="43"/>
  <c r="AG22" i="41"/>
  <c r="AF10" i="43"/>
  <c r="R10" i="43"/>
  <c r="AF13" i="43"/>
  <c r="R13" i="43"/>
  <c r="Q17" i="43"/>
  <c r="R17" i="43" s="1"/>
  <c r="AF22" i="43"/>
  <c r="R22" i="43"/>
  <c r="AG24" i="41"/>
  <c r="R26" i="43"/>
  <c r="AF26" i="43"/>
  <c r="Q16" i="43"/>
  <c r="R16" i="43" s="1"/>
  <c r="R15" i="43"/>
  <c r="AF15" i="43"/>
  <c r="AG24" i="43" l="1"/>
  <c r="AG25" i="43"/>
  <c r="AF17" i="43"/>
  <c r="AG13" i="43"/>
  <c r="AG23" i="43"/>
  <c r="AF16" i="43"/>
  <c r="AG16" i="43" s="1"/>
  <c r="AG15" i="43"/>
  <c r="AG22" i="43"/>
  <c r="AG10" i="43"/>
  <c r="AG21" i="43"/>
  <c r="AG26" i="43"/>
  <c r="AG17" i="41"/>
  <c r="AG17" i="43" l="1"/>
  <c r="S29" i="1" l="1"/>
  <c r="Z8" i="41" l="1"/>
  <c r="T12" i="41"/>
  <c r="T4" i="43" s="1"/>
  <c r="U8" i="41"/>
  <c r="T14" i="41"/>
  <c r="U14" i="41" s="1"/>
  <c r="X8" i="41"/>
  <c r="W12" i="41"/>
  <c r="W4" i="43" s="1"/>
  <c r="W14" i="41"/>
  <c r="X14" i="41" s="1"/>
  <c r="T9" i="41" l="1"/>
  <c r="U9" i="41" s="1"/>
  <c r="W9" i="41"/>
  <c r="X9" i="41" s="1"/>
  <c r="X12" i="41"/>
  <c r="W11" i="41"/>
  <c r="X11" i="41" s="1"/>
  <c r="W12" i="43"/>
  <c r="X8" i="43"/>
  <c r="W9" i="43"/>
  <c r="X9" i="43" s="1"/>
  <c r="W14" i="43"/>
  <c r="X14" i="43" s="1"/>
  <c r="U12" i="41"/>
  <c r="T11" i="41"/>
  <c r="U11" i="41" s="1"/>
  <c r="Z12" i="41"/>
  <c r="AA8" i="41"/>
  <c r="Z14" i="41"/>
  <c r="AA14" i="41" s="1"/>
  <c r="T12" i="43"/>
  <c r="T9" i="43" s="1"/>
  <c r="U9" i="43" s="1"/>
  <c r="Z8" i="43"/>
  <c r="U8" i="43"/>
  <c r="T14" i="43"/>
  <c r="U14" i="43" s="1"/>
  <c r="Z9" i="41" l="1"/>
  <c r="AA9" i="41" s="1"/>
  <c r="Z4" i="43"/>
  <c r="U12" i="43"/>
  <c r="T11" i="43"/>
  <c r="U11" i="43" s="1"/>
  <c r="AA12" i="41"/>
  <c r="Z11" i="41"/>
  <c r="AA11" i="41" s="1"/>
  <c r="X18" i="41"/>
  <c r="X12" i="43"/>
  <c r="W11" i="43"/>
  <c r="X11" i="43" s="1"/>
  <c r="Z12" i="43"/>
  <c r="Z9" i="43" s="1"/>
  <c r="AA9" i="43" s="1"/>
  <c r="AA8" i="43"/>
  <c r="Z14" i="43"/>
  <c r="AA14" i="43" s="1"/>
  <c r="U19" i="41" l="1"/>
  <c r="Z19" i="41"/>
  <c r="AA19" i="41" s="1"/>
  <c r="W20" i="41"/>
  <c r="X20" i="41" s="1"/>
  <c r="X19" i="41"/>
  <c r="X19" i="43"/>
  <c r="AA12" i="43"/>
  <c r="Z11" i="43"/>
  <c r="AA11" i="43" s="1"/>
  <c r="X18" i="43"/>
  <c r="W20" i="43"/>
  <c r="X20" i="43" s="1"/>
  <c r="U18" i="41"/>
  <c r="T20" i="41"/>
  <c r="U20" i="41" s="1"/>
  <c r="Z18" i="41"/>
  <c r="Z18" i="43" l="1"/>
  <c r="T20" i="43"/>
  <c r="U20" i="43" s="1"/>
  <c r="U18" i="43"/>
  <c r="Z20" i="41"/>
  <c r="AA20" i="41" s="1"/>
  <c r="AA18" i="41"/>
  <c r="Z19" i="43"/>
  <c r="AA19" i="43" s="1"/>
  <c r="U19" i="43"/>
  <c r="Z20" i="43" l="1"/>
  <c r="AA20" i="43" s="1"/>
  <c r="AA18" i="43"/>
  <c r="L8" i="41" l="1"/>
  <c r="K12" i="41"/>
  <c r="K9" i="41" s="1"/>
  <c r="L9" i="41" s="1"/>
  <c r="K14" i="41"/>
  <c r="L14" i="41" s="1"/>
  <c r="I8" i="41"/>
  <c r="H12" i="41"/>
  <c r="Q8" i="41"/>
  <c r="H9" i="41"/>
  <c r="I9" i="41" s="1"/>
  <c r="H14" i="41"/>
  <c r="I14" i="41" s="1"/>
  <c r="W28" i="1"/>
  <c r="U28" i="1"/>
  <c r="R8" i="41" l="1"/>
  <c r="Q12" i="41"/>
  <c r="Q4" i="43" s="1"/>
  <c r="Q9" i="41"/>
  <c r="R9" i="41" s="1"/>
  <c r="AF8" i="41"/>
  <c r="Q14" i="41"/>
  <c r="R14" i="41" s="1"/>
  <c r="I12" i="41"/>
  <c r="H11" i="41"/>
  <c r="I11" i="41" s="1"/>
  <c r="U27" i="1"/>
  <c r="T29" i="1"/>
  <c r="W27" i="1"/>
  <c r="Q8" i="43"/>
  <c r="H12" i="43"/>
  <c r="H9" i="43" s="1"/>
  <c r="I9" i="43" s="1"/>
  <c r="I8" i="43"/>
  <c r="H14" i="43"/>
  <c r="I14" i="43" s="1"/>
  <c r="L12" i="41"/>
  <c r="K11" i="41"/>
  <c r="L11" i="41" s="1"/>
  <c r="L8" i="43"/>
  <c r="K12" i="43"/>
  <c r="K9" i="43" s="1"/>
  <c r="L9" i="43" s="1"/>
  <c r="K14" i="43"/>
  <c r="L14" i="43" s="1"/>
  <c r="Q12" i="43" l="1"/>
  <c r="Q9" i="43" s="1"/>
  <c r="R9" i="43" s="1"/>
  <c r="AF8" i="43"/>
  <c r="R8" i="43"/>
  <c r="Q14" i="43"/>
  <c r="R14" i="43" s="1"/>
  <c r="AF12" i="41"/>
  <c r="AG8" i="41"/>
  <c r="AF14" i="41"/>
  <c r="AG14" i="41" s="1"/>
  <c r="R12" i="41"/>
  <c r="Q11" i="41"/>
  <c r="R11" i="41" s="1"/>
  <c r="L12" i="43"/>
  <c r="K11" i="43"/>
  <c r="L11" i="43" s="1"/>
  <c r="I12" i="43"/>
  <c r="H11" i="43"/>
  <c r="I11" i="43" s="1"/>
  <c r="U29" i="1"/>
  <c r="W29" i="1"/>
  <c r="AF9" i="41" l="1"/>
  <c r="AG9" i="41" s="1"/>
  <c r="AF4" i="43"/>
  <c r="AG12" i="41"/>
  <c r="AF11" i="41"/>
  <c r="AG11" i="41" s="1"/>
  <c r="AF12" i="43"/>
  <c r="AF9" i="43" s="1"/>
  <c r="AG9" i="43" s="1"/>
  <c r="AG8" i="43"/>
  <c r="AF14" i="43"/>
  <c r="AG14" i="43" s="1"/>
  <c r="R12" i="43"/>
  <c r="Q11" i="43"/>
  <c r="R11" i="43" s="1"/>
  <c r="AG12" i="43" l="1"/>
  <c r="AF11" i="43"/>
  <c r="AG11" i="43" s="1"/>
  <c r="U23" i="1" l="1"/>
  <c r="U24" i="1"/>
  <c r="AE10" i="42" l="1"/>
  <c r="AF21" i="42"/>
  <c r="AF11" i="42"/>
  <c r="AF22" i="42"/>
  <c r="AF19" i="42"/>
  <c r="AF14" i="42"/>
  <c r="AF16" i="42"/>
  <c r="AF23" i="42"/>
  <c r="AF18" i="42"/>
  <c r="AF7" i="42"/>
  <c r="AF10" i="42"/>
  <c r="AF13" i="42"/>
  <c r="AF9" i="42"/>
  <c r="AF12" i="42"/>
  <c r="AF20" i="42"/>
  <c r="AF8" i="42"/>
  <c r="AF15" i="42"/>
  <c r="AF17" i="42"/>
  <c r="AF24" i="42" l="1"/>
  <c r="AF25" i="42"/>
  <c r="AF26" i="42"/>
  <c r="AF27" i="42"/>
  <c r="AE14" i="42" l="1"/>
  <c r="AE12" i="42"/>
  <c r="AE18" i="42"/>
  <c r="AE8" i="42"/>
  <c r="AE23" i="42"/>
  <c r="AE9" i="42"/>
  <c r="AE22" i="42"/>
  <c r="AE16" i="42" l="1"/>
  <c r="AE11" i="42"/>
  <c r="AE21" i="42"/>
  <c r="AE20" i="42"/>
  <c r="AE17" i="42"/>
  <c r="AE13" i="42"/>
  <c r="AE15" i="42"/>
  <c r="AE19" i="42"/>
  <c r="AE25" i="42" l="1"/>
  <c r="AE26" i="42"/>
  <c r="AE7" i="42" l="1"/>
  <c r="AE27" i="42" l="1"/>
  <c r="AE24" i="42"/>
  <c r="Q38" i="42"/>
  <c r="S38" i="42"/>
  <c r="S37" i="42"/>
  <c r="Q37" i="42"/>
  <c r="T41" i="42"/>
  <c r="T53" i="42"/>
  <c r="R26" i="42"/>
  <c r="J32" i="42"/>
  <c r="R41" i="42"/>
  <c r="M24" i="42"/>
  <c r="T26" i="42"/>
  <c r="O41" i="42"/>
  <c r="T25" i="42"/>
  <c r="W41" i="42"/>
  <c r="J26" i="42"/>
  <c r="M32" i="42"/>
  <c r="W25" i="42"/>
  <c r="R25" i="42"/>
  <c r="M25" i="42"/>
  <c r="Q35" i="42"/>
  <c r="S35" i="42"/>
  <c r="W32" i="42"/>
  <c r="V40" i="42"/>
  <c r="O32" i="42"/>
  <c r="T24" i="42"/>
  <c r="M26" i="42"/>
  <c r="W26" i="42"/>
  <c r="Q36" i="42"/>
  <c r="S36" i="42"/>
  <c r="J24" i="42"/>
  <c r="W24" i="42"/>
  <c r="O26" i="42"/>
  <c r="T51" i="42"/>
  <c r="T32" i="42"/>
  <c r="T52" i="42" s="1"/>
  <c r="O25" i="42"/>
  <c r="O24" i="42"/>
  <c r="R32" i="42"/>
  <c r="Q40" i="42"/>
  <c r="S40" i="42"/>
  <c r="R24" i="42"/>
  <c r="J25" i="42"/>
  <c r="J27" i="42" l="1"/>
  <c r="J47" i="42" s="1"/>
  <c r="T27" i="42"/>
  <c r="R27" i="42"/>
  <c r="R43" i="42" s="1"/>
  <c r="R47" i="42" s="1"/>
  <c r="O27" i="42"/>
  <c r="O43" i="42" s="1"/>
  <c r="O47" i="42" s="1"/>
  <c r="W27" i="42"/>
  <c r="W43" i="42" s="1"/>
  <c r="W47" i="42" s="1"/>
  <c r="T50" i="42"/>
  <c r="T54" i="42" s="1"/>
  <c r="T43" i="42"/>
  <c r="M27" i="42"/>
  <c r="M47" i="42" l="1"/>
  <c r="T44" i="42"/>
  <c r="T47" i="42"/>
  <c r="W40" i="41" l="1"/>
  <c r="W39" i="41"/>
  <c r="W38" i="41"/>
  <c r="W37" i="41"/>
  <c r="W36" i="41"/>
  <c r="W35" i="41"/>
  <c r="T40" i="41"/>
  <c r="T39" i="41"/>
  <c r="T38" i="41"/>
  <c r="T37" i="41"/>
  <c r="T36" i="41"/>
  <c r="T35" i="41"/>
  <c r="T36" i="43" l="1"/>
  <c r="U36" i="41"/>
  <c r="Z36" i="41"/>
  <c r="T28" i="41"/>
  <c r="U28" i="41" s="1"/>
  <c r="T37" i="43"/>
  <c r="U37" i="41"/>
  <c r="Z37" i="41"/>
  <c r="T29" i="41"/>
  <c r="U29" i="41" s="1"/>
  <c r="T38" i="43"/>
  <c r="U38" i="41"/>
  <c r="Z38" i="41"/>
  <c r="T30" i="41"/>
  <c r="U30" i="41" s="1"/>
  <c r="T39" i="43"/>
  <c r="U39" i="41"/>
  <c r="Z39" i="41"/>
  <c r="T31" i="41"/>
  <c r="U31" i="41" s="1"/>
  <c r="T40" i="43"/>
  <c r="U40" i="41"/>
  <c r="Z40" i="41"/>
  <c r="T32" i="41"/>
  <c r="U32" i="41" s="1"/>
  <c r="W35" i="43"/>
  <c r="X35" i="41"/>
  <c r="W41" i="41"/>
  <c r="W27" i="41"/>
  <c r="X27" i="41" s="1"/>
  <c r="W36" i="43"/>
  <c r="X36" i="41"/>
  <c r="W28" i="41"/>
  <c r="X28" i="41" s="1"/>
  <c r="W37" i="43"/>
  <c r="X37" i="41"/>
  <c r="W29" i="41"/>
  <c r="X29" i="41" s="1"/>
  <c r="W38" i="43"/>
  <c r="X38" i="41"/>
  <c r="W30" i="41"/>
  <c r="X30" i="41" s="1"/>
  <c r="T35" i="43"/>
  <c r="Z35" i="41"/>
  <c r="U35" i="41"/>
  <c r="T41" i="41"/>
  <c r="T27" i="41"/>
  <c r="U27" i="41" s="1"/>
  <c r="W39" i="43"/>
  <c r="X39" i="41"/>
  <c r="W31" i="41"/>
  <c r="X31" i="41" s="1"/>
  <c r="W40" i="43"/>
  <c r="X40" i="41"/>
  <c r="W32" i="41"/>
  <c r="X32" i="41" s="1"/>
  <c r="T41" i="43" l="1"/>
  <c r="Z35" i="43"/>
  <c r="U35" i="43"/>
  <c r="T27" i="43"/>
  <c r="U27" i="43" s="1"/>
  <c r="X39" i="43"/>
  <c r="W31" i="43"/>
  <c r="X31" i="43" s="1"/>
  <c r="Z38" i="43"/>
  <c r="U38" i="43"/>
  <c r="T30" i="43"/>
  <c r="U30" i="43" s="1"/>
  <c r="Z40" i="43"/>
  <c r="U40" i="43"/>
  <c r="T32" i="43"/>
  <c r="U32" i="43" s="1"/>
  <c r="AA37" i="41"/>
  <c r="Z29" i="41"/>
  <c r="AA29" i="41" s="1"/>
  <c r="X36" i="43"/>
  <c r="W28" i="43"/>
  <c r="X28" i="43" s="1"/>
  <c r="Z37" i="43"/>
  <c r="U37" i="43"/>
  <c r="T29" i="43"/>
  <c r="U29" i="43" s="1"/>
  <c r="AA35" i="41"/>
  <c r="Z27" i="41"/>
  <c r="AA27" i="41" s="1"/>
  <c r="AA39" i="41"/>
  <c r="Z31" i="41"/>
  <c r="AA31" i="41" s="1"/>
  <c r="Z39" i="43"/>
  <c r="U39" i="43"/>
  <c r="T31" i="43"/>
  <c r="U31" i="43" s="1"/>
  <c r="AA38" i="41"/>
  <c r="Z30" i="41"/>
  <c r="AA30" i="41" s="1"/>
  <c r="X38" i="43"/>
  <c r="W30" i="43"/>
  <c r="X30" i="43" s="1"/>
  <c r="X41" i="41"/>
  <c r="W42" i="41"/>
  <c r="AA36" i="41"/>
  <c r="Z28" i="41"/>
  <c r="AA28" i="41" s="1"/>
  <c r="Z41" i="41"/>
  <c r="U41" i="41"/>
  <c r="T42" i="41"/>
  <c r="X37" i="43"/>
  <c r="W29" i="43"/>
  <c r="X29" i="43" s="1"/>
  <c r="X40" i="43"/>
  <c r="W32" i="43"/>
  <c r="X32" i="43" s="1"/>
  <c r="AA40" i="41"/>
  <c r="Z32" i="41"/>
  <c r="AA32" i="41" s="1"/>
  <c r="W41" i="43"/>
  <c r="X35" i="43"/>
  <c r="W27" i="43"/>
  <c r="X27" i="43" s="1"/>
  <c r="Z36" i="43"/>
  <c r="U36" i="43"/>
  <c r="T28" i="43"/>
  <c r="U28" i="43" s="1"/>
  <c r="AA40" i="43" l="1"/>
  <c r="Z32" i="43"/>
  <c r="AA32" i="43" s="1"/>
  <c r="AA41" i="41"/>
  <c r="Z42" i="41"/>
  <c r="AA36" i="43"/>
  <c r="Z28" i="43"/>
  <c r="AA28" i="43" s="1"/>
  <c r="AA38" i="43"/>
  <c r="Z30" i="43"/>
  <c r="AA30" i="43" s="1"/>
  <c r="X41" i="43"/>
  <c r="W42" i="43"/>
  <c r="AA39" i="43"/>
  <c r="Z31" i="43"/>
  <c r="AA31" i="43" s="1"/>
  <c r="AA35" i="43"/>
  <c r="Z27" i="43"/>
  <c r="AA27" i="43" s="1"/>
  <c r="AA37" i="43"/>
  <c r="Z29" i="43"/>
  <c r="AA29" i="43" s="1"/>
  <c r="Z41" i="43"/>
  <c r="U41" i="43"/>
  <c r="T42" i="43"/>
  <c r="AA41" i="43" l="1"/>
  <c r="Z42" i="43"/>
  <c r="H40" i="41" l="1"/>
  <c r="K40" i="41"/>
  <c r="H39" i="41"/>
  <c r="K39" i="41"/>
  <c r="H38" i="41"/>
  <c r="K38" i="41"/>
  <c r="H37" i="41"/>
  <c r="K37" i="41"/>
  <c r="H36" i="41"/>
  <c r="K36" i="41"/>
  <c r="H35" i="41"/>
  <c r="K35" i="41"/>
  <c r="K36" i="43" l="1"/>
  <c r="L36" i="41"/>
  <c r="K28" i="41"/>
  <c r="L28" i="41" s="1"/>
  <c r="H36" i="43"/>
  <c r="Q36" i="41"/>
  <c r="I36" i="41"/>
  <c r="H28" i="41"/>
  <c r="I28" i="41" s="1"/>
  <c r="K37" i="43"/>
  <c r="L37" i="41"/>
  <c r="K29" i="41"/>
  <c r="L29" i="41" s="1"/>
  <c r="H37" i="43"/>
  <c r="Q37" i="41"/>
  <c r="I37" i="41"/>
  <c r="H29" i="41"/>
  <c r="I29" i="41" s="1"/>
  <c r="K38" i="43"/>
  <c r="L38" i="41"/>
  <c r="K30" i="41"/>
  <c r="L30" i="41" s="1"/>
  <c r="H38" i="43"/>
  <c r="Q38" i="41"/>
  <c r="I38" i="41"/>
  <c r="H30" i="41"/>
  <c r="I30" i="41" s="1"/>
  <c r="K39" i="43"/>
  <c r="L39" i="41"/>
  <c r="K31" i="41"/>
  <c r="L31" i="41" s="1"/>
  <c r="H39" i="43"/>
  <c r="Q39" i="41"/>
  <c r="I39" i="41"/>
  <c r="H31" i="41"/>
  <c r="I31" i="41" s="1"/>
  <c r="K35" i="43"/>
  <c r="L35" i="41"/>
  <c r="K41" i="41"/>
  <c r="K27" i="41"/>
  <c r="L27" i="41" s="1"/>
  <c r="K40" i="43"/>
  <c r="L40" i="41"/>
  <c r="K32" i="41"/>
  <c r="L32" i="41" s="1"/>
  <c r="H35" i="43"/>
  <c r="Q35" i="41"/>
  <c r="H41" i="41"/>
  <c r="I35" i="41"/>
  <c r="H27" i="41"/>
  <c r="I27" i="41" s="1"/>
  <c r="H40" i="43"/>
  <c r="Q40" i="41"/>
  <c r="I40" i="41"/>
  <c r="H32" i="41"/>
  <c r="I32" i="41" s="1"/>
  <c r="R38" i="41" l="1"/>
  <c r="AF38" i="41"/>
  <c r="Q30" i="41"/>
  <c r="R30" i="41" s="1"/>
  <c r="L38" i="43"/>
  <c r="K30" i="43"/>
  <c r="L30" i="43" s="1"/>
  <c r="L41" i="41"/>
  <c r="K42" i="41"/>
  <c r="Q35" i="43"/>
  <c r="H41" i="43"/>
  <c r="I35" i="43"/>
  <c r="H27" i="43"/>
  <c r="I27" i="43" s="1"/>
  <c r="K41" i="43"/>
  <c r="L35" i="43"/>
  <c r="K27" i="43"/>
  <c r="L27" i="43" s="1"/>
  <c r="L40" i="43"/>
  <c r="K32" i="43"/>
  <c r="L32" i="43" s="1"/>
  <c r="L37" i="43"/>
  <c r="K29" i="43"/>
  <c r="L29" i="43" s="1"/>
  <c r="R35" i="41"/>
  <c r="AF35" i="41"/>
  <c r="Q27" i="41"/>
  <c r="R27" i="41" s="1"/>
  <c r="R39" i="41"/>
  <c r="AF39" i="41"/>
  <c r="Q31" i="41"/>
  <c r="R31" i="41" s="1"/>
  <c r="Q39" i="43"/>
  <c r="I39" i="43"/>
  <c r="H31" i="43"/>
  <c r="I31" i="43" s="1"/>
  <c r="R36" i="41"/>
  <c r="AF36" i="41"/>
  <c r="Q28" i="41"/>
  <c r="R28" i="41" s="1"/>
  <c r="Q37" i="43"/>
  <c r="I37" i="43"/>
  <c r="H29" i="43"/>
  <c r="I29" i="43" s="1"/>
  <c r="Q36" i="43"/>
  <c r="I36" i="43"/>
  <c r="H28" i="43"/>
  <c r="I28" i="43" s="1"/>
  <c r="Q41" i="41"/>
  <c r="I41" i="41"/>
  <c r="H42" i="41"/>
  <c r="R40" i="41"/>
  <c r="AF40" i="41"/>
  <c r="Q32" i="41"/>
  <c r="R32" i="41" s="1"/>
  <c r="L39" i="43"/>
  <c r="K31" i="43"/>
  <c r="L31" i="43" s="1"/>
  <c r="Q38" i="43"/>
  <c r="I38" i="43"/>
  <c r="H30" i="43"/>
  <c r="I30" i="43" s="1"/>
  <c r="R37" i="41"/>
  <c r="AF37" i="41"/>
  <c r="Q29" i="41"/>
  <c r="R29" i="41" s="1"/>
  <c r="Q40" i="43"/>
  <c r="I40" i="43"/>
  <c r="H32" i="43"/>
  <c r="I32" i="43" s="1"/>
  <c r="L36" i="43"/>
  <c r="K28" i="43"/>
  <c r="L28" i="43" s="1"/>
  <c r="AG35" i="41" l="1"/>
  <c r="AF27" i="41"/>
  <c r="AG27" i="41" s="1"/>
  <c r="Q41" i="43"/>
  <c r="I41" i="43"/>
  <c r="H42" i="43"/>
  <c r="R35" i="43"/>
  <c r="AF35" i="43"/>
  <c r="Q27" i="43"/>
  <c r="R27" i="43" s="1"/>
  <c r="AF40" i="43"/>
  <c r="R40" i="43"/>
  <c r="Q32" i="43"/>
  <c r="R32" i="43" s="1"/>
  <c r="AG36" i="41"/>
  <c r="AF28" i="41"/>
  <c r="AG28" i="41" s="1"/>
  <c r="R41" i="41"/>
  <c r="AF41" i="41"/>
  <c r="Q42" i="41"/>
  <c r="R36" i="43"/>
  <c r="AF36" i="43"/>
  <c r="Q28" i="43"/>
  <c r="R28" i="43" s="1"/>
  <c r="R38" i="43"/>
  <c r="AF38" i="43"/>
  <c r="Q30" i="43"/>
  <c r="R30" i="43" s="1"/>
  <c r="L41" i="43"/>
  <c r="K42" i="43"/>
  <c r="AG39" i="41"/>
  <c r="AF31" i="41"/>
  <c r="AG31" i="41" s="1"/>
  <c r="AG38" i="41"/>
  <c r="AF30" i="41"/>
  <c r="AG30" i="41" s="1"/>
  <c r="R37" i="43"/>
  <c r="AF37" i="43"/>
  <c r="Q29" i="43"/>
  <c r="R29" i="43" s="1"/>
  <c r="AG37" i="41"/>
  <c r="AF29" i="41"/>
  <c r="AG29" i="41" s="1"/>
  <c r="R39" i="43"/>
  <c r="AF39" i="43"/>
  <c r="Q31" i="43"/>
  <c r="R31" i="43" s="1"/>
  <c r="AG40" i="41"/>
  <c r="AF32" i="41"/>
  <c r="AG32" i="41" s="1"/>
  <c r="AG37" i="43" l="1"/>
  <c r="AF29" i="43"/>
  <c r="AG29" i="43" s="1"/>
  <c r="AG41" i="41"/>
  <c r="AF42" i="41"/>
  <c r="AG35" i="43"/>
  <c r="AF27" i="43"/>
  <c r="AG27" i="43" s="1"/>
  <c r="AG39" i="43"/>
  <c r="AF31" i="43"/>
  <c r="AG31" i="43" s="1"/>
  <c r="AG36" i="43"/>
  <c r="AF28" i="43"/>
  <c r="AG28" i="43" s="1"/>
  <c r="R41" i="43"/>
  <c r="AF41" i="43"/>
  <c r="Q42" i="43"/>
  <c r="AG40" i="43"/>
  <c r="AF32" i="43"/>
  <c r="AG32" i="43" s="1"/>
  <c r="AG38" i="43"/>
  <c r="AF30" i="43"/>
  <c r="AG30" i="43" s="1"/>
  <c r="AG41" i="43" l="1"/>
  <c r="AF42" i="43"/>
  <c r="K19" i="41" l="1"/>
  <c r="K18" i="41"/>
  <c r="H18" i="41"/>
  <c r="H19" i="41"/>
  <c r="AC19" i="41" l="1"/>
  <c r="K18" i="43"/>
  <c r="L18" i="41"/>
  <c r="K20" i="41"/>
  <c r="L20" i="41" s="1"/>
  <c r="H19" i="43"/>
  <c r="I19" i="41"/>
  <c r="Q19" i="41"/>
  <c r="H18" i="43"/>
  <c r="I18" i="41"/>
  <c r="H20" i="41"/>
  <c r="I20" i="41" s="1"/>
  <c r="Q18" i="41"/>
  <c r="K19" i="43"/>
  <c r="L19" i="43" s="1"/>
  <c r="L19" i="41"/>
  <c r="AF18" i="41" l="1"/>
  <c r="R18" i="41"/>
  <c r="H20" i="43"/>
  <c r="I20" i="43" s="1"/>
  <c r="I18" i="43"/>
  <c r="Q18" i="43"/>
  <c r="Q20" i="41"/>
  <c r="R20" i="41" s="1"/>
  <c r="AF19" i="41"/>
  <c r="AG19" i="41" s="1"/>
  <c r="R19" i="41"/>
  <c r="I19" i="43"/>
  <c r="Q19" i="43"/>
  <c r="K20" i="43"/>
  <c r="L20" i="43" s="1"/>
  <c r="L18" i="43"/>
  <c r="AC19" i="43"/>
  <c r="AD19" i="41"/>
  <c r="AC20" i="41"/>
  <c r="AD20" i="41" s="1"/>
  <c r="AF19" i="43" l="1"/>
  <c r="AG19" i="43" s="1"/>
  <c r="R19" i="43"/>
  <c r="R18" i="43"/>
  <c r="Q20" i="43"/>
  <c r="R20" i="43" s="1"/>
  <c r="AF18" i="43"/>
  <c r="AD19" i="43"/>
  <c r="AC20" i="43"/>
  <c r="AD20" i="43" s="1"/>
  <c r="AG18" i="41"/>
  <c r="AF20" i="41"/>
  <c r="AG18" i="43" l="1"/>
  <c r="AF20" i="43"/>
  <c r="AG20" i="41"/>
  <c r="AG20" i="43" l="1"/>
  <c r="F8" i="1" l="1"/>
  <c r="N28" i="2" l="1"/>
  <c r="K28" i="42"/>
  <c r="L28" i="2"/>
  <c r="G8" i="1"/>
  <c r="I8" i="1"/>
  <c r="K8" i="1"/>
  <c r="AC8" i="1"/>
  <c r="G28" i="42" l="1"/>
  <c r="N8" i="1"/>
  <c r="AH8" i="1"/>
  <c r="L8" i="1"/>
  <c r="AF8" i="1"/>
  <c r="AD8" i="1"/>
  <c r="N28" i="42"/>
  <c r="L28" i="42"/>
  <c r="AK8" i="1" l="1"/>
  <c r="AI8" i="1"/>
  <c r="P17" i="42" l="1"/>
  <c r="Q17" i="2"/>
  <c r="S17" i="2"/>
  <c r="L17" i="2"/>
  <c r="N17" i="2"/>
  <c r="K17" i="42"/>
  <c r="L19" i="2"/>
  <c r="K19" i="42"/>
  <c r="N19" i="2"/>
  <c r="K14" i="42"/>
  <c r="N14" i="2"/>
  <c r="L14" i="2"/>
  <c r="L18" i="2"/>
  <c r="K18" i="42"/>
  <c r="N18" i="2"/>
  <c r="L11" i="2"/>
  <c r="N11" i="2"/>
  <c r="K11" i="42"/>
  <c r="K21" i="42"/>
  <c r="N21" i="2"/>
  <c r="L21" i="2"/>
  <c r="L31" i="2"/>
  <c r="K31" i="42"/>
  <c r="N31" i="2"/>
  <c r="N15" i="2"/>
  <c r="K15" i="42"/>
  <c r="L15" i="2"/>
  <c r="L30" i="2"/>
  <c r="K30" i="42"/>
  <c r="N30" i="2"/>
  <c r="N20" i="2"/>
  <c r="L20" i="2"/>
  <c r="K20" i="42"/>
  <c r="L8" i="2"/>
  <c r="N8" i="2"/>
  <c r="K8" i="42"/>
  <c r="L13" i="2"/>
  <c r="N13" i="2"/>
  <c r="K13" i="42"/>
  <c r="L10" i="2"/>
  <c r="K10" i="42"/>
  <c r="N10" i="2"/>
  <c r="L23" i="2"/>
  <c r="K23" i="42"/>
  <c r="N23" i="2"/>
  <c r="N9" i="2"/>
  <c r="L9" i="2"/>
  <c r="K9" i="42"/>
  <c r="N12" i="2"/>
  <c r="L12" i="2"/>
  <c r="K12" i="42"/>
  <c r="K26" i="2"/>
  <c r="F16" i="1" l="1"/>
  <c r="G16" i="1" s="1"/>
  <c r="Q23" i="2"/>
  <c r="S23" i="2"/>
  <c r="P23" i="42"/>
  <c r="Q13" i="2"/>
  <c r="P13" i="42"/>
  <c r="S13" i="2"/>
  <c r="Q30" i="2"/>
  <c r="P30" i="42"/>
  <c r="S30" i="2"/>
  <c r="Q22" i="2"/>
  <c r="P22" i="42"/>
  <c r="S22" i="2"/>
  <c r="P20" i="42"/>
  <c r="S20" i="2"/>
  <c r="Q20" i="2"/>
  <c r="K16" i="1"/>
  <c r="I16" i="1"/>
  <c r="Q31" i="2"/>
  <c r="P31" i="42"/>
  <c r="S31" i="2"/>
  <c r="S15" i="2"/>
  <c r="P15" i="42"/>
  <c r="Q15" i="2"/>
  <c r="Q8" i="2"/>
  <c r="P8" i="42"/>
  <c r="S8" i="2"/>
  <c r="P32" i="2"/>
  <c r="Q29" i="2"/>
  <c r="P29" i="42"/>
  <c r="S29" i="2"/>
  <c r="Q21" i="2"/>
  <c r="P21" i="42"/>
  <c r="S21" i="2"/>
  <c r="Q14" i="2"/>
  <c r="P14" i="42"/>
  <c r="S14" i="2"/>
  <c r="P16" i="42"/>
  <c r="Q16" i="2"/>
  <c r="S16" i="2"/>
  <c r="P12" i="42"/>
  <c r="Q12" i="2"/>
  <c r="S12" i="2"/>
  <c r="Q10" i="2"/>
  <c r="P10" i="42"/>
  <c r="S10" i="2"/>
  <c r="Q9" i="2"/>
  <c r="P9" i="42"/>
  <c r="S9" i="2"/>
  <c r="Q19" i="2"/>
  <c r="P19" i="42"/>
  <c r="P26" i="2"/>
  <c r="S19" i="2"/>
  <c r="S18" i="2"/>
  <c r="Q18" i="2"/>
  <c r="P18" i="42"/>
  <c r="F11" i="1"/>
  <c r="P11" i="42"/>
  <c r="P25" i="2"/>
  <c r="S11" i="2"/>
  <c r="Q11" i="2"/>
  <c r="Q7" i="2"/>
  <c r="P7" i="42"/>
  <c r="S7" i="2"/>
  <c r="P24" i="2"/>
  <c r="Q17" i="42"/>
  <c r="S17" i="42"/>
  <c r="N26" i="2"/>
  <c r="L26" i="2"/>
  <c r="L20" i="42"/>
  <c r="N20" i="42"/>
  <c r="G20" i="42"/>
  <c r="L10" i="42"/>
  <c r="N10" i="42"/>
  <c r="G10" i="42"/>
  <c r="L13" i="42"/>
  <c r="G13" i="42"/>
  <c r="N13" i="42"/>
  <c r="N8" i="42"/>
  <c r="G8" i="42"/>
  <c r="L8" i="42"/>
  <c r="N7" i="2"/>
  <c r="L7" i="2"/>
  <c r="K7" i="42"/>
  <c r="K24" i="2"/>
  <c r="N18" i="42"/>
  <c r="L18" i="42"/>
  <c r="G18" i="42"/>
  <c r="K29" i="42"/>
  <c r="L29" i="2"/>
  <c r="N29" i="2"/>
  <c r="K32" i="2"/>
  <c r="G21" i="42"/>
  <c r="N21" i="42"/>
  <c r="L21" i="42"/>
  <c r="L11" i="42"/>
  <c r="N11" i="42"/>
  <c r="G11" i="42"/>
  <c r="L12" i="42"/>
  <c r="G12" i="42"/>
  <c r="N12" i="42"/>
  <c r="L14" i="42"/>
  <c r="N14" i="42"/>
  <c r="G14" i="42"/>
  <c r="N30" i="42"/>
  <c r="L30" i="42"/>
  <c r="N22" i="2"/>
  <c r="L22" i="2"/>
  <c r="K22" i="42"/>
  <c r="N9" i="42"/>
  <c r="G9" i="42"/>
  <c r="L9" i="42"/>
  <c r="G19" i="42"/>
  <c r="N19" i="42"/>
  <c r="L19" i="42"/>
  <c r="N15" i="42"/>
  <c r="L15" i="42"/>
  <c r="G15" i="42"/>
  <c r="L17" i="42"/>
  <c r="G17" i="42"/>
  <c r="N17" i="42"/>
  <c r="N23" i="42"/>
  <c r="L23" i="42"/>
  <c r="G23" i="42"/>
  <c r="K25" i="2"/>
  <c r="N16" i="2"/>
  <c r="L16" i="2"/>
  <c r="K16" i="42"/>
  <c r="N31" i="42"/>
  <c r="L31" i="42"/>
  <c r="F10" i="1"/>
  <c r="F12" i="1"/>
  <c r="F9" i="1"/>
  <c r="U31" i="2"/>
  <c r="F7" i="1"/>
  <c r="F15" i="1"/>
  <c r="F17" i="1"/>
  <c r="U14" i="2"/>
  <c r="K25" i="42" l="1"/>
  <c r="L25" i="42" s="1"/>
  <c r="K26" i="42"/>
  <c r="U17" i="2"/>
  <c r="Q31" i="42"/>
  <c r="S31" i="42"/>
  <c r="I15" i="1"/>
  <c r="K15" i="1"/>
  <c r="G15" i="1"/>
  <c r="Q16" i="42"/>
  <c r="S16" i="42"/>
  <c r="P28" i="42"/>
  <c r="S28" i="2"/>
  <c r="Q28" i="2"/>
  <c r="S18" i="42"/>
  <c r="Q18" i="42"/>
  <c r="Q14" i="42"/>
  <c r="S14" i="42"/>
  <c r="L16" i="1"/>
  <c r="N16" i="1"/>
  <c r="I11" i="1"/>
  <c r="F21" i="1"/>
  <c r="AC11" i="1"/>
  <c r="K11" i="1"/>
  <c r="G11" i="1"/>
  <c r="Q21" i="42"/>
  <c r="S21" i="42"/>
  <c r="S26" i="2"/>
  <c r="Q26" i="2"/>
  <c r="Q20" i="42"/>
  <c r="S20" i="42"/>
  <c r="Q19" i="42"/>
  <c r="S19" i="42"/>
  <c r="P26" i="42"/>
  <c r="S22" i="42"/>
  <c r="Q22" i="42"/>
  <c r="U17" i="42"/>
  <c r="V17" i="2"/>
  <c r="X17" i="2"/>
  <c r="P32" i="42"/>
  <c r="S29" i="42"/>
  <c r="Q29" i="42"/>
  <c r="X31" i="2"/>
  <c r="U31" i="42"/>
  <c r="V31" i="2"/>
  <c r="S9" i="42"/>
  <c r="Q9" i="42"/>
  <c r="S32" i="2"/>
  <c r="Q32" i="2"/>
  <c r="AJ17" i="41"/>
  <c r="S30" i="42"/>
  <c r="Q30" i="42"/>
  <c r="F22" i="1"/>
  <c r="G12" i="1"/>
  <c r="AC12" i="1"/>
  <c r="K12" i="1"/>
  <c r="I12" i="1"/>
  <c r="Q24" i="2"/>
  <c r="S24" i="2"/>
  <c r="P27" i="2"/>
  <c r="S8" i="42"/>
  <c r="Q8" i="42"/>
  <c r="Q10" i="42"/>
  <c r="S10" i="42"/>
  <c r="S13" i="42"/>
  <c r="Q13" i="42"/>
  <c r="Q11" i="42"/>
  <c r="P25" i="42"/>
  <c r="S11" i="42"/>
  <c r="P33" i="42"/>
  <c r="S33" i="2"/>
  <c r="Q33" i="2"/>
  <c r="P24" i="42"/>
  <c r="S7" i="42"/>
  <c r="Q7" i="42"/>
  <c r="K17" i="1"/>
  <c r="I17" i="1"/>
  <c r="G17" i="1"/>
  <c r="Q15" i="42"/>
  <c r="S15" i="42"/>
  <c r="Q23" i="42"/>
  <c r="S23" i="42"/>
  <c r="V14" i="2"/>
  <c r="U14" i="42"/>
  <c r="X14" i="2"/>
  <c r="P34" i="42"/>
  <c r="S34" i="2"/>
  <c r="Q34" i="2"/>
  <c r="S25" i="2"/>
  <c r="Q25" i="2"/>
  <c r="K10" i="1"/>
  <c r="AC10" i="1"/>
  <c r="G10" i="1"/>
  <c r="I10" i="1"/>
  <c r="F20" i="1"/>
  <c r="S12" i="42"/>
  <c r="Q12" i="42"/>
  <c r="L7" i="42"/>
  <c r="N7" i="42"/>
  <c r="G7" i="42"/>
  <c r="K24" i="42"/>
  <c r="L24" i="2"/>
  <c r="K27" i="2"/>
  <c r="N24" i="2"/>
  <c r="G25" i="42"/>
  <c r="N25" i="2"/>
  <c r="L25" i="2"/>
  <c r="L26" i="42"/>
  <c r="G26" i="42"/>
  <c r="N26" i="42"/>
  <c r="G9" i="1"/>
  <c r="AC9" i="1"/>
  <c r="I9" i="1"/>
  <c r="K9" i="1"/>
  <c r="AJ12" i="41"/>
  <c r="N32" i="2"/>
  <c r="L32" i="2"/>
  <c r="K7" i="1"/>
  <c r="I7" i="1"/>
  <c r="A7" i="1"/>
  <c r="AC7" i="1"/>
  <c r="G7" i="1"/>
  <c r="G16" i="42"/>
  <c r="N16" i="42"/>
  <c r="L16" i="42"/>
  <c r="L22" i="42"/>
  <c r="N22" i="42"/>
  <c r="G22" i="42"/>
  <c r="K32" i="42"/>
  <c r="G32" i="42" s="1"/>
  <c r="N29" i="42"/>
  <c r="L29" i="42"/>
  <c r="U16" i="2"/>
  <c r="U37" i="2"/>
  <c r="U8" i="2"/>
  <c r="U19" i="2"/>
  <c r="U9" i="2"/>
  <c r="U20" i="2"/>
  <c r="U23" i="2"/>
  <c r="U36" i="2"/>
  <c r="U12" i="2"/>
  <c r="U15" i="2"/>
  <c r="U22" i="2"/>
  <c r="U13" i="2"/>
  <c r="U18" i="2"/>
  <c r="U21" i="2"/>
  <c r="U11" i="2"/>
  <c r="K46" i="2"/>
  <c r="U10" i="2"/>
  <c r="U7" i="2"/>
  <c r="F26" i="1"/>
  <c r="G29" i="42" l="1"/>
  <c r="N25" i="42"/>
  <c r="X7" i="2"/>
  <c r="V7" i="2"/>
  <c r="U7" i="42"/>
  <c r="U24" i="2"/>
  <c r="U26" i="2"/>
  <c r="V19" i="2"/>
  <c r="U19" i="42"/>
  <c r="X19" i="2"/>
  <c r="U8" i="42"/>
  <c r="X8" i="2"/>
  <c r="V8" i="2"/>
  <c r="S27" i="2"/>
  <c r="Q27" i="2"/>
  <c r="S32" i="42"/>
  <c r="Q32" i="42"/>
  <c r="AD11" i="1"/>
  <c r="AF11" i="1"/>
  <c r="I21" i="1"/>
  <c r="F32" i="1"/>
  <c r="G21" i="1"/>
  <c r="X18" i="2"/>
  <c r="V18" i="2"/>
  <c r="U18" i="42"/>
  <c r="V37" i="2"/>
  <c r="U37" i="42"/>
  <c r="X37" i="2"/>
  <c r="Q24" i="42"/>
  <c r="S24" i="42"/>
  <c r="P27" i="42"/>
  <c r="S26" i="42"/>
  <c r="Q26" i="42"/>
  <c r="U23" i="42"/>
  <c r="V23" i="2"/>
  <c r="X23" i="2"/>
  <c r="V22" i="2"/>
  <c r="X22" i="2"/>
  <c r="U22" i="42"/>
  <c r="AF10" i="1"/>
  <c r="AD10" i="1"/>
  <c r="G22" i="1"/>
  <c r="I22" i="1"/>
  <c r="V13" i="2"/>
  <c r="U13" i="42"/>
  <c r="X13" i="2"/>
  <c r="G20" i="1"/>
  <c r="I20" i="1"/>
  <c r="I26" i="1"/>
  <c r="K26" i="1"/>
  <c r="G26" i="1"/>
  <c r="K20" i="1"/>
  <c r="L10" i="1"/>
  <c r="AH10" i="1"/>
  <c r="N10" i="1"/>
  <c r="S28" i="42"/>
  <c r="Q28" i="42"/>
  <c r="N17" i="1"/>
  <c r="L17" i="1"/>
  <c r="X15" i="2"/>
  <c r="U15" i="42"/>
  <c r="V15" i="2"/>
  <c r="Q33" i="42"/>
  <c r="S33" i="42"/>
  <c r="AJ17" i="43"/>
  <c r="AJ18" i="41"/>
  <c r="X11" i="2"/>
  <c r="V11" i="2"/>
  <c r="U25" i="2"/>
  <c r="U11" i="42"/>
  <c r="U16" i="42"/>
  <c r="X16" i="2"/>
  <c r="V16" i="2"/>
  <c r="V20" i="2"/>
  <c r="X20" i="2"/>
  <c r="U20" i="42"/>
  <c r="S25" i="42"/>
  <c r="Q25" i="42"/>
  <c r="V21" i="2"/>
  <c r="U21" i="42"/>
  <c r="X21" i="2"/>
  <c r="X12" i="2"/>
  <c r="V12" i="2"/>
  <c r="U12" i="42"/>
  <c r="X9" i="2"/>
  <c r="V9" i="2"/>
  <c r="U9" i="42"/>
  <c r="S34" i="42"/>
  <c r="Q34" i="42"/>
  <c r="L15" i="1"/>
  <c r="N15" i="1"/>
  <c r="X17" i="42"/>
  <c r="F17" i="42"/>
  <c r="V17" i="42"/>
  <c r="X10" i="2"/>
  <c r="V10" i="2"/>
  <c r="U10" i="42"/>
  <c r="X14" i="42"/>
  <c r="F14" i="42"/>
  <c r="V14" i="42"/>
  <c r="N12" i="1"/>
  <c r="L12" i="1"/>
  <c r="K22" i="1"/>
  <c r="AH12" i="1"/>
  <c r="AF12" i="1"/>
  <c r="AD12" i="1"/>
  <c r="U36" i="42"/>
  <c r="V36" i="2"/>
  <c r="X36" i="2"/>
  <c r="AJ31" i="42"/>
  <c r="V31" i="42"/>
  <c r="AK31" i="42" s="1"/>
  <c r="X31" i="42"/>
  <c r="N11" i="1"/>
  <c r="AH11" i="1"/>
  <c r="L11" i="1"/>
  <c r="K21" i="1"/>
  <c r="AJ13" i="41"/>
  <c r="AJ12" i="43"/>
  <c r="AF9" i="1"/>
  <c r="AD9" i="1"/>
  <c r="N9" i="1"/>
  <c r="AH9" i="1"/>
  <c r="L9" i="1"/>
  <c r="K47" i="2"/>
  <c r="K46" i="42"/>
  <c r="AD7" i="1"/>
  <c r="AF7" i="1"/>
  <c r="N27" i="2"/>
  <c r="G27" i="2"/>
  <c r="L27" i="2"/>
  <c r="G24" i="42"/>
  <c r="L24" i="42"/>
  <c r="N24" i="42"/>
  <c r="K27" i="42"/>
  <c r="B7" i="1"/>
  <c r="AH7" i="1"/>
  <c r="L7" i="1"/>
  <c r="N7" i="1"/>
  <c r="N32" i="42"/>
  <c r="L32" i="42"/>
  <c r="U33" i="2"/>
  <c r="F18" i="1"/>
  <c r="F25" i="1"/>
  <c r="F30" i="1" s="1"/>
  <c r="U28" i="2"/>
  <c r="AJ13" i="43" l="1"/>
  <c r="AJ18" i="43"/>
  <c r="K18" i="1"/>
  <c r="I18" i="1"/>
  <c r="G18" i="1"/>
  <c r="F19" i="1"/>
  <c r="I30" i="1"/>
  <c r="G30" i="1"/>
  <c r="AC15" i="1"/>
  <c r="F31" i="1"/>
  <c r="I32" i="1"/>
  <c r="AC17" i="1"/>
  <c r="G32" i="1"/>
  <c r="X22" i="42"/>
  <c r="V22" i="42"/>
  <c r="F22" i="42"/>
  <c r="V16" i="42"/>
  <c r="F16" i="42"/>
  <c r="X16" i="42"/>
  <c r="P46" i="2"/>
  <c r="F13" i="1"/>
  <c r="P39" i="2"/>
  <c r="U25" i="42"/>
  <c r="F11" i="42"/>
  <c r="X11" i="42"/>
  <c r="V11" i="42"/>
  <c r="N20" i="1"/>
  <c r="L20" i="1"/>
  <c r="V33" i="2"/>
  <c r="T32" i="1"/>
  <c r="U33" i="42"/>
  <c r="X33" i="2"/>
  <c r="AK10" i="1"/>
  <c r="AI10" i="1"/>
  <c r="U57" i="42"/>
  <c r="V57" i="42" s="1"/>
  <c r="X36" i="42"/>
  <c r="V36" i="42"/>
  <c r="V25" i="2"/>
  <c r="X25" i="2"/>
  <c r="L22" i="1"/>
  <c r="N22" i="1"/>
  <c r="Q27" i="42"/>
  <c r="S27" i="42"/>
  <c r="X9" i="42"/>
  <c r="F9" i="42"/>
  <c r="V9" i="42"/>
  <c r="F12" i="42"/>
  <c r="X12" i="42"/>
  <c r="V12" i="42"/>
  <c r="V8" i="42"/>
  <c r="X8" i="42"/>
  <c r="F8" i="42"/>
  <c r="G25" i="1"/>
  <c r="I25" i="1"/>
  <c r="K25" i="1"/>
  <c r="X13" i="42"/>
  <c r="F13" i="42"/>
  <c r="V13" i="42"/>
  <c r="U58" i="42"/>
  <c r="V58" i="42" s="1"/>
  <c r="V37" i="42"/>
  <c r="X37" i="42"/>
  <c r="U26" i="42"/>
  <c r="X19" i="42"/>
  <c r="F19" i="42"/>
  <c r="V19" i="42"/>
  <c r="F21" i="42"/>
  <c r="V21" i="42"/>
  <c r="X21" i="42"/>
  <c r="X15" i="42"/>
  <c r="F15" i="42"/>
  <c r="V15" i="42"/>
  <c r="V28" i="2"/>
  <c r="X28" i="2"/>
  <c r="U28" i="42"/>
  <c r="V18" i="42"/>
  <c r="X18" i="42"/>
  <c r="F18" i="42"/>
  <c r="X26" i="2"/>
  <c r="V26" i="2"/>
  <c r="N21" i="1"/>
  <c r="L21" i="1"/>
  <c r="K32" i="1"/>
  <c r="V10" i="42"/>
  <c r="X10" i="42"/>
  <c r="F10" i="42"/>
  <c r="X24" i="2"/>
  <c r="U27" i="2"/>
  <c r="V24" i="2"/>
  <c r="F7" i="42"/>
  <c r="X7" i="42"/>
  <c r="U24" i="42"/>
  <c r="V7" i="42"/>
  <c r="N26" i="1"/>
  <c r="L26" i="1"/>
  <c r="AK12" i="1"/>
  <c r="AI12" i="1"/>
  <c r="AI11" i="1"/>
  <c r="AK11" i="1"/>
  <c r="V20" i="42"/>
  <c r="X20" i="42"/>
  <c r="F20" i="42"/>
  <c r="V23" i="42"/>
  <c r="X23" i="42"/>
  <c r="F23" i="42"/>
  <c r="N27" i="42"/>
  <c r="G27" i="42"/>
  <c r="L27" i="42"/>
  <c r="AK7" i="1"/>
  <c r="AI7" i="1"/>
  <c r="K47" i="42"/>
  <c r="AK9" i="1"/>
  <c r="AI9" i="1"/>
  <c r="U34" i="2"/>
  <c r="V24" i="42" l="1"/>
  <c r="F24" i="42"/>
  <c r="U27" i="42"/>
  <c r="X24" i="42"/>
  <c r="N25" i="1"/>
  <c r="L25" i="1"/>
  <c r="U32" i="1"/>
  <c r="W32" i="1"/>
  <c r="AF17" i="1"/>
  <c r="AD17" i="1"/>
  <c r="X33" i="42"/>
  <c r="V33" i="42"/>
  <c r="V28" i="42"/>
  <c r="U51" i="42"/>
  <c r="V51" i="42" s="1"/>
  <c r="X28" i="42"/>
  <c r="N32" i="1"/>
  <c r="L32" i="1"/>
  <c r="AH17" i="1"/>
  <c r="F26" i="42"/>
  <c r="V26" i="42"/>
  <c r="X26" i="42"/>
  <c r="K30" i="1"/>
  <c r="AC16" i="1"/>
  <c r="I31" i="1"/>
  <c r="G31" i="1"/>
  <c r="AF15" i="1"/>
  <c r="AD15" i="1"/>
  <c r="X27" i="2"/>
  <c r="V27" i="2"/>
  <c r="U34" i="42"/>
  <c r="T33" i="1"/>
  <c r="X34" i="2"/>
  <c r="V34" i="2"/>
  <c r="G19" i="1"/>
  <c r="I19" i="1"/>
  <c r="P46" i="42"/>
  <c r="X25" i="42"/>
  <c r="V25" i="42"/>
  <c r="F25" i="42"/>
  <c r="I13" i="1"/>
  <c r="K13" i="1"/>
  <c r="AC13" i="1"/>
  <c r="F23" i="1"/>
  <c r="G13" i="1"/>
  <c r="F14" i="1"/>
  <c r="Q39" i="2"/>
  <c r="S39" i="2"/>
  <c r="P39" i="42"/>
  <c r="P41" i="2"/>
  <c r="L18" i="1"/>
  <c r="N18" i="1"/>
  <c r="K19" i="1"/>
  <c r="U56" i="42" l="1"/>
  <c r="V56" i="42" s="1"/>
  <c r="U33" i="1"/>
  <c r="W33" i="1"/>
  <c r="S41" i="2"/>
  <c r="Q41" i="2"/>
  <c r="P43" i="2"/>
  <c r="U53" i="42"/>
  <c r="V53" i="42" s="1"/>
  <c r="V34" i="42"/>
  <c r="X34" i="42"/>
  <c r="G14" i="1"/>
  <c r="I14" i="1"/>
  <c r="A14" i="1"/>
  <c r="L19" i="1"/>
  <c r="N19" i="1"/>
  <c r="I23" i="1"/>
  <c r="G23" i="1"/>
  <c r="F24" i="1"/>
  <c r="AF13" i="1"/>
  <c r="AD13" i="1"/>
  <c r="AC14" i="1"/>
  <c r="AH13" i="1"/>
  <c r="K23" i="1"/>
  <c r="L13" i="1"/>
  <c r="N13" i="1"/>
  <c r="K14" i="1"/>
  <c r="AF16" i="1"/>
  <c r="AD16" i="1"/>
  <c r="N30" i="1"/>
  <c r="K31" i="1"/>
  <c r="L30" i="1"/>
  <c r="AH15" i="1"/>
  <c r="Q39" i="42"/>
  <c r="S39" i="42"/>
  <c r="P41" i="42"/>
  <c r="V27" i="42"/>
  <c r="X27" i="42"/>
  <c r="F27" i="42"/>
  <c r="AK17" i="1"/>
  <c r="AI17" i="1"/>
  <c r="AI15" i="1" l="1"/>
  <c r="AK15" i="1"/>
  <c r="S41" i="42"/>
  <c r="Q41" i="42"/>
  <c r="P43" i="42"/>
  <c r="S43" i="2"/>
  <c r="G43" i="2"/>
  <c r="P44" i="2"/>
  <c r="Q43" i="2"/>
  <c r="P47" i="2"/>
  <c r="AD14" i="1"/>
  <c r="AF14" i="1"/>
  <c r="L31" i="1"/>
  <c r="N31" i="1"/>
  <c r="AH16" i="1"/>
  <c r="N23" i="1"/>
  <c r="L23" i="1"/>
  <c r="K24" i="1"/>
  <c r="I24" i="1"/>
  <c r="G24" i="1"/>
  <c r="N14" i="1"/>
  <c r="L14" i="1"/>
  <c r="B14" i="1"/>
  <c r="AI13" i="1"/>
  <c r="AK13" i="1"/>
  <c r="AH14" i="1"/>
  <c r="AK16" i="1" l="1"/>
  <c r="AI16" i="1"/>
  <c r="AI14" i="1"/>
  <c r="AK14" i="1"/>
  <c r="N24" i="1"/>
  <c r="L24" i="1"/>
  <c r="Q43" i="42"/>
  <c r="S43" i="42"/>
  <c r="P44" i="42"/>
  <c r="G43" i="42"/>
  <c r="P47" i="42"/>
  <c r="U35" i="2" l="1"/>
  <c r="U30" i="2"/>
  <c r="F27" i="1"/>
  <c r="U29" i="2"/>
  <c r="U30" i="42" l="1"/>
  <c r="V30" i="2"/>
  <c r="X30" i="2"/>
  <c r="U35" i="42"/>
  <c r="T34" i="1"/>
  <c r="X35" i="2"/>
  <c r="V35" i="2"/>
  <c r="U29" i="42"/>
  <c r="U32" i="2"/>
  <c r="V29" i="2"/>
  <c r="X29" i="2"/>
  <c r="K27" i="1"/>
  <c r="G27" i="1"/>
  <c r="I27" i="1"/>
  <c r="F33" i="1"/>
  <c r="F28" i="1"/>
  <c r="U38" i="2"/>
  <c r="G28" i="1" l="1"/>
  <c r="I28" i="1"/>
  <c r="K28" i="1"/>
  <c r="F34" i="1"/>
  <c r="F35" i="1" s="1"/>
  <c r="F29" i="1"/>
  <c r="U38" i="42"/>
  <c r="V38" i="2"/>
  <c r="X38" i="2"/>
  <c r="AC18" i="1"/>
  <c r="I33" i="1"/>
  <c r="G33" i="1"/>
  <c r="L27" i="1"/>
  <c r="N27" i="1"/>
  <c r="K33" i="1"/>
  <c r="X32" i="2"/>
  <c r="AJ20" i="41"/>
  <c r="V32" i="2"/>
  <c r="AJ29" i="42"/>
  <c r="X29" i="42"/>
  <c r="U32" i="42"/>
  <c r="V29" i="42"/>
  <c r="AK29" i="42" s="1"/>
  <c r="U34" i="1"/>
  <c r="W34" i="1"/>
  <c r="X35" i="42"/>
  <c r="V35" i="42"/>
  <c r="U50" i="42"/>
  <c r="V50" i="42" s="1"/>
  <c r="AJ30" i="42"/>
  <c r="X30" i="42"/>
  <c r="V30" i="42"/>
  <c r="AK30" i="42" s="1"/>
  <c r="U39" i="2"/>
  <c r="K29" i="1" l="1"/>
  <c r="N29" i="1" s="1"/>
  <c r="AJ21" i="41"/>
  <c r="AJ22" i="41"/>
  <c r="AJ20" i="43"/>
  <c r="N33" i="1"/>
  <c r="L33" i="1"/>
  <c r="AH18" i="1"/>
  <c r="I35" i="1"/>
  <c r="G35" i="1"/>
  <c r="F36" i="1"/>
  <c r="U46" i="2"/>
  <c r="F38" i="1"/>
  <c r="K38" i="1" s="1"/>
  <c r="AF18" i="1"/>
  <c r="AD18" i="1"/>
  <c r="AC20" i="1"/>
  <c r="U59" i="42"/>
  <c r="V38" i="42"/>
  <c r="X38" i="42"/>
  <c r="G29" i="1"/>
  <c r="I29" i="1"/>
  <c r="AK32" i="42"/>
  <c r="G34" i="1"/>
  <c r="I34" i="1"/>
  <c r="AC19" i="1"/>
  <c r="V32" i="42"/>
  <c r="X32" i="42"/>
  <c r="U52" i="42"/>
  <c r="V52" i="42" s="1"/>
  <c r="L28" i="1"/>
  <c r="N28" i="1"/>
  <c r="K34" i="1"/>
  <c r="AJ32" i="42"/>
  <c r="L29" i="1" l="1"/>
  <c r="L34" i="1"/>
  <c r="AH19" i="1"/>
  <c r="AH20" i="1" s="1"/>
  <c r="N34" i="1"/>
  <c r="U46" i="42"/>
  <c r="V39" i="2"/>
  <c r="U39" i="42"/>
  <c r="X39" i="2"/>
  <c r="U41" i="2"/>
  <c r="F40" i="1"/>
  <c r="AF20" i="1"/>
  <c r="AD20" i="1"/>
  <c r="F39" i="1"/>
  <c r="I36" i="1"/>
  <c r="AF21" i="1" s="1"/>
  <c r="AC21" i="1"/>
  <c r="G36" i="1"/>
  <c r="AD21" i="1" s="1"/>
  <c r="K35" i="1"/>
  <c r="AK18" i="1"/>
  <c r="AI18" i="1"/>
  <c r="AF19" i="1"/>
  <c r="AD19" i="1"/>
  <c r="AJ22" i="43"/>
  <c r="AJ21" i="43"/>
  <c r="V59" i="42"/>
  <c r="AI20" i="1" l="1"/>
  <c r="AK20" i="1"/>
  <c r="T36" i="1"/>
  <c r="V41" i="2"/>
  <c r="X41" i="2"/>
  <c r="U43" i="2"/>
  <c r="U60" i="42"/>
  <c r="V39" i="42"/>
  <c r="X39" i="42"/>
  <c r="U41" i="42"/>
  <c r="U54" i="42"/>
  <c r="V54" i="42" s="1"/>
  <c r="AK19" i="1"/>
  <c r="AI19" i="1"/>
  <c r="K39" i="1"/>
  <c r="N35" i="1"/>
  <c r="K40" i="1"/>
  <c r="L35" i="1"/>
  <c r="K36" i="1"/>
  <c r="AH21" i="1" l="1"/>
  <c r="L36" i="1"/>
  <c r="AI21" i="1" s="1"/>
  <c r="N36" i="1"/>
  <c r="AK21" i="1" s="1"/>
  <c r="V60" i="42"/>
  <c r="V61" i="42" s="1"/>
  <c r="U61" i="42"/>
  <c r="V41" i="42"/>
  <c r="X41" i="42"/>
  <c r="U43" i="42"/>
  <c r="G44" i="2"/>
  <c r="U44" i="2"/>
  <c r="V43" i="2"/>
  <c r="X43" i="2"/>
  <c r="U47" i="2"/>
  <c r="T35" i="1"/>
  <c r="U36" i="1"/>
  <c r="W36" i="1"/>
  <c r="W35" i="1" l="1"/>
  <c r="U35" i="1"/>
  <c r="U44" i="42"/>
  <c r="X43" i="42"/>
  <c r="G44" i="42"/>
  <c r="V43" i="42"/>
  <c r="U47" i="42"/>
</calcChain>
</file>

<file path=xl/sharedStrings.xml><?xml version="1.0" encoding="utf-8"?>
<sst xmlns="http://schemas.openxmlformats.org/spreadsheetml/2006/main" count="774" uniqueCount="247">
  <si>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</si>
  <si>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</si>
  <si>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</si>
  <si>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</si>
  <si>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</si>
  <si>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</si>
  <si>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</si>
  <si>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</si>
  <si>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</si>
  <si>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</si>
  <si>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</si>
  <si>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</si>
  <si>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</si>
  <si>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</si>
  <si>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</si>
  <si>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</si>
  <si>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</si>
  <si>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</si>
  <si>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</si>
  <si>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</si>
  <si>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</si>
  <si>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</si>
  <si>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</si>
  <si>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</si>
  <si>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</si>
  <si>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</si>
  <si>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</si>
  <si>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</si>
  <si>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</si>
  <si>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</si>
  <si>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</si>
  <si>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</si>
  <si>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</si>
  <si>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</si>
  <si>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</si>
  <si>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</si>
  <si>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</si>
  <si>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</si>
  <si>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</si>
  <si>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</si>
  <si>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</si>
  <si>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</si>
  <si>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</si>
  <si>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</si>
  <si>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</si>
  <si>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</si>
  <si>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</si>
  <si>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</si>
  <si>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</si>
  <si>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</si>
  <si>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</si>
  <si>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</si>
  <si>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</si>
  <si>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</si>
  <si>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</si>
  <si>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</si>
  <si>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</si>
  <si>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</si>
  <si>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</si>
  <si>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</si>
  <si>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</si>
  <si>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</si>
  <si>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</si>
  <si>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</si>
  <si>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</si>
  <si>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</si>
  <si>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</si>
  <si>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</si>
  <si>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</si>
  <si>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</si>
  <si>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</si>
  <si>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</si>
  <si>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</si>
  <si>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</si>
  <si>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</si>
  <si>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</si>
  <si>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</si>
  <si>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</si>
  <si>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</si>
  <si>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</si>
  <si>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</si>
  <si>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</si>
  <si>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</si>
  <si>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</si>
  <si>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</si>
  <si>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</si>
  <si>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</si>
  <si>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</si>
  <si>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</si>
  <si>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</si>
  <si>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</si>
  <si>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</si>
  <si>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</si>
  <si>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</si>
  <si>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</si>
  <si>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</si>
  <si>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</si>
  <si>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</si>
  <si>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</si>
  <si>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</si>
  <si>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</si>
  <si>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</si>
  <si>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</si>
  <si>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</si>
  <si>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</si>
  <si>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</si>
  <si>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</si>
  <si>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</si>
  <si>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</si>
  <si>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</si>
  <si>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</si>
  <si>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</si>
  <si>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</si>
  <si>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</si>
  <si>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</si>
  <si>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</si>
  <si>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</si>
  <si>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</si>
  <si>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</si>
  <si>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</si>
  <si>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</si>
  <si>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</si>
  <si>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</si>
  <si>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</si>
  <si>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</si>
  <si>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</si>
  <si>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</si>
  <si>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</si>
  <si>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</si>
  <si>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</si>
  <si>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</si>
  <si>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</si>
  <si>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</si>
  <si>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</si>
  <si>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</si>
  <si>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</si>
  <si>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</si>
  <si>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</si>
  <si>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</si>
  <si>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</si>
  <si>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</si>
  <si>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</si>
  <si>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</si>
  <si>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</si>
  <si>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</si>
  <si>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</si>
  <si>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</si>
  <si>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</si>
  <si>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</si>
  <si>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</si>
  <si>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</si>
  <si>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</si>
  <si>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</si>
  <si>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</si>
  <si>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</si>
  <si>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</si>
  <si>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</si>
  <si>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</si>
  <si>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</si>
  <si>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</si>
  <si>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</si>
  <si>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</si>
  <si>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</si>
  <si>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</si>
  <si>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</si>
  <si>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</si>
  <si>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</si>
  <si>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</si>
  <si>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</si>
  <si>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</si>
  <si>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</si>
  <si>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</si>
  <si>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</si>
  <si>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</si>
  <si>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</si>
  <si>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</si>
  <si>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</si>
  <si>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</si>
  <si>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</si>
  <si>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</si>
  <si>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</si>
  <si>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</si>
  <si>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</si>
  <si>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</si>
  <si>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</si>
  <si>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</si>
  <si>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</si>
  <si>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</si>
  <si>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</si>
  <si>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</si>
  <si>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</si>
  <si>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</si>
  <si>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</si>
  <si>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</si>
  <si>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</si>
  <si>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</si>
  <si>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</si>
  <si>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</si>
  <si>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</si>
  <si>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</si>
  <si>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</si>
  <si>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</si>
  <si>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</si>
  <si>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</si>
  <si>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</si>
  <si>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</si>
  <si>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</si>
  <si>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</si>
  <si>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</si>
  <si>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</si>
  <si>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</si>
  <si>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</si>
  <si>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</si>
  <si>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</si>
  <si>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</si>
  <si>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</si>
  <si>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2024년 6월 마감 손익</t>
    <phoneticPr fontId="1" type="noConversion"/>
  </si>
  <si>
    <t>□ 건재부문 실적(6월)</t>
  </si>
  <si>
    <t>6월 누계</t>
  </si>
  <si>
    <t>6월 주요지표</t>
  </si>
  <si>
    <t xml:space="preserve">  * 6월누계 기타차이 : 대손 16억</t>
  </si>
  <si>
    <t>□ 사업장별 손익실적(2024-06)</t>
  </si>
  <si>
    <t>□ 사업장별 손익실적(2024-06누계)</t>
  </si>
  <si>
    <t>□ 레미콘 원재료 원단위(2024-06)</t>
  </si>
  <si>
    <t>□ 2024년 레미콘 원재료단가(2024-06)</t>
  </si>
  <si>
    <t>□ 레미콘 단위당 공헌이익(2024-06)</t>
  </si>
  <si>
    <t>□ 레미콘 영업이익 차이분석(2024-06)</t>
  </si>
  <si>
    <t>6월누계</t>
  </si>
  <si>
    <t>□ 건자재 손익실적(2024-06)</t>
  </si>
  <si>
    <t>□ 2024년 골재사업소 손익(2024-06)</t>
  </si>
  <si>
    <t>□ 2024년 골재사업소 손익(2024-06누계)</t>
  </si>
  <si>
    <t>임대</t>
    <phoneticPr fontId="1" type="noConversion"/>
  </si>
  <si>
    <t xml:space="preserve">  - 대손환입 6.2억 : 집합 7.3억, ㈜신일 0.6억 환입  / 대손충당 남양건설㈜ 1.7억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</si>
  <si>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</si>
  <si>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</si>
  <si>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</si>
  <si>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 xml:space="preserve">  - 집합대손 : 2.1억</t>
    <phoneticPr fontId="1" type="noConversion"/>
  </si>
  <si>
    <t xml:space="preserve">  - 개별 대손환입 : -3.7억(신일 0.6억, 태영건설 -3.1억)</t>
    <phoneticPr fontId="1" type="noConversion"/>
  </si>
  <si>
    <t xml:space="preserve">  - 개별 대손 : 11.7억(송학 0.9억, 계원토건 1.2억, 남양건설 1.7억, 선원건설 7.9억)</t>
    <phoneticPr fontId="1" type="noConversion"/>
  </si>
  <si>
    <t xml:space="preserve">  □ 상반기 총 대손 : 9.8억</t>
    <phoneticPr fontId="1" type="noConversion"/>
  </si>
  <si>
    <t>□ 건재사업본부 손익실적(2024-06)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</si>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</sst>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50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78" fontId="6" fillId="9" borderId="0" xfId="0" applyNumberFormat="1" applyFont="1" applyFill="1" applyBorder="1" applyAlignment="1">
      <alignment horizontal="left"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14" fontId="0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건자재!$X$37:$AJ$37</c:f>
              <c:strCache>
                <c:ptCount val="13"/>
                <c:pt idx="0">
                  <c:v>6월</c:v>
                </c:pt>
                <c:pt idx="1">
                  <c:v>7월</c:v>
                </c:pt>
                <c:pt idx="2">
                  <c:v>8월</c:v>
                </c:pt>
                <c:pt idx="3">
                  <c:v>9월</c:v>
                </c:pt>
                <c:pt idx="4">
                  <c:v>10월</c:v>
                </c:pt>
                <c:pt idx="5">
                  <c:v>11월</c:v>
                </c:pt>
                <c:pt idx="6">
                  <c:v>12월</c:v>
                </c:pt>
                <c:pt idx="7">
                  <c:v>1월</c:v>
                </c:pt>
                <c:pt idx="8">
                  <c:v>2월</c:v>
                </c:pt>
                <c:pt idx="9">
                  <c:v>3월</c:v>
                </c:pt>
                <c:pt idx="10">
                  <c:v>4월</c:v>
                </c:pt>
                <c:pt idx="11">
                  <c:v>5월</c:v>
                </c:pt>
                <c:pt idx="12">
                  <c:v>6월</c:v>
                </c:pt>
              </c:strCache>
            </c:strRef>
          </c:cat>
          <c:val>
            <c:numRef>
              <c:f>건자재!$X$38:$AJ$38</c:f>
              <c:numCache>
                <c:formatCode>#,##0_);[Red]\(#,##0\)</c:formatCode>
                <c:ptCount val="13"/>
                <c:pt idx="0">
                  <c:v>1043902.0889611768</c:v>
                </c:pt>
                <c:pt idx="1">
                  <c:v>1025254.3120930659</c:v>
                </c:pt>
                <c:pt idx="2">
                  <c:v>957693.63511625899</c:v>
                </c:pt>
                <c:pt idx="3">
                  <c:v>1007624.1816933632</c:v>
                </c:pt>
                <c:pt idx="4">
                  <c:v>964243.14311560732</c:v>
                </c:pt>
                <c:pt idx="5">
                  <c:v>985246.58044154115</c:v>
                </c:pt>
                <c:pt idx="6">
                  <c:v>951341.4287927025</c:v>
                </c:pt>
                <c:pt idx="7">
                  <c:v>920730.85338998202</c:v>
                </c:pt>
                <c:pt idx="8">
                  <c:v>886130.8859870329</c:v>
                </c:pt>
                <c:pt idx="9">
                  <c:v>873530.5235919673</c:v>
                </c:pt>
                <c:pt idx="10">
                  <c:v>853042.90795678552</c:v>
                </c:pt>
                <c:pt idx="11">
                  <c:v>811389.30758305453</c:v>
                </c:pt>
                <c:pt idx="12">
                  <c:v>785072.67759542307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건자재!$X$37:$AJ$37</c:f>
              <c:strCache>
                <c:ptCount val="13"/>
                <c:pt idx="0">
                  <c:v>6월</c:v>
                </c:pt>
                <c:pt idx="1">
                  <c:v>7월</c:v>
                </c:pt>
                <c:pt idx="2">
                  <c:v>8월</c:v>
                </c:pt>
                <c:pt idx="3">
                  <c:v>9월</c:v>
                </c:pt>
                <c:pt idx="4">
                  <c:v>10월</c:v>
                </c:pt>
                <c:pt idx="5">
                  <c:v>11월</c:v>
                </c:pt>
                <c:pt idx="6">
                  <c:v>12월</c:v>
                </c:pt>
                <c:pt idx="7">
                  <c:v>1월</c:v>
                </c:pt>
                <c:pt idx="8">
                  <c:v>2월</c:v>
                </c:pt>
                <c:pt idx="9">
                  <c:v>3월</c:v>
                </c:pt>
                <c:pt idx="10">
                  <c:v>4월</c:v>
                </c:pt>
                <c:pt idx="11">
                  <c:v>5월</c:v>
                </c:pt>
                <c:pt idx="12">
                  <c:v>6월</c:v>
                </c:pt>
              </c:strCache>
            </c:strRef>
          </c:cat>
          <c:val>
            <c:numRef>
              <c:f>건자재!$X$39:$AJ$39</c:f>
              <c:numCache>
                <c:formatCode>0.0%</c:formatCode>
                <c:ptCount val="13"/>
                <c:pt idx="0">
                  <c:v>2.338088905753952E-2</c:v>
                </c:pt>
                <c:pt idx="1">
                  <c:v>2.4066421287530761E-2</c:v>
                </c:pt>
                <c:pt idx="2">
                  <c:v>2.751551238666371E-2</c:v>
                </c:pt>
                <c:pt idx="3">
                  <c:v>1.6738202604907604E-2</c:v>
                </c:pt>
                <c:pt idx="4">
                  <c:v>1.8118540365804674E-2</c:v>
                </c:pt>
                <c:pt idx="5">
                  <c:v>1.7419708473984639E-2</c:v>
                </c:pt>
                <c:pt idx="6">
                  <c:v>2.0746012557623313E-2</c:v>
                </c:pt>
                <c:pt idx="7">
                  <c:v>2.6651369945751794E-2</c:v>
                </c:pt>
                <c:pt idx="8">
                  <c:v>2.5582238806566245E-2</c:v>
                </c:pt>
                <c:pt idx="9">
                  <c:v>1.8641220384622476E-2</c:v>
                </c:pt>
                <c:pt idx="10">
                  <c:v>1.847120545626342E-2</c:v>
                </c:pt>
                <c:pt idx="11">
                  <c:v>2.607951153265552E-2</c:v>
                </c:pt>
                <c:pt idx="12">
                  <c:v>3.568968550509475E-2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1_&#47112;&#48120;&#53080;/&#47112;&#48120;&#53080;&#50896;&#44032;&#49552;&#51061;(2024-06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1_&#47112;&#48120;&#53080;/&#47112;&#48120;&#53080;&#50896;&#44032;&#49552;&#51061;(2024-06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3_&#44264;&#51116;/&#44264;&#51116;&#50896;&#44032;&#49552;&#51061;(2024-06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6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1_&#47112;&#48120;&#53080;/&#47112;&#48120;&#53080;&#50896;&#44032;&#49552;&#51061;(2024-06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1_&#47112;&#48120;&#53080;/&#47112;&#48120;&#53080;&#50896;&#44032;&#49552;&#51061;(2024-06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6/03_&#44264;&#51116;/&#44264;&#51116;&#49892;&#51201;(2024-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</row>
      </sheetData>
      <sheetData sheetId="5">
        <row r="6">
          <cell r="D6" t="str">
            <v>구분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43000</v>
          </cell>
          <cell r="G7">
            <v>30000</v>
          </cell>
          <cell r="H7">
            <v>28000</v>
          </cell>
          <cell r="I7">
            <v>18500</v>
          </cell>
          <cell r="J7">
            <v>20000</v>
          </cell>
          <cell r="K7">
            <v>25000</v>
          </cell>
          <cell r="L7">
            <v>12000</v>
          </cell>
          <cell r="M7">
            <v>17000</v>
          </cell>
          <cell r="N7">
            <v>10000</v>
          </cell>
          <cell r="O7">
            <v>17000</v>
          </cell>
          <cell r="P7">
            <v>16500</v>
          </cell>
          <cell r="Q7">
            <v>11000</v>
          </cell>
          <cell r="R7">
            <v>24000</v>
          </cell>
          <cell r="S7">
            <v>13000</v>
          </cell>
          <cell r="T7">
            <v>7500</v>
          </cell>
          <cell r="U7">
            <v>5000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303500</v>
          </cell>
          <cell r="AA7">
            <v>6100</v>
          </cell>
          <cell r="AB7">
            <v>50237.673493333336</v>
          </cell>
          <cell r="AC7">
            <v>41645.145544513252</v>
          </cell>
          <cell r="AD7">
            <v>27565.379730358123</v>
          </cell>
          <cell r="AE7">
            <v>119448.1987682047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40780478.756448768</v>
          </cell>
          <cell r="F8">
            <v>4355081.45</v>
          </cell>
          <cell r="G8">
            <v>3041509.45</v>
          </cell>
          <cell r="H8">
            <v>2793123.2691755421</v>
          </cell>
          <cell r="I8">
            <v>1783470.5</v>
          </cell>
          <cell r="J8">
            <v>2151998.949</v>
          </cell>
          <cell r="K8">
            <v>2608132.7999999998</v>
          </cell>
          <cell r="L8">
            <v>1212002.3999999999</v>
          </cell>
          <cell r="M8">
            <v>1768000</v>
          </cell>
          <cell r="N8">
            <v>963853.16000000015</v>
          </cell>
          <cell r="O8">
            <v>1728067</v>
          </cell>
          <cell r="P8">
            <v>1613040</v>
          </cell>
          <cell r="Q8">
            <v>1113431.74</v>
          </cell>
          <cell r="R8">
            <v>2424003.5999999996</v>
          </cell>
          <cell r="S8">
            <v>1347892.8900000001</v>
          </cell>
          <cell r="T8">
            <v>817184.73199999996</v>
          </cell>
          <cell r="U8">
            <v>539500</v>
          </cell>
          <cell r="V8">
            <v>760800</v>
          </cell>
          <cell r="W8">
            <v>0</v>
          </cell>
          <cell r="X8">
            <v>0</v>
          </cell>
          <cell r="Y8">
            <v>0</v>
          </cell>
          <cell r="Z8">
            <v>31021091.940175541</v>
          </cell>
          <cell r="AA8">
            <v>7443825.2631578958</v>
          </cell>
          <cell r="AB8">
            <v>619248.76906666672</v>
          </cell>
          <cell r="AC8">
            <v>748141.53061074147</v>
          </cell>
          <cell r="AD8">
            <v>783263.75310459407</v>
          </cell>
          <cell r="AE8">
            <v>2150654.0527820024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101280.96395348838</v>
          </cell>
          <cell r="G9">
            <v>101383.64833333335</v>
          </cell>
          <cell r="H9">
            <v>99754.402470555084</v>
          </cell>
          <cell r="I9">
            <v>96403.810810810814</v>
          </cell>
          <cell r="J9">
            <v>107599.94745000001</v>
          </cell>
          <cell r="K9">
            <v>104325.31199999999</v>
          </cell>
          <cell r="L9">
            <v>101000.2</v>
          </cell>
          <cell r="M9">
            <v>104000</v>
          </cell>
          <cell r="N9">
            <v>96385.316000000021</v>
          </cell>
          <cell r="O9">
            <v>101651</v>
          </cell>
          <cell r="P9">
            <v>97760</v>
          </cell>
          <cell r="Q9">
            <v>101221.06727272726</v>
          </cell>
          <cell r="R9">
            <v>101000.15</v>
          </cell>
          <cell r="S9">
            <v>103684.06846153847</v>
          </cell>
          <cell r="T9">
            <v>108957.96426666666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102211.17607965581</v>
          </cell>
          <cell r="AA9">
            <v>1220299.2234685076</v>
          </cell>
          <cell r="AB9">
            <v>12326.382294531266</v>
          </cell>
          <cell r="AC9">
            <v>17964.675614137912</v>
          </cell>
          <cell r="AD9">
            <v>28414.763764054926</v>
          </cell>
          <cell r="AE9">
            <v>18004.909868548591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33278428.308029376</v>
          </cell>
          <cell r="F10">
            <v>3642836.1326238001</v>
          </cell>
          <cell r="G10">
            <v>2659643.9886294948</v>
          </cell>
          <cell r="H10">
            <v>2278266.8775508488</v>
          </cell>
          <cell r="I10">
            <v>1455093.6067452724</v>
          </cell>
          <cell r="J10">
            <v>1778103.1629033731</v>
          </cell>
          <cell r="K10">
            <v>2090460.389102859</v>
          </cell>
          <cell r="L10">
            <v>1017112.2140355206</v>
          </cell>
          <cell r="M10">
            <v>1470394.7778088222</v>
          </cell>
          <cell r="N10">
            <v>806037.18039309839</v>
          </cell>
          <cell r="O10">
            <v>1392086.2718442839</v>
          </cell>
          <cell r="P10">
            <v>1258897.3030301784</v>
          </cell>
          <cell r="Q10">
            <v>953886.43207179487</v>
          </cell>
          <cell r="R10">
            <v>1973476.3501008186</v>
          </cell>
          <cell r="S10">
            <v>1047038.9696410284</v>
          </cell>
          <cell r="T10">
            <v>579961.75094813271</v>
          </cell>
          <cell r="U10">
            <v>435769.62521246332</v>
          </cell>
          <cell r="V10">
            <v>614005.51811576961</v>
          </cell>
          <cell r="W10">
            <v>0</v>
          </cell>
          <cell r="X10">
            <v>0</v>
          </cell>
          <cell r="Y10">
            <v>0</v>
          </cell>
          <cell r="Z10">
            <v>25453070.550757561</v>
          </cell>
          <cell r="AA10">
            <v>7254031.1205052622</v>
          </cell>
          <cell r="AB10">
            <v>422182.20445333328</v>
          </cell>
          <cell r="AC10">
            <v>629560.39881159272</v>
          </cell>
          <cell r="AD10">
            <v>749628.66950163071</v>
          </cell>
          <cell r="AE10">
            <v>1801371.2727665566</v>
          </cell>
          <cell r="AF10">
            <v>4485.0140000000001</v>
          </cell>
          <cell r="AG10">
            <v>37036.508000000002</v>
          </cell>
          <cell r="AH10">
            <v>21276.469000000001</v>
          </cell>
          <cell r="AI10">
            <v>264.589</v>
          </cell>
          <cell r="AJ10">
            <v>184.95400000000001</v>
          </cell>
          <cell r="AK10">
            <v>0</v>
          </cell>
          <cell r="AL10">
            <v>63247.534000000007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-1329700</v>
          </cell>
          <cell r="AT10">
            <v>0</v>
          </cell>
          <cell r="AU10">
            <v>-1293292.17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84717.119363344187</v>
          </cell>
          <cell r="G11">
            <v>88654.799620983162</v>
          </cell>
          <cell r="H11">
            <v>81366.674198244596</v>
          </cell>
          <cell r="I11">
            <v>78653.708472717422</v>
          </cell>
          <cell r="J11">
            <v>88905.158145168651</v>
          </cell>
          <cell r="K11">
            <v>83618.415564114359</v>
          </cell>
          <cell r="L11">
            <v>84759.351169626709</v>
          </cell>
          <cell r="M11">
            <v>86493.81045934248</v>
          </cell>
          <cell r="N11">
            <v>80603.718039309839</v>
          </cell>
          <cell r="O11">
            <v>81887.427755546116</v>
          </cell>
          <cell r="P11">
            <v>76296.806244253239</v>
          </cell>
          <cell r="Q11">
            <v>86716.948370163169</v>
          </cell>
          <cell r="R11">
            <v>82228.181254200783</v>
          </cell>
          <cell r="S11">
            <v>80541.459203156031</v>
          </cell>
          <cell r="T11">
            <v>77328.233459751034</v>
          </cell>
          <cell r="U11">
            <v>87153.925042492658</v>
          </cell>
          <cell r="V11">
            <v>102334.25301929493</v>
          </cell>
          <cell r="W11">
            <v>0</v>
          </cell>
          <cell r="X11">
            <v>0</v>
          </cell>
          <cell r="Y11">
            <v>0</v>
          </cell>
          <cell r="Z11">
            <v>83865.141847636114</v>
          </cell>
          <cell r="AA11">
            <v>1189185.4295910266</v>
          </cell>
          <cell r="AB11">
            <v>8403.6973668646879</v>
          </cell>
          <cell r="AC11">
            <v>15117.257739888901</v>
          </cell>
          <cell r="AD11">
            <v>27194.570756304678</v>
          </cell>
          <cell r="AE11">
            <v>15080.773852958713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7502050.4484193921</v>
          </cell>
          <cell r="F12">
            <v>712245.31737620011</v>
          </cell>
          <cell r="G12">
            <v>381865.46137050539</v>
          </cell>
          <cell r="H12">
            <v>514856.39162469329</v>
          </cell>
          <cell r="I12">
            <v>328376.89325472759</v>
          </cell>
          <cell r="J12">
            <v>373895.78609662689</v>
          </cell>
          <cell r="K12">
            <v>517672.41089714086</v>
          </cell>
          <cell r="L12">
            <v>194890.18596447934</v>
          </cell>
          <cell r="M12">
            <v>297605.22219117777</v>
          </cell>
          <cell r="N12">
            <v>157815.97960690176</v>
          </cell>
          <cell r="O12">
            <v>335980.72815571609</v>
          </cell>
          <cell r="P12">
            <v>354142.69696982158</v>
          </cell>
          <cell r="Q12">
            <v>159545.30792820512</v>
          </cell>
          <cell r="R12">
            <v>450527.24989918107</v>
          </cell>
          <cell r="S12">
            <v>300853.92035897169</v>
          </cell>
          <cell r="T12">
            <v>237222.98105186725</v>
          </cell>
          <cell r="U12">
            <v>103730.37478753668</v>
          </cell>
          <cell r="V12">
            <v>146794.48188423039</v>
          </cell>
          <cell r="W12">
            <v>0</v>
          </cell>
          <cell r="X12">
            <v>0</v>
          </cell>
          <cell r="Y12">
            <v>0</v>
          </cell>
          <cell r="Z12">
            <v>5568021.3894179799</v>
          </cell>
          <cell r="AA12">
            <v>189794.1426526336</v>
          </cell>
          <cell r="AB12">
            <v>197066.56461333344</v>
          </cell>
          <cell r="AC12">
            <v>118581.13179914874</v>
          </cell>
          <cell r="AD12">
            <v>33635.083602963365</v>
          </cell>
          <cell r="AE12">
            <v>349282.78001544578</v>
          </cell>
          <cell r="AF12">
            <v>8014.9859999999999</v>
          </cell>
          <cell r="AG12">
            <v>12963.491999999998</v>
          </cell>
          <cell r="AH12">
            <v>7063.530999999999</v>
          </cell>
          <cell r="AI12">
            <v>66782.911333333323</v>
          </cell>
          <cell r="AJ12">
            <v>5065.0460000000003</v>
          </cell>
          <cell r="AK12">
            <v>0</v>
          </cell>
          <cell r="AL12">
            <v>99889.966333333316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1329700</v>
          </cell>
          <cell r="AT12">
            <v>1770</v>
          </cell>
          <cell r="AU12">
            <v>1295062.17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827965.82300000009</v>
          </cell>
          <cell r="F13">
            <v>69046.599999999991</v>
          </cell>
          <cell r="G13">
            <v>60681.440000000002</v>
          </cell>
          <cell r="H13">
            <v>46085.41</v>
          </cell>
          <cell r="I13">
            <v>33843.03</v>
          </cell>
          <cell r="J13">
            <v>52997.16</v>
          </cell>
          <cell r="K13">
            <v>48980</v>
          </cell>
          <cell r="L13">
            <v>33527.57</v>
          </cell>
          <cell r="M13">
            <v>44119.53</v>
          </cell>
          <cell r="N13">
            <v>34266.870000000003</v>
          </cell>
          <cell r="O13">
            <v>39206.69</v>
          </cell>
          <cell r="P13">
            <v>34021.94</v>
          </cell>
          <cell r="Q13">
            <v>25635.420000000002</v>
          </cell>
          <cell r="R13">
            <v>39911.259999999995</v>
          </cell>
          <cell r="S13">
            <v>27865.47</v>
          </cell>
          <cell r="T13">
            <v>9853.1500000000015</v>
          </cell>
          <cell r="U13">
            <v>9776.630000000001</v>
          </cell>
          <cell r="V13">
            <v>14381.390000000001</v>
          </cell>
          <cell r="W13">
            <v>0</v>
          </cell>
          <cell r="X13">
            <v>0</v>
          </cell>
          <cell r="Y13">
            <v>0</v>
          </cell>
          <cell r="Z13">
            <v>624199.56000000006</v>
          </cell>
          <cell r="AA13">
            <v>119422.94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39435.082000000002</v>
          </cell>
          <cell r="AN13">
            <v>1862.1410000000001</v>
          </cell>
          <cell r="AO13">
            <v>145.001</v>
          </cell>
          <cell r="AP13">
            <v>6566</v>
          </cell>
          <cell r="AQ13">
            <v>9446.5290000000005</v>
          </cell>
          <cell r="AR13">
            <v>26888.569999999996</v>
          </cell>
          <cell r="AS13">
            <v>0</v>
          </cell>
          <cell r="AT13">
            <v>0</v>
          </cell>
          <cell r="AU13">
            <v>84343.323000000004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262177.26300000004</v>
          </cell>
          <cell r="F15">
            <v>20750.059999999998</v>
          </cell>
          <cell r="G15">
            <v>14603.51</v>
          </cell>
          <cell r="H15">
            <v>11922.37</v>
          </cell>
          <cell r="I15">
            <v>8458.5299999999988</v>
          </cell>
          <cell r="J15">
            <v>12633.16</v>
          </cell>
          <cell r="K15">
            <v>15497.17</v>
          </cell>
          <cell r="L15">
            <v>8089.83</v>
          </cell>
          <cell r="M15">
            <v>11063.220000000001</v>
          </cell>
          <cell r="N15">
            <v>8068.85</v>
          </cell>
          <cell r="O15">
            <v>9105.7999999999993</v>
          </cell>
          <cell r="P15">
            <v>8503.02</v>
          </cell>
          <cell r="Q15">
            <v>6777.37</v>
          </cell>
          <cell r="R15">
            <v>10668.380000000001</v>
          </cell>
          <cell r="S15">
            <v>9904.84</v>
          </cell>
          <cell r="T15">
            <v>3112.3900000000003</v>
          </cell>
          <cell r="U15">
            <v>3795.08</v>
          </cell>
          <cell r="V15">
            <v>3827.86</v>
          </cell>
          <cell r="W15">
            <v>0</v>
          </cell>
          <cell r="X15">
            <v>0</v>
          </cell>
          <cell r="Y15">
            <v>0</v>
          </cell>
          <cell r="Z15">
            <v>166781.44</v>
          </cell>
          <cell r="AA15">
            <v>35918.47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39435.082000000002</v>
          </cell>
          <cell r="AN15">
            <v>1862.1410000000001</v>
          </cell>
          <cell r="AO15">
            <v>145.001</v>
          </cell>
          <cell r="AP15">
            <v>6566</v>
          </cell>
          <cell r="AQ15">
            <v>9446.5290000000005</v>
          </cell>
          <cell r="AR15">
            <v>2022.6</v>
          </cell>
          <cell r="AS15">
            <v>0</v>
          </cell>
          <cell r="AT15">
            <v>0</v>
          </cell>
          <cell r="AU15">
            <v>59477.353000000003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6674084.6254193923</v>
          </cell>
          <cell r="F17">
            <v>643198.71737620013</v>
          </cell>
          <cell r="G17">
            <v>321184.02137050539</v>
          </cell>
          <cell r="H17">
            <v>468770.98162469326</v>
          </cell>
          <cell r="I17">
            <v>294533.86325472756</v>
          </cell>
          <cell r="J17">
            <v>320898.62609662686</v>
          </cell>
          <cell r="K17">
            <v>468692.41089714086</v>
          </cell>
          <cell r="L17">
            <v>161362.61596447934</v>
          </cell>
          <cell r="M17">
            <v>253485.69219117778</v>
          </cell>
          <cell r="N17">
            <v>123549.10960690177</v>
          </cell>
          <cell r="O17">
            <v>296774.03815571609</v>
          </cell>
          <cell r="P17">
            <v>320120.75696982158</v>
          </cell>
          <cell r="Q17">
            <v>133909.88792820511</v>
          </cell>
          <cell r="R17">
            <v>410615.98989918106</v>
          </cell>
          <cell r="S17">
            <v>272988.45035897172</v>
          </cell>
          <cell r="T17">
            <v>227369.83105186725</v>
          </cell>
          <cell r="U17">
            <v>93953.744787536678</v>
          </cell>
          <cell r="V17">
            <v>132413.09188423038</v>
          </cell>
          <cell r="W17">
            <v>0</v>
          </cell>
          <cell r="X17">
            <v>0</v>
          </cell>
          <cell r="Y17">
            <v>0</v>
          </cell>
          <cell r="Z17">
            <v>4943821.8294179793</v>
          </cell>
          <cell r="AA17">
            <v>70371.202652633598</v>
          </cell>
          <cell r="AB17">
            <v>197066.56461333344</v>
          </cell>
          <cell r="AC17">
            <v>118581.13179914874</v>
          </cell>
          <cell r="AD17">
            <v>33635.083602963365</v>
          </cell>
          <cell r="AE17">
            <v>349282.78001544578</v>
          </cell>
          <cell r="AF17">
            <v>8014.9859999999999</v>
          </cell>
          <cell r="AG17">
            <v>12963.491999999998</v>
          </cell>
          <cell r="AH17">
            <v>7063.530999999999</v>
          </cell>
          <cell r="AI17">
            <v>66782.911333333323</v>
          </cell>
          <cell r="AJ17">
            <v>5065.0460000000003</v>
          </cell>
          <cell r="AK17">
            <v>0</v>
          </cell>
          <cell r="AL17">
            <v>99889.966333333316</v>
          </cell>
          <cell r="AM17">
            <v>-39435.082000000002</v>
          </cell>
          <cell r="AN17">
            <v>-1862.1410000000001</v>
          </cell>
          <cell r="AO17">
            <v>-145.001</v>
          </cell>
          <cell r="AP17">
            <v>-6566</v>
          </cell>
          <cell r="AQ17">
            <v>-9446.5290000000005</v>
          </cell>
          <cell r="AR17">
            <v>-63296.399999999994</v>
          </cell>
          <cell r="AS17">
            <v>1329700</v>
          </cell>
          <cell r="AT17">
            <v>1770</v>
          </cell>
          <cell r="AU17">
            <v>1210718.8469999998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445266.89822306111</v>
          </cell>
          <cell r="F18">
            <v>30108.799666666662</v>
          </cell>
          <cell r="G18">
            <v>34391.757239466679</v>
          </cell>
          <cell r="H18">
            <v>17060.498555555554</v>
          </cell>
          <cell r="I18">
            <v>19199.545555555553</v>
          </cell>
          <cell r="J18">
            <v>46892.19733333333</v>
          </cell>
          <cell r="K18">
            <v>1835.1728888888897</v>
          </cell>
          <cell r="L18">
            <v>12068.37588888889</v>
          </cell>
          <cell r="M18">
            <v>23269.997111111115</v>
          </cell>
          <cell r="N18">
            <v>10760.140111111112</v>
          </cell>
          <cell r="O18">
            <v>32560.991888888886</v>
          </cell>
          <cell r="P18">
            <v>14030.872474676307</v>
          </cell>
          <cell r="Q18">
            <v>11880.538333333334</v>
          </cell>
          <cell r="R18">
            <v>22868.705999999998</v>
          </cell>
          <cell r="S18">
            <v>23608.662666666667</v>
          </cell>
          <cell r="T18">
            <v>10246.369555555555</v>
          </cell>
          <cell r="U18">
            <v>5428.9927777777775</v>
          </cell>
          <cell r="V18">
            <v>10105.497842236317</v>
          </cell>
          <cell r="W18">
            <v>0</v>
          </cell>
          <cell r="X18">
            <v>0</v>
          </cell>
          <cell r="Y18">
            <v>0</v>
          </cell>
          <cell r="Z18">
            <v>326317.11588971259</v>
          </cell>
          <cell r="AA18">
            <v>4908.0999999999995</v>
          </cell>
          <cell r="AB18">
            <v>12325.267</v>
          </cell>
          <cell r="AC18">
            <v>56856.659666666681</v>
          </cell>
          <cell r="AD18">
            <v>34019.718222222225</v>
          </cell>
          <cell r="AE18">
            <v>103201.6448888889</v>
          </cell>
          <cell r="AF18">
            <v>3169.12</v>
          </cell>
          <cell r="AG18">
            <v>5255.8180000000002</v>
          </cell>
          <cell r="AH18">
            <v>5673.2289999999994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11307.723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-14097.802</v>
          </cell>
          <cell r="AR18">
            <v>0</v>
          </cell>
          <cell r="AS18">
            <v>0</v>
          </cell>
          <cell r="AT18">
            <v>6562.5290000000005</v>
          </cell>
          <cell r="AU18">
            <v>-467.68555554035993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415928.26977860148</v>
          </cell>
          <cell r="F19">
            <v>27781.177666666663</v>
          </cell>
          <cell r="G19">
            <v>31781.875239466681</v>
          </cell>
          <cell r="H19">
            <v>15463.690555555555</v>
          </cell>
          <cell r="I19">
            <v>18007.557555555552</v>
          </cell>
          <cell r="J19">
            <v>43789.895333333327</v>
          </cell>
          <cell r="K19">
            <v>270.77088888888966</v>
          </cell>
          <cell r="L19">
            <v>10874.77688888889</v>
          </cell>
          <cell r="M19">
            <v>21412.345111111114</v>
          </cell>
          <cell r="N19">
            <v>9272.8881111111114</v>
          </cell>
          <cell r="O19">
            <v>31342.225888888886</v>
          </cell>
          <cell r="P19">
            <v>12825.484474676306</v>
          </cell>
          <cell r="Q19">
            <v>10778.383333333333</v>
          </cell>
          <cell r="R19">
            <v>21280.504999999997</v>
          </cell>
          <cell r="S19">
            <v>22765.504666666668</v>
          </cell>
          <cell r="T19">
            <v>9803.5005555555545</v>
          </cell>
          <cell r="U19">
            <v>5058.5927777777779</v>
          </cell>
          <cell r="V19">
            <v>9280.1278422363157</v>
          </cell>
          <cell r="W19">
            <v>0</v>
          </cell>
          <cell r="X19">
            <v>0</v>
          </cell>
          <cell r="Y19">
            <v>0</v>
          </cell>
          <cell r="Z19">
            <v>301789.30188971257</v>
          </cell>
          <cell r="AA19">
            <v>0</v>
          </cell>
          <cell r="AB19">
            <v>12325.267</v>
          </cell>
          <cell r="AC19">
            <v>56856.659666666681</v>
          </cell>
          <cell r="AD19">
            <v>33649.318222222224</v>
          </cell>
          <cell r="AE19">
            <v>102831.2448888889</v>
          </cell>
          <cell r="AF19">
            <v>3169.12</v>
          </cell>
          <cell r="AG19">
            <v>5255.8180000000002</v>
          </cell>
          <cell r="AH19">
            <v>5673.2289999999994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11307.723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29338.628444459639</v>
          </cell>
          <cell r="F20">
            <v>2327.6220000000003</v>
          </cell>
          <cell r="G20">
            <v>2609.8820000000001</v>
          </cell>
          <cell r="H20">
            <v>1596.808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24527.813999999998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-14097.802</v>
          </cell>
          <cell r="AR20">
            <v>0</v>
          </cell>
          <cell r="AS20">
            <v>0</v>
          </cell>
          <cell r="AT20">
            <v>6562.5290000000005</v>
          </cell>
          <cell r="AU20">
            <v>-467.68555554035993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6228817.7271963311</v>
          </cell>
          <cell r="F21">
            <v>613089.91770953347</v>
          </cell>
          <cell r="G21">
            <v>286792.26413103868</v>
          </cell>
          <cell r="H21">
            <v>451710.48306913773</v>
          </cell>
          <cell r="I21">
            <v>275334.31769917201</v>
          </cell>
          <cell r="J21">
            <v>274006.42876329354</v>
          </cell>
          <cell r="K21">
            <v>466857.238008252</v>
          </cell>
          <cell r="L21">
            <v>149294.24007559044</v>
          </cell>
          <cell r="M21">
            <v>230215.69508006665</v>
          </cell>
          <cell r="N21">
            <v>112788.96949579066</v>
          </cell>
          <cell r="O21">
            <v>264213.04626682721</v>
          </cell>
          <cell r="P21">
            <v>306089.88449514529</v>
          </cell>
          <cell r="Q21">
            <v>122029.34959487178</v>
          </cell>
          <cell r="R21">
            <v>387747.28389918106</v>
          </cell>
          <cell r="S21">
            <v>249379.78769230505</v>
          </cell>
          <cell r="T21">
            <v>217123.46149631171</v>
          </cell>
          <cell r="U21">
            <v>88524.7520097589</v>
          </cell>
          <cell r="V21">
            <v>122307.59404199406</v>
          </cell>
          <cell r="W21">
            <v>0</v>
          </cell>
          <cell r="X21">
            <v>0</v>
          </cell>
          <cell r="Y21">
            <v>0</v>
          </cell>
          <cell r="Z21">
            <v>4617504.7135282671</v>
          </cell>
          <cell r="AA21">
            <v>65463.102652633599</v>
          </cell>
          <cell r="AB21">
            <v>184741.29761333345</v>
          </cell>
          <cell r="AC21">
            <v>61724.472132482064</v>
          </cell>
          <cell r="AD21">
            <v>-384.63461925886077</v>
          </cell>
          <cell r="AE21">
            <v>246081.13512655688</v>
          </cell>
          <cell r="AF21">
            <v>4845.866</v>
          </cell>
          <cell r="AG21">
            <v>7707.6739999999982</v>
          </cell>
          <cell r="AH21">
            <v>1390.3019999999997</v>
          </cell>
          <cell r="AI21">
            <v>70886.247333333318</v>
          </cell>
          <cell r="AJ21">
            <v>3752.1540000000005</v>
          </cell>
          <cell r="AK21">
            <v>0</v>
          </cell>
          <cell r="AL21">
            <v>88582.243333333317</v>
          </cell>
          <cell r="AM21">
            <v>-44660.370444459644</v>
          </cell>
          <cell r="AN21">
            <v>-2918.598</v>
          </cell>
          <cell r="AO21">
            <v>-498.673</v>
          </cell>
          <cell r="AP21">
            <v>-6998.17</v>
          </cell>
          <cell r="AQ21">
            <v>4651.2729999999992</v>
          </cell>
          <cell r="AR21">
            <v>-63296.399999999994</v>
          </cell>
          <cell r="AS21">
            <v>1329700</v>
          </cell>
          <cell r="AT21">
            <v>-4792.5290000000005</v>
          </cell>
          <cell r="AU21">
            <v>1211186.5325555401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2649138.0238164035</v>
          </cell>
          <cell r="F22">
            <v>368961.04767046997</v>
          </cell>
          <cell r="G22">
            <v>257675.66601346456</v>
          </cell>
          <cell r="H22">
            <v>236632.4716309901</v>
          </cell>
          <cell r="I22">
            <v>151095.02582767469</v>
          </cell>
          <cell r="J22">
            <v>181830.36796664345</v>
          </cell>
          <cell r="K22">
            <v>220370.80777862034</v>
          </cell>
          <cell r="L22">
            <v>102406.57527777209</v>
          </cell>
          <cell r="M22">
            <v>149384.87340544959</v>
          </cell>
          <cell r="N22">
            <v>81439.526181019552</v>
          </cell>
          <cell r="O22">
            <v>146010.78621670534</v>
          </cell>
          <cell r="P22">
            <v>136291.72861873667</v>
          </cell>
          <cell r="Q22">
            <v>94077.974844745157</v>
          </cell>
          <cell r="R22">
            <v>200915.78557820301</v>
          </cell>
          <cell r="S22">
            <v>111721.35176268898</v>
          </cell>
          <cell r="T22">
            <v>67733.114089555529</v>
          </cell>
          <cell r="U22">
            <v>44716.957647851894</v>
          </cell>
          <cell r="V22">
            <v>63059.613305812272</v>
          </cell>
          <cell r="W22">
            <v>0</v>
          </cell>
          <cell r="X22">
            <v>0</v>
          </cell>
          <cell r="Y22">
            <v>0</v>
          </cell>
          <cell r="Z22">
            <v>2614323.6738164034</v>
          </cell>
          <cell r="AA22">
            <v>0</v>
          </cell>
          <cell r="AB22">
            <v>10024.273013815753</v>
          </cell>
          <cell r="AC22">
            <v>12110.762799124243</v>
          </cell>
          <cell r="AD22">
            <v>12679.314187060001</v>
          </cell>
          <cell r="AE22">
            <v>34814.35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232290.24333333338</v>
          </cell>
          <cell r="F23">
            <v>29657.423009089758</v>
          </cell>
          <cell r="G23">
            <v>20712.203291810751</v>
          </cell>
          <cell r="H23">
            <v>19020.732278261003</v>
          </cell>
          <cell r="I23">
            <v>12145.154952895959</v>
          </cell>
          <cell r="J23">
            <v>14168.510881701714</v>
          </cell>
          <cell r="K23">
            <v>17171.643125055802</v>
          </cell>
          <cell r="L23">
            <v>7979.6828901929866</v>
          </cell>
          <cell r="M23">
            <v>11640.306446473374</v>
          </cell>
          <cell r="N23">
            <v>6345.8971446842397</v>
          </cell>
          <cell r="O23">
            <v>11377.392217216009</v>
          </cell>
          <cell r="P23">
            <v>10620.067822635414</v>
          </cell>
          <cell r="Q23">
            <v>7330.7051249038841</v>
          </cell>
          <cell r="R23">
            <v>12062.094294832312</v>
          </cell>
          <cell r="S23">
            <v>6707.2553598988225</v>
          </cell>
          <cell r="T23">
            <v>4066.3963096759726</v>
          </cell>
          <cell r="U23">
            <v>2684.6081713995941</v>
          </cell>
          <cell r="V23">
            <v>3785.8200126057668</v>
          </cell>
          <cell r="W23">
            <v>0</v>
          </cell>
          <cell r="X23">
            <v>0</v>
          </cell>
          <cell r="Y23">
            <v>0</v>
          </cell>
          <cell r="Z23">
            <v>197475.89333333337</v>
          </cell>
          <cell r="AA23">
            <v>0</v>
          </cell>
          <cell r="AB23">
            <v>10024.273013815753</v>
          </cell>
          <cell r="AC23">
            <v>12110.762799124243</v>
          </cell>
          <cell r="AD23">
            <v>12679.314187060001</v>
          </cell>
          <cell r="AE23">
            <v>34814.35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1828165.7887777779</v>
          </cell>
          <cell r="F24">
            <v>256657.9838512823</v>
          </cell>
          <cell r="G24">
            <v>179245.25459830897</v>
          </cell>
          <cell r="H24">
            <v>164607.11358560174</v>
          </cell>
          <cell r="I24">
            <v>105105.25418261428</v>
          </cell>
          <cell r="J24">
            <v>126823.73862385939</v>
          </cell>
          <cell r="K24">
            <v>153705.07159272526</v>
          </cell>
          <cell r="L24">
            <v>71426.928744791992</v>
          </cell>
          <cell r="M24">
            <v>104193.53131709331</v>
          </cell>
          <cell r="N24">
            <v>56802.751363992851</v>
          </cell>
          <cell r="O24">
            <v>101840.16011455626</v>
          </cell>
          <cell r="P24">
            <v>95061.274748712778</v>
          </cell>
          <cell r="Q24">
            <v>65617.86474611747</v>
          </cell>
          <cell r="R24">
            <v>142853.78676999258</v>
          </cell>
          <cell r="S24">
            <v>79435.362017139385</v>
          </cell>
          <cell r="T24">
            <v>48159.141948807977</v>
          </cell>
          <cell r="U24">
            <v>31794.349629848326</v>
          </cell>
          <cell r="V24">
            <v>44836.220942332911</v>
          </cell>
          <cell r="W24">
            <v>0</v>
          </cell>
          <cell r="X24">
            <v>0</v>
          </cell>
          <cell r="Y24">
            <v>0</v>
          </cell>
          <cell r="Z24">
            <v>1828165.7887777779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588681.99170529202</v>
          </cell>
          <cell r="F25">
            <v>82645.640810097917</v>
          </cell>
          <cell r="G25">
            <v>57718.208123344855</v>
          </cell>
          <cell r="H25">
            <v>53004.625767127334</v>
          </cell>
          <cell r="I25">
            <v>33844.616692164447</v>
          </cell>
          <cell r="J25">
            <v>40838.11846108234</v>
          </cell>
          <cell r="K25">
            <v>49494.093060839296</v>
          </cell>
          <cell r="L25">
            <v>22999.963642787119</v>
          </cell>
          <cell r="M25">
            <v>33551.035641882911</v>
          </cell>
          <cell r="N25">
            <v>18290.877672342463</v>
          </cell>
          <cell r="O25">
            <v>32793.233884933077</v>
          </cell>
          <cell r="P25">
            <v>30610.386047388471</v>
          </cell>
          <cell r="Q25">
            <v>21129.404973723817</v>
          </cell>
          <cell r="R25">
            <v>45999.904513378104</v>
          </cell>
          <cell r="S25">
            <v>25578.734385650776</v>
          </cell>
          <cell r="T25">
            <v>15507.57583107157</v>
          </cell>
          <cell r="U25">
            <v>10237.999846603978</v>
          </cell>
          <cell r="V25">
            <v>14437.572350873597</v>
          </cell>
          <cell r="W25">
            <v>0</v>
          </cell>
          <cell r="X25">
            <v>0</v>
          </cell>
          <cell r="Y25">
            <v>0</v>
          </cell>
          <cell r="Z25">
            <v>588681.99170529202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3579679.7033799277</v>
          </cell>
          <cell r="F26">
            <v>244128.87003906351</v>
          </cell>
          <cell r="G26">
            <v>29116.598117574118</v>
          </cell>
          <cell r="H26">
            <v>215078.01143814763</v>
          </cell>
          <cell r="I26">
            <v>124239.29187149732</v>
          </cell>
          <cell r="J26">
            <v>92176.060796650097</v>
          </cell>
          <cell r="K26">
            <v>246486.43022963166</v>
          </cell>
          <cell r="L26">
            <v>46887.664797818346</v>
          </cell>
          <cell r="M26">
            <v>80830.821674617066</v>
          </cell>
          <cell r="N26">
            <v>31349.44331477111</v>
          </cell>
          <cell r="O26">
            <v>118202.26005012187</v>
          </cell>
          <cell r="P26">
            <v>169798.15587640862</v>
          </cell>
          <cell r="Q26">
            <v>27951.374750126619</v>
          </cell>
          <cell r="R26">
            <v>186831.49832097805</v>
          </cell>
          <cell r="S26">
            <v>137658.43592961607</v>
          </cell>
          <cell r="T26">
            <v>149390.34740675619</v>
          </cell>
          <cell r="U26">
            <v>43807.794361907007</v>
          </cell>
          <cell r="V26">
            <v>59247.980736181788</v>
          </cell>
          <cell r="W26">
            <v>0</v>
          </cell>
          <cell r="X26">
            <v>0</v>
          </cell>
          <cell r="Y26">
            <v>0</v>
          </cell>
          <cell r="Z26">
            <v>2003181.0397118637</v>
          </cell>
          <cell r="AA26">
            <v>65463.102652633599</v>
          </cell>
          <cell r="AB26">
            <v>174717.0245995177</v>
          </cell>
          <cell r="AC26">
            <v>49613.709333357823</v>
          </cell>
          <cell r="AD26">
            <v>-13063.948806318862</v>
          </cell>
          <cell r="AE26">
            <v>211266.78512655688</v>
          </cell>
          <cell r="AF26">
            <v>4845.866</v>
          </cell>
          <cell r="AG26">
            <v>7707.6739999999982</v>
          </cell>
          <cell r="AH26">
            <v>1390.3019999999997</v>
          </cell>
          <cell r="AI26">
            <v>70886.247333333318</v>
          </cell>
          <cell r="AJ26">
            <v>3752.1540000000005</v>
          </cell>
          <cell r="AK26">
            <v>0</v>
          </cell>
          <cell r="AL26">
            <v>88582.243333333317</v>
          </cell>
          <cell r="AM26">
            <v>-44660.370444459644</v>
          </cell>
          <cell r="AN26">
            <v>-2918.598</v>
          </cell>
          <cell r="AO26">
            <v>-498.673</v>
          </cell>
          <cell r="AP26">
            <v>-6998.17</v>
          </cell>
          <cell r="AQ26">
            <v>4651.2729999999992</v>
          </cell>
          <cell r="AR26">
            <v>-63296.399999999994</v>
          </cell>
          <cell r="AS26">
            <v>1329700</v>
          </cell>
          <cell r="AT26">
            <v>-4792.5290000000005</v>
          </cell>
          <cell r="AU26">
            <v>1211186.5325555401</v>
          </cell>
          <cell r="AV26"/>
          <cell r="AW26"/>
          <cell r="AX26"/>
          <cell r="AY26"/>
          <cell r="AZ26"/>
        </row>
        <row r="27">
          <cell r="E27">
            <v>3618933.1033799313</v>
          </cell>
          <cell r="F27">
            <v>244128.87003906351</v>
          </cell>
          <cell r="G27">
            <v>29116.598117574118</v>
          </cell>
          <cell r="H27">
            <v>215078.01143814763</v>
          </cell>
          <cell r="I27">
            <v>124239.29187149738</v>
          </cell>
          <cell r="J27">
            <v>92176.060796650097</v>
          </cell>
          <cell r="K27">
            <v>246486.43022963166</v>
          </cell>
          <cell r="L27">
            <v>46887.664797818346</v>
          </cell>
          <cell r="M27">
            <v>80830.821674617095</v>
          </cell>
          <cell r="N27">
            <v>31349.443314771095</v>
          </cell>
          <cell r="O27">
            <v>118202.26005012187</v>
          </cell>
          <cell r="P27">
            <v>169798.15587640862</v>
          </cell>
          <cell r="Q27">
            <v>27951.374750126619</v>
          </cell>
          <cell r="R27">
            <v>186831.49832097805</v>
          </cell>
          <cell r="S27">
            <v>137658.43592961604</v>
          </cell>
          <cell r="T27">
            <v>149390.34740675619</v>
          </cell>
          <cell r="U27">
            <v>43807.794361907007</v>
          </cell>
          <cell r="V27">
            <v>59247.980736181802</v>
          </cell>
          <cell r="W27">
            <v>0</v>
          </cell>
          <cell r="X27">
            <v>0</v>
          </cell>
          <cell r="Y27">
            <v>0</v>
          </cell>
          <cell r="Z27">
            <v>2003181.0397118672</v>
          </cell>
          <cell r="AA27">
            <v>65463.102652633592</v>
          </cell>
          <cell r="AB27">
            <v>174717.0245995177</v>
          </cell>
          <cell r="AC27">
            <v>49613.709333357823</v>
          </cell>
          <cell r="AD27">
            <v>-13063.948806318862</v>
          </cell>
          <cell r="AE27">
            <v>211266.78512655664</v>
          </cell>
          <cell r="AF27">
            <v>4845.866</v>
          </cell>
          <cell r="AG27">
            <v>7707.6739999999982</v>
          </cell>
          <cell r="AH27">
            <v>1390.3019999999997</v>
          </cell>
          <cell r="AI27">
            <v>70886.247333333318</v>
          </cell>
          <cell r="AJ27">
            <v>3752.1540000000005</v>
          </cell>
          <cell r="AK27">
            <v>0</v>
          </cell>
          <cell r="AL27">
            <v>88582.243333333303</v>
          </cell>
          <cell r="AM27">
            <v>-44660.370444459644</v>
          </cell>
          <cell r="AN27">
            <v>-2918.598</v>
          </cell>
          <cell r="AO27">
            <v>0</v>
          </cell>
          <cell r="AP27">
            <v>0</v>
          </cell>
          <cell r="AQ27">
            <v>-6562.5290000000005</v>
          </cell>
          <cell r="AR27">
            <v>0</v>
          </cell>
          <cell r="AS27">
            <v>1329700</v>
          </cell>
          <cell r="AT27">
            <v>-25118.569999999996</v>
          </cell>
          <cell r="AU27">
            <v>1250439.9325555402</v>
          </cell>
          <cell r="AV27"/>
          <cell r="AW27"/>
          <cell r="AX27"/>
          <cell r="AY27"/>
          <cell r="AZ27"/>
        </row>
        <row r="28">
          <cell r="E28">
            <v>-39253.400000003632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-3.4924596548080444E-9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-498.673</v>
          </cell>
          <cell r="AP28">
            <v>-6998.17</v>
          </cell>
          <cell r="AQ28">
            <v>11213.802</v>
          </cell>
          <cell r="AR28">
            <v>-63296.399999999994</v>
          </cell>
          <cell r="AS28">
            <v>0</v>
          </cell>
          <cell r="AT28">
            <v>20326.040999999997</v>
          </cell>
          <cell r="AU28">
            <v>-39253.40000000014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429048.19876820472</v>
          </cell>
          <cell r="F30">
            <v>43000</v>
          </cell>
          <cell r="G30">
            <v>30000</v>
          </cell>
          <cell r="H30">
            <v>28000</v>
          </cell>
          <cell r="I30">
            <v>18500</v>
          </cell>
          <cell r="J30">
            <v>20000</v>
          </cell>
          <cell r="K30">
            <v>25000</v>
          </cell>
          <cell r="L30">
            <v>12000</v>
          </cell>
          <cell r="M30">
            <v>17000</v>
          </cell>
          <cell r="N30">
            <v>10000</v>
          </cell>
          <cell r="O30">
            <v>17000</v>
          </cell>
          <cell r="P30">
            <v>16500</v>
          </cell>
          <cell r="Q30">
            <v>11000</v>
          </cell>
          <cell r="R30">
            <v>24000</v>
          </cell>
          <cell r="S30">
            <v>13000</v>
          </cell>
          <cell r="T30">
            <v>7500</v>
          </cell>
          <cell r="U30">
            <v>5000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303500</v>
          </cell>
          <cell r="AA30">
            <v>6100</v>
          </cell>
          <cell r="AB30">
            <v>50237.673493333336</v>
          </cell>
          <cell r="AC30">
            <v>41645.145544513252</v>
          </cell>
          <cell r="AD30">
            <v>27565.379730358123</v>
          </cell>
          <cell r="AE30">
            <v>119448.1987682047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40780478.756448768</v>
          </cell>
          <cell r="F31">
            <v>4355081.45</v>
          </cell>
          <cell r="G31">
            <v>3041509.45</v>
          </cell>
          <cell r="H31">
            <v>2793123.2691755421</v>
          </cell>
          <cell r="I31">
            <v>1783470.5</v>
          </cell>
          <cell r="J31">
            <v>2151998.949</v>
          </cell>
          <cell r="K31">
            <v>2608132.7999999998</v>
          </cell>
          <cell r="L31">
            <v>1212002.3999999999</v>
          </cell>
          <cell r="M31">
            <v>1768000</v>
          </cell>
          <cell r="N31">
            <v>963853.16000000015</v>
          </cell>
          <cell r="O31">
            <v>1728067</v>
          </cell>
          <cell r="P31">
            <v>1613040</v>
          </cell>
          <cell r="Q31">
            <v>1113431.74</v>
          </cell>
          <cell r="R31">
            <v>2424003.5999999996</v>
          </cell>
          <cell r="S31">
            <v>1347892.8900000001</v>
          </cell>
          <cell r="T31">
            <v>817184.73199999996</v>
          </cell>
          <cell r="U31">
            <v>539500</v>
          </cell>
          <cell r="V31">
            <v>760800</v>
          </cell>
          <cell r="W31">
            <v>0</v>
          </cell>
          <cell r="X31">
            <v>0</v>
          </cell>
          <cell r="Y31">
            <v>0</v>
          </cell>
          <cell r="Z31">
            <v>31021091.940175541</v>
          </cell>
          <cell r="AA31">
            <v>7443825.2631578958</v>
          </cell>
          <cell r="AB31">
            <v>619248.76906666672</v>
          </cell>
          <cell r="AC31">
            <v>748141.53061074147</v>
          </cell>
          <cell r="AD31">
            <v>783263.75310459407</v>
          </cell>
          <cell r="AE31">
            <v>2150654.0527820024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33694356.577807978</v>
          </cell>
          <cell r="F32">
            <v>3670617.3102904665</v>
          </cell>
          <cell r="G32">
            <v>2691425.8638689616</v>
          </cell>
          <cell r="H32">
            <v>2293730.5681064045</v>
          </cell>
          <cell r="I32">
            <v>1473101.164300828</v>
          </cell>
          <cell r="J32">
            <v>1821893.0582367065</v>
          </cell>
          <cell r="K32">
            <v>2090731.1599917479</v>
          </cell>
          <cell r="L32">
            <v>1027986.9909244095</v>
          </cell>
          <cell r="M32">
            <v>1491807.1229199334</v>
          </cell>
          <cell r="N32">
            <v>815310.06850420951</v>
          </cell>
          <cell r="O32">
            <v>1423428.4977331727</v>
          </cell>
          <cell r="P32">
            <v>1271722.7875048546</v>
          </cell>
          <cell r="Q32">
            <v>964664.81540512817</v>
          </cell>
          <cell r="R32">
            <v>1994756.8551008184</v>
          </cell>
          <cell r="S32">
            <v>1069804.4743076952</v>
          </cell>
          <cell r="T32">
            <v>589765.25150368828</v>
          </cell>
          <cell r="U32">
            <v>440828.21799024107</v>
          </cell>
          <cell r="V32">
            <v>623285.64595800592</v>
          </cell>
          <cell r="W32">
            <v>0</v>
          </cell>
          <cell r="X32">
            <v>0</v>
          </cell>
          <cell r="Y32">
            <v>0</v>
          </cell>
          <cell r="Z32">
            <v>25754859.852647275</v>
          </cell>
          <cell r="AA32">
            <v>7254031.1205052622</v>
          </cell>
          <cell r="AB32">
            <v>434507.47145333327</v>
          </cell>
          <cell r="AC32">
            <v>686417.05847825937</v>
          </cell>
          <cell r="AD32">
            <v>783277.98772385297</v>
          </cell>
          <cell r="AE32">
            <v>1904202.5176554455</v>
          </cell>
          <cell r="AF32">
            <v>7654.134</v>
          </cell>
          <cell r="AG32">
            <v>42292.326000000001</v>
          </cell>
          <cell r="AH32">
            <v>26949.698</v>
          </cell>
          <cell r="AI32">
            <v>-3838.7469999999994</v>
          </cell>
          <cell r="AJ32">
            <v>1497.846</v>
          </cell>
          <cell r="AK32">
            <v>0</v>
          </cell>
          <cell r="AL32">
            <v>74555.257000000012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-1329700</v>
          </cell>
          <cell r="AT32">
            <v>0</v>
          </cell>
          <cell r="AU32">
            <v>-1293292.17</v>
          </cell>
        </row>
        <row r="33">
          <cell r="D33" t="str">
            <v>매출이익</v>
          </cell>
          <cell r="E33">
            <v>7086122.1786407894</v>
          </cell>
          <cell r="F33">
            <v>684464.13970953366</v>
          </cell>
          <cell r="G33">
            <v>350083.58613103861</v>
          </cell>
          <cell r="H33">
            <v>499392.70106913755</v>
          </cell>
          <cell r="I33">
            <v>310369.33569917199</v>
          </cell>
          <cell r="J33">
            <v>330105.89076329349</v>
          </cell>
          <cell r="K33">
            <v>517401.64000825188</v>
          </cell>
          <cell r="L33">
            <v>184015.40907559043</v>
          </cell>
          <cell r="M33">
            <v>276192.8770800666</v>
          </cell>
          <cell r="N33">
            <v>148543.09149579064</v>
          </cell>
          <cell r="O33">
            <v>304638.50226682727</v>
          </cell>
          <cell r="P33">
            <v>341317.21249514539</v>
          </cell>
          <cell r="Q33">
            <v>148766.92459487182</v>
          </cell>
          <cell r="R33">
            <v>429246.74489918118</v>
          </cell>
          <cell r="S33">
            <v>278088.41569230496</v>
          </cell>
          <cell r="T33">
            <v>227419.48049631168</v>
          </cell>
          <cell r="U33">
            <v>98671.782009758928</v>
          </cell>
          <cell r="V33">
            <v>137514.35404199408</v>
          </cell>
          <cell r="W33">
            <v>0</v>
          </cell>
          <cell r="X33">
            <v>0</v>
          </cell>
          <cell r="Y33">
            <v>0</v>
          </cell>
          <cell r="Z33">
            <v>5266232.087528266</v>
          </cell>
          <cell r="AA33">
            <v>189794.1426526336</v>
          </cell>
          <cell r="AB33">
            <v>184741.29761333345</v>
          </cell>
          <cell r="AC33">
            <v>61724.4721324821</v>
          </cell>
          <cell r="AD33">
            <v>-14.234619258902967</v>
          </cell>
          <cell r="AE33">
            <v>246451.53512655688</v>
          </cell>
          <cell r="AF33">
            <v>4845.866</v>
          </cell>
          <cell r="AG33">
            <v>7707.6739999999991</v>
          </cell>
          <cell r="AH33">
            <v>1390.3019999999997</v>
          </cell>
          <cell r="AI33">
            <v>70886.247333333333</v>
          </cell>
          <cell r="AJ33">
            <v>3752.154</v>
          </cell>
          <cell r="AK33">
            <v>0</v>
          </cell>
          <cell r="AL33">
            <v>88582.243333333317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1329700</v>
          </cell>
          <cell r="AT33">
            <v>1770</v>
          </cell>
          <cell r="AU33">
            <v>1295062.17</v>
          </cell>
        </row>
        <row r="34">
          <cell r="D34" t="str">
            <v>판관비</v>
          </cell>
          <cell r="E34">
            <v>3506442.4752608631</v>
          </cell>
          <cell r="F34">
            <v>440335.26967046992</v>
          </cell>
          <cell r="G34">
            <v>320966.98801346455</v>
          </cell>
          <cell r="H34">
            <v>284314.68963099009</v>
          </cell>
          <cell r="I34">
            <v>186130.0438276747</v>
          </cell>
          <cell r="J34">
            <v>237929.82996664345</v>
          </cell>
          <cell r="K34">
            <v>270915.20977862034</v>
          </cell>
          <cell r="L34">
            <v>137127.74427777209</v>
          </cell>
          <cell r="M34">
            <v>195362.05540544959</v>
          </cell>
          <cell r="N34">
            <v>117193.64818101954</v>
          </cell>
          <cell r="O34">
            <v>186436.24221670534</v>
          </cell>
          <cell r="P34">
            <v>171519.05661873668</v>
          </cell>
          <cell r="Q34">
            <v>120815.54984474515</v>
          </cell>
          <cell r="R34">
            <v>242415.24657820299</v>
          </cell>
          <cell r="S34">
            <v>140429.97976268898</v>
          </cell>
          <cell r="T34">
            <v>78029.133089555544</v>
          </cell>
          <cell r="U34">
            <v>54863.987647851893</v>
          </cell>
          <cell r="V34">
            <v>78266.373305812274</v>
          </cell>
          <cell r="W34">
            <v>0</v>
          </cell>
          <cell r="X34">
            <v>0</v>
          </cell>
          <cell r="Y34">
            <v>0</v>
          </cell>
          <cell r="Z34">
            <v>3263051.0478164032</v>
          </cell>
          <cell r="AA34">
            <v>124331.04000000001</v>
          </cell>
          <cell r="AB34">
            <v>10024.273013815753</v>
          </cell>
          <cell r="AC34">
            <v>12110.762799124243</v>
          </cell>
          <cell r="AD34">
            <v>13049.714187060001</v>
          </cell>
          <cell r="AE34">
            <v>35184.75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44660.370444459644</v>
          </cell>
          <cell r="AN34">
            <v>2918.598</v>
          </cell>
          <cell r="AO34">
            <v>498.673</v>
          </cell>
          <cell r="AP34">
            <v>6998.17</v>
          </cell>
          <cell r="AQ34">
            <v>-4651.2729999999992</v>
          </cell>
          <cell r="AR34">
            <v>26888.569999999996</v>
          </cell>
          <cell r="AS34">
            <v>0</v>
          </cell>
          <cell r="AT34">
            <v>6562.5290000000005</v>
          </cell>
          <cell r="AU34">
            <v>83875.637444459644</v>
          </cell>
        </row>
        <row r="35">
          <cell r="D35" t="str">
            <v>영업이익</v>
          </cell>
          <cell r="E35">
            <v>3579679.7033799263</v>
          </cell>
          <cell r="F35">
            <v>244128.87003906374</v>
          </cell>
          <cell r="G35">
            <v>29116.59811757406</v>
          </cell>
          <cell r="H35">
            <v>215078.01143814746</v>
          </cell>
          <cell r="I35">
            <v>124239.29187149729</v>
          </cell>
          <cell r="J35">
            <v>92176.060796650039</v>
          </cell>
          <cell r="K35">
            <v>246486.43022963154</v>
          </cell>
          <cell r="L35">
            <v>46887.664797818346</v>
          </cell>
          <cell r="M35">
            <v>80830.821674617007</v>
          </cell>
          <cell r="N35">
            <v>31349.443314771095</v>
          </cell>
          <cell r="O35">
            <v>118202.26005012193</v>
          </cell>
          <cell r="P35">
            <v>169798.15587640871</v>
          </cell>
          <cell r="Q35">
            <v>27951.374750126663</v>
          </cell>
          <cell r="R35">
            <v>186831.49832097819</v>
          </cell>
          <cell r="S35">
            <v>137658.43592961598</v>
          </cell>
          <cell r="T35">
            <v>149390.34740675613</v>
          </cell>
          <cell r="U35">
            <v>43807.794361907036</v>
          </cell>
          <cell r="V35">
            <v>59247.980736181809</v>
          </cell>
          <cell r="W35">
            <v>0</v>
          </cell>
          <cell r="X35">
            <v>0</v>
          </cell>
          <cell r="Y35">
            <v>0</v>
          </cell>
          <cell r="Z35">
            <v>2003181.0397118628</v>
          </cell>
          <cell r="AA35">
            <v>65463.102652633592</v>
          </cell>
          <cell r="AB35">
            <v>174717.0245995177</v>
          </cell>
          <cell r="AC35">
            <v>49613.70933335786</v>
          </cell>
          <cell r="AD35">
            <v>-13063.948806318904</v>
          </cell>
          <cell r="AE35">
            <v>211266.78512655688</v>
          </cell>
          <cell r="AF35">
            <v>4845.866</v>
          </cell>
          <cell r="AG35">
            <v>7707.6739999999991</v>
          </cell>
          <cell r="AH35">
            <v>1390.3019999999997</v>
          </cell>
          <cell r="AI35">
            <v>70886.247333333333</v>
          </cell>
          <cell r="AJ35">
            <v>3752.154</v>
          </cell>
          <cell r="AK35">
            <v>0</v>
          </cell>
          <cell r="AL35">
            <v>88582.243333333317</v>
          </cell>
          <cell r="AM35">
            <v>-44660.370444459644</v>
          </cell>
          <cell r="AN35">
            <v>-2918.598</v>
          </cell>
          <cell r="AO35">
            <v>-498.673</v>
          </cell>
          <cell r="AP35">
            <v>-6998.17</v>
          </cell>
          <cell r="AQ35">
            <v>4651.2729999999992</v>
          </cell>
          <cell r="AR35">
            <v>-63296.399999999994</v>
          </cell>
          <cell r="AS35">
            <v>1329700</v>
          </cell>
          <cell r="AT35">
            <v>-4792.5290000000005</v>
          </cell>
          <cell r="AU35">
            <v>1211186.5325555403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/>
      <sheetData sheetId="7">
        <row r="6">
          <cell r="F6" t="str">
            <v>합계</v>
          </cell>
        </row>
      </sheetData>
      <sheetData sheetId="8" refreshError="1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35374</v>
          </cell>
          <cell r="H7">
            <v>28969</v>
          </cell>
          <cell r="I7">
            <v>31124.2</v>
          </cell>
          <cell r="J7">
            <v>11818</v>
          </cell>
          <cell r="K7">
            <v>18738</v>
          </cell>
          <cell r="L7">
            <v>23641</v>
          </cell>
          <cell r="M7">
            <v>12699</v>
          </cell>
          <cell r="N7">
            <v>19584</v>
          </cell>
          <cell r="O7">
            <v>12081</v>
          </cell>
          <cell r="P7">
            <v>20596</v>
          </cell>
          <cell r="Q7">
            <v>15957</v>
          </cell>
          <cell r="R7">
            <v>14496</v>
          </cell>
          <cell r="S7">
            <v>30673</v>
          </cell>
          <cell r="T7">
            <v>6349</v>
          </cell>
          <cell r="U7">
            <v>10450</v>
          </cell>
          <cell r="V7">
            <v>7993.5</v>
          </cell>
          <cell r="W7">
            <v>4611</v>
          </cell>
          <cell r="Z7">
            <v>305153.7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305153.7</v>
          </cell>
          <cell r="AJ7">
            <v>18490</v>
          </cell>
          <cell r="AK7">
            <v>24944</v>
          </cell>
          <cell r="AL7">
            <v>32890</v>
          </cell>
          <cell r="AN7">
            <v>76324</v>
          </cell>
          <cell r="AO7">
            <v>7982.0609999999997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40293560.798</v>
          </cell>
          <cell r="G8">
            <v>3552147.2710000002</v>
          </cell>
          <cell r="H8">
            <v>2858298.4539999999</v>
          </cell>
          <cell r="I8">
            <v>2951588.2959999996</v>
          </cell>
          <cell r="J8">
            <v>1148841.0190000001</v>
          </cell>
          <cell r="K8">
            <v>1988339.15</v>
          </cell>
          <cell r="L8">
            <v>2359632.4909999999</v>
          </cell>
          <cell r="M8">
            <v>1187941.6000000001</v>
          </cell>
          <cell r="N8">
            <v>1952774</v>
          </cell>
          <cell r="O8">
            <v>1127283.8</v>
          </cell>
          <cell r="P8">
            <v>2041957.6</v>
          </cell>
          <cell r="Q8">
            <v>1689666.57</v>
          </cell>
          <cell r="R8">
            <v>1547399.15</v>
          </cell>
          <cell r="S8">
            <v>3094929.46</v>
          </cell>
          <cell r="T8">
            <v>730514.9</v>
          </cell>
          <cell r="U8">
            <v>1231434.6000000001</v>
          </cell>
          <cell r="V8">
            <v>745842.6</v>
          </cell>
          <cell r="W8">
            <v>568446.84699999995</v>
          </cell>
          <cell r="Z8">
            <v>30777037.808000002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30867877.808000002</v>
          </cell>
          <cell r="AJ8">
            <v>536244</v>
          </cell>
          <cell r="AK8">
            <v>344552</v>
          </cell>
          <cell r="AL8">
            <v>596203</v>
          </cell>
          <cell r="AN8">
            <v>1476999</v>
          </cell>
          <cell r="AO8">
            <v>7873344.7779999999</v>
          </cell>
          <cell r="AP8">
            <v>0</v>
          </cell>
          <cell r="AS8">
            <v>7873344.7779999999</v>
          </cell>
          <cell r="AT8">
            <v>5512.5</v>
          </cell>
          <cell r="AU8">
            <v>6850</v>
          </cell>
          <cell r="AV8">
            <v>61272.712</v>
          </cell>
          <cell r="BA8">
            <v>73635.212</v>
          </cell>
          <cell r="BB8">
            <v>0</v>
          </cell>
          <cell r="BC8">
            <v>1704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1704</v>
          </cell>
        </row>
        <row r="9">
          <cell r="G9">
            <v>100416.89577090519</v>
          </cell>
          <cell r="H9">
            <v>98667.487797300564</v>
          </cell>
          <cell r="I9">
            <v>94832.583520218977</v>
          </cell>
          <cell r="J9">
            <v>97211.1202403114</v>
          </cell>
          <cell r="K9">
            <v>106112.66677340164</v>
          </cell>
          <cell r="L9">
            <v>99811.027071612873</v>
          </cell>
          <cell r="M9">
            <v>93546.074494054657</v>
          </cell>
          <cell r="N9">
            <v>99712.724673202611</v>
          </cell>
          <cell r="O9">
            <v>93310.47098750103</v>
          </cell>
          <cell r="P9">
            <v>99143.406486696447</v>
          </cell>
          <cell r="Q9">
            <v>105888.73660462494</v>
          </cell>
          <cell r="R9">
            <v>106746.63010485651</v>
          </cell>
          <cell r="S9">
            <v>100900.77462263228</v>
          </cell>
          <cell r="T9">
            <v>115059.83619467633</v>
          </cell>
          <cell r="U9">
            <v>117840.63157894737</v>
          </cell>
          <cell r="V9">
            <v>93306.136235691491</v>
          </cell>
          <cell r="W9">
            <v>123280.60008674907</v>
          </cell>
          <cell r="Z9">
            <v>100857.49511803397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101155.18116935826</v>
          </cell>
          <cell r="AJ9">
            <v>29001.838831800975</v>
          </cell>
          <cell r="AK9">
            <v>13813.021167415009</v>
          </cell>
          <cell r="AL9">
            <v>18127.181514138036</v>
          </cell>
          <cell r="AO9">
            <v>986379.93094765872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35414157.904890001</v>
          </cell>
          <cell r="G10">
            <v>3128713.64004</v>
          </cell>
          <cell r="H10">
            <v>2590635.36418</v>
          </cell>
          <cell r="I10">
            <v>2632171.6113699996</v>
          </cell>
          <cell r="J10">
            <v>985622.02052000002</v>
          </cell>
          <cell r="K10">
            <v>1746981.77682</v>
          </cell>
          <cell r="L10">
            <v>2017885.8314500002</v>
          </cell>
          <cell r="M10">
            <v>1078762.41606</v>
          </cell>
          <cell r="N10">
            <v>1735654.5889100002</v>
          </cell>
          <cell r="O10">
            <v>1009654.85962</v>
          </cell>
          <cell r="P10">
            <v>1687526.7488199999</v>
          </cell>
          <cell r="Q10">
            <v>1354346.65784</v>
          </cell>
          <cell r="R10">
            <v>1235767.21007</v>
          </cell>
          <cell r="S10">
            <v>2512145.2951700003</v>
          </cell>
          <cell r="T10">
            <v>554461.45975000004</v>
          </cell>
          <cell r="U10">
            <v>848176.64963999996</v>
          </cell>
          <cell r="V10">
            <v>667614.82166999998</v>
          </cell>
          <cell r="W10">
            <v>478350.15122</v>
          </cell>
          <cell r="Z10">
            <v>26264471.103150003</v>
          </cell>
          <cell r="AA10">
            <v>35751.699999999997</v>
          </cell>
          <cell r="AB10">
            <v>0</v>
          </cell>
          <cell r="AC10">
            <v>46179.544000000002</v>
          </cell>
          <cell r="AD10">
            <v>25954.471000000001</v>
          </cell>
          <cell r="AH10">
            <v>107885.71500000001</v>
          </cell>
          <cell r="AI10">
            <v>26372356.818150003</v>
          </cell>
          <cell r="AJ10">
            <v>539640.21857999999</v>
          </cell>
          <cell r="AK10">
            <v>298327.05118000001</v>
          </cell>
          <cell r="AL10">
            <v>527730.78598000004</v>
          </cell>
          <cell r="AN10">
            <v>1365698.0557400002</v>
          </cell>
          <cell r="AO10">
            <v>7592347.5789999999</v>
          </cell>
          <cell r="AP10">
            <v>0</v>
          </cell>
          <cell r="AS10">
            <v>7592347.5789999999</v>
          </cell>
          <cell r="AT10">
            <v>139.71899999999999</v>
          </cell>
          <cell r="AU10">
            <v>185.1</v>
          </cell>
          <cell r="AV10">
            <v>0</v>
          </cell>
          <cell r="BA10">
            <v>324.81899999999996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83430.633000000002</v>
          </cell>
          <cell r="BJ10">
            <v>83430.633000000002</v>
          </cell>
        </row>
        <row r="11">
          <cell r="G11">
            <v>88446.702098716574</v>
          </cell>
          <cell r="H11">
            <v>89427.849224343256</v>
          </cell>
          <cell r="I11">
            <v>84569.93629940688</v>
          </cell>
          <cell r="J11">
            <v>83400.069429683543</v>
          </cell>
          <cell r="K11">
            <v>93232.029929554905</v>
          </cell>
          <cell r="L11">
            <v>85355.350088828738</v>
          </cell>
          <cell r="M11">
            <v>84948.611391448139</v>
          </cell>
          <cell r="N11">
            <v>88626.153436989378</v>
          </cell>
          <cell r="O11">
            <v>83573.781940236746</v>
          </cell>
          <cell r="P11">
            <v>81934.683861914935</v>
          </cell>
          <cell r="Q11">
            <v>84874.767051450777</v>
          </cell>
          <cell r="R11">
            <v>85248.841754277033</v>
          </cell>
          <cell r="S11">
            <v>81900.867054738716</v>
          </cell>
          <cell r="T11">
            <v>87330.518152464967</v>
          </cell>
          <cell r="U11">
            <v>81165.229630622009</v>
          </cell>
          <cell r="V11">
            <v>83519.712475136053</v>
          </cell>
          <cell r="W11">
            <v>103741.08679679029</v>
          </cell>
          <cell r="Z11">
            <v>86069.646552376726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86423.192044369775</v>
          </cell>
          <cell r="AJ11">
            <v>29185.517500270413</v>
          </cell>
          <cell r="AK11">
            <v>11959.872160840283</v>
          </cell>
          <cell r="AL11">
            <v>16045.326420796595</v>
          </cell>
          <cell r="AO11">
            <v>951176.34142359975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4879402.8931099996</v>
          </cell>
          <cell r="G12">
            <v>423433.63096000021</v>
          </cell>
          <cell r="H12">
            <v>267663.08981999988</v>
          </cell>
          <cell r="I12">
            <v>319416.68463000003</v>
          </cell>
          <cell r="J12">
            <v>163218.99848000007</v>
          </cell>
          <cell r="K12">
            <v>241357.37317999988</v>
          </cell>
          <cell r="L12">
            <v>341746.65954999975</v>
          </cell>
          <cell r="M12">
            <v>109179.18394000013</v>
          </cell>
          <cell r="N12">
            <v>217119.41108999983</v>
          </cell>
          <cell r="O12">
            <v>117628.94038000004</v>
          </cell>
          <cell r="P12">
            <v>354430.85118000023</v>
          </cell>
          <cell r="Q12">
            <v>335319.91216000007</v>
          </cell>
          <cell r="R12">
            <v>311631.93992999988</v>
          </cell>
          <cell r="S12">
            <v>582784.16482999967</v>
          </cell>
          <cell r="T12">
            <v>176053.44024999999</v>
          </cell>
          <cell r="U12">
            <v>383257.95036000013</v>
          </cell>
          <cell r="V12">
            <v>78227.778330000001</v>
          </cell>
          <cell r="W12">
            <v>90096.695779999951</v>
          </cell>
          <cell r="Z12">
            <v>4512566.7048499994</v>
          </cell>
          <cell r="AA12">
            <v>14248.300000000003</v>
          </cell>
          <cell r="AB12">
            <v>0</v>
          </cell>
          <cell r="AC12">
            <v>-33679.544000000002</v>
          </cell>
          <cell r="AD12">
            <v>2385.5289999999986</v>
          </cell>
          <cell r="AH12">
            <v>-17045.715000000011</v>
          </cell>
          <cell r="AI12">
            <v>4495520.9898499995</v>
          </cell>
          <cell r="AJ12">
            <v>-3396.2185799999861</v>
          </cell>
          <cell r="AK12">
            <v>46224.948819999991</v>
          </cell>
          <cell r="AL12">
            <v>68472.214019999956</v>
          </cell>
          <cell r="AN12">
            <v>111300.94425999979</v>
          </cell>
          <cell r="AO12">
            <v>280997.19900000002</v>
          </cell>
          <cell r="AP12">
            <v>0</v>
          </cell>
          <cell r="AS12">
            <v>280997.19900000002</v>
          </cell>
          <cell r="AT12">
            <v>5372.7809999999999</v>
          </cell>
          <cell r="AU12">
            <v>6664.9</v>
          </cell>
          <cell r="AV12">
            <v>61272.712</v>
          </cell>
          <cell r="BA12">
            <v>73310.392999999996</v>
          </cell>
          <cell r="BB12">
            <v>0</v>
          </cell>
          <cell r="BC12">
            <v>1704</v>
          </cell>
          <cell r="BD12">
            <v>0</v>
          </cell>
          <cell r="BE12">
            <v>0</v>
          </cell>
          <cell r="BF12">
            <v>0</v>
          </cell>
          <cell r="BG12">
            <v>-83430.633000000002</v>
          </cell>
          <cell r="BJ12">
            <v>-81726.633000000002</v>
          </cell>
        </row>
        <row r="13">
          <cell r="F13">
            <v>812770.49600000004</v>
          </cell>
          <cell r="G13">
            <v>66782.379000000001</v>
          </cell>
          <cell r="H13">
            <v>58896.055000000008</v>
          </cell>
          <cell r="I13">
            <v>46056.258000000002</v>
          </cell>
          <cell r="J13">
            <v>32772.144999999997</v>
          </cell>
          <cell r="K13">
            <v>47421.748999999996</v>
          </cell>
          <cell r="L13">
            <v>46960.271000000001</v>
          </cell>
          <cell r="M13">
            <v>35429.499000000003</v>
          </cell>
          <cell r="N13">
            <v>44449.044999999998</v>
          </cell>
          <cell r="O13">
            <v>28324.021000000001</v>
          </cell>
          <cell r="P13">
            <v>41654.851999999999</v>
          </cell>
          <cell r="Q13">
            <v>34921.156000000003</v>
          </cell>
          <cell r="R13">
            <v>25574.569000000003</v>
          </cell>
          <cell r="S13">
            <v>41214.762000000002</v>
          </cell>
          <cell r="T13">
            <v>12712.237999999999</v>
          </cell>
          <cell r="U13">
            <v>13214.586000000001</v>
          </cell>
          <cell r="V13">
            <v>30934.908000000003</v>
          </cell>
          <cell r="W13">
            <v>13569.567999999999</v>
          </cell>
          <cell r="Z13">
            <v>620888.06099999999</v>
          </cell>
          <cell r="AA13">
            <v>0</v>
          </cell>
          <cell r="AB13">
            <v>777.654</v>
          </cell>
          <cell r="AC13">
            <v>0</v>
          </cell>
          <cell r="AD13">
            <v>0</v>
          </cell>
          <cell r="AH13">
            <v>777.654</v>
          </cell>
          <cell r="AI13">
            <v>621665.71500000008</v>
          </cell>
          <cell r="AJ13">
            <v>460</v>
          </cell>
          <cell r="AK13">
            <v>351.56</v>
          </cell>
          <cell r="AL13">
            <v>0</v>
          </cell>
          <cell r="AN13">
            <v>811.56</v>
          </cell>
          <cell r="AO13">
            <v>125276.984</v>
          </cell>
          <cell r="AP13">
            <v>0</v>
          </cell>
          <cell r="AS13">
            <v>125276.984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65016.236999999994</v>
          </cell>
          <cell r="BG13">
            <v>0</v>
          </cell>
          <cell r="BJ13">
            <v>65016.236999999994</v>
          </cell>
        </row>
        <row r="14">
          <cell r="F14">
            <v>538747.74800000002</v>
          </cell>
          <cell r="G14">
            <v>47628.108999999997</v>
          </cell>
          <cell r="H14">
            <v>40041.236000000004</v>
          </cell>
          <cell r="I14">
            <v>31315.286</v>
          </cell>
          <cell r="J14">
            <v>25662.346999999998</v>
          </cell>
          <cell r="K14">
            <v>31651.647000000001</v>
          </cell>
          <cell r="L14">
            <v>33662.974999999999</v>
          </cell>
          <cell r="M14">
            <v>25713.387000000002</v>
          </cell>
          <cell r="N14">
            <v>33865.167000000001</v>
          </cell>
          <cell r="O14">
            <v>20991.881000000001</v>
          </cell>
          <cell r="P14">
            <v>31898.278000000002</v>
          </cell>
          <cell r="Q14">
            <v>26605.57</v>
          </cell>
          <cell r="R14">
            <v>19161.588000000003</v>
          </cell>
          <cell r="S14">
            <v>32058.616000000002</v>
          </cell>
          <cell r="T14">
            <v>7177.6619999999994</v>
          </cell>
          <cell r="U14">
            <v>7157.8350000000009</v>
          </cell>
          <cell r="V14">
            <v>22281.048000000003</v>
          </cell>
          <cell r="W14">
            <v>10286.402</v>
          </cell>
          <cell r="Z14">
            <v>447159.03400000004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447159.03400000004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91582.558000000005</v>
          </cell>
          <cell r="AP14">
            <v>0</v>
          </cell>
          <cell r="AS14">
            <v>91582.558000000005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6.1559999999999997</v>
          </cell>
          <cell r="BG14">
            <v>0</v>
          </cell>
          <cell r="BJ14">
            <v>6.1559999999999997</v>
          </cell>
        </row>
        <row r="15">
          <cell r="F15">
            <v>274022.74800000002</v>
          </cell>
          <cell r="G15">
            <v>19154.27</v>
          </cell>
          <cell r="H15">
            <v>18854.819</v>
          </cell>
          <cell r="I15">
            <v>14740.972</v>
          </cell>
          <cell r="J15">
            <v>7109.7979999999989</v>
          </cell>
          <cell r="K15">
            <v>15770.101999999999</v>
          </cell>
          <cell r="L15">
            <v>13297.296</v>
          </cell>
          <cell r="M15">
            <v>9716.112000000001</v>
          </cell>
          <cell r="N15">
            <v>10583.878000000001</v>
          </cell>
          <cell r="O15">
            <v>7332.14</v>
          </cell>
          <cell r="P15">
            <v>9756.5740000000005</v>
          </cell>
          <cell r="Q15">
            <v>8315.5859999999993</v>
          </cell>
          <cell r="R15">
            <v>6412.9809999999998</v>
          </cell>
          <cell r="S15">
            <v>9156.1460000000006</v>
          </cell>
          <cell r="T15">
            <v>5534.576</v>
          </cell>
          <cell r="U15">
            <v>6056.7510000000002</v>
          </cell>
          <cell r="V15">
            <v>8653.8599999999988</v>
          </cell>
          <cell r="W15">
            <v>3283.1660000000002</v>
          </cell>
          <cell r="Z15">
            <v>173729.027</v>
          </cell>
          <cell r="AA15">
            <v>0</v>
          </cell>
          <cell r="AB15">
            <v>777.654</v>
          </cell>
          <cell r="AC15">
            <v>0</v>
          </cell>
          <cell r="AD15">
            <v>0</v>
          </cell>
          <cell r="AH15">
            <v>777.654</v>
          </cell>
          <cell r="AI15">
            <v>174506.68100000001</v>
          </cell>
          <cell r="AJ15">
            <v>460</v>
          </cell>
          <cell r="AK15">
            <v>351.56</v>
          </cell>
          <cell r="AL15">
            <v>0</v>
          </cell>
          <cell r="AN15">
            <v>811.56</v>
          </cell>
          <cell r="AO15">
            <v>33694.425999999999</v>
          </cell>
          <cell r="AP15">
            <v>0</v>
          </cell>
          <cell r="AS15">
            <v>33694.425999999999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65010.080999999991</v>
          </cell>
          <cell r="BG15">
            <v>0</v>
          </cell>
          <cell r="BJ15">
            <v>65010.080999999991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4066632.3971099993</v>
          </cell>
          <cell r="G17">
            <v>356651.2519600002</v>
          </cell>
          <cell r="H17">
            <v>208767.03481999988</v>
          </cell>
          <cell r="I17">
            <v>273360.42663</v>
          </cell>
          <cell r="J17">
            <v>130446.85348000008</v>
          </cell>
          <cell r="K17">
            <v>193935.62417999987</v>
          </cell>
          <cell r="L17">
            <v>294786.38854999974</v>
          </cell>
          <cell r="M17">
            <v>73749.684940000123</v>
          </cell>
          <cell r="N17">
            <v>172670.36608999985</v>
          </cell>
          <cell r="O17">
            <v>89304.919380000036</v>
          </cell>
          <cell r="P17">
            <v>312775.99918000022</v>
          </cell>
          <cell r="Q17">
            <v>300398.75616000005</v>
          </cell>
          <cell r="R17">
            <v>286057.37092999986</v>
          </cell>
          <cell r="S17">
            <v>541569.40282999969</v>
          </cell>
          <cell r="T17">
            <v>163341.20224999997</v>
          </cell>
          <cell r="U17">
            <v>370043.36436000012</v>
          </cell>
          <cell r="V17">
            <v>47292.870329999998</v>
          </cell>
          <cell r="W17">
            <v>76527.127779999952</v>
          </cell>
          <cell r="Z17">
            <v>3891678.6438499996</v>
          </cell>
          <cell r="AA17">
            <v>14248.300000000003</v>
          </cell>
          <cell r="AB17">
            <v>-777.654</v>
          </cell>
          <cell r="AC17">
            <v>-33679.544000000002</v>
          </cell>
          <cell r="AD17">
            <v>2385.5289999999986</v>
          </cell>
          <cell r="AH17">
            <v>-17823.36900000001</v>
          </cell>
          <cell r="AI17">
            <v>3873855.2748499997</v>
          </cell>
          <cell r="AJ17">
            <v>-3856.2185799999861</v>
          </cell>
          <cell r="AK17">
            <v>45873.388819999993</v>
          </cell>
          <cell r="AL17">
            <v>68472.214019999956</v>
          </cell>
          <cell r="AN17">
            <v>110489.38425999979</v>
          </cell>
          <cell r="AO17">
            <v>155720.21500000003</v>
          </cell>
          <cell r="AP17">
            <v>0</v>
          </cell>
          <cell r="AS17">
            <v>155720.21500000003</v>
          </cell>
          <cell r="AT17">
            <v>5372.7809999999999</v>
          </cell>
          <cell r="AU17">
            <v>6664.9</v>
          </cell>
          <cell r="AV17">
            <v>61272.712</v>
          </cell>
          <cell r="BA17">
            <v>73310.392999999996</v>
          </cell>
          <cell r="BB17">
            <v>0</v>
          </cell>
          <cell r="BC17">
            <v>1704</v>
          </cell>
          <cell r="BD17">
            <v>0</v>
          </cell>
          <cell r="BE17">
            <v>0</v>
          </cell>
          <cell r="BF17">
            <v>-65016.236999999994</v>
          </cell>
          <cell r="BG17">
            <v>-83430.633000000002</v>
          </cell>
          <cell r="BJ17">
            <v>-146742.87</v>
          </cell>
        </row>
        <row r="18">
          <cell r="F18">
            <v>480568.69611000008</v>
          </cell>
          <cell r="G18">
            <v>29664.480960000001</v>
          </cell>
          <cell r="H18">
            <v>35040.951820000002</v>
          </cell>
          <cell r="I18">
            <v>17169.766630000002</v>
          </cell>
          <cell r="J18">
            <v>20928.72248</v>
          </cell>
          <cell r="K18">
            <v>75302.98818</v>
          </cell>
          <cell r="L18">
            <v>16092.64855</v>
          </cell>
          <cell r="M18">
            <v>15205.247939999999</v>
          </cell>
          <cell r="N18">
            <v>30289.077089999999</v>
          </cell>
          <cell r="O18">
            <v>10227.64438</v>
          </cell>
          <cell r="P18">
            <v>31282.298179999998</v>
          </cell>
          <cell r="Q18">
            <v>14616.973160000001</v>
          </cell>
          <cell r="R18">
            <v>12592.594929999999</v>
          </cell>
          <cell r="S18">
            <v>24418.521829999998</v>
          </cell>
          <cell r="T18">
            <v>5813.6002500000004</v>
          </cell>
          <cell r="U18">
            <v>10387.602360000001</v>
          </cell>
          <cell r="V18">
            <v>20866.223330000001</v>
          </cell>
          <cell r="W18">
            <v>11333.05378</v>
          </cell>
          <cell r="Z18">
            <v>381232.39585000009</v>
          </cell>
          <cell r="AA18">
            <v>5305.8140000000003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5659.4860000000008</v>
          </cell>
          <cell r="AI18">
            <v>386891.88185000006</v>
          </cell>
          <cell r="AJ18">
            <v>34371.703420000005</v>
          </cell>
          <cell r="AK18">
            <v>12497.70882</v>
          </cell>
          <cell r="AL18">
            <v>44329.412020000003</v>
          </cell>
          <cell r="AN18">
            <v>91198.824260000009</v>
          </cell>
          <cell r="AO18">
            <v>5550.375</v>
          </cell>
          <cell r="AP18">
            <v>855.83600000000001</v>
          </cell>
          <cell r="AS18">
            <v>6406.2110000000002</v>
          </cell>
          <cell r="AT18">
            <v>1312.8920000000001</v>
          </cell>
          <cell r="AU18">
            <v>-4103.3360000000002</v>
          </cell>
          <cell r="AV18">
            <v>0</v>
          </cell>
          <cell r="BA18">
            <v>-2790.4440000000004</v>
          </cell>
          <cell r="BB18">
            <v>0</v>
          </cell>
          <cell r="BC18">
            <v>7774.2269999999999</v>
          </cell>
          <cell r="BD18">
            <v>0</v>
          </cell>
          <cell r="BE18">
            <v>0</v>
          </cell>
          <cell r="BF18">
            <v>-8912.0040000000008</v>
          </cell>
          <cell r="BG18">
            <v>0</v>
          </cell>
          <cell r="BJ18">
            <v>-1137.777000000001</v>
          </cell>
        </row>
        <row r="19">
          <cell r="F19">
            <v>453352.00111000007</v>
          </cell>
          <cell r="G19">
            <v>27336.863960000002</v>
          </cell>
          <cell r="H19">
            <v>33095.820820000001</v>
          </cell>
          <cell r="I19">
            <v>15867.308630000001</v>
          </cell>
          <cell r="J19">
            <v>19736.73648</v>
          </cell>
          <cell r="K19">
            <v>73426.925180000006</v>
          </cell>
          <cell r="L19">
            <v>14528.24955</v>
          </cell>
          <cell r="M19">
            <v>14011.65094</v>
          </cell>
          <cell r="N19">
            <v>28725.775089999999</v>
          </cell>
          <cell r="O19">
            <v>9477.6103800000001</v>
          </cell>
          <cell r="P19">
            <v>30063.534179999999</v>
          </cell>
          <cell r="Q19">
            <v>13411.587160000001</v>
          </cell>
          <cell r="R19">
            <v>11490.440929999999</v>
          </cell>
          <cell r="S19">
            <v>22830.323829999998</v>
          </cell>
          <cell r="T19">
            <v>5443.2012500000001</v>
          </cell>
          <cell r="U19">
            <v>9944.7333600000002</v>
          </cell>
          <cell r="V19">
            <v>19739.36033</v>
          </cell>
          <cell r="W19">
            <v>10507.68478</v>
          </cell>
          <cell r="Z19">
            <v>359637.80685000005</v>
          </cell>
          <cell r="AA19">
            <v>5305.8140000000003</v>
          </cell>
          <cell r="AB19">
            <v>0</v>
          </cell>
          <cell r="AC19">
            <v>0</v>
          </cell>
          <cell r="AD19">
            <v>0</v>
          </cell>
          <cell r="AH19">
            <v>5305.8140000000003</v>
          </cell>
          <cell r="AI19">
            <v>364943.62085000006</v>
          </cell>
          <cell r="AJ19">
            <v>34371.703420000005</v>
          </cell>
          <cell r="AK19">
            <v>12497.70882</v>
          </cell>
          <cell r="AL19">
            <v>44329.412020000003</v>
          </cell>
          <cell r="AN19">
            <v>91198.824260000009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27216.694999999996</v>
          </cell>
          <cell r="G20">
            <v>2327.6170000000002</v>
          </cell>
          <cell r="H20">
            <v>1945.1310000000001</v>
          </cell>
          <cell r="I20">
            <v>1302.4580000000001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Z20">
            <v>21594.589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21948.260999999999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5550.375</v>
          </cell>
          <cell r="AP20">
            <v>855.83600000000001</v>
          </cell>
          <cell r="AS20">
            <v>6406.2110000000002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7774.2269999999999</v>
          </cell>
          <cell r="BD20">
            <v>0</v>
          </cell>
          <cell r="BE20">
            <v>0</v>
          </cell>
          <cell r="BF20">
            <v>-8912.0040000000008</v>
          </cell>
          <cell r="BG20">
            <v>0</v>
          </cell>
          <cell r="BJ20">
            <v>-1137.777000000001</v>
          </cell>
        </row>
        <row r="21">
          <cell r="F21">
            <v>3586063.7009999994</v>
          </cell>
          <cell r="G21">
            <v>326986.77100000018</v>
          </cell>
          <cell r="H21">
            <v>173726.08299999987</v>
          </cell>
          <cell r="I21">
            <v>256190.66</v>
          </cell>
          <cell r="J21">
            <v>109518.13100000008</v>
          </cell>
          <cell r="K21">
            <v>118632.63599999987</v>
          </cell>
          <cell r="L21">
            <v>278693.73999999976</v>
          </cell>
          <cell r="M21">
            <v>58544.437000000122</v>
          </cell>
          <cell r="N21">
            <v>142381.28899999984</v>
          </cell>
          <cell r="O21">
            <v>79077.275000000038</v>
          </cell>
          <cell r="P21">
            <v>281493.70100000023</v>
          </cell>
          <cell r="Q21">
            <v>285781.78300000005</v>
          </cell>
          <cell r="R21">
            <v>273464.77599999984</v>
          </cell>
          <cell r="S21">
            <v>517150.8809999997</v>
          </cell>
          <cell r="T21">
            <v>157527.60199999998</v>
          </cell>
          <cell r="U21">
            <v>359655.7620000001</v>
          </cell>
          <cell r="V21">
            <v>26426.646999999997</v>
          </cell>
          <cell r="W21">
            <v>65194.07399999995</v>
          </cell>
          <cell r="Z21">
            <v>3510446.2479999997</v>
          </cell>
          <cell r="AA21">
            <v>8942.4860000000026</v>
          </cell>
          <cell r="AB21">
            <v>-1131.326</v>
          </cell>
          <cell r="AC21">
            <v>-33679.544000000002</v>
          </cell>
          <cell r="AD21">
            <v>2385.5289999999986</v>
          </cell>
          <cell r="AH21">
            <v>-23482.85500000001</v>
          </cell>
          <cell r="AI21">
            <v>3486963.3929999997</v>
          </cell>
          <cell r="AJ21">
            <v>-38227.921999999991</v>
          </cell>
          <cell r="AK21">
            <v>33375.679999999993</v>
          </cell>
          <cell r="AL21">
            <v>24142.801999999952</v>
          </cell>
          <cell r="AN21">
            <v>19290.559999999779</v>
          </cell>
          <cell r="AO21">
            <v>150169.84000000003</v>
          </cell>
          <cell r="AP21">
            <v>-855.83600000000001</v>
          </cell>
          <cell r="AS21">
            <v>149314.00400000002</v>
          </cell>
          <cell r="AT21">
            <v>4059.8890000000001</v>
          </cell>
          <cell r="AU21">
            <v>10768.236000000001</v>
          </cell>
          <cell r="AV21">
            <v>61272.712</v>
          </cell>
          <cell r="BA21">
            <v>76100.837</v>
          </cell>
          <cell r="BB21">
            <v>0</v>
          </cell>
          <cell r="BC21">
            <v>-6070.2269999999999</v>
          </cell>
          <cell r="BD21">
            <v>0</v>
          </cell>
          <cell r="BE21">
            <v>0</v>
          </cell>
          <cell r="BF21">
            <v>-56104.232999999993</v>
          </cell>
          <cell r="BG21">
            <v>-83430.633000000002</v>
          </cell>
          <cell r="BJ21">
            <v>-145605.09299999999</v>
          </cell>
        </row>
        <row r="22">
          <cell r="F22">
            <v>1910414.5339977026</v>
          </cell>
          <cell r="G22">
            <v>287351.3376271603</v>
          </cell>
          <cell r="H22">
            <v>231222.36254110088</v>
          </cell>
          <cell r="I22">
            <v>238769.05439832775</v>
          </cell>
          <cell r="J22">
            <v>92935.618471039401</v>
          </cell>
          <cell r="K22">
            <v>162055.06996622618</v>
          </cell>
          <cell r="L22">
            <v>192316.49108935244</v>
          </cell>
          <cell r="M22">
            <v>96820.484123038434</v>
          </cell>
          <cell r="N22">
            <v>159156.41312913212</v>
          </cell>
          <cell r="O22">
            <v>91876.707794439077</v>
          </cell>
          <cell r="P22">
            <v>166425.120048593</v>
          </cell>
          <cell r="Q22">
            <v>137712.43915855273</v>
          </cell>
          <cell r="R22">
            <v>126117.25596155411</v>
          </cell>
          <cell r="S22">
            <v>245140.24932742113</v>
          </cell>
          <cell r="T22">
            <v>57861.934185535887</v>
          </cell>
          <cell r="U22">
            <v>97538.308635445646</v>
          </cell>
          <cell r="V22">
            <v>59075.99616923483</v>
          </cell>
          <cell r="W22">
            <v>45025.000926181492</v>
          </cell>
          <cell r="Z22">
            <v>2487399.8435523352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2487399.8435523352</v>
          </cell>
          <cell r="AJ22">
            <v>15738.616827381155</v>
          </cell>
          <cell r="AK22">
            <v>10112.508307986351</v>
          </cell>
          <cell r="AL22">
            <v>17498.39731</v>
          </cell>
          <cell r="AN22">
            <v>43349.522445367504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-620334.83200000005</v>
          </cell>
          <cell r="BF22">
            <v>0</v>
          </cell>
          <cell r="BG22">
            <v>0</v>
          </cell>
          <cell r="BJ22">
            <v>-620334.83200000005</v>
          </cell>
        </row>
        <row r="23">
          <cell r="F23">
            <v>229744.97099770349</v>
          </cell>
          <cell r="G23">
            <v>21779.760100823991</v>
          </cell>
          <cell r="H23">
            <v>17525.471179901448</v>
          </cell>
          <cell r="I23">
            <v>18097.471782239023</v>
          </cell>
          <cell r="J23">
            <v>7044.0440327695451</v>
          </cell>
          <cell r="K23">
            <v>13399.531657360143</v>
          </cell>
          <cell r="L23">
            <v>15901.698793633912</v>
          </cell>
          <cell r="M23">
            <v>8005.6066271667305</v>
          </cell>
          <cell r="N23">
            <v>13159.856070162778</v>
          </cell>
          <cell r="O23">
            <v>7596.8302313663362</v>
          </cell>
          <cell r="P23">
            <v>13760.869469470106</v>
          </cell>
          <cell r="Q23">
            <v>11386.759997708705</v>
          </cell>
          <cell r="R23">
            <v>10428.011688547789</v>
          </cell>
          <cell r="S23">
            <v>13751.954778038969</v>
          </cell>
          <cell r="T23">
            <v>3245.9569755375492</v>
          </cell>
          <cell r="U23">
            <v>5471.7347035471721</v>
          </cell>
          <cell r="V23">
            <v>3314.0638063960942</v>
          </cell>
          <cell r="W23">
            <v>2525.8266576656765</v>
          </cell>
          <cell r="Z23">
            <v>186395.44855233599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186395.44855233599</v>
          </cell>
          <cell r="AJ23">
            <v>15738.616827381155</v>
          </cell>
          <cell r="AK23">
            <v>10112.508307986351</v>
          </cell>
          <cell r="AL23">
            <v>17498.39731</v>
          </cell>
          <cell r="AN23">
            <v>43349.522445367504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1644377.7189999993</v>
          </cell>
          <cell r="G24">
            <v>189786.68003977824</v>
          </cell>
          <cell r="H24">
            <v>152715.22624532838</v>
          </cell>
          <cell r="I24">
            <v>157699.58304245831</v>
          </cell>
          <cell r="J24">
            <v>61381.104513762082</v>
          </cell>
          <cell r="K24">
            <v>106234.41464615292</v>
          </cell>
          <cell r="L24">
            <v>126072.14240157607</v>
          </cell>
          <cell r="M24">
            <v>63470.198486920286</v>
          </cell>
          <cell r="N24">
            <v>104334.21422408076</v>
          </cell>
          <cell r="O24">
            <v>60229.329907370658</v>
          </cell>
          <cell r="P24">
            <v>109099.1797693383</v>
          </cell>
          <cell r="Q24">
            <v>90276.721157516309</v>
          </cell>
          <cell r="R24">
            <v>82675.555085360858</v>
          </cell>
          <cell r="S24">
            <v>165358.11788156672</v>
          </cell>
          <cell r="T24">
            <v>39030.475656928524</v>
          </cell>
          <cell r="U24">
            <v>65793.97378260117</v>
          </cell>
          <cell r="V24">
            <v>39849.415040268548</v>
          </cell>
          <cell r="W24">
            <v>30371.38711899137</v>
          </cell>
          <cell r="Z24">
            <v>1644377.7189999993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1644377.7189999993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36291.843999999808</v>
          </cell>
          <cell r="G25">
            <v>75784.897486558053</v>
          </cell>
          <cell r="H25">
            <v>60981.665115871074</v>
          </cell>
          <cell r="I25">
            <v>62971.999573630434</v>
          </cell>
          <cell r="J25">
            <v>24510.469924507775</v>
          </cell>
          <cell r="K25">
            <v>42421.123662713122</v>
          </cell>
          <cell r="L25">
            <v>50342.649894142458</v>
          </cell>
          <cell r="M25">
            <v>25344.679008951414</v>
          </cell>
          <cell r="N25">
            <v>41662.342834888579</v>
          </cell>
          <cell r="O25">
            <v>24050.547655702085</v>
          </cell>
          <cell r="P25">
            <v>43565.070809784593</v>
          </cell>
          <cell r="Q25">
            <v>36048.958003327716</v>
          </cell>
          <cell r="R25">
            <v>33013.689187645461</v>
          </cell>
          <cell r="S25">
            <v>66030.176667815424</v>
          </cell>
          <cell r="T25">
            <v>15585.501553069813</v>
          </cell>
          <cell r="U25">
            <v>26272.600149297305</v>
          </cell>
          <cell r="V25">
            <v>15912.517322570186</v>
          </cell>
          <cell r="W25">
            <v>12127.787149524449</v>
          </cell>
          <cell r="Z25">
            <v>656626.67599999986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656626.67599999986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-620334.83200000005</v>
          </cell>
          <cell r="BF25">
            <v>0</v>
          </cell>
          <cell r="BG25">
            <v>0</v>
          </cell>
          <cell r="BJ25">
            <v>-620334.83200000005</v>
          </cell>
        </row>
        <row r="26">
          <cell r="F26">
            <v>1675649.1670022968</v>
          </cell>
          <cell r="G26">
            <v>39635.433372839878</v>
          </cell>
          <cell r="H26">
            <v>-57496.279541101016</v>
          </cell>
          <cell r="I26">
            <v>17421.605601672258</v>
          </cell>
          <cell r="J26">
            <v>16582.51252896068</v>
          </cell>
          <cell r="K26">
            <v>-43422.433966226308</v>
          </cell>
          <cell r="L26">
            <v>86377.248910647322</v>
          </cell>
          <cell r="M26">
            <v>-38276.047123038312</v>
          </cell>
          <cell r="N26">
            <v>-16775.12412913228</v>
          </cell>
          <cell r="O26">
            <v>-12799.432794439039</v>
          </cell>
          <cell r="P26">
            <v>115068.58095140723</v>
          </cell>
          <cell r="Q26">
            <v>148069.34384144732</v>
          </cell>
          <cell r="R26">
            <v>147347.52003844571</v>
          </cell>
          <cell r="S26">
            <v>272010.63167257857</v>
          </cell>
          <cell r="T26">
            <v>99665.667814464105</v>
          </cell>
          <cell r="U26">
            <v>262117.45336455444</v>
          </cell>
          <cell r="V26">
            <v>-32649.349169234833</v>
          </cell>
          <cell r="W26">
            <v>20169.073073818457</v>
          </cell>
          <cell r="Z26">
            <v>1023046.4044476645</v>
          </cell>
          <cell r="AA26">
            <v>8942.4860000000026</v>
          </cell>
          <cell r="AB26">
            <v>-1131.326</v>
          </cell>
          <cell r="AC26">
            <v>-33679.544000000002</v>
          </cell>
          <cell r="AD26">
            <v>2385.5289999999986</v>
          </cell>
          <cell r="AH26">
            <v>-23482.85500000001</v>
          </cell>
          <cell r="AI26">
            <v>999563.54944766453</v>
          </cell>
          <cell r="AJ26">
            <v>-53966.538827381148</v>
          </cell>
          <cell r="AK26">
            <v>23263.171692013642</v>
          </cell>
          <cell r="AL26">
            <v>6644.4046899999521</v>
          </cell>
          <cell r="AN26">
            <v>-24058.962445367724</v>
          </cell>
          <cell r="AO26">
            <v>150169.84000000003</v>
          </cell>
          <cell r="AP26">
            <v>-855.83600000000001</v>
          </cell>
          <cell r="AS26">
            <v>149314.00400000002</v>
          </cell>
          <cell r="AT26">
            <v>4059.8890000000001</v>
          </cell>
          <cell r="AU26">
            <v>10768.236000000001</v>
          </cell>
          <cell r="AV26">
            <v>61272.712</v>
          </cell>
          <cell r="BA26">
            <v>76100.837</v>
          </cell>
          <cell r="BB26">
            <v>0</v>
          </cell>
          <cell r="BC26">
            <v>-6070.2269999999999</v>
          </cell>
          <cell r="BD26">
            <v>0</v>
          </cell>
          <cell r="BE26">
            <v>620334.83200000005</v>
          </cell>
          <cell r="BF26">
            <v>-56104.232999999993</v>
          </cell>
          <cell r="BG26">
            <v>-83430.633000000002</v>
          </cell>
          <cell r="BJ26">
            <v>474729.73900000006</v>
          </cell>
        </row>
        <row r="27">
          <cell r="F27">
            <v>1675649.167002297</v>
          </cell>
          <cell r="G27">
            <v>39635.433372839907</v>
          </cell>
          <cell r="H27">
            <v>-57496.279541101016</v>
          </cell>
          <cell r="I27">
            <v>17421.605601672221</v>
          </cell>
          <cell r="J27">
            <v>16582.512528960662</v>
          </cell>
          <cell r="K27">
            <v>-43422.433966226323</v>
          </cell>
          <cell r="L27">
            <v>86377.248910647351</v>
          </cell>
          <cell r="M27">
            <v>-38276.047123038319</v>
          </cell>
          <cell r="N27">
            <v>-16775.124129132302</v>
          </cell>
          <cell r="O27">
            <v>-12799.432794439022</v>
          </cell>
          <cell r="P27">
            <v>115068.58095140725</v>
          </cell>
          <cell r="Q27">
            <v>148069.34384144732</v>
          </cell>
          <cell r="R27">
            <v>147347.52003844571</v>
          </cell>
          <cell r="S27">
            <v>272010.63167257851</v>
          </cell>
          <cell r="T27">
            <v>99665.667814464075</v>
          </cell>
          <cell r="U27">
            <v>262117.45336455444</v>
          </cell>
          <cell r="V27">
            <v>-32649.349169234829</v>
          </cell>
          <cell r="W27">
            <v>20169.073073818461</v>
          </cell>
          <cell r="Z27">
            <v>1023046.404447664</v>
          </cell>
          <cell r="AA27">
            <v>8942.4860000000026</v>
          </cell>
          <cell r="AB27">
            <v>-1131.326</v>
          </cell>
          <cell r="AC27">
            <v>-33679.544000000002</v>
          </cell>
          <cell r="AD27">
            <v>2385.5289999999986</v>
          </cell>
          <cell r="AH27">
            <v>-23482.855</v>
          </cell>
          <cell r="AI27">
            <v>999563.54944766406</v>
          </cell>
          <cell r="AJ27">
            <v>-53966.538827381148</v>
          </cell>
          <cell r="AK27">
            <v>23263.171692013639</v>
          </cell>
          <cell r="AL27">
            <v>6644.4046899999521</v>
          </cell>
          <cell r="AN27">
            <v>-24058.962445367557</v>
          </cell>
          <cell r="AO27">
            <v>150169.84</v>
          </cell>
          <cell r="AP27">
            <v>-855.83600000000001</v>
          </cell>
          <cell r="AS27">
            <v>149314.00399999999</v>
          </cell>
          <cell r="AT27">
            <v>4059.8890000000001</v>
          </cell>
          <cell r="AU27">
            <v>10768.236000000001</v>
          </cell>
          <cell r="AV27">
            <v>61272.712</v>
          </cell>
          <cell r="BA27">
            <v>76100.837</v>
          </cell>
          <cell r="BB27">
            <v>0</v>
          </cell>
          <cell r="BC27">
            <v>-6070.2269999999999</v>
          </cell>
          <cell r="BD27">
            <v>0</v>
          </cell>
          <cell r="BE27">
            <v>620334.83200000005</v>
          </cell>
          <cell r="BF27">
            <v>-56104.232999999986</v>
          </cell>
          <cell r="BG27">
            <v>-83430.633000000002</v>
          </cell>
          <cell r="BJ27">
            <v>474729.73900000006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3.637978807091713E-11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-1.6370904631912708E-11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-1.673470251262188E-10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35374</v>
          </cell>
          <cell r="H31">
            <v>28969</v>
          </cell>
          <cell r="I31">
            <v>31124.2</v>
          </cell>
          <cell r="J31">
            <v>11818</v>
          </cell>
          <cell r="K31">
            <v>18738</v>
          </cell>
          <cell r="L31">
            <v>23641</v>
          </cell>
          <cell r="M31">
            <v>12699</v>
          </cell>
          <cell r="N31">
            <v>19584</v>
          </cell>
          <cell r="O31">
            <v>12081</v>
          </cell>
          <cell r="P31">
            <v>20596</v>
          </cell>
          <cell r="Q31">
            <v>15957</v>
          </cell>
          <cell r="R31">
            <v>14496</v>
          </cell>
          <cell r="S31">
            <v>30673</v>
          </cell>
          <cell r="T31">
            <v>6349</v>
          </cell>
          <cell r="U31">
            <v>10450</v>
          </cell>
          <cell r="V31">
            <v>7993.5</v>
          </cell>
          <cell r="W31">
            <v>4611</v>
          </cell>
          <cell r="X31">
            <v>0</v>
          </cell>
          <cell r="Y31">
            <v>0</v>
          </cell>
          <cell r="Z31">
            <v>305153.7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305153.7</v>
          </cell>
          <cell r="AJ31">
            <v>18490</v>
          </cell>
          <cell r="AK31">
            <v>24944</v>
          </cell>
          <cell r="AL31">
            <v>32890</v>
          </cell>
          <cell r="AN31">
            <v>76324</v>
          </cell>
          <cell r="AO31">
            <v>7982.0609999999997</v>
          </cell>
          <cell r="AP31">
            <v>0</v>
          </cell>
          <cell r="AS31">
            <v>7982.0609999999997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40293560.798</v>
          </cell>
          <cell r="G32">
            <v>3552147.2710000002</v>
          </cell>
          <cell r="H32">
            <v>2858298.4539999999</v>
          </cell>
          <cell r="I32">
            <v>2951588.2959999996</v>
          </cell>
          <cell r="J32">
            <v>1148841.0190000001</v>
          </cell>
          <cell r="K32">
            <v>1988339.15</v>
          </cell>
          <cell r="L32">
            <v>2359632.4909999999</v>
          </cell>
          <cell r="M32">
            <v>1187941.6000000001</v>
          </cell>
          <cell r="N32">
            <v>1952774</v>
          </cell>
          <cell r="O32">
            <v>1127283.8</v>
          </cell>
          <cell r="P32">
            <v>2041957.6</v>
          </cell>
          <cell r="Q32">
            <v>1689666.57</v>
          </cell>
          <cell r="R32">
            <v>1547399.15</v>
          </cell>
          <cell r="S32">
            <v>3094929.46</v>
          </cell>
          <cell r="T32">
            <v>730514.9</v>
          </cell>
          <cell r="U32">
            <v>1231434.6000000001</v>
          </cell>
          <cell r="V32">
            <v>745842.6</v>
          </cell>
          <cell r="W32">
            <v>568446.84699999995</v>
          </cell>
          <cell r="X32">
            <v>0</v>
          </cell>
          <cell r="Y32">
            <v>0</v>
          </cell>
          <cell r="Z32">
            <v>30777037.808000002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30867877.808000002</v>
          </cell>
          <cell r="AJ32">
            <v>536244</v>
          </cell>
          <cell r="AK32">
            <v>344552</v>
          </cell>
          <cell r="AL32">
            <v>596203</v>
          </cell>
          <cell r="AN32">
            <v>1476999</v>
          </cell>
          <cell r="AO32">
            <v>7873344.7779999999</v>
          </cell>
          <cell r="AP32">
            <v>0</v>
          </cell>
          <cell r="AS32">
            <v>7873344.7779999999</v>
          </cell>
          <cell r="AT32">
            <v>5512.5</v>
          </cell>
          <cell r="AU32">
            <v>6850</v>
          </cell>
          <cell r="AV32">
            <v>61272.712</v>
          </cell>
          <cell r="BA32">
            <v>73635.212</v>
          </cell>
          <cell r="BB32">
            <v>0</v>
          </cell>
          <cell r="BC32">
            <v>1704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1704</v>
          </cell>
        </row>
        <row r="33">
          <cell r="F33">
            <v>35867509.905999996</v>
          </cell>
          <cell r="G33">
            <v>3156050.5040000002</v>
          </cell>
          <cell r="H33">
            <v>2623731.1850000001</v>
          </cell>
          <cell r="I33">
            <v>2648038.9199999995</v>
          </cell>
          <cell r="J33">
            <v>1005358.757</v>
          </cell>
          <cell r="K33">
            <v>1820408.702</v>
          </cell>
          <cell r="L33">
            <v>2032414.0810000002</v>
          </cell>
          <cell r="M33">
            <v>1092774.067</v>
          </cell>
          <cell r="N33">
            <v>1764380.3640000001</v>
          </cell>
          <cell r="O33">
            <v>1019132.47</v>
          </cell>
          <cell r="P33">
            <v>1717590.2829999998</v>
          </cell>
          <cell r="Q33">
            <v>1367758.2450000001</v>
          </cell>
          <cell r="R33">
            <v>1247257.6510000001</v>
          </cell>
          <cell r="S33">
            <v>2534975.6190000004</v>
          </cell>
          <cell r="T33">
            <v>559904.66100000008</v>
          </cell>
          <cell r="U33">
            <v>858121.38299999991</v>
          </cell>
          <cell r="V33">
            <v>687354.18200000003</v>
          </cell>
          <cell r="W33">
            <v>488857.83600000001</v>
          </cell>
          <cell r="X33">
            <v>0</v>
          </cell>
          <cell r="Y33">
            <v>0</v>
          </cell>
          <cell r="Z33">
            <v>26624108.909999996</v>
          </cell>
          <cell r="AA33">
            <v>41057.513999999996</v>
          </cell>
          <cell r="AB33">
            <v>0</v>
          </cell>
          <cell r="AC33">
            <v>46179.544000000002</v>
          </cell>
          <cell r="AD33">
            <v>25954.471000000001</v>
          </cell>
          <cell r="AH33">
            <v>113191.52899999999</v>
          </cell>
          <cell r="AI33">
            <v>26737300.438999996</v>
          </cell>
          <cell r="AJ33">
            <v>574011.92200000002</v>
          </cell>
          <cell r="AK33">
            <v>310824.76</v>
          </cell>
          <cell r="AL33">
            <v>572060.19800000009</v>
          </cell>
          <cell r="AN33">
            <v>1456896.8800000001</v>
          </cell>
          <cell r="AO33">
            <v>7592347.5789999999</v>
          </cell>
          <cell r="AP33">
            <v>0</v>
          </cell>
          <cell r="AS33">
            <v>7592347.5789999999</v>
          </cell>
          <cell r="AT33">
            <v>1452.6110000000001</v>
          </cell>
          <cell r="AU33">
            <v>-3918.2360000000003</v>
          </cell>
          <cell r="AV33">
            <v>0</v>
          </cell>
          <cell r="BA33">
            <v>-2465.625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83430.633000000002</v>
          </cell>
          <cell r="BJ33">
            <v>83430.633000000002</v>
          </cell>
        </row>
        <row r="34">
          <cell r="F34">
            <v>4426050.8920000046</v>
          </cell>
          <cell r="G34">
            <v>396096.76699999999</v>
          </cell>
          <cell r="H34">
            <v>234567.26899999985</v>
          </cell>
          <cell r="I34">
            <v>303549.37600000016</v>
          </cell>
          <cell r="J34">
            <v>143482.2620000001</v>
          </cell>
          <cell r="K34">
            <v>167930.44799999986</v>
          </cell>
          <cell r="L34">
            <v>327218.40999999968</v>
          </cell>
          <cell r="M34">
            <v>95167.533000000054</v>
          </cell>
          <cell r="N34">
            <v>188393.63599999994</v>
          </cell>
          <cell r="O34">
            <v>108151.33000000007</v>
          </cell>
          <cell r="P34">
            <v>324367.31700000027</v>
          </cell>
          <cell r="Q34">
            <v>321908.32499999995</v>
          </cell>
          <cell r="R34">
            <v>300141.49899999984</v>
          </cell>
          <cell r="S34">
            <v>559953.84099999955</v>
          </cell>
          <cell r="T34">
            <v>170610.23899999994</v>
          </cell>
          <cell r="U34">
            <v>373313.21700000018</v>
          </cell>
          <cell r="V34">
            <v>58488.417999999947</v>
          </cell>
          <cell r="W34">
            <v>79589.01099999994</v>
          </cell>
          <cell r="X34">
            <v>0</v>
          </cell>
          <cell r="Y34">
            <v>0</v>
          </cell>
          <cell r="Z34">
            <v>4152928.8980000056</v>
          </cell>
          <cell r="AA34">
            <v>8942.4860000000044</v>
          </cell>
          <cell r="AB34">
            <v>0</v>
          </cell>
          <cell r="AC34">
            <v>-33679.544000000002</v>
          </cell>
          <cell r="AD34">
            <v>2385.5289999999986</v>
          </cell>
          <cell r="AH34">
            <v>-22351.528999999995</v>
          </cell>
          <cell r="AI34">
            <v>4130577.3690000065</v>
          </cell>
          <cell r="AJ34">
            <v>-37767.92200000002</v>
          </cell>
          <cell r="AK34">
            <v>33727.239999999991</v>
          </cell>
          <cell r="AL34">
            <v>24142.801999999909</v>
          </cell>
          <cell r="AN34">
            <v>20102.119999999879</v>
          </cell>
          <cell r="AO34">
            <v>280997.19900000002</v>
          </cell>
          <cell r="AP34">
            <v>0</v>
          </cell>
          <cell r="AS34">
            <v>280997.19900000002</v>
          </cell>
          <cell r="AT34">
            <v>4059.8890000000001</v>
          </cell>
          <cell r="AU34">
            <v>10768.236000000001</v>
          </cell>
          <cell r="AV34">
            <v>61272.712</v>
          </cell>
          <cell r="BA34">
            <v>76100.837</v>
          </cell>
          <cell r="BB34">
            <v>0</v>
          </cell>
          <cell r="BC34">
            <v>1704</v>
          </cell>
          <cell r="BD34">
            <v>0</v>
          </cell>
          <cell r="BE34">
            <v>0</v>
          </cell>
          <cell r="BF34">
            <v>0</v>
          </cell>
          <cell r="BG34">
            <v>-83430.633000000002</v>
          </cell>
          <cell r="BJ34">
            <v>-81726.633000000002</v>
          </cell>
        </row>
        <row r="35">
          <cell r="F35">
            <v>2750401.724997703</v>
          </cell>
          <cell r="G35">
            <v>356461.33362716035</v>
          </cell>
          <cell r="H35">
            <v>292063.54854110087</v>
          </cell>
          <cell r="I35">
            <v>286127.77039832773</v>
          </cell>
          <cell r="J35">
            <v>126899.74947103939</v>
          </cell>
          <cell r="K35">
            <v>211352.88196622618</v>
          </cell>
          <cell r="L35">
            <v>240841.16108935245</v>
          </cell>
          <cell r="M35">
            <v>133443.58012303844</v>
          </cell>
          <cell r="N35">
            <v>205168.7601291321</v>
          </cell>
          <cell r="O35">
            <v>120950.76279443908</v>
          </cell>
          <cell r="P35">
            <v>209298.73604859298</v>
          </cell>
          <cell r="Q35">
            <v>173838.98115855275</v>
          </cell>
          <cell r="R35">
            <v>152793.97896155412</v>
          </cell>
          <cell r="S35">
            <v>287943.20932742109</v>
          </cell>
          <cell r="T35">
            <v>70944.571185535897</v>
          </cell>
          <cell r="U35">
            <v>111195.76363544565</v>
          </cell>
          <cell r="V35">
            <v>91137.767169234823</v>
          </cell>
          <cell r="W35">
            <v>59419.93792618149</v>
          </cell>
          <cell r="X35">
            <v>0</v>
          </cell>
          <cell r="Y35">
            <v>0</v>
          </cell>
          <cell r="Z35">
            <v>3129882.4935523355</v>
          </cell>
          <cell r="AA35">
            <v>0</v>
          </cell>
          <cell r="AB35">
            <v>1131.326</v>
          </cell>
          <cell r="AC35">
            <v>0</v>
          </cell>
          <cell r="AD35">
            <v>0</v>
          </cell>
          <cell r="AH35">
            <v>1131.326</v>
          </cell>
          <cell r="AI35">
            <v>3131013.8195523354</v>
          </cell>
          <cell r="AJ35">
            <v>16198.616827381155</v>
          </cell>
          <cell r="AK35">
            <v>10464.06830798635</v>
          </cell>
          <cell r="AL35">
            <v>17498.39731</v>
          </cell>
          <cell r="AN35">
            <v>44161.082445367501</v>
          </cell>
          <cell r="AO35">
            <v>130827.359</v>
          </cell>
          <cell r="AP35">
            <v>855.83600000000001</v>
          </cell>
          <cell r="AS35">
            <v>131683.19500000001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7774.2269999999999</v>
          </cell>
          <cell r="BD35">
            <v>0</v>
          </cell>
          <cell r="BE35">
            <v>-620334.83200000005</v>
          </cell>
          <cell r="BF35">
            <v>56104.232999999993</v>
          </cell>
          <cell r="BG35">
            <v>0</v>
          </cell>
          <cell r="BJ35">
            <v>-556456.37200000009</v>
          </cell>
        </row>
        <row r="36">
          <cell r="F36">
            <v>1675649.1670023017</v>
          </cell>
          <cell r="G36">
            <v>39635.433372839645</v>
          </cell>
          <cell r="H36">
            <v>-57496.279541101016</v>
          </cell>
          <cell r="I36">
            <v>17421.605601672432</v>
          </cell>
          <cell r="J36">
            <v>16582.512528960709</v>
          </cell>
          <cell r="K36">
            <v>-43422.433966226323</v>
          </cell>
          <cell r="L36">
            <v>86377.248910647235</v>
          </cell>
          <cell r="M36">
            <v>-38276.047123038385</v>
          </cell>
          <cell r="N36">
            <v>-16775.124129132164</v>
          </cell>
          <cell r="O36">
            <v>-12799.43279443901</v>
          </cell>
          <cell r="P36">
            <v>115068.58095140729</v>
          </cell>
          <cell r="Q36">
            <v>148069.3438414472</v>
          </cell>
          <cell r="R36">
            <v>147347.52003844571</v>
          </cell>
          <cell r="S36">
            <v>272010.63167257846</v>
          </cell>
          <cell r="T36">
            <v>99665.667814464046</v>
          </cell>
          <cell r="U36">
            <v>262117.45336455453</v>
          </cell>
          <cell r="V36">
            <v>-32649.349169234876</v>
          </cell>
          <cell r="W36">
            <v>20169.07307381845</v>
          </cell>
          <cell r="X36">
            <v>0</v>
          </cell>
          <cell r="Y36">
            <v>0</v>
          </cell>
          <cell r="Z36">
            <v>1023046.4044476701</v>
          </cell>
          <cell r="AA36">
            <v>8942.4860000000044</v>
          </cell>
          <cell r="AB36">
            <v>-1131.326</v>
          </cell>
          <cell r="AC36">
            <v>-33679.544000000002</v>
          </cell>
          <cell r="AD36">
            <v>2385.5289999999986</v>
          </cell>
          <cell r="AH36">
            <v>-23482.854999999996</v>
          </cell>
          <cell r="AI36">
            <v>999563.54944767104</v>
          </cell>
          <cell r="AJ36">
            <v>-53966.538827381177</v>
          </cell>
          <cell r="AK36">
            <v>23263.171692013639</v>
          </cell>
          <cell r="AL36">
            <v>6644.4046899999084</v>
          </cell>
          <cell r="AN36">
            <v>-24058.962445367622</v>
          </cell>
          <cell r="AO36">
            <v>150169.84000000003</v>
          </cell>
          <cell r="AP36">
            <v>-855.83600000000001</v>
          </cell>
          <cell r="AS36">
            <v>149314.00400000002</v>
          </cell>
          <cell r="AT36">
            <v>4059.8890000000001</v>
          </cell>
          <cell r="AU36">
            <v>10768.236000000001</v>
          </cell>
          <cell r="AV36">
            <v>61272.712</v>
          </cell>
          <cell r="BA36">
            <v>76100.837</v>
          </cell>
          <cell r="BB36">
            <v>0</v>
          </cell>
          <cell r="BC36">
            <v>-6070.2269999999999</v>
          </cell>
          <cell r="BD36">
            <v>0</v>
          </cell>
          <cell r="BE36">
            <v>620334.83200000005</v>
          </cell>
          <cell r="BF36">
            <v>-56104.232999999993</v>
          </cell>
          <cell r="BG36">
            <v>-83430.633000000002</v>
          </cell>
          <cell r="BJ36">
            <v>474729.73900000006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-11628</v>
          </cell>
          <cell r="AK38">
            <v>-14544</v>
          </cell>
          <cell r="AL38">
            <v>-20842</v>
          </cell>
          <cell r="AN38">
            <v>-47014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-979043</v>
          </cell>
          <cell r="Z39">
            <v>0</v>
          </cell>
          <cell r="AH39">
            <v>0</v>
          </cell>
          <cell r="AI39">
            <v>0</v>
          </cell>
          <cell r="AJ39">
            <v>-341504</v>
          </cell>
          <cell r="AK39">
            <v>-230792</v>
          </cell>
          <cell r="AL39">
            <v>-406747</v>
          </cell>
          <cell r="AN39">
            <v>-979043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-979043</v>
          </cell>
          <cell r="K40">
            <v>-43334.963000000003</v>
          </cell>
          <cell r="L40">
            <v>-45677.938000000002</v>
          </cell>
          <cell r="M40">
            <v>6349.3419999999996</v>
          </cell>
          <cell r="N40">
            <v>12757.75</v>
          </cell>
          <cell r="O40">
            <v>-489.87200000000001</v>
          </cell>
          <cell r="P40">
            <v>1869.779</v>
          </cell>
          <cell r="Z40">
            <v>-68525.902000000016</v>
          </cell>
          <cell r="AH40">
            <v>0</v>
          </cell>
          <cell r="AI40">
            <v>-68525.902000000016</v>
          </cell>
          <cell r="AJ40">
            <v>-356856.65500000003</v>
          </cell>
          <cell r="AK40">
            <v>-191153.209</v>
          </cell>
          <cell r="AL40">
            <v>-362507.234</v>
          </cell>
          <cell r="AN40">
            <v>-910517.098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43334.963000000003</v>
          </cell>
          <cell r="L41">
            <v>45677.938000000002</v>
          </cell>
          <cell r="M41">
            <v>-6349.3419999999996</v>
          </cell>
          <cell r="N41">
            <v>-12757.75</v>
          </cell>
          <cell r="O41">
            <v>489.87200000000001</v>
          </cell>
          <cell r="P41">
            <v>-1869.779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68525.902000000016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68525.902000000016</v>
          </cell>
          <cell r="AJ41">
            <v>15352.655000000028</v>
          </cell>
          <cell r="AK41">
            <v>-39638.790999999997</v>
          </cell>
          <cell r="AL41">
            <v>-44239.766000000003</v>
          </cell>
          <cell r="AN41">
            <v>-68525.902000000002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43334.963000000003</v>
          </cell>
          <cell r="L43">
            <v>45677.938000000002</v>
          </cell>
          <cell r="M43">
            <v>-6349.3419999999996</v>
          </cell>
          <cell r="N43">
            <v>-12757.75</v>
          </cell>
          <cell r="O43">
            <v>489.87200000000001</v>
          </cell>
          <cell r="P43">
            <v>-1869.779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68525.902000000016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68525.902000000016</v>
          </cell>
          <cell r="AJ43">
            <v>15352.655000000028</v>
          </cell>
          <cell r="AK43">
            <v>-39638.790999999997</v>
          </cell>
          <cell r="AL43">
            <v>-44239.766000000003</v>
          </cell>
          <cell r="AN43">
            <v>-68525.902000000002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35374</v>
          </cell>
          <cell r="H45">
            <v>28969</v>
          </cell>
          <cell r="I45">
            <v>31124.2</v>
          </cell>
          <cell r="J45">
            <v>11818</v>
          </cell>
          <cell r="K45">
            <v>18738</v>
          </cell>
          <cell r="L45">
            <v>23641</v>
          </cell>
          <cell r="M45">
            <v>12699</v>
          </cell>
          <cell r="N45">
            <v>19584</v>
          </cell>
          <cell r="O45">
            <v>12081</v>
          </cell>
          <cell r="P45">
            <v>20596</v>
          </cell>
          <cell r="Q45">
            <v>15957</v>
          </cell>
          <cell r="R45">
            <v>14496</v>
          </cell>
          <cell r="S45">
            <v>30673</v>
          </cell>
          <cell r="T45">
            <v>6349</v>
          </cell>
          <cell r="U45">
            <v>10450</v>
          </cell>
          <cell r="V45">
            <v>7993.5</v>
          </cell>
          <cell r="W45">
            <v>4611</v>
          </cell>
          <cell r="X45">
            <v>0</v>
          </cell>
          <cell r="Y45">
            <v>0</v>
          </cell>
          <cell r="Z45">
            <v>305153.7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305153.7</v>
          </cell>
          <cell r="AJ45">
            <v>6862</v>
          </cell>
          <cell r="AK45">
            <v>10400</v>
          </cell>
          <cell r="AL45">
            <v>12048</v>
          </cell>
          <cell r="AN45">
            <v>29310</v>
          </cell>
          <cell r="AO45">
            <v>7982.0609999999997</v>
          </cell>
          <cell r="AP45">
            <v>0</v>
          </cell>
          <cell r="AS45">
            <v>7982.0609999999997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39314517.798</v>
          </cell>
          <cell r="G46">
            <v>3552147.2710000002</v>
          </cell>
          <cell r="H46">
            <v>2858298.4539999999</v>
          </cell>
          <cell r="I46">
            <v>2951588.2959999996</v>
          </cell>
          <cell r="J46">
            <v>1148841.0190000001</v>
          </cell>
          <cell r="K46">
            <v>1988339.15</v>
          </cell>
          <cell r="L46">
            <v>2359632.4909999999</v>
          </cell>
          <cell r="M46">
            <v>1187941.6000000001</v>
          </cell>
          <cell r="N46">
            <v>1952774</v>
          </cell>
          <cell r="O46">
            <v>1127283.8</v>
          </cell>
          <cell r="P46">
            <v>2041957.6</v>
          </cell>
          <cell r="Q46">
            <v>1689666.57</v>
          </cell>
          <cell r="R46">
            <v>1547399.15</v>
          </cell>
          <cell r="S46">
            <v>3094929.46</v>
          </cell>
          <cell r="T46">
            <v>730514.9</v>
          </cell>
          <cell r="U46">
            <v>1231434.6000000001</v>
          </cell>
          <cell r="V46">
            <v>745842.6</v>
          </cell>
          <cell r="W46">
            <v>568446.84699999995</v>
          </cell>
          <cell r="X46">
            <v>0</v>
          </cell>
          <cell r="Y46">
            <v>0</v>
          </cell>
          <cell r="Z46">
            <v>30777037.808000002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30867877.808000002</v>
          </cell>
          <cell r="AJ46">
            <v>194740</v>
          </cell>
          <cell r="AK46">
            <v>113760</v>
          </cell>
          <cell r="AL46">
            <v>189456</v>
          </cell>
          <cell r="AN46">
            <v>497956</v>
          </cell>
          <cell r="AO46">
            <v>7873344.7779999999</v>
          </cell>
          <cell r="AP46">
            <v>0</v>
          </cell>
          <cell r="AS46">
            <v>7873344.7779999999</v>
          </cell>
          <cell r="AT46">
            <v>5512.5</v>
          </cell>
          <cell r="AU46">
            <v>6850</v>
          </cell>
          <cell r="AV46">
            <v>61272.712</v>
          </cell>
          <cell r="BA46">
            <v>73635.212</v>
          </cell>
          <cell r="BB46">
            <v>0</v>
          </cell>
          <cell r="BC46">
            <v>1704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1704</v>
          </cell>
        </row>
        <row r="47">
          <cell r="F47">
            <v>34888466.906000003</v>
          </cell>
          <cell r="G47">
            <v>3156050.5040000002</v>
          </cell>
          <cell r="H47">
            <v>2623731.1850000001</v>
          </cell>
          <cell r="I47">
            <v>2648038.9199999995</v>
          </cell>
          <cell r="J47">
            <v>1005358.757</v>
          </cell>
          <cell r="K47">
            <v>1777073.7390000001</v>
          </cell>
          <cell r="L47">
            <v>1986736.1430000002</v>
          </cell>
          <cell r="M47">
            <v>1099123.409</v>
          </cell>
          <cell r="N47">
            <v>1777138.1140000001</v>
          </cell>
          <cell r="O47">
            <v>1018642.598</v>
          </cell>
          <cell r="P47">
            <v>1719460.0619999999</v>
          </cell>
          <cell r="Q47">
            <v>1367758.2450000001</v>
          </cell>
          <cell r="R47">
            <v>1247257.6510000001</v>
          </cell>
          <cell r="S47">
            <v>2534975.6190000004</v>
          </cell>
          <cell r="T47">
            <v>559904.66100000008</v>
          </cell>
          <cell r="U47">
            <v>858121.38299999991</v>
          </cell>
          <cell r="V47">
            <v>687354.18200000003</v>
          </cell>
          <cell r="W47">
            <v>488857.83600000001</v>
          </cell>
          <cell r="X47">
            <v>0</v>
          </cell>
          <cell r="Y47">
            <v>0</v>
          </cell>
          <cell r="Z47">
            <v>26555583.007999998</v>
          </cell>
          <cell r="AA47">
            <v>41057.513999999996</v>
          </cell>
          <cell r="AB47">
            <v>0</v>
          </cell>
          <cell r="AC47">
            <v>46179.544000000002</v>
          </cell>
          <cell r="AD47">
            <v>25954.471000000001</v>
          </cell>
          <cell r="AH47">
            <v>113191.52899999999</v>
          </cell>
          <cell r="AI47">
            <v>26668774.536999997</v>
          </cell>
          <cell r="AJ47">
            <v>217155.26699999999</v>
          </cell>
          <cell r="AK47">
            <v>119671.55100000001</v>
          </cell>
          <cell r="AL47">
            <v>209552.96400000009</v>
          </cell>
          <cell r="AN47">
            <v>546379.78200000012</v>
          </cell>
          <cell r="AO47">
            <v>7592347.5789999999</v>
          </cell>
          <cell r="AP47">
            <v>0</v>
          </cell>
          <cell r="AS47">
            <v>7592347.5789999999</v>
          </cell>
          <cell r="AT47">
            <v>1452.6110000000001</v>
          </cell>
          <cell r="AU47">
            <v>-3918.2360000000003</v>
          </cell>
          <cell r="AV47">
            <v>0</v>
          </cell>
          <cell r="BA47">
            <v>-2465.625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83430.633000000002</v>
          </cell>
          <cell r="BJ47">
            <v>83430.633000000002</v>
          </cell>
        </row>
        <row r="48">
          <cell r="F48">
            <v>4426050.8919999972</v>
          </cell>
          <cell r="G48">
            <v>396096.76699999999</v>
          </cell>
          <cell r="H48">
            <v>234567.26899999985</v>
          </cell>
          <cell r="I48">
            <v>303549.37600000016</v>
          </cell>
          <cell r="J48">
            <v>143482.2620000001</v>
          </cell>
          <cell r="K48">
            <v>211265.41099999985</v>
          </cell>
          <cell r="L48">
            <v>372896.34799999977</v>
          </cell>
          <cell r="M48">
            <v>88818.191000000108</v>
          </cell>
          <cell r="N48">
            <v>175635.88599999994</v>
          </cell>
          <cell r="O48">
            <v>108641.20200000005</v>
          </cell>
          <cell r="P48">
            <v>322497.53800000018</v>
          </cell>
          <cell r="Q48">
            <v>321908.32499999995</v>
          </cell>
          <cell r="R48">
            <v>300141.49899999984</v>
          </cell>
          <cell r="S48">
            <v>559953.84099999955</v>
          </cell>
          <cell r="T48">
            <v>170610.23899999994</v>
          </cell>
          <cell r="U48">
            <v>373313.21700000018</v>
          </cell>
          <cell r="V48">
            <v>58488.417999999947</v>
          </cell>
          <cell r="W48">
            <v>79589.01099999994</v>
          </cell>
          <cell r="X48">
            <v>0</v>
          </cell>
          <cell r="Y48">
            <v>0</v>
          </cell>
          <cell r="Z48">
            <v>4221454.8000000045</v>
          </cell>
          <cell r="AA48">
            <v>8942.4860000000044</v>
          </cell>
          <cell r="AB48">
            <v>0</v>
          </cell>
          <cell r="AC48">
            <v>-33679.544000000002</v>
          </cell>
          <cell r="AD48">
            <v>2385.5289999999986</v>
          </cell>
          <cell r="AH48">
            <v>-22351.528999999995</v>
          </cell>
          <cell r="AI48">
            <v>4199103.2710000053</v>
          </cell>
          <cell r="AJ48">
            <v>-22415.266999999993</v>
          </cell>
          <cell r="AK48">
            <v>-5911.5510000000068</v>
          </cell>
          <cell r="AL48">
            <v>-20096.964000000095</v>
          </cell>
          <cell r="AN48">
            <v>-48423.782000000123</v>
          </cell>
          <cell r="AO48">
            <v>280997.19900000002</v>
          </cell>
          <cell r="AP48">
            <v>0</v>
          </cell>
          <cell r="AS48">
            <v>280997.19900000002</v>
          </cell>
          <cell r="AT48">
            <v>4059.8890000000001</v>
          </cell>
          <cell r="AU48">
            <v>10768.236000000001</v>
          </cell>
          <cell r="AV48">
            <v>61272.712</v>
          </cell>
          <cell r="BA48">
            <v>76100.837</v>
          </cell>
          <cell r="BB48">
            <v>0</v>
          </cell>
          <cell r="BC48">
            <v>1704</v>
          </cell>
          <cell r="BD48">
            <v>0</v>
          </cell>
          <cell r="BE48">
            <v>0</v>
          </cell>
          <cell r="BF48">
            <v>0</v>
          </cell>
          <cell r="BG48">
            <v>-83430.633000000002</v>
          </cell>
          <cell r="BJ48">
            <v>-81726.633000000002</v>
          </cell>
        </row>
        <row r="49">
          <cell r="F49">
            <v>2750401.724997703</v>
          </cell>
          <cell r="G49">
            <v>356461.33362716035</v>
          </cell>
          <cell r="H49">
            <v>292063.54854110087</v>
          </cell>
          <cell r="I49">
            <v>286127.77039832773</v>
          </cell>
          <cell r="J49">
            <v>126899.74947103939</v>
          </cell>
          <cell r="K49">
            <v>211352.88196622618</v>
          </cell>
          <cell r="L49">
            <v>240841.16108935245</v>
          </cell>
          <cell r="M49">
            <v>133443.58012303844</v>
          </cell>
          <cell r="N49">
            <v>205168.7601291321</v>
          </cell>
          <cell r="O49">
            <v>120950.76279443908</v>
          </cell>
          <cell r="P49">
            <v>209298.73604859298</v>
          </cell>
          <cell r="Q49">
            <v>173838.98115855275</v>
          </cell>
          <cell r="R49">
            <v>152793.97896155412</v>
          </cell>
          <cell r="S49">
            <v>287943.20932742109</v>
          </cell>
          <cell r="T49">
            <v>70944.571185535897</v>
          </cell>
          <cell r="U49">
            <v>111195.76363544565</v>
          </cell>
          <cell r="V49">
            <v>91137.767169234823</v>
          </cell>
          <cell r="W49">
            <v>59419.93792618149</v>
          </cell>
          <cell r="X49">
            <v>0</v>
          </cell>
          <cell r="Y49">
            <v>0</v>
          </cell>
          <cell r="Z49">
            <v>3129882.4935523355</v>
          </cell>
          <cell r="AA49">
            <v>0</v>
          </cell>
          <cell r="AB49">
            <v>1131.326</v>
          </cell>
          <cell r="AC49">
            <v>0</v>
          </cell>
          <cell r="AD49">
            <v>0</v>
          </cell>
          <cell r="AH49">
            <v>1131.326</v>
          </cell>
          <cell r="AI49">
            <v>3131013.8195523354</v>
          </cell>
          <cell r="AJ49">
            <v>16198.616827381155</v>
          </cell>
          <cell r="AK49">
            <v>10464.06830798635</v>
          </cell>
          <cell r="AL49">
            <v>17498.39731</v>
          </cell>
          <cell r="AN49">
            <v>44161.082445367501</v>
          </cell>
          <cell r="AO49">
            <v>130827.359</v>
          </cell>
          <cell r="AP49">
            <v>855.83600000000001</v>
          </cell>
          <cell r="AS49">
            <v>131683.19500000001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7774.2269999999999</v>
          </cell>
          <cell r="BD49">
            <v>0</v>
          </cell>
          <cell r="BE49">
            <v>-620334.83200000005</v>
          </cell>
          <cell r="BF49">
            <v>56104.232999999993</v>
          </cell>
          <cell r="BG49">
            <v>0</v>
          </cell>
          <cell r="BJ49">
            <v>-556456.37200000009</v>
          </cell>
        </row>
        <row r="50">
          <cell r="F50">
            <v>1675649.1670022942</v>
          </cell>
          <cell r="G50">
            <v>39635.433372839645</v>
          </cell>
          <cell r="H50">
            <v>-57496.279541101016</v>
          </cell>
          <cell r="I50">
            <v>17421.605601672432</v>
          </cell>
          <cell r="J50">
            <v>16582.512528960709</v>
          </cell>
          <cell r="K50">
            <v>-87.470966226333985</v>
          </cell>
          <cell r="L50">
            <v>132055.18691064732</v>
          </cell>
          <cell r="M50">
            <v>-44625.389123038331</v>
          </cell>
          <cell r="N50">
            <v>-29532.874129132164</v>
          </cell>
          <cell r="O50">
            <v>-12309.560794439036</v>
          </cell>
          <cell r="P50">
            <v>113198.80195140719</v>
          </cell>
          <cell r="Q50">
            <v>148069.3438414472</v>
          </cell>
          <cell r="R50">
            <v>147347.52003844571</v>
          </cell>
          <cell r="S50">
            <v>272010.63167257846</v>
          </cell>
          <cell r="T50">
            <v>99665.667814464046</v>
          </cell>
          <cell r="U50">
            <v>262117.45336455453</v>
          </cell>
          <cell r="V50">
            <v>-32649.349169234876</v>
          </cell>
          <cell r="W50">
            <v>20169.07307381845</v>
          </cell>
          <cell r="X50">
            <v>0</v>
          </cell>
          <cell r="Y50">
            <v>0</v>
          </cell>
          <cell r="Z50">
            <v>1091572.3064476689</v>
          </cell>
          <cell r="AA50">
            <v>8942.4860000000044</v>
          </cell>
          <cell r="AB50">
            <v>-1131.326</v>
          </cell>
          <cell r="AC50">
            <v>-33679.544000000002</v>
          </cell>
          <cell r="AD50">
            <v>2385.5289999999986</v>
          </cell>
          <cell r="AH50">
            <v>-23482.854999999996</v>
          </cell>
          <cell r="AI50">
            <v>1068089.4514476699</v>
          </cell>
          <cell r="AJ50">
            <v>-38613.883827381149</v>
          </cell>
          <cell r="AK50">
            <v>-16375.619307986357</v>
          </cell>
          <cell r="AL50">
            <v>-37595.361310000095</v>
          </cell>
          <cell r="AN50">
            <v>-92584.864445367624</v>
          </cell>
          <cell r="AO50">
            <v>150169.84000000003</v>
          </cell>
          <cell r="AP50">
            <v>-855.83600000000001</v>
          </cell>
          <cell r="AS50">
            <v>149314.00400000002</v>
          </cell>
          <cell r="AT50">
            <v>4059.8890000000001</v>
          </cell>
          <cell r="AU50">
            <v>10768.236000000001</v>
          </cell>
          <cell r="AV50">
            <v>61272.712</v>
          </cell>
          <cell r="BA50">
            <v>76100.837</v>
          </cell>
          <cell r="BB50">
            <v>0</v>
          </cell>
          <cell r="BC50">
            <v>-6070.2269999999999</v>
          </cell>
          <cell r="BD50">
            <v>0</v>
          </cell>
          <cell r="BE50">
            <v>620334.83200000005</v>
          </cell>
          <cell r="BF50">
            <v>-56104.232999999993</v>
          </cell>
          <cell r="BG50">
            <v>-83430.633000000002</v>
          </cell>
          <cell r="BJ50">
            <v>474729.73900000006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49160</v>
          </cell>
          <cell r="H7">
            <v>44112</v>
          </cell>
          <cell r="I7">
            <v>30721</v>
          </cell>
          <cell r="J7">
            <v>20239</v>
          </cell>
          <cell r="K7">
            <v>23084</v>
          </cell>
          <cell r="L7">
            <v>23514</v>
          </cell>
          <cell r="M7">
            <v>14851</v>
          </cell>
          <cell r="N7">
            <v>19957</v>
          </cell>
          <cell r="O7">
            <v>17548</v>
          </cell>
          <cell r="P7">
            <v>20557</v>
          </cell>
          <cell r="Q7">
            <v>18367</v>
          </cell>
          <cell r="R7">
            <v>8687</v>
          </cell>
          <cell r="S7">
            <v>24800</v>
          </cell>
          <cell r="T7">
            <v>4638</v>
          </cell>
          <cell r="U7">
            <v>8807</v>
          </cell>
          <cell r="V7">
            <v>12647.5</v>
          </cell>
          <cell r="W7">
            <v>8392.5</v>
          </cell>
          <cell r="X7"/>
          <cell r="Y7"/>
          <cell r="Z7">
            <v>350082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350082</v>
          </cell>
          <cell r="AJ7">
            <v>27381</v>
          </cell>
          <cell r="AK7">
            <v>33392</v>
          </cell>
          <cell r="AL7">
            <v>3800</v>
          </cell>
          <cell r="AM7"/>
          <cell r="AN7">
            <v>64573</v>
          </cell>
          <cell r="AO7">
            <v>7070.5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44792725.859999999</v>
          </cell>
          <cell r="G8">
            <v>4691384.1580000008</v>
          </cell>
          <cell r="H8">
            <v>4359369.8839999996</v>
          </cell>
          <cell r="I8">
            <v>2851679.5609999998</v>
          </cell>
          <cell r="J8">
            <v>1855821.706</v>
          </cell>
          <cell r="K8">
            <v>2384339.2999999998</v>
          </cell>
          <cell r="L8">
            <v>2439725.6</v>
          </cell>
          <cell r="M8">
            <v>1488097.9</v>
          </cell>
          <cell r="N8">
            <v>2055782.6</v>
          </cell>
          <cell r="O8">
            <v>1641246.2</v>
          </cell>
          <cell r="P8">
            <v>2001348.8</v>
          </cell>
          <cell r="Q8">
            <v>1757378.3</v>
          </cell>
          <cell r="R8">
            <v>839836.15</v>
          </cell>
          <cell r="S8">
            <v>2440295.8000000003</v>
          </cell>
          <cell r="T8">
            <v>468818.4</v>
          </cell>
          <cell r="U8">
            <v>871307.17299999995</v>
          </cell>
          <cell r="V8">
            <v>1250750.6540000001</v>
          </cell>
          <cell r="W8">
            <v>1009533.068</v>
          </cell>
          <cell r="X8"/>
          <cell r="Y8"/>
          <cell r="Z8">
            <v>34406715.254000001</v>
          </cell>
          <cell r="AA8">
            <v>50000</v>
          </cell>
          <cell r="AB8">
            <v>0</v>
          </cell>
          <cell r="AC8">
            <v>6250</v>
          </cell>
          <cell r="AD8">
            <v>28340</v>
          </cell>
          <cell r="AE8">
            <v>0</v>
          </cell>
          <cell r="AF8"/>
          <cell r="AG8"/>
          <cell r="AH8">
            <v>84590</v>
          </cell>
          <cell r="AI8">
            <v>34491305.254000001</v>
          </cell>
          <cell r="AJ8">
            <v>793573</v>
          </cell>
          <cell r="AK8">
            <v>396256</v>
          </cell>
          <cell r="AL8">
            <v>67480</v>
          </cell>
          <cell r="AM8"/>
          <cell r="AN8">
            <v>1257309</v>
          </cell>
          <cell r="AO8">
            <v>8947089.415000001</v>
          </cell>
          <cell r="AP8">
            <v>0</v>
          </cell>
          <cell r="AQ8"/>
          <cell r="AR8"/>
          <cell r="AS8">
            <v>8947089.415000001</v>
          </cell>
          <cell r="AT8">
            <v>5250</v>
          </cell>
          <cell r="AU8">
            <v>9448</v>
          </cell>
          <cell r="AV8">
            <v>0</v>
          </cell>
          <cell r="AW8">
            <v>80562.091</v>
          </cell>
          <cell r="AX8">
            <v>0</v>
          </cell>
          <cell r="AY8"/>
          <cell r="AZ8"/>
          <cell r="BA8">
            <v>95260.091</v>
          </cell>
          <cell r="BB8">
            <v>0</v>
          </cell>
          <cell r="BC8">
            <v>1762.1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1762.1</v>
          </cell>
          <cell r="BK8"/>
          <cell r="BL8"/>
          <cell r="BM8"/>
          <cell r="BN8"/>
          <cell r="BO8"/>
        </row>
        <row r="9">
          <cell r="F9"/>
          <cell r="G9">
            <v>95430.922660699784</v>
          </cell>
          <cell r="H9">
            <v>98825.033641639457</v>
          </cell>
          <cell r="I9">
            <v>92825.089059600912</v>
          </cell>
          <cell r="J9">
            <v>91695.326152477894</v>
          </cell>
          <cell r="K9">
            <v>103289.69416045745</v>
          </cell>
          <cell r="L9">
            <v>103756.29837543592</v>
          </cell>
          <cell r="M9">
            <v>100201.86519426301</v>
          </cell>
          <cell r="N9">
            <v>103010.60279601143</v>
          </cell>
          <cell r="O9">
            <v>93528.960565306596</v>
          </cell>
          <cell r="P9">
            <v>97356.07335700735</v>
          </cell>
          <cell r="Q9">
            <v>95681.292535525674</v>
          </cell>
          <cell r="R9">
            <v>96677.35121445838</v>
          </cell>
          <cell r="S9">
            <v>98399.024193548394</v>
          </cell>
          <cell r="T9">
            <v>101082.01811125486</v>
          </cell>
          <cell r="U9">
            <v>98933.481662314065</v>
          </cell>
          <cell r="V9">
            <v>98893.11357975885</v>
          </cell>
          <cell r="W9">
            <v>120289.90980041704</v>
          </cell>
          <cell r="X9"/>
          <cell r="Y9"/>
          <cell r="Z9">
            <v>98281.874686502022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98523.503790540504</v>
          </cell>
          <cell r="AJ9">
            <v>28982.615682407508</v>
          </cell>
          <cell r="AK9">
            <v>11866.794441782464</v>
          </cell>
          <cell r="AL9">
            <v>17757.894736842103</v>
          </cell>
          <cell r="AM9"/>
          <cell r="AN9"/>
          <cell r="AO9">
            <v>1265411.1328760344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37208442.162979998</v>
          </cell>
          <cell r="G10">
            <v>3768383.4942800002</v>
          </cell>
          <cell r="H10">
            <v>3592482.9305599998</v>
          </cell>
          <cell r="I10">
            <v>2321997.3905800004</v>
          </cell>
          <cell r="J10">
            <v>1508666.0571900001</v>
          </cell>
          <cell r="K10">
            <v>1800864.9827000001</v>
          </cell>
          <cell r="L10">
            <v>1930472.4408199999</v>
          </cell>
          <cell r="M10">
            <v>1160169.3930199998</v>
          </cell>
          <cell r="N10">
            <v>1624318.3337300001</v>
          </cell>
          <cell r="O10">
            <v>1287174.8497899999</v>
          </cell>
          <cell r="P10">
            <v>1510264.25079</v>
          </cell>
          <cell r="Q10">
            <v>1343341.3088599998</v>
          </cell>
          <cell r="R10">
            <v>702746.72586999997</v>
          </cell>
          <cell r="S10">
            <v>1913200.615</v>
          </cell>
          <cell r="T10">
            <v>379203.41069999995</v>
          </cell>
          <cell r="U10">
            <v>644984.42142999999</v>
          </cell>
          <cell r="V10">
            <v>928905.36465</v>
          </cell>
          <cell r="W10">
            <v>780825.23623000004</v>
          </cell>
          <cell r="X10"/>
          <cell r="Y10"/>
          <cell r="Z10">
            <v>27198001.206199996</v>
          </cell>
          <cell r="AA10">
            <v>578.86</v>
          </cell>
          <cell r="AB10">
            <v>0</v>
          </cell>
          <cell r="AC10">
            <v>54925.85</v>
          </cell>
          <cell r="AD10">
            <v>27224.227999999999</v>
          </cell>
          <cell r="AE10">
            <v>0</v>
          </cell>
          <cell r="AF10"/>
          <cell r="AG10"/>
          <cell r="AH10">
            <v>82728.937999999995</v>
          </cell>
          <cell r="AI10">
            <v>27280730.144199997</v>
          </cell>
          <cell r="AJ10">
            <v>745870.58574000001</v>
          </cell>
          <cell r="AK10">
            <v>331761.66194000002</v>
          </cell>
          <cell r="AL10">
            <v>39041.807099999998</v>
          </cell>
          <cell r="AM10"/>
          <cell r="AN10">
            <v>1116674.0547800001</v>
          </cell>
          <cell r="AO10">
            <v>8737898.5099999998</v>
          </cell>
          <cell r="AP10">
            <v>0</v>
          </cell>
          <cell r="AQ10"/>
          <cell r="AR10"/>
          <cell r="AS10">
            <v>8737898.5099999998</v>
          </cell>
          <cell r="AT10">
            <v>120.682</v>
          </cell>
          <cell r="AU10">
            <v>177.29599999999999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297.97800000000001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72841.475999999995</v>
          </cell>
          <cell r="BH10"/>
          <cell r="BI10"/>
          <cell r="BJ10">
            <v>72841.475999999995</v>
          </cell>
          <cell r="BK10"/>
          <cell r="BL10"/>
          <cell r="BM10"/>
          <cell r="BN10"/>
          <cell r="BO10"/>
        </row>
        <row r="11">
          <cell r="F11"/>
          <cell r="G11">
            <v>76655.481982912941</v>
          </cell>
          <cell r="H11">
            <v>81440.037417482774</v>
          </cell>
          <cell r="I11">
            <v>75583.392161062482</v>
          </cell>
          <cell r="J11">
            <v>74542.519748505365</v>
          </cell>
          <cell r="K11">
            <v>78013.558425749434</v>
          </cell>
          <cell r="L11">
            <v>82098.853483881932</v>
          </cell>
          <cell r="M11">
            <v>78120.624403743845</v>
          </cell>
          <cell r="N11">
            <v>81390.907136844224</v>
          </cell>
          <cell r="O11">
            <v>73351.655447344427</v>
          </cell>
          <cell r="P11">
            <v>73467.152346645904</v>
          </cell>
          <cell r="Q11">
            <v>73138.852771819002</v>
          </cell>
          <cell r="R11">
            <v>80896.365358581796</v>
          </cell>
          <cell r="S11">
            <v>77145.186088709685</v>
          </cell>
          <cell r="T11">
            <v>81760.114424320811</v>
          </cell>
          <cell r="U11">
            <v>73235.428798682857</v>
          </cell>
          <cell r="V11">
            <v>73445.769096659424</v>
          </cell>
          <cell r="W11">
            <v>93038.455314864463</v>
          </cell>
          <cell r="X11"/>
          <cell r="Y11"/>
          <cell r="Z11">
            <v>77690.373130295178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77926.68615981398</v>
          </cell>
          <cell r="AJ11">
            <v>27240.443582776381</v>
          </cell>
          <cell r="AK11">
            <v>9935.3636182319133</v>
          </cell>
          <cell r="AL11">
            <v>10274.159763157895</v>
          </cell>
          <cell r="AM11"/>
          <cell r="AN11"/>
          <cell r="AO11">
            <v>1235824.6955660842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7584283.6970200017</v>
          </cell>
          <cell r="G12">
            <v>923000.66372000054</v>
          </cell>
          <cell r="H12">
            <v>766886.95343999984</v>
          </cell>
          <cell r="I12">
            <v>529682.1704199994</v>
          </cell>
          <cell r="J12">
            <v>347155.64880999993</v>
          </cell>
          <cell r="K12">
            <v>583474.31729999976</v>
          </cell>
          <cell r="L12">
            <v>509253.15918000019</v>
          </cell>
          <cell r="M12">
            <v>327928.50698000006</v>
          </cell>
          <cell r="N12">
            <v>431464.26627000002</v>
          </cell>
          <cell r="O12">
            <v>354071.35021000006</v>
          </cell>
          <cell r="P12">
            <v>491084.54921000008</v>
          </cell>
          <cell r="Q12">
            <v>414036.99114000029</v>
          </cell>
          <cell r="R12">
            <v>137089.42413000006</v>
          </cell>
          <cell r="S12">
            <v>527095.18500000029</v>
          </cell>
          <cell r="T12">
            <v>89614.989300000074</v>
          </cell>
          <cell r="U12">
            <v>226322.75156999996</v>
          </cell>
          <cell r="V12">
            <v>321845.28935000009</v>
          </cell>
          <cell r="W12">
            <v>228707.83176999993</v>
          </cell>
          <cell r="X12"/>
          <cell r="Y12"/>
          <cell r="Z12">
            <v>7208714.0478000017</v>
          </cell>
          <cell r="AA12">
            <v>49421.14</v>
          </cell>
          <cell r="AB12">
            <v>0</v>
          </cell>
          <cell r="AC12">
            <v>-48675.85</v>
          </cell>
          <cell r="AD12">
            <v>1115.7720000000008</v>
          </cell>
          <cell r="AE12">
            <v>0</v>
          </cell>
          <cell r="AF12"/>
          <cell r="AG12"/>
          <cell r="AH12">
            <v>1861.0620000000054</v>
          </cell>
          <cell r="AI12">
            <v>7210575.1098000035</v>
          </cell>
          <cell r="AJ12">
            <v>47702.41425999999</v>
          </cell>
          <cell r="AK12">
            <v>64494.33805999998</v>
          </cell>
          <cell r="AL12">
            <v>28438.192900000002</v>
          </cell>
          <cell r="AM12"/>
          <cell r="AN12">
            <v>140634.94521999988</v>
          </cell>
          <cell r="AO12">
            <v>209190.90500000119</v>
          </cell>
          <cell r="AP12">
            <v>0</v>
          </cell>
          <cell r="AQ12"/>
          <cell r="AR12"/>
          <cell r="AS12">
            <v>209190.90500000119</v>
          </cell>
          <cell r="AT12">
            <v>5129.3180000000002</v>
          </cell>
          <cell r="AU12">
            <v>9270.7039999999997</v>
          </cell>
          <cell r="AV12">
            <v>0</v>
          </cell>
          <cell r="AW12">
            <v>80562.091</v>
          </cell>
          <cell r="AX12">
            <v>0</v>
          </cell>
          <cell r="AY12"/>
          <cell r="AZ12"/>
          <cell r="BA12">
            <v>94962.112999999998</v>
          </cell>
          <cell r="BB12">
            <v>0</v>
          </cell>
          <cell r="BC12">
            <v>1762.1</v>
          </cell>
          <cell r="BD12">
            <v>0</v>
          </cell>
          <cell r="BE12">
            <v>0</v>
          </cell>
          <cell r="BF12">
            <v>0</v>
          </cell>
          <cell r="BG12">
            <v>-72841.475999999995</v>
          </cell>
          <cell r="BH12"/>
          <cell r="BI12"/>
          <cell r="BJ12">
            <v>-71079.375999999989</v>
          </cell>
          <cell r="BK12"/>
          <cell r="BL12"/>
          <cell r="BM12"/>
          <cell r="BN12"/>
          <cell r="BO12"/>
        </row>
        <row r="13">
          <cell r="F13">
            <v>715490.94200000004</v>
          </cell>
          <cell r="G13">
            <v>65547.037000000011</v>
          </cell>
          <cell r="H13">
            <v>55458.355000000003</v>
          </cell>
          <cell r="I13">
            <v>40868.350000000006</v>
          </cell>
          <cell r="J13">
            <v>30797.879000000001</v>
          </cell>
          <cell r="K13">
            <v>48456.504999999997</v>
          </cell>
          <cell r="L13">
            <v>38546.977000000006</v>
          </cell>
          <cell r="M13">
            <v>30579.904999999999</v>
          </cell>
          <cell r="N13">
            <v>37339.561999999998</v>
          </cell>
          <cell r="O13">
            <v>31604.421000000002</v>
          </cell>
          <cell r="P13">
            <v>35923.417000000001</v>
          </cell>
          <cell r="Q13">
            <v>29837.792999999994</v>
          </cell>
          <cell r="R13">
            <v>24282.192000000003</v>
          </cell>
          <cell r="S13">
            <v>37154.434999999998</v>
          </cell>
          <cell r="T13">
            <v>7757.7209999999995</v>
          </cell>
          <cell r="U13">
            <v>7846.5889999999999</v>
          </cell>
          <cell r="V13">
            <v>17149.453999999998</v>
          </cell>
          <cell r="W13">
            <v>12831.271000000001</v>
          </cell>
          <cell r="X13"/>
          <cell r="Y13"/>
          <cell r="Z13">
            <v>551981.86300000001</v>
          </cell>
          <cell r="AA13">
            <v>0</v>
          </cell>
          <cell r="AB13">
            <v>193.61099999999999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193.61099999999999</v>
          </cell>
          <cell r="AI13">
            <v>552175.47399999993</v>
          </cell>
          <cell r="AJ13">
            <v>6385.6729999999998</v>
          </cell>
          <cell r="AK13">
            <v>0</v>
          </cell>
          <cell r="AL13">
            <v>51547.061000000002</v>
          </cell>
          <cell r="AM13"/>
          <cell r="AN13">
            <v>57932.733999999997</v>
          </cell>
          <cell r="AO13">
            <v>89365.144</v>
          </cell>
          <cell r="AP13">
            <v>0</v>
          </cell>
          <cell r="AQ13"/>
          <cell r="AR13"/>
          <cell r="AS13">
            <v>89365.144</v>
          </cell>
          <cell r="AT13">
            <v>0</v>
          </cell>
          <cell r="AU13">
            <v>0</v>
          </cell>
          <cell r="AV13">
            <v>5496.0379999999996</v>
          </cell>
          <cell r="AW13">
            <v>0</v>
          </cell>
          <cell r="AX13">
            <v>7865.049</v>
          </cell>
          <cell r="AY13"/>
          <cell r="AZ13"/>
          <cell r="BA13">
            <v>13361.087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2656.5030000000002</v>
          </cell>
          <cell r="BG13">
            <v>0</v>
          </cell>
          <cell r="BH13"/>
          <cell r="BI13"/>
          <cell r="BJ13">
            <v>2656.5030000000002</v>
          </cell>
          <cell r="BK13"/>
          <cell r="BL13"/>
          <cell r="BM13"/>
          <cell r="BN13"/>
          <cell r="BO13"/>
        </row>
        <row r="14">
          <cell r="F14">
            <v>433287.24600000004</v>
          </cell>
          <cell r="G14">
            <v>37751.855000000003</v>
          </cell>
          <cell r="H14">
            <v>33265.306000000004</v>
          </cell>
          <cell r="I14">
            <v>27767.47</v>
          </cell>
          <cell r="J14">
            <v>19834.527000000002</v>
          </cell>
          <cell r="K14">
            <v>29674.771000000001</v>
          </cell>
          <cell r="L14">
            <v>24125.973000000002</v>
          </cell>
          <cell r="M14">
            <v>18692.056</v>
          </cell>
          <cell r="N14">
            <v>23066.152999999998</v>
          </cell>
          <cell r="O14">
            <v>19501.835999999999</v>
          </cell>
          <cell r="P14">
            <v>23065.288999999997</v>
          </cell>
          <cell r="Q14">
            <v>18940.492999999995</v>
          </cell>
          <cell r="R14">
            <v>14372.487000000001</v>
          </cell>
          <cell r="S14">
            <v>22836.397000000001</v>
          </cell>
          <cell r="T14">
            <v>4981.521999999999</v>
          </cell>
          <cell r="U14">
            <v>4331.6390000000001</v>
          </cell>
          <cell r="V14">
            <v>11775.994999999999</v>
          </cell>
          <cell r="W14">
            <v>8719.7510000000002</v>
          </cell>
          <cell r="X14"/>
          <cell r="Y14"/>
          <cell r="Z14">
            <v>342703.52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342703.52</v>
          </cell>
          <cell r="AJ14">
            <v>5046.491</v>
          </cell>
          <cell r="AK14">
            <v>0</v>
          </cell>
          <cell r="AL14">
            <v>28555.101999999995</v>
          </cell>
          <cell r="AM14"/>
          <cell r="AN14">
            <v>33601.592999999993</v>
          </cell>
          <cell r="AO14">
            <v>56982.133000000002</v>
          </cell>
          <cell r="AP14">
            <v>0</v>
          </cell>
          <cell r="AQ14"/>
          <cell r="AR14"/>
          <cell r="AS14">
            <v>56982.133000000002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282030.636</v>
          </cell>
          <cell r="G15">
            <v>27795.182000000001</v>
          </cell>
          <cell r="H15">
            <v>22193.048999999999</v>
          </cell>
          <cell r="I15">
            <v>13100.880000000001</v>
          </cell>
          <cell r="J15">
            <v>10963.351999999999</v>
          </cell>
          <cell r="K15">
            <v>18781.733999999997</v>
          </cell>
          <cell r="L15">
            <v>14421.004000000003</v>
          </cell>
          <cell r="M15">
            <v>11887.849</v>
          </cell>
          <cell r="N15">
            <v>14273.409</v>
          </cell>
          <cell r="O15">
            <v>12102.585000000001</v>
          </cell>
          <cell r="P15">
            <v>12858.128000000001</v>
          </cell>
          <cell r="Q15">
            <v>10897.3</v>
          </cell>
          <cell r="R15">
            <v>9909.7050000000017</v>
          </cell>
          <cell r="S15">
            <v>14318.038</v>
          </cell>
          <cell r="T15">
            <v>2776.1990000000001</v>
          </cell>
          <cell r="U15">
            <v>3514.95</v>
          </cell>
          <cell r="V15">
            <v>5373.4589999999998</v>
          </cell>
          <cell r="W15">
            <v>4111.5200000000004</v>
          </cell>
          <cell r="X15"/>
          <cell r="Y15"/>
          <cell r="Z15">
            <v>209278.34299999996</v>
          </cell>
          <cell r="AA15">
            <v>0</v>
          </cell>
          <cell r="AB15">
            <v>193.61099999999999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193.61099999999999</v>
          </cell>
          <cell r="AI15">
            <v>209471.95399999997</v>
          </cell>
          <cell r="AJ15">
            <v>1339.182</v>
          </cell>
          <cell r="AK15">
            <v>0</v>
          </cell>
          <cell r="AL15">
            <v>22991.959000000003</v>
          </cell>
          <cell r="AM15"/>
          <cell r="AN15">
            <v>24331.141000000003</v>
          </cell>
          <cell r="AO15">
            <v>32383.010999999999</v>
          </cell>
          <cell r="AP15">
            <v>0</v>
          </cell>
          <cell r="AQ15"/>
          <cell r="AR15"/>
          <cell r="AS15">
            <v>32383.010999999999</v>
          </cell>
          <cell r="AT15">
            <v>0</v>
          </cell>
          <cell r="AU15">
            <v>0</v>
          </cell>
          <cell r="AV15">
            <v>5496.0379999999996</v>
          </cell>
          <cell r="AW15">
            <v>0</v>
          </cell>
          <cell r="AX15">
            <v>7865.049</v>
          </cell>
          <cell r="AY15"/>
          <cell r="AZ15"/>
          <cell r="BA15">
            <v>13361.087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2483.4430000000002</v>
          </cell>
          <cell r="BG15">
            <v>0</v>
          </cell>
          <cell r="BH15"/>
          <cell r="BI15"/>
          <cell r="BJ15">
            <v>2483.4430000000002</v>
          </cell>
          <cell r="BK15"/>
          <cell r="BL15"/>
          <cell r="BM15"/>
          <cell r="BN15"/>
          <cell r="BO15"/>
        </row>
        <row r="16">
          <cell r="F16">
            <v>173.06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173.06</v>
          </cell>
          <cell r="BG16">
            <v>0</v>
          </cell>
          <cell r="BH16"/>
          <cell r="BI16"/>
          <cell r="BJ16">
            <v>173.06</v>
          </cell>
          <cell r="BK16"/>
          <cell r="BL16"/>
          <cell r="BM16"/>
          <cell r="BN16"/>
          <cell r="BO16"/>
        </row>
        <row r="17">
          <cell r="F17">
            <v>6868792.7550200019</v>
          </cell>
          <cell r="G17">
            <v>857453.62672000052</v>
          </cell>
          <cell r="H17">
            <v>711428.59843999986</v>
          </cell>
          <cell r="I17">
            <v>488813.82041999942</v>
          </cell>
          <cell r="J17">
            <v>316357.76980999991</v>
          </cell>
          <cell r="K17">
            <v>535017.81229999976</v>
          </cell>
          <cell r="L17">
            <v>470706.18218000018</v>
          </cell>
          <cell r="M17">
            <v>297348.60198000004</v>
          </cell>
          <cell r="N17">
            <v>394124.70427000005</v>
          </cell>
          <cell r="O17">
            <v>322466.92921000009</v>
          </cell>
          <cell r="P17">
            <v>455161.13221000007</v>
          </cell>
          <cell r="Q17">
            <v>384199.19814000028</v>
          </cell>
          <cell r="R17">
            <v>112807.23213000005</v>
          </cell>
          <cell r="S17">
            <v>489940.75000000029</v>
          </cell>
          <cell r="T17">
            <v>81857.268300000069</v>
          </cell>
          <cell r="U17">
            <v>218476.16256999996</v>
          </cell>
          <cell r="V17">
            <v>304695.83535000007</v>
          </cell>
          <cell r="W17">
            <v>215876.56076999992</v>
          </cell>
          <cell r="X17"/>
          <cell r="Y17"/>
          <cell r="Z17">
            <v>6656732.1848000018</v>
          </cell>
          <cell r="AA17">
            <v>49421.14</v>
          </cell>
          <cell r="AB17">
            <v>-193.61099999999999</v>
          </cell>
          <cell r="AC17">
            <v>-48675.85</v>
          </cell>
          <cell r="AD17">
            <v>1115.7720000000008</v>
          </cell>
          <cell r="AE17">
            <v>0</v>
          </cell>
          <cell r="AF17"/>
          <cell r="AG17"/>
          <cell r="AH17">
            <v>1667.4510000000055</v>
          </cell>
          <cell r="AI17">
            <v>6658399.635800004</v>
          </cell>
          <cell r="AJ17">
            <v>41316.741259999988</v>
          </cell>
          <cell r="AK17">
            <v>64494.33805999998</v>
          </cell>
          <cell r="AL17">
            <v>-23108.8681</v>
          </cell>
          <cell r="AM17"/>
          <cell r="AN17">
            <v>82702.211219999881</v>
          </cell>
          <cell r="AO17">
            <v>119825.76100000119</v>
          </cell>
          <cell r="AP17">
            <v>0</v>
          </cell>
          <cell r="AQ17"/>
          <cell r="AR17"/>
          <cell r="AS17">
            <v>119825.76100000119</v>
          </cell>
          <cell r="AT17">
            <v>5129.3180000000002</v>
          </cell>
          <cell r="AU17">
            <v>9270.7039999999997</v>
          </cell>
          <cell r="AV17">
            <v>-5496.0379999999996</v>
          </cell>
          <cell r="AW17">
            <v>80562.091</v>
          </cell>
          <cell r="AX17">
            <v>-7865.049</v>
          </cell>
          <cell r="AY17"/>
          <cell r="AZ17"/>
          <cell r="BA17">
            <v>81601.025999999998</v>
          </cell>
          <cell r="BB17">
            <v>0</v>
          </cell>
          <cell r="BC17">
            <v>1762.1</v>
          </cell>
          <cell r="BD17">
            <v>0</v>
          </cell>
          <cell r="BE17">
            <v>0</v>
          </cell>
          <cell r="BF17">
            <v>-2656.5030000000002</v>
          </cell>
          <cell r="BG17">
            <v>-72841.475999999995</v>
          </cell>
          <cell r="BH17"/>
          <cell r="BI17"/>
          <cell r="BJ17">
            <v>-73735.878999999986</v>
          </cell>
          <cell r="BK17"/>
          <cell r="BL17"/>
          <cell r="BM17"/>
          <cell r="BN17"/>
          <cell r="BO17"/>
        </row>
        <row r="18">
          <cell r="F18">
            <v>438311.41502000007</v>
          </cell>
          <cell r="G18">
            <v>29654.617720000002</v>
          </cell>
          <cell r="H18">
            <v>32893.430440000004</v>
          </cell>
          <cell r="I18">
            <v>15768.59742</v>
          </cell>
          <cell r="J18">
            <v>17336.28181</v>
          </cell>
          <cell r="K18">
            <v>71094.855299999996</v>
          </cell>
          <cell r="L18">
            <v>15256.794180000001</v>
          </cell>
          <cell r="M18">
            <v>14461.874980000001</v>
          </cell>
          <cell r="N18">
            <v>26020.03527</v>
          </cell>
          <cell r="O18">
            <v>11073.815210000001</v>
          </cell>
          <cell r="P18">
            <v>31769.547210000001</v>
          </cell>
          <cell r="Q18">
            <v>12372.967140000001</v>
          </cell>
          <cell r="R18">
            <v>10363.660130000002</v>
          </cell>
          <cell r="S18">
            <v>22210.733</v>
          </cell>
          <cell r="T18">
            <v>5096.4692999999997</v>
          </cell>
          <cell r="U18">
            <v>9391.2175700000007</v>
          </cell>
          <cell r="V18">
            <v>22966.873350000002</v>
          </cell>
          <cell r="W18">
            <v>8370.4617699999999</v>
          </cell>
          <cell r="X18"/>
          <cell r="Y18"/>
          <cell r="Z18">
            <v>356102.23180000001</v>
          </cell>
          <cell r="AA18">
            <v>5255.8180000000002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5609.49</v>
          </cell>
          <cell r="AI18">
            <v>361711.72180000006</v>
          </cell>
          <cell r="AJ18">
            <v>32950.405260000007</v>
          </cell>
          <cell r="AK18">
            <v>12012.278060000001</v>
          </cell>
          <cell r="AL18">
            <v>30710.7009</v>
          </cell>
          <cell r="AM18"/>
          <cell r="AN18">
            <v>75673.384220000007</v>
          </cell>
          <cell r="AO18">
            <v>2800.7190000000001</v>
          </cell>
          <cell r="AP18">
            <v>855.83600000000001</v>
          </cell>
          <cell r="AQ18"/>
          <cell r="AR18"/>
          <cell r="AS18">
            <v>3656.5550000000003</v>
          </cell>
          <cell r="AT18">
            <v>1312.8920000000001</v>
          </cell>
          <cell r="AU18">
            <v>-4103.3360000000002</v>
          </cell>
          <cell r="AV18">
            <v>432.17</v>
          </cell>
          <cell r="AW18">
            <v>0</v>
          </cell>
          <cell r="AX18">
            <v>-14097.803</v>
          </cell>
          <cell r="AY18"/>
          <cell r="AZ18"/>
          <cell r="BA18">
            <v>-16456.077000000001</v>
          </cell>
          <cell r="BB18">
            <v>0</v>
          </cell>
          <cell r="BC18">
            <v>6925.8779999999997</v>
          </cell>
          <cell r="BD18">
            <v>0</v>
          </cell>
          <cell r="BE18">
            <v>0</v>
          </cell>
          <cell r="BF18">
            <v>6799.9529999999995</v>
          </cell>
          <cell r="BG18">
            <v>0</v>
          </cell>
          <cell r="BH18"/>
          <cell r="BI18"/>
          <cell r="BJ18">
            <v>13725.830999999998</v>
          </cell>
          <cell r="BK18"/>
          <cell r="BL18"/>
          <cell r="BM18"/>
          <cell r="BN18"/>
          <cell r="BO18"/>
        </row>
        <row r="19">
          <cell r="F19">
            <v>420240.98802000005</v>
          </cell>
          <cell r="G19">
            <v>27925.09172</v>
          </cell>
          <cell r="H19">
            <v>31146.045440000002</v>
          </cell>
          <cell r="I19">
            <v>14822.28342</v>
          </cell>
          <cell r="J19">
            <v>16424.38681</v>
          </cell>
          <cell r="K19">
            <v>69869.283299999996</v>
          </cell>
          <cell r="L19">
            <v>14078.48618</v>
          </cell>
          <cell r="M19">
            <v>14187.545980000001</v>
          </cell>
          <cell r="N19">
            <v>24812.877270000001</v>
          </cell>
          <cell r="O19">
            <v>10131.056210000001</v>
          </cell>
          <cell r="P19">
            <v>31095.27421</v>
          </cell>
          <cell r="Q19">
            <v>11712.07114</v>
          </cell>
          <cell r="R19">
            <v>10074.774130000002</v>
          </cell>
          <cell r="S19">
            <v>21273.026000000002</v>
          </cell>
          <cell r="T19">
            <v>4832.0702999999994</v>
          </cell>
          <cell r="U19">
            <v>9391.2175700000007</v>
          </cell>
          <cell r="V19">
            <v>22297.807350000003</v>
          </cell>
          <cell r="W19">
            <v>8358.3607699999993</v>
          </cell>
          <cell r="X19"/>
          <cell r="Y19"/>
          <cell r="Z19">
            <v>342431.65780000004</v>
          </cell>
          <cell r="AA19">
            <v>5255.8180000000002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5255.8180000000002</v>
          </cell>
          <cell r="AI19">
            <v>347687.47580000007</v>
          </cell>
          <cell r="AJ19">
            <v>32620.977260000003</v>
          </cell>
          <cell r="AK19">
            <v>12012.278060000001</v>
          </cell>
          <cell r="AL19">
            <v>30710.7009</v>
          </cell>
          <cell r="AM19"/>
          <cell r="AN19">
            <v>75343.956220000007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18070.427000000003</v>
          </cell>
          <cell r="G20">
            <v>1729.5260000000001</v>
          </cell>
          <cell r="H20">
            <v>1747.385</v>
          </cell>
          <cell r="I20">
            <v>946.31399999999996</v>
          </cell>
          <cell r="J20">
            <v>911.89499999999998</v>
          </cell>
          <cell r="K20">
            <v>1225.5719999999999</v>
          </cell>
          <cell r="L20">
            <v>1178.308</v>
          </cell>
          <cell r="M20">
            <v>274.32900000000001</v>
          </cell>
          <cell r="N20">
            <v>1207.1579999999999</v>
          </cell>
          <cell r="O20">
            <v>942.75900000000001</v>
          </cell>
          <cell r="P20">
            <v>674.27300000000002</v>
          </cell>
          <cell r="Q20">
            <v>660.89599999999996</v>
          </cell>
          <cell r="R20">
            <v>288.88600000000002</v>
          </cell>
          <cell r="S20">
            <v>937.70699999999999</v>
          </cell>
          <cell r="T20">
            <v>264.399</v>
          </cell>
          <cell r="U20">
            <v>0</v>
          </cell>
          <cell r="V20">
            <v>669.06600000000003</v>
          </cell>
          <cell r="W20">
            <v>12.101000000000001</v>
          </cell>
          <cell r="X20"/>
          <cell r="Y20"/>
          <cell r="Z20">
            <v>13670.574000000002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14024.246000000003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2800.7190000000001</v>
          </cell>
          <cell r="AP20">
            <v>855.83600000000001</v>
          </cell>
          <cell r="AQ20"/>
          <cell r="AR20"/>
          <cell r="AS20">
            <v>3656.5550000000003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-14097.803</v>
          </cell>
          <cell r="AY20"/>
          <cell r="AZ20"/>
          <cell r="BA20">
            <v>-13665.633</v>
          </cell>
          <cell r="BB20">
            <v>0</v>
          </cell>
          <cell r="BC20">
            <v>6925.8779999999997</v>
          </cell>
          <cell r="BD20">
            <v>0</v>
          </cell>
          <cell r="BE20">
            <v>0</v>
          </cell>
          <cell r="BF20">
            <v>6799.9529999999995</v>
          </cell>
          <cell r="BG20">
            <v>0</v>
          </cell>
          <cell r="BH20"/>
          <cell r="BI20"/>
          <cell r="BJ20">
            <v>13725.830999999998</v>
          </cell>
          <cell r="BK20"/>
          <cell r="BL20"/>
          <cell r="BM20"/>
          <cell r="BN20"/>
          <cell r="BO20"/>
        </row>
        <row r="21">
          <cell r="F21">
            <v>6430481.3400000017</v>
          </cell>
          <cell r="G21">
            <v>827799.00900000054</v>
          </cell>
          <cell r="H21">
            <v>678535.16799999983</v>
          </cell>
          <cell r="I21">
            <v>473045.22299999942</v>
          </cell>
          <cell r="J21">
            <v>299021.4879999999</v>
          </cell>
          <cell r="K21">
            <v>463922.95699999976</v>
          </cell>
          <cell r="L21">
            <v>455449.38800000015</v>
          </cell>
          <cell r="M21">
            <v>282886.72700000001</v>
          </cell>
          <cell r="N21">
            <v>368104.66900000005</v>
          </cell>
          <cell r="O21">
            <v>311393.11400000006</v>
          </cell>
          <cell r="P21">
            <v>423391.58500000008</v>
          </cell>
          <cell r="Q21">
            <v>371826.23100000026</v>
          </cell>
          <cell r="R21">
            <v>102443.57200000004</v>
          </cell>
          <cell r="S21">
            <v>467730.01700000028</v>
          </cell>
          <cell r="T21">
            <v>76760.799000000072</v>
          </cell>
          <cell r="U21">
            <v>209084.94499999995</v>
          </cell>
          <cell r="V21">
            <v>281728.96200000006</v>
          </cell>
          <cell r="W21">
            <v>207506.09899999993</v>
          </cell>
          <cell r="X21"/>
          <cell r="Y21"/>
          <cell r="Z21">
            <v>6300629.9530000016</v>
          </cell>
          <cell r="AA21">
            <v>44165.322</v>
          </cell>
          <cell r="AB21">
            <v>-547.28300000000002</v>
          </cell>
          <cell r="AC21">
            <v>-48675.85</v>
          </cell>
          <cell r="AD21">
            <v>1115.7720000000008</v>
          </cell>
          <cell r="AE21">
            <v>0</v>
          </cell>
          <cell r="AF21"/>
          <cell r="AG21"/>
          <cell r="AH21">
            <v>-3942.0389999999943</v>
          </cell>
          <cell r="AI21">
            <v>6296687.9140000036</v>
          </cell>
          <cell r="AJ21">
            <v>8366.3359999999811</v>
          </cell>
          <cell r="AK21">
            <v>52482.059999999983</v>
          </cell>
          <cell r="AL21">
            <v>-53819.569000000003</v>
          </cell>
          <cell r="AM21"/>
          <cell r="AN21">
            <v>7028.8269999998738</v>
          </cell>
          <cell r="AO21">
            <v>117025.04200000119</v>
          </cell>
          <cell r="AP21">
            <v>-855.83600000000001</v>
          </cell>
          <cell r="AQ21"/>
          <cell r="AR21"/>
          <cell r="AS21">
            <v>116169.2060000012</v>
          </cell>
          <cell r="AT21">
            <v>3816.4260000000004</v>
          </cell>
          <cell r="AU21">
            <v>13374.04</v>
          </cell>
          <cell r="AV21">
            <v>-5928.2079999999996</v>
          </cell>
          <cell r="AW21">
            <v>80562.091</v>
          </cell>
          <cell r="AX21">
            <v>6232.7539999999999</v>
          </cell>
          <cell r="AY21"/>
          <cell r="AZ21"/>
          <cell r="BA21">
            <v>98057.103000000003</v>
          </cell>
          <cell r="BB21">
            <v>0</v>
          </cell>
          <cell r="BC21">
            <v>-5163.7780000000002</v>
          </cell>
          <cell r="BD21">
            <v>0</v>
          </cell>
          <cell r="BE21">
            <v>0</v>
          </cell>
          <cell r="BF21">
            <v>-9456.4560000000001</v>
          </cell>
          <cell r="BG21">
            <v>-72841.475999999995</v>
          </cell>
          <cell r="BH21"/>
          <cell r="BI21"/>
          <cell r="BJ21">
            <v>-87461.709999999992</v>
          </cell>
          <cell r="BK21"/>
          <cell r="BL21"/>
          <cell r="BM21"/>
          <cell r="BN21"/>
          <cell r="BO21"/>
        </row>
        <row r="22">
          <cell r="F22">
            <v>2582136.3080000002</v>
          </cell>
          <cell r="G22">
            <v>220791.6845754314</v>
          </cell>
          <cell r="H22">
            <v>205166.02093530004</v>
          </cell>
          <cell r="I22">
            <v>134209.24676757553</v>
          </cell>
          <cell r="J22">
            <v>87340.960991366097</v>
          </cell>
          <cell r="K22">
            <v>112463.19814342892</v>
          </cell>
          <cell r="L22">
            <v>115075.62852669333</v>
          </cell>
          <cell r="M22">
            <v>70189.779191460068</v>
          </cell>
          <cell r="N22">
            <v>96966.01732967011</v>
          </cell>
          <cell r="O22">
            <v>77413.393552146619</v>
          </cell>
          <cell r="P22">
            <v>94398.51393990517</v>
          </cell>
          <cell r="Q22">
            <v>82891.048252177148</v>
          </cell>
          <cell r="R22">
            <v>39612.927298335642</v>
          </cell>
          <cell r="S22">
            <v>111861.3956921862</v>
          </cell>
          <cell r="T22">
            <v>21490.296606738259</v>
          </cell>
          <cell r="U22">
            <v>39940.091053057222</v>
          </cell>
          <cell r="V22">
            <v>57333.505970610058</v>
          </cell>
          <cell r="W22">
            <v>46276.266173918222</v>
          </cell>
          <cell r="X22"/>
          <cell r="Y22"/>
          <cell r="Z22">
            <v>1613419.9750000001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1613419.9750000001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968716.33299999998</v>
          </cell>
          <cell r="BF22">
            <v>0</v>
          </cell>
          <cell r="BG22">
            <v>0</v>
          </cell>
          <cell r="BH22"/>
          <cell r="BI22"/>
          <cell r="BJ22">
            <v>968716.33299999998</v>
          </cell>
          <cell r="BK22"/>
          <cell r="BL22"/>
          <cell r="BM22"/>
          <cell r="BN22"/>
          <cell r="BO22"/>
        </row>
        <row r="23">
          <cell r="F23">
            <v>130329.04199999997</v>
          </cell>
          <cell r="G23">
            <v>18571.005949599563</v>
          </cell>
          <cell r="H23">
            <v>17256.715998031286</v>
          </cell>
          <cell r="I23">
            <v>11288.471868877905</v>
          </cell>
          <cell r="J23">
            <v>7346.3342124203009</v>
          </cell>
          <cell r="K23">
            <v>9686.9821948732952</v>
          </cell>
          <cell r="L23">
            <v>9912.003064151384</v>
          </cell>
          <cell r="M23">
            <v>6045.7745512680767</v>
          </cell>
          <cell r="N23">
            <v>8352.137400381871</v>
          </cell>
          <cell r="O23">
            <v>6667.9783019151064</v>
          </cell>
          <cell r="P23">
            <v>8130.9863035563085</v>
          </cell>
          <cell r="Q23">
            <v>7139.7943664128261</v>
          </cell>
          <cell r="R23">
            <v>3412.0470319224023</v>
          </cell>
          <cell r="S23">
            <v>6673.1919331182889</v>
          </cell>
          <cell r="T23">
            <v>1282.0229272932499</v>
          </cell>
          <cell r="U23">
            <v>2382.6619699676166</v>
          </cell>
          <cell r="V23">
            <v>3420.2817439653113</v>
          </cell>
          <cell r="W23">
            <v>2760.6521822451837</v>
          </cell>
          <cell r="X23"/>
          <cell r="Y23"/>
          <cell r="Z23">
            <v>130329.04199999997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130329.04199999997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926843.83400000015</v>
          </cell>
          <cell r="G24">
            <v>126375.92538747443</v>
          </cell>
          <cell r="H24">
            <v>117432.16599675165</v>
          </cell>
          <cell r="I24">
            <v>76818.190813765745</v>
          </cell>
          <cell r="J24">
            <v>49991.895259734018</v>
          </cell>
          <cell r="K24">
            <v>64229.036746306672</v>
          </cell>
          <cell r="L24">
            <v>65721.026035726158</v>
          </cell>
          <cell r="M24">
            <v>40086.196918870475</v>
          </cell>
          <cell r="N24">
            <v>55378.417055751197</v>
          </cell>
          <cell r="O24">
            <v>44211.686855782726</v>
          </cell>
          <cell r="P24">
            <v>53912.086093357924</v>
          </cell>
          <cell r="Q24">
            <v>47340.038981810161</v>
          </cell>
          <cell r="R24">
            <v>22623.402189120785</v>
          </cell>
          <cell r="S24">
            <v>65736.386012702904</v>
          </cell>
          <cell r="T24">
            <v>12628.971992763236</v>
          </cell>
          <cell r="U24">
            <v>23471.164708788543</v>
          </cell>
          <cell r="V24">
            <v>33692.566203238399</v>
          </cell>
          <cell r="W24">
            <v>27194.67674805499</v>
          </cell>
          <cell r="X24"/>
          <cell r="Y24"/>
          <cell r="Z24">
            <v>926843.83400000015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926843.83400000015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1524963.432</v>
          </cell>
          <cell r="G25">
            <v>75844.753238357414</v>
          </cell>
          <cell r="H25">
            <v>70477.138940517078</v>
          </cell>
          <cell r="I25">
            <v>46102.584084931885</v>
          </cell>
          <cell r="J25">
            <v>30002.731519211789</v>
          </cell>
          <cell r="K25">
            <v>38547.179202248961</v>
          </cell>
          <cell r="L25">
            <v>39442.599426815788</v>
          </cell>
          <cell r="M25">
            <v>24057.807721321518</v>
          </cell>
          <cell r="N25">
            <v>33235.462873537035</v>
          </cell>
          <cell r="O25">
            <v>26533.728394448783</v>
          </cell>
          <cell r="P25">
            <v>32355.441542990931</v>
          </cell>
          <cell r="Q25">
            <v>28411.214903954162</v>
          </cell>
          <cell r="R25">
            <v>13577.478077292455</v>
          </cell>
          <cell r="S25">
            <v>39451.817746364999</v>
          </cell>
          <cell r="T25">
            <v>7579.3016866817716</v>
          </cell>
          <cell r="U25">
            <v>14086.264374301063</v>
          </cell>
          <cell r="V25">
            <v>20220.658023406355</v>
          </cell>
          <cell r="W25">
            <v>16320.937243618046</v>
          </cell>
          <cell r="X25"/>
          <cell r="Y25"/>
          <cell r="Z25">
            <v>556247.09900000005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556247.09900000005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968716.33299999998</v>
          </cell>
          <cell r="BF25">
            <v>0</v>
          </cell>
          <cell r="BG25">
            <v>0</v>
          </cell>
          <cell r="BH25"/>
          <cell r="BI25"/>
          <cell r="BJ25">
            <v>968716.33299999998</v>
          </cell>
          <cell r="BK25"/>
          <cell r="BL25"/>
          <cell r="BM25"/>
          <cell r="BN25"/>
          <cell r="BO25"/>
        </row>
        <row r="26">
          <cell r="F26">
            <v>3848345.0320000015</v>
          </cell>
          <cell r="G26">
            <v>607007.32442456915</v>
          </cell>
          <cell r="H26">
            <v>473369.14706469979</v>
          </cell>
          <cell r="I26">
            <v>338835.97623242391</v>
          </cell>
          <cell r="J26">
            <v>211680.5270086338</v>
          </cell>
          <cell r="K26">
            <v>351459.75885657081</v>
          </cell>
          <cell r="L26">
            <v>340373.75947330683</v>
          </cell>
          <cell r="M26">
            <v>212696.94780853996</v>
          </cell>
          <cell r="N26">
            <v>271138.65167032997</v>
          </cell>
          <cell r="O26">
            <v>233979.72044785344</v>
          </cell>
          <cell r="P26">
            <v>328993.07106009492</v>
          </cell>
          <cell r="Q26">
            <v>288935.18274782313</v>
          </cell>
          <cell r="R26">
            <v>62830.644701664402</v>
          </cell>
          <cell r="S26">
            <v>355868.62130781409</v>
          </cell>
          <cell r="T26">
            <v>55270.502393261813</v>
          </cell>
          <cell r="U26">
            <v>169144.85394694272</v>
          </cell>
          <cell r="V26">
            <v>224395.45602938998</v>
          </cell>
          <cell r="W26">
            <v>161229.83282608172</v>
          </cell>
          <cell r="X26"/>
          <cell r="Y26"/>
          <cell r="Z26">
            <v>4687209.978000002</v>
          </cell>
          <cell r="AA26">
            <v>44165.322</v>
          </cell>
          <cell r="AB26">
            <v>-547.28300000000002</v>
          </cell>
          <cell r="AC26">
            <v>-48675.85</v>
          </cell>
          <cell r="AD26">
            <v>1115.7720000000008</v>
          </cell>
          <cell r="AE26">
            <v>0</v>
          </cell>
          <cell r="AF26"/>
          <cell r="AG26"/>
          <cell r="AH26">
            <v>-3942.0389999999943</v>
          </cell>
          <cell r="AI26">
            <v>4683267.939000003</v>
          </cell>
          <cell r="AJ26">
            <v>8366.3359999999811</v>
          </cell>
          <cell r="AK26">
            <v>52482.059999999983</v>
          </cell>
          <cell r="AL26">
            <v>-53819.569000000003</v>
          </cell>
          <cell r="AM26"/>
          <cell r="AN26">
            <v>7028.8269999998738</v>
          </cell>
          <cell r="AO26">
            <v>117025.04200000119</v>
          </cell>
          <cell r="AP26">
            <v>-855.83600000000001</v>
          </cell>
          <cell r="AQ26"/>
          <cell r="AR26"/>
          <cell r="AS26">
            <v>116169.2060000012</v>
          </cell>
          <cell r="AT26">
            <v>3816.4260000000004</v>
          </cell>
          <cell r="AU26">
            <v>13374.04</v>
          </cell>
          <cell r="AV26">
            <v>-5928.2079999999996</v>
          </cell>
          <cell r="AW26">
            <v>80562.091</v>
          </cell>
          <cell r="AX26">
            <v>6232.7539999999999</v>
          </cell>
          <cell r="AY26"/>
          <cell r="AZ26"/>
          <cell r="BA26">
            <v>98057.103000000003</v>
          </cell>
          <cell r="BB26">
            <v>0</v>
          </cell>
          <cell r="BC26">
            <v>-5163.7780000000002</v>
          </cell>
          <cell r="BD26">
            <v>0</v>
          </cell>
          <cell r="BE26">
            <v>-968716.33299999998</v>
          </cell>
          <cell r="BF26">
            <v>-9456.4560000000001</v>
          </cell>
          <cell r="BG26">
            <v>-72841.475999999995</v>
          </cell>
          <cell r="BH26"/>
          <cell r="BI26"/>
          <cell r="BJ26">
            <v>-1056178.0430000001</v>
          </cell>
          <cell r="BK26"/>
          <cell r="BL26"/>
          <cell r="BM26"/>
          <cell r="BN26"/>
          <cell r="BO26"/>
        </row>
        <row r="27">
          <cell r="F27">
            <v>3848345.0320000015</v>
          </cell>
          <cell r="G27">
            <v>607007.32442456915</v>
          </cell>
          <cell r="H27">
            <v>473369.14706469979</v>
          </cell>
          <cell r="I27">
            <v>338835.97623242391</v>
          </cell>
          <cell r="J27">
            <v>211680.52700863386</v>
          </cell>
          <cell r="K27">
            <v>351459.75885657093</v>
          </cell>
          <cell r="L27">
            <v>340373.75947330683</v>
          </cell>
          <cell r="M27">
            <v>212696.94780854002</v>
          </cell>
          <cell r="N27">
            <v>271138.65167032997</v>
          </cell>
          <cell r="O27">
            <v>233979.72044785344</v>
          </cell>
          <cell r="P27">
            <v>328993.07106009492</v>
          </cell>
          <cell r="Q27">
            <v>288935.18274782307</v>
          </cell>
          <cell r="R27">
            <v>62830.644701664423</v>
          </cell>
          <cell r="S27">
            <v>355868.62130781414</v>
          </cell>
          <cell r="T27">
            <v>55270.502393261828</v>
          </cell>
          <cell r="U27">
            <v>169144.85394694272</v>
          </cell>
          <cell r="V27">
            <v>224395.4560293901</v>
          </cell>
          <cell r="W27">
            <v>161229.83282608175</v>
          </cell>
          <cell r="X27"/>
          <cell r="Y27"/>
          <cell r="Z27">
            <v>4687209.9780000001</v>
          </cell>
          <cell r="AA27">
            <v>44165.322</v>
          </cell>
          <cell r="AB27">
            <v>-547.28300000000002</v>
          </cell>
          <cell r="AC27">
            <v>-48675.85</v>
          </cell>
          <cell r="AD27">
            <v>1115.7720000000008</v>
          </cell>
          <cell r="AE27">
            <v>0</v>
          </cell>
          <cell r="AF27"/>
          <cell r="AG27"/>
          <cell r="AH27">
            <v>-3942.0390000000007</v>
          </cell>
          <cell r="AI27">
            <v>4683267.9390000002</v>
          </cell>
          <cell r="AJ27">
            <v>8366.3359999999848</v>
          </cell>
          <cell r="AK27">
            <v>52482.059999999983</v>
          </cell>
          <cell r="AL27">
            <v>-53819.568999999996</v>
          </cell>
          <cell r="AM27"/>
          <cell r="AN27">
            <v>7028.8269999999684</v>
          </cell>
          <cell r="AO27">
            <v>117025.04200000119</v>
          </cell>
          <cell r="AP27">
            <v>-855.83600000000001</v>
          </cell>
          <cell r="AQ27"/>
          <cell r="AR27"/>
          <cell r="AS27">
            <v>116169.2060000012</v>
          </cell>
          <cell r="AT27">
            <v>3816.4260000000004</v>
          </cell>
          <cell r="AU27">
            <v>13374.04</v>
          </cell>
          <cell r="AV27">
            <v>-5928.2079999999996</v>
          </cell>
          <cell r="AW27">
            <v>80562.091</v>
          </cell>
          <cell r="AX27">
            <v>6232.7539999999999</v>
          </cell>
          <cell r="AY27"/>
          <cell r="AZ27"/>
          <cell r="BA27">
            <v>98057.103000000003</v>
          </cell>
          <cell r="BB27">
            <v>0</v>
          </cell>
          <cell r="BC27">
            <v>-5163.7780000000002</v>
          </cell>
          <cell r="BD27">
            <v>0</v>
          </cell>
          <cell r="BE27">
            <v>-968716.33299999998</v>
          </cell>
          <cell r="BF27">
            <v>-9456.4560000000001</v>
          </cell>
          <cell r="BG27">
            <v>-72841.475999999995</v>
          </cell>
          <cell r="BH27"/>
          <cell r="BI27"/>
          <cell r="BJ27">
            <v>-1056178.0430000001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6.3664629124104977E-12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-9.4587448984384537E-11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49160</v>
          </cell>
          <cell r="H31">
            <v>44112</v>
          </cell>
          <cell r="I31">
            <v>30721</v>
          </cell>
          <cell r="J31">
            <v>20239</v>
          </cell>
          <cell r="K31">
            <v>23084</v>
          </cell>
          <cell r="L31">
            <v>23514</v>
          </cell>
          <cell r="M31">
            <v>14851</v>
          </cell>
          <cell r="N31">
            <v>19957</v>
          </cell>
          <cell r="O31">
            <v>17548</v>
          </cell>
          <cell r="P31">
            <v>20557</v>
          </cell>
          <cell r="Q31">
            <v>18367</v>
          </cell>
          <cell r="R31">
            <v>8687</v>
          </cell>
          <cell r="S31">
            <v>24800</v>
          </cell>
          <cell r="T31">
            <v>4638</v>
          </cell>
          <cell r="U31">
            <v>8807</v>
          </cell>
          <cell r="V31">
            <v>12647.5</v>
          </cell>
          <cell r="W31">
            <v>8392.5</v>
          </cell>
          <cell r="X31">
            <v>0</v>
          </cell>
          <cell r="Y31">
            <v>0</v>
          </cell>
          <cell r="Z31">
            <v>350082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350082</v>
          </cell>
          <cell r="AJ31">
            <v>27381</v>
          </cell>
          <cell r="AK31">
            <v>33392</v>
          </cell>
          <cell r="AL31">
            <v>3800</v>
          </cell>
          <cell r="AM31"/>
          <cell r="AN31">
            <v>64573</v>
          </cell>
          <cell r="AO31">
            <v>7070.5</v>
          </cell>
          <cell r="AP31">
            <v>0</v>
          </cell>
          <cell r="AQ31"/>
          <cell r="AR31"/>
          <cell r="AS31">
            <v>7070.5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44792725.859999999</v>
          </cell>
          <cell r="G32">
            <v>4691384.1580000008</v>
          </cell>
          <cell r="H32">
            <v>4359369.8839999996</v>
          </cell>
          <cell r="I32">
            <v>2851679.5609999998</v>
          </cell>
          <cell r="J32">
            <v>1855821.706</v>
          </cell>
          <cell r="K32">
            <v>2384339.2999999998</v>
          </cell>
          <cell r="L32">
            <v>2439725.6</v>
          </cell>
          <cell r="M32">
            <v>1488097.9</v>
          </cell>
          <cell r="N32">
            <v>2055782.6</v>
          </cell>
          <cell r="O32">
            <v>1641246.2</v>
          </cell>
          <cell r="P32">
            <v>2001348.8</v>
          </cell>
          <cell r="Q32">
            <v>1757378.3</v>
          </cell>
          <cell r="R32">
            <v>839836.15</v>
          </cell>
          <cell r="S32">
            <v>2440295.8000000003</v>
          </cell>
          <cell r="T32">
            <v>468818.4</v>
          </cell>
          <cell r="U32">
            <v>871307.17299999995</v>
          </cell>
          <cell r="V32">
            <v>1250750.6540000001</v>
          </cell>
          <cell r="W32">
            <v>1009533.068</v>
          </cell>
          <cell r="X32">
            <v>0</v>
          </cell>
          <cell r="Y32">
            <v>0</v>
          </cell>
          <cell r="Z32">
            <v>34406715.254000001</v>
          </cell>
          <cell r="AA32">
            <v>50000</v>
          </cell>
          <cell r="AB32">
            <v>0</v>
          </cell>
          <cell r="AC32">
            <v>6250</v>
          </cell>
          <cell r="AD32">
            <v>28340</v>
          </cell>
          <cell r="AE32">
            <v>0</v>
          </cell>
          <cell r="AF32"/>
          <cell r="AG32"/>
          <cell r="AH32">
            <v>84590</v>
          </cell>
          <cell r="AI32">
            <v>34491305.254000001</v>
          </cell>
          <cell r="AJ32">
            <v>793573</v>
          </cell>
          <cell r="AK32">
            <v>396256</v>
          </cell>
          <cell r="AL32">
            <v>67480</v>
          </cell>
          <cell r="AM32"/>
          <cell r="AN32">
            <v>1257309</v>
          </cell>
          <cell r="AO32">
            <v>8947089.415000001</v>
          </cell>
          <cell r="AP32">
            <v>0</v>
          </cell>
          <cell r="AQ32"/>
          <cell r="AR32"/>
          <cell r="AS32">
            <v>8947089.415000001</v>
          </cell>
          <cell r="AT32">
            <v>5250</v>
          </cell>
          <cell r="AU32">
            <v>9448</v>
          </cell>
          <cell r="AV32">
            <v>0</v>
          </cell>
          <cell r="AW32">
            <v>80562.091</v>
          </cell>
          <cell r="AX32">
            <v>0</v>
          </cell>
          <cell r="AY32"/>
          <cell r="AZ32"/>
          <cell r="BA32">
            <v>95260.091</v>
          </cell>
          <cell r="BB32">
            <v>0</v>
          </cell>
          <cell r="BC32">
            <v>1762.1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1762.1</v>
          </cell>
        </row>
        <row r="33">
          <cell r="F33">
            <v>37628683.151000001</v>
          </cell>
          <cell r="G33">
            <v>3796308.5860000001</v>
          </cell>
          <cell r="H33">
            <v>3623628.9759999998</v>
          </cell>
          <cell r="I33">
            <v>2336819.6740000006</v>
          </cell>
          <cell r="J33">
            <v>1525090.4440000001</v>
          </cell>
          <cell r="K33">
            <v>1870734.2660000001</v>
          </cell>
          <cell r="L33">
            <v>1944550.9269999999</v>
          </cell>
          <cell r="M33">
            <v>1174356.9389999998</v>
          </cell>
          <cell r="N33">
            <v>1649131.2110000001</v>
          </cell>
          <cell r="O33">
            <v>1297305.906</v>
          </cell>
          <cell r="P33">
            <v>1541359.5249999999</v>
          </cell>
          <cell r="Q33">
            <v>1355053.3799999997</v>
          </cell>
          <cell r="R33">
            <v>712821.5</v>
          </cell>
          <cell r="S33">
            <v>1934473.6410000001</v>
          </cell>
          <cell r="T33">
            <v>384035.48099999997</v>
          </cell>
          <cell r="U33">
            <v>654375.63899999997</v>
          </cell>
          <cell r="V33">
            <v>951203.17200000002</v>
          </cell>
          <cell r="W33">
            <v>789183.59700000007</v>
          </cell>
          <cell r="X33">
            <v>0</v>
          </cell>
          <cell r="Y33">
            <v>0</v>
          </cell>
          <cell r="Z33">
            <v>27540432.863999993</v>
          </cell>
          <cell r="AA33">
            <v>5834.6779999999999</v>
          </cell>
          <cell r="AB33">
            <v>0</v>
          </cell>
          <cell r="AC33">
            <v>54925.85</v>
          </cell>
          <cell r="AD33">
            <v>27224.227999999999</v>
          </cell>
          <cell r="AE33">
            <v>0</v>
          </cell>
          <cell r="AF33"/>
          <cell r="AG33"/>
          <cell r="AH33">
            <v>87984.755999999994</v>
          </cell>
          <cell r="AI33">
            <v>27628417.619999994</v>
          </cell>
          <cell r="AJ33">
            <v>778491.56299999997</v>
          </cell>
          <cell r="AK33">
            <v>343773.94</v>
          </cell>
          <cell r="AL33">
            <v>69752.508000000002</v>
          </cell>
          <cell r="AM33"/>
          <cell r="AN33">
            <v>1192018.0109999999</v>
          </cell>
          <cell r="AO33">
            <v>8737898.5099999998</v>
          </cell>
          <cell r="AP33">
            <v>0</v>
          </cell>
          <cell r="AQ33"/>
          <cell r="AR33"/>
          <cell r="AS33">
            <v>8737898.5099999998</v>
          </cell>
          <cell r="AT33">
            <v>1433.5740000000001</v>
          </cell>
          <cell r="AU33">
            <v>-3926.0400000000004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-2492.4660000000003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72841.475999999995</v>
          </cell>
          <cell r="BH33"/>
          <cell r="BI33"/>
          <cell r="BJ33">
            <v>72841.475999999995</v>
          </cell>
        </row>
        <row r="34">
          <cell r="F34">
            <v>7164042.7089999989</v>
          </cell>
          <cell r="G34">
            <v>895075.57200000063</v>
          </cell>
          <cell r="H34">
            <v>735740.90799999982</v>
          </cell>
          <cell r="I34">
            <v>514859.88699999917</v>
          </cell>
          <cell r="J34">
            <v>330731.26199999987</v>
          </cell>
          <cell r="K34">
            <v>513605.03399999975</v>
          </cell>
          <cell r="L34">
            <v>495174.67300000018</v>
          </cell>
          <cell r="M34">
            <v>313740.96100000013</v>
          </cell>
          <cell r="N34">
            <v>406651.38899999997</v>
          </cell>
          <cell r="O34">
            <v>343940.29399999999</v>
          </cell>
          <cell r="P34">
            <v>459989.27500000014</v>
          </cell>
          <cell r="Q34">
            <v>402324.92000000039</v>
          </cell>
          <cell r="R34">
            <v>127014.65000000002</v>
          </cell>
          <cell r="S34">
            <v>505822.15900000022</v>
          </cell>
          <cell r="T34">
            <v>84782.919000000053</v>
          </cell>
          <cell r="U34">
            <v>216931.53399999999</v>
          </cell>
          <cell r="V34">
            <v>299547.48200000008</v>
          </cell>
          <cell r="W34">
            <v>220349.4709999999</v>
          </cell>
          <cell r="X34">
            <v>0</v>
          </cell>
          <cell r="Y34">
            <v>0</v>
          </cell>
          <cell r="Z34">
            <v>6866282.390000008</v>
          </cell>
          <cell r="AA34">
            <v>44165.322</v>
          </cell>
          <cell r="AB34">
            <v>0</v>
          </cell>
          <cell r="AC34">
            <v>-48675.85</v>
          </cell>
          <cell r="AD34">
            <v>1115.7720000000008</v>
          </cell>
          <cell r="AE34">
            <v>0</v>
          </cell>
          <cell r="AF34"/>
          <cell r="AG34"/>
          <cell r="AH34">
            <v>-3394.7559999999939</v>
          </cell>
          <cell r="AI34">
            <v>6862887.6340000071</v>
          </cell>
          <cell r="AJ34">
            <v>15081.437000000034</v>
          </cell>
          <cell r="AK34">
            <v>52482.06</v>
          </cell>
          <cell r="AL34">
            <v>-2272.5080000000016</v>
          </cell>
          <cell r="AM34"/>
          <cell r="AN34">
            <v>65290.98900000006</v>
          </cell>
          <cell r="AO34">
            <v>209190.90500000119</v>
          </cell>
          <cell r="AP34">
            <v>0</v>
          </cell>
          <cell r="AQ34"/>
          <cell r="AR34"/>
          <cell r="AS34">
            <v>209190.90500000119</v>
          </cell>
          <cell r="AT34">
            <v>3816.4259999999999</v>
          </cell>
          <cell r="AU34">
            <v>13374.04</v>
          </cell>
          <cell r="AV34">
            <v>0</v>
          </cell>
          <cell r="AW34">
            <v>80562.091</v>
          </cell>
          <cell r="AX34">
            <v>0</v>
          </cell>
          <cell r="AY34"/>
          <cell r="AZ34"/>
          <cell r="BA34">
            <v>97752.557000000001</v>
          </cell>
          <cell r="BB34">
            <v>0</v>
          </cell>
          <cell r="BC34">
            <v>1762.1</v>
          </cell>
          <cell r="BD34">
            <v>0</v>
          </cell>
          <cell r="BE34">
            <v>0</v>
          </cell>
          <cell r="BF34">
            <v>0</v>
          </cell>
          <cell r="BG34">
            <v>-72841.475999999995</v>
          </cell>
          <cell r="BH34"/>
          <cell r="BI34"/>
          <cell r="BJ34">
            <v>-71079.375999999989</v>
          </cell>
        </row>
        <row r="35">
          <cell r="F35">
            <v>3315697.6769999992</v>
          </cell>
          <cell r="G35">
            <v>288068.24757543142</v>
          </cell>
          <cell r="H35">
            <v>262371.76093530003</v>
          </cell>
          <cell r="I35">
            <v>176023.91076757555</v>
          </cell>
          <cell r="J35">
            <v>119050.7349913661</v>
          </cell>
          <cell r="K35">
            <v>162145.27514342891</v>
          </cell>
          <cell r="L35">
            <v>154800.91352669333</v>
          </cell>
          <cell r="M35">
            <v>101044.01319146006</v>
          </cell>
          <cell r="N35">
            <v>135512.73732967011</v>
          </cell>
          <cell r="O35">
            <v>109960.57355214663</v>
          </cell>
          <cell r="P35">
            <v>130996.20393990517</v>
          </cell>
          <cell r="Q35">
            <v>113389.73725217713</v>
          </cell>
          <cell r="R35">
            <v>64184.005298335644</v>
          </cell>
          <cell r="S35">
            <v>149953.53769218619</v>
          </cell>
          <cell r="T35">
            <v>29512.416606738258</v>
          </cell>
          <cell r="U35">
            <v>47786.680053057222</v>
          </cell>
          <cell r="V35">
            <v>75152.025970610062</v>
          </cell>
          <cell r="W35">
            <v>59119.638173918225</v>
          </cell>
          <cell r="X35">
            <v>0</v>
          </cell>
          <cell r="Y35">
            <v>0</v>
          </cell>
          <cell r="Z35">
            <v>2179072.4119999995</v>
          </cell>
          <cell r="AA35">
            <v>0</v>
          </cell>
          <cell r="AB35">
            <v>547.28300000000002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547.28300000000002</v>
          </cell>
          <cell r="AI35">
            <v>2179619.6949999994</v>
          </cell>
          <cell r="AJ35">
            <v>6715.1009999999997</v>
          </cell>
          <cell r="AK35">
            <v>0</v>
          </cell>
          <cell r="AL35">
            <v>51547.061000000002</v>
          </cell>
          <cell r="AM35"/>
          <cell r="AN35">
            <v>58262.162000000004</v>
          </cell>
          <cell r="AO35">
            <v>92165.862999999998</v>
          </cell>
          <cell r="AP35">
            <v>855.83600000000001</v>
          </cell>
          <cell r="AQ35"/>
          <cell r="AR35"/>
          <cell r="AS35">
            <v>93021.698999999993</v>
          </cell>
          <cell r="AT35">
            <v>0</v>
          </cell>
          <cell r="AU35">
            <v>0</v>
          </cell>
          <cell r="AV35">
            <v>5928.2079999999996</v>
          </cell>
          <cell r="AW35">
            <v>0</v>
          </cell>
          <cell r="AX35">
            <v>-6232.7539999999999</v>
          </cell>
          <cell r="AY35"/>
          <cell r="AZ35"/>
          <cell r="BA35">
            <v>-304.54600000000028</v>
          </cell>
          <cell r="BB35">
            <v>0</v>
          </cell>
          <cell r="BC35">
            <v>6925.8779999999997</v>
          </cell>
          <cell r="BD35">
            <v>0</v>
          </cell>
          <cell r="BE35">
            <v>968716.33299999998</v>
          </cell>
          <cell r="BF35">
            <v>9456.4560000000001</v>
          </cell>
          <cell r="BG35">
            <v>0</v>
          </cell>
          <cell r="BH35"/>
          <cell r="BI35"/>
          <cell r="BJ35">
            <v>985098.66700000002</v>
          </cell>
        </row>
        <row r="36">
          <cell r="F36">
            <v>3848345.0319999997</v>
          </cell>
          <cell r="G36">
            <v>607007.32442456926</v>
          </cell>
          <cell r="H36">
            <v>473369.14706469979</v>
          </cell>
          <cell r="I36">
            <v>338835.97623242362</v>
          </cell>
          <cell r="J36">
            <v>211680.52700863377</v>
          </cell>
          <cell r="K36">
            <v>351459.75885657081</v>
          </cell>
          <cell r="L36">
            <v>340373.75947330683</v>
          </cell>
          <cell r="M36">
            <v>212696.94780854008</v>
          </cell>
          <cell r="N36">
            <v>271138.65167032985</v>
          </cell>
          <cell r="O36">
            <v>233979.72044785338</v>
          </cell>
          <cell r="P36">
            <v>328993.07106009498</v>
          </cell>
          <cell r="Q36">
            <v>288935.18274782324</v>
          </cell>
          <cell r="R36">
            <v>62830.64470166438</v>
          </cell>
          <cell r="S36">
            <v>355868.62130781403</v>
          </cell>
          <cell r="T36">
            <v>55270.502393261791</v>
          </cell>
          <cell r="U36">
            <v>169144.85394694278</v>
          </cell>
          <cell r="V36">
            <v>224395.45602939001</v>
          </cell>
          <cell r="W36">
            <v>161229.83282608166</v>
          </cell>
          <cell r="X36">
            <v>0</v>
          </cell>
          <cell r="Y36">
            <v>0</v>
          </cell>
          <cell r="Z36">
            <v>4687209.9780000085</v>
          </cell>
          <cell r="AA36">
            <v>44165.322</v>
          </cell>
          <cell r="AB36">
            <v>-547.28300000000002</v>
          </cell>
          <cell r="AC36">
            <v>-48675.85</v>
          </cell>
          <cell r="AD36">
            <v>1115.7720000000008</v>
          </cell>
          <cell r="AE36">
            <v>0</v>
          </cell>
          <cell r="AF36"/>
          <cell r="AG36"/>
          <cell r="AH36">
            <v>-3942.0389999999938</v>
          </cell>
          <cell r="AI36">
            <v>4683267.9390000077</v>
          </cell>
          <cell r="AJ36">
            <v>8366.3360000000357</v>
          </cell>
          <cell r="AK36">
            <v>52482.06</v>
          </cell>
          <cell r="AL36">
            <v>-53819.569000000003</v>
          </cell>
          <cell r="AM36"/>
          <cell r="AN36">
            <v>7028.8270000000557</v>
          </cell>
          <cell r="AO36">
            <v>117025.04200000119</v>
          </cell>
          <cell r="AP36">
            <v>-855.83600000000001</v>
          </cell>
          <cell r="AQ36"/>
          <cell r="AR36"/>
          <cell r="AS36">
            <v>116169.2060000012</v>
          </cell>
          <cell r="AT36">
            <v>3816.4259999999999</v>
          </cell>
          <cell r="AU36">
            <v>13374.04</v>
          </cell>
          <cell r="AV36">
            <v>-5928.2079999999996</v>
          </cell>
          <cell r="AW36">
            <v>80562.091</v>
          </cell>
          <cell r="AX36">
            <v>6232.7539999999999</v>
          </cell>
          <cell r="AY36"/>
          <cell r="AZ36"/>
          <cell r="BA36">
            <v>98057.103000000003</v>
          </cell>
          <cell r="BB36">
            <v>0</v>
          </cell>
          <cell r="BC36">
            <v>-5163.7780000000002</v>
          </cell>
          <cell r="BD36">
            <v>0</v>
          </cell>
          <cell r="BE36">
            <v>-968716.33299999998</v>
          </cell>
          <cell r="BF36">
            <v>-9456.4560000000001</v>
          </cell>
          <cell r="BG36">
            <v>-72841.475999999995</v>
          </cell>
          <cell r="BH36"/>
          <cell r="BI36"/>
          <cell r="BJ36">
            <v>-1056178.0430000001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-19004</v>
          </cell>
          <cell r="AK38">
            <v>-23856</v>
          </cell>
          <cell r="AL38">
            <v>-3800</v>
          </cell>
          <cell r="AM38"/>
          <cell r="AN38">
            <v>-46660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-913094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-546966</v>
          </cell>
          <cell r="AK39">
            <v>-298648</v>
          </cell>
          <cell r="AL39">
            <v>-67480</v>
          </cell>
          <cell r="AM39"/>
          <cell r="AN39">
            <v>-913094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-913094</v>
          </cell>
          <cell r="G40"/>
          <cell r="H40"/>
          <cell r="I40"/>
          <cell r="J40"/>
          <cell r="K40">
            <v>-4444.5879999999997</v>
          </cell>
          <cell r="L40">
            <v>-54969.976000000002</v>
          </cell>
          <cell r="M40">
            <v>5665.4549999999999</v>
          </cell>
          <cell r="N40">
            <v>3266.8090000000002</v>
          </cell>
          <cell r="O40">
            <v>289.92599999999999</v>
          </cell>
          <cell r="P40">
            <v>-3642.4520000000002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-53834.825999999994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-53834.825999999994</v>
          </cell>
          <cell r="AJ40">
            <v>-540318.25199999998</v>
          </cell>
          <cell r="AK40">
            <v>-249188.41399999999</v>
          </cell>
          <cell r="AL40">
            <v>-69752.508000000002</v>
          </cell>
          <cell r="AM40"/>
          <cell r="AN40">
            <v>-859259.174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4444.5879999999997</v>
          </cell>
          <cell r="L41">
            <v>54969.976000000002</v>
          </cell>
          <cell r="M41">
            <v>-5665.4549999999999</v>
          </cell>
          <cell r="N41">
            <v>-3266.8090000000002</v>
          </cell>
          <cell r="O41">
            <v>-289.92599999999999</v>
          </cell>
          <cell r="P41">
            <v>3642.4520000000002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53834.825999999994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53834.825999999994</v>
          </cell>
          <cell r="AJ41">
            <v>-6647.7480000000214</v>
          </cell>
          <cell r="AK41">
            <v>-49459.58600000001</v>
          </cell>
          <cell r="AL41">
            <v>2272.5080000000016</v>
          </cell>
          <cell r="AM41"/>
          <cell r="AN41">
            <v>-53834.826000000001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4444.5879999999997</v>
          </cell>
          <cell r="L43">
            <v>54969.976000000002</v>
          </cell>
          <cell r="M43">
            <v>-5665.4549999999999</v>
          </cell>
          <cell r="N43">
            <v>-3266.8090000000002</v>
          </cell>
          <cell r="O43">
            <v>-289.92599999999999</v>
          </cell>
          <cell r="P43">
            <v>3642.4520000000002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53834.825999999994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53834.825999999994</v>
          </cell>
          <cell r="AJ43">
            <v>-6647.7480000000214</v>
          </cell>
          <cell r="AK43">
            <v>-49459.58600000001</v>
          </cell>
          <cell r="AL43">
            <v>2272.5080000000016</v>
          </cell>
          <cell r="AM43"/>
          <cell r="AN43">
            <v>-53834.826000000001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49160</v>
          </cell>
          <cell r="H45">
            <v>44112</v>
          </cell>
          <cell r="I45">
            <v>30721</v>
          </cell>
          <cell r="J45">
            <v>20239</v>
          </cell>
          <cell r="K45">
            <v>23084</v>
          </cell>
          <cell r="L45">
            <v>23514</v>
          </cell>
          <cell r="M45">
            <v>14851</v>
          </cell>
          <cell r="N45">
            <v>19957</v>
          </cell>
          <cell r="O45">
            <v>17548</v>
          </cell>
          <cell r="P45">
            <v>20557</v>
          </cell>
          <cell r="Q45">
            <v>18367</v>
          </cell>
          <cell r="R45">
            <v>8687</v>
          </cell>
          <cell r="S45">
            <v>24800</v>
          </cell>
          <cell r="T45">
            <v>4638</v>
          </cell>
          <cell r="U45">
            <v>8807</v>
          </cell>
          <cell r="V45">
            <v>12647.5</v>
          </cell>
          <cell r="W45">
            <v>8392.5</v>
          </cell>
          <cell r="X45">
            <v>0</v>
          </cell>
          <cell r="Y45">
            <v>0</v>
          </cell>
          <cell r="Z45">
            <v>350082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350082</v>
          </cell>
          <cell r="AJ45">
            <v>8377</v>
          </cell>
          <cell r="AK45">
            <v>9536</v>
          </cell>
          <cell r="AL45">
            <v>0</v>
          </cell>
          <cell r="AM45"/>
          <cell r="AN45">
            <v>17913</v>
          </cell>
          <cell r="AO45">
            <v>7070.5</v>
          </cell>
          <cell r="AP45">
            <v>0</v>
          </cell>
          <cell r="AQ45"/>
          <cell r="AR45"/>
          <cell r="AS45">
            <v>7070.5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43879631.859999999</v>
          </cell>
          <cell r="G46">
            <v>4691384.1580000008</v>
          </cell>
          <cell r="H46">
            <v>4359369.8839999996</v>
          </cell>
          <cell r="I46">
            <v>2851679.5609999998</v>
          </cell>
          <cell r="J46">
            <v>1855821.706</v>
          </cell>
          <cell r="K46">
            <v>2384339.2999999998</v>
          </cell>
          <cell r="L46">
            <v>2439725.6</v>
          </cell>
          <cell r="M46">
            <v>1488097.9</v>
          </cell>
          <cell r="N46">
            <v>2055782.6</v>
          </cell>
          <cell r="O46">
            <v>1641246.2</v>
          </cell>
          <cell r="P46">
            <v>2001348.8</v>
          </cell>
          <cell r="Q46">
            <v>1757378.3</v>
          </cell>
          <cell r="R46">
            <v>839836.15</v>
          </cell>
          <cell r="S46">
            <v>2440295.8000000003</v>
          </cell>
          <cell r="T46">
            <v>468818.4</v>
          </cell>
          <cell r="U46">
            <v>871307.17299999995</v>
          </cell>
          <cell r="V46">
            <v>1250750.6540000001</v>
          </cell>
          <cell r="W46">
            <v>1009533.068</v>
          </cell>
          <cell r="X46">
            <v>0</v>
          </cell>
          <cell r="Y46">
            <v>0</v>
          </cell>
          <cell r="Z46">
            <v>34406715.254000001</v>
          </cell>
          <cell r="AA46">
            <v>50000</v>
          </cell>
          <cell r="AB46">
            <v>0</v>
          </cell>
          <cell r="AC46">
            <v>6250</v>
          </cell>
          <cell r="AD46">
            <v>28340</v>
          </cell>
          <cell r="AE46">
            <v>0</v>
          </cell>
          <cell r="AF46"/>
          <cell r="AG46"/>
          <cell r="AH46">
            <v>84590</v>
          </cell>
          <cell r="AI46">
            <v>34491305.254000001</v>
          </cell>
          <cell r="AJ46">
            <v>246607</v>
          </cell>
          <cell r="AK46">
            <v>97608</v>
          </cell>
          <cell r="AL46">
            <v>0</v>
          </cell>
          <cell r="AM46"/>
          <cell r="AN46">
            <v>344215</v>
          </cell>
          <cell r="AO46">
            <v>8947089.415000001</v>
          </cell>
          <cell r="AP46">
            <v>0</v>
          </cell>
          <cell r="AQ46"/>
          <cell r="AR46"/>
          <cell r="AS46">
            <v>8947089.415000001</v>
          </cell>
          <cell r="AT46">
            <v>5250</v>
          </cell>
          <cell r="AU46">
            <v>9448</v>
          </cell>
          <cell r="AV46">
            <v>0</v>
          </cell>
          <cell r="AW46">
            <v>80562.091</v>
          </cell>
          <cell r="AX46">
            <v>0</v>
          </cell>
          <cell r="AY46"/>
          <cell r="AZ46"/>
          <cell r="BA46">
            <v>95260.091</v>
          </cell>
          <cell r="BB46">
            <v>0</v>
          </cell>
          <cell r="BC46">
            <v>1762.1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1762.1</v>
          </cell>
        </row>
        <row r="47">
          <cell r="F47">
            <v>36715589.151000001</v>
          </cell>
          <cell r="G47">
            <v>3796308.5860000001</v>
          </cell>
          <cell r="H47">
            <v>3623628.9759999998</v>
          </cell>
          <cell r="I47">
            <v>2336819.6740000006</v>
          </cell>
          <cell r="J47">
            <v>1525090.4440000001</v>
          </cell>
          <cell r="K47">
            <v>1866289.6780000001</v>
          </cell>
          <cell r="L47">
            <v>1889580.9509999999</v>
          </cell>
          <cell r="M47">
            <v>1180022.3939999999</v>
          </cell>
          <cell r="N47">
            <v>1652398.02</v>
          </cell>
          <cell r="O47">
            <v>1297595.8319999999</v>
          </cell>
          <cell r="P47">
            <v>1537717.0729999999</v>
          </cell>
          <cell r="Q47">
            <v>1355053.3799999997</v>
          </cell>
          <cell r="R47">
            <v>712821.5</v>
          </cell>
          <cell r="S47">
            <v>1934473.6410000001</v>
          </cell>
          <cell r="T47">
            <v>384035.48099999997</v>
          </cell>
          <cell r="U47">
            <v>654375.63899999997</v>
          </cell>
          <cell r="V47">
            <v>951203.17200000002</v>
          </cell>
          <cell r="W47">
            <v>789183.59700000007</v>
          </cell>
          <cell r="X47">
            <v>0</v>
          </cell>
          <cell r="Y47">
            <v>0</v>
          </cell>
          <cell r="Z47">
            <v>27486598.037999991</v>
          </cell>
          <cell r="AA47">
            <v>5834.6779999999999</v>
          </cell>
          <cell r="AB47">
            <v>0</v>
          </cell>
          <cell r="AC47">
            <v>54925.85</v>
          </cell>
          <cell r="AD47">
            <v>27224.227999999999</v>
          </cell>
          <cell r="AE47">
            <v>0</v>
          </cell>
          <cell r="AF47"/>
          <cell r="AG47"/>
          <cell r="AH47">
            <v>87984.755999999994</v>
          </cell>
          <cell r="AI47">
            <v>27574582.793999992</v>
          </cell>
          <cell r="AJ47">
            <v>238173.31099999999</v>
          </cell>
          <cell r="AK47">
            <v>94585.526000000013</v>
          </cell>
          <cell r="AL47">
            <v>0</v>
          </cell>
          <cell r="AM47"/>
          <cell r="AN47">
            <v>332758.837</v>
          </cell>
          <cell r="AO47">
            <v>8737898.5099999998</v>
          </cell>
          <cell r="AP47">
            <v>0</v>
          </cell>
          <cell r="AQ47"/>
          <cell r="AR47"/>
          <cell r="AS47">
            <v>8737898.5099999998</v>
          </cell>
          <cell r="AT47">
            <v>1433.5740000000001</v>
          </cell>
          <cell r="AU47">
            <v>-3926.0400000000004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-2492.4660000000003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72841.475999999995</v>
          </cell>
          <cell r="BH47"/>
          <cell r="BI47"/>
          <cell r="BJ47">
            <v>72841.475999999995</v>
          </cell>
        </row>
        <row r="48">
          <cell r="F48">
            <v>7164042.7089999989</v>
          </cell>
          <cell r="G48">
            <v>895075.57200000063</v>
          </cell>
          <cell r="H48">
            <v>735740.90799999982</v>
          </cell>
          <cell r="I48">
            <v>514859.88699999917</v>
          </cell>
          <cell r="J48">
            <v>330731.26199999987</v>
          </cell>
          <cell r="K48">
            <v>518049.62199999974</v>
          </cell>
          <cell r="L48">
            <v>550144.64900000021</v>
          </cell>
          <cell r="M48">
            <v>308075.50600000005</v>
          </cell>
          <cell r="N48">
            <v>403384.58000000007</v>
          </cell>
          <cell r="O48">
            <v>343650.36800000002</v>
          </cell>
          <cell r="P48">
            <v>463631.72700000019</v>
          </cell>
          <cell r="Q48">
            <v>402324.92000000039</v>
          </cell>
          <cell r="R48">
            <v>127014.65000000002</v>
          </cell>
          <cell r="S48">
            <v>505822.15900000022</v>
          </cell>
          <cell r="T48">
            <v>84782.919000000053</v>
          </cell>
          <cell r="U48">
            <v>216931.53399999999</v>
          </cell>
          <cell r="V48">
            <v>299547.48200000008</v>
          </cell>
          <cell r="W48">
            <v>220349.4709999999</v>
          </cell>
          <cell r="X48">
            <v>0</v>
          </cell>
          <cell r="Y48">
            <v>0</v>
          </cell>
          <cell r="Z48">
            <v>6920117.2160000093</v>
          </cell>
          <cell r="AA48">
            <v>44165.322</v>
          </cell>
          <cell r="AB48">
            <v>0</v>
          </cell>
          <cell r="AC48">
            <v>-48675.85</v>
          </cell>
          <cell r="AD48">
            <v>1115.7720000000008</v>
          </cell>
          <cell r="AE48">
            <v>0</v>
          </cell>
          <cell r="AF48"/>
          <cell r="AG48"/>
          <cell r="AH48">
            <v>-3394.7559999999939</v>
          </cell>
          <cell r="AI48">
            <v>6916722.4600000083</v>
          </cell>
          <cell r="AJ48">
            <v>8433.689000000013</v>
          </cell>
          <cell r="AK48">
            <v>3022.4739999999874</v>
          </cell>
          <cell r="AL48">
            <v>0</v>
          </cell>
          <cell r="AM48"/>
          <cell r="AN48">
            <v>11456.163</v>
          </cell>
          <cell r="AO48">
            <v>209190.90500000119</v>
          </cell>
          <cell r="AP48">
            <v>0</v>
          </cell>
          <cell r="AQ48"/>
          <cell r="AR48"/>
          <cell r="AS48">
            <v>209190.90500000119</v>
          </cell>
          <cell r="AT48">
            <v>3816.4259999999999</v>
          </cell>
          <cell r="AU48">
            <v>13374.04</v>
          </cell>
          <cell r="AV48">
            <v>0</v>
          </cell>
          <cell r="AW48">
            <v>80562.091</v>
          </cell>
          <cell r="AX48">
            <v>0</v>
          </cell>
          <cell r="AY48"/>
          <cell r="AZ48"/>
          <cell r="BA48">
            <v>97752.557000000001</v>
          </cell>
          <cell r="BB48">
            <v>0</v>
          </cell>
          <cell r="BC48">
            <v>1762.1</v>
          </cell>
          <cell r="BD48">
            <v>0</v>
          </cell>
          <cell r="BE48">
            <v>0</v>
          </cell>
          <cell r="BF48">
            <v>0</v>
          </cell>
          <cell r="BG48">
            <v>-72841.475999999995</v>
          </cell>
          <cell r="BH48"/>
          <cell r="BI48"/>
          <cell r="BJ48">
            <v>-71079.375999999989</v>
          </cell>
        </row>
        <row r="49">
          <cell r="F49">
            <v>3315697.6769999992</v>
          </cell>
          <cell r="G49">
            <v>288068.24757543142</v>
          </cell>
          <cell r="H49">
            <v>262371.76093530003</v>
          </cell>
          <cell r="I49">
            <v>176023.91076757555</v>
          </cell>
          <cell r="J49">
            <v>119050.7349913661</v>
          </cell>
          <cell r="K49">
            <v>162145.27514342891</v>
          </cell>
          <cell r="L49">
            <v>154800.91352669333</v>
          </cell>
          <cell r="M49">
            <v>101044.01319146006</v>
          </cell>
          <cell r="N49">
            <v>135512.73732967011</v>
          </cell>
          <cell r="O49">
            <v>109960.57355214663</v>
          </cell>
          <cell r="P49">
            <v>130996.20393990517</v>
          </cell>
          <cell r="Q49">
            <v>113389.73725217713</v>
          </cell>
          <cell r="R49">
            <v>64184.005298335644</v>
          </cell>
          <cell r="S49">
            <v>149953.53769218619</v>
          </cell>
          <cell r="T49">
            <v>29512.416606738258</v>
          </cell>
          <cell r="U49">
            <v>47786.680053057222</v>
          </cell>
          <cell r="V49">
            <v>75152.025970610062</v>
          </cell>
          <cell r="W49">
            <v>59119.638173918225</v>
          </cell>
          <cell r="X49">
            <v>0</v>
          </cell>
          <cell r="Y49">
            <v>0</v>
          </cell>
          <cell r="Z49">
            <v>2179072.4119999995</v>
          </cell>
          <cell r="AA49">
            <v>0</v>
          </cell>
          <cell r="AB49">
            <v>547.28300000000002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547.28300000000002</v>
          </cell>
          <cell r="AI49">
            <v>2179619.6949999994</v>
          </cell>
          <cell r="AJ49">
            <v>6715.1009999999997</v>
          </cell>
          <cell r="AK49">
            <v>0</v>
          </cell>
          <cell r="AL49">
            <v>51547.061000000002</v>
          </cell>
          <cell r="AM49"/>
          <cell r="AN49">
            <v>58262.162000000004</v>
          </cell>
          <cell r="AO49">
            <v>92165.862999999998</v>
          </cell>
          <cell r="AP49">
            <v>855.83600000000001</v>
          </cell>
          <cell r="AQ49"/>
          <cell r="AR49"/>
          <cell r="AS49">
            <v>93021.698999999993</v>
          </cell>
          <cell r="AT49">
            <v>0</v>
          </cell>
          <cell r="AU49">
            <v>0</v>
          </cell>
          <cell r="AV49">
            <v>5928.2079999999996</v>
          </cell>
          <cell r="AW49">
            <v>0</v>
          </cell>
          <cell r="AX49">
            <v>-6232.7539999999999</v>
          </cell>
          <cell r="AY49"/>
          <cell r="AZ49"/>
          <cell r="BA49">
            <v>-304.54600000000028</v>
          </cell>
          <cell r="BB49">
            <v>0</v>
          </cell>
          <cell r="BC49">
            <v>6925.8779999999997</v>
          </cell>
          <cell r="BD49">
            <v>0</v>
          </cell>
          <cell r="BE49">
            <v>968716.33299999998</v>
          </cell>
          <cell r="BF49">
            <v>9456.4560000000001</v>
          </cell>
          <cell r="BG49">
            <v>0</v>
          </cell>
          <cell r="BH49"/>
          <cell r="BI49"/>
          <cell r="BJ49">
            <v>985098.66700000002</v>
          </cell>
        </row>
        <row r="50">
          <cell r="F50">
            <v>3848345.0319999997</v>
          </cell>
          <cell r="G50">
            <v>607007.32442456926</v>
          </cell>
          <cell r="H50">
            <v>473369.14706469979</v>
          </cell>
          <cell r="I50">
            <v>338835.97623242362</v>
          </cell>
          <cell r="J50">
            <v>211680.52700863377</v>
          </cell>
          <cell r="K50">
            <v>355904.3468565708</v>
          </cell>
          <cell r="L50">
            <v>395343.73547330685</v>
          </cell>
          <cell r="M50">
            <v>207031.49280854</v>
          </cell>
          <cell r="N50">
            <v>267871.84267032996</v>
          </cell>
          <cell r="O50">
            <v>233689.7944478534</v>
          </cell>
          <cell r="P50">
            <v>332635.52306009503</v>
          </cell>
          <cell r="Q50">
            <v>288935.18274782324</v>
          </cell>
          <cell r="R50">
            <v>62830.64470166438</v>
          </cell>
          <cell r="S50">
            <v>355868.62130781403</v>
          </cell>
          <cell r="T50">
            <v>55270.502393261791</v>
          </cell>
          <cell r="U50">
            <v>169144.85394694278</v>
          </cell>
          <cell r="V50">
            <v>224395.45602939001</v>
          </cell>
          <cell r="W50">
            <v>161229.83282608166</v>
          </cell>
          <cell r="X50">
            <v>0</v>
          </cell>
          <cell r="Y50">
            <v>0</v>
          </cell>
          <cell r="Z50">
            <v>4741044.8040000098</v>
          </cell>
          <cell r="AA50">
            <v>44165.322</v>
          </cell>
          <cell r="AB50">
            <v>-547.28300000000002</v>
          </cell>
          <cell r="AC50">
            <v>-48675.85</v>
          </cell>
          <cell r="AD50">
            <v>1115.7720000000008</v>
          </cell>
          <cell r="AE50">
            <v>0</v>
          </cell>
          <cell r="AF50"/>
          <cell r="AG50"/>
          <cell r="AH50">
            <v>-3942.0389999999938</v>
          </cell>
          <cell r="AI50">
            <v>4737102.765000009</v>
          </cell>
          <cell r="AJ50">
            <v>1718.5880000000134</v>
          </cell>
          <cell r="AK50">
            <v>3022.4739999999874</v>
          </cell>
          <cell r="AL50">
            <v>-51547.061000000002</v>
          </cell>
          <cell r="AM50"/>
          <cell r="AN50">
            <v>-46805.999000000003</v>
          </cell>
          <cell r="AO50">
            <v>117025.04200000119</v>
          </cell>
          <cell r="AP50">
            <v>-855.83600000000001</v>
          </cell>
          <cell r="AQ50"/>
          <cell r="AR50"/>
          <cell r="AS50">
            <v>116169.2060000012</v>
          </cell>
          <cell r="AT50">
            <v>3816.4259999999999</v>
          </cell>
          <cell r="AU50">
            <v>13374.04</v>
          </cell>
          <cell r="AV50">
            <v>-5928.2079999999996</v>
          </cell>
          <cell r="AW50">
            <v>80562.091</v>
          </cell>
          <cell r="AX50">
            <v>6232.7539999999999</v>
          </cell>
          <cell r="AY50"/>
          <cell r="AZ50"/>
          <cell r="BA50">
            <v>98057.103000000003</v>
          </cell>
          <cell r="BB50">
            <v>0</v>
          </cell>
          <cell r="BC50">
            <v>-5163.7780000000002</v>
          </cell>
          <cell r="BD50">
            <v>0</v>
          </cell>
          <cell r="BE50">
            <v>-968716.33299999998</v>
          </cell>
          <cell r="BF50">
            <v>-9456.4560000000001</v>
          </cell>
          <cell r="BG50">
            <v>-72841.475999999995</v>
          </cell>
          <cell r="BH50"/>
          <cell r="BI50"/>
          <cell r="BJ50">
            <v>-1056178.0430000001</v>
          </cell>
        </row>
        <row r="53">
          <cell r="J53"/>
        </row>
        <row r="54">
          <cell r="J54"/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1378.5</v>
          </cell>
          <cell r="K7">
            <v>1473.0949999999998</v>
          </cell>
          <cell r="M7">
            <v>1644.049</v>
          </cell>
        </row>
        <row r="8">
          <cell r="J8">
            <v>35500</v>
          </cell>
          <cell r="K8">
            <v>40097.987000000001</v>
          </cell>
          <cell r="M8">
            <v>41870.298000000003</v>
          </cell>
        </row>
        <row r="9">
          <cell r="J9">
            <v>380.22377512217196</v>
          </cell>
          <cell r="K9">
            <v>420.375</v>
          </cell>
          <cell r="M9">
            <v>312.89000000000004</v>
          </cell>
        </row>
        <row r="10">
          <cell r="J10">
            <v>139759.55343891634</v>
          </cell>
          <cell r="K10">
            <v>149461.82376500001</v>
          </cell>
          <cell r="M10">
            <v>155858.27056999999</v>
          </cell>
        </row>
        <row r="11">
          <cell r="J11">
            <v>43422.461052631588</v>
          </cell>
          <cell r="K11">
            <v>41530.393304999998</v>
          </cell>
          <cell r="M11">
            <v>50400.813160999998</v>
          </cell>
        </row>
        <row r="12">
          <cell r="J12">
            <v>7746.3091046586942</v>
          </cell>
          <cell r="K12">
            <v>8504.2075800000002</v>
          </cell>
          <cell r="M12">
            <v>5965.7548999999999</v>
          </cell>
        </row>
        <row r="13">
          <cell r="J13">
            <v>824.53750166665077</v>
          </cell>
          <cell r="K13">
            <v>825.58076799998912</v>
          </cell>
          <cell r="M13">
            <v>1027.6547000000064</v>
          </cell>
        </row>
        <row r="15">
          <cell r="J15">
            <v>118019.71424504351</v>
          </cell>
          <cell r="K15">
            <v>128726.37913000002</v>
          </cell>
          <cell r="M15">
            <v>128663.02425101001</v>
          </cell>
        </row>
        <row r="16">
          <cell r="J16">
            <v>42310.510557221045</v>
          </cell>
          <cell r="K16">
            <v>40578.708603999999</v>
          </cell>
          <cell r="M16">
            <v>49421.317563999997</v>
          </cell>
        </row>
        <row r="17">
          <cell r="J17">
            <v>7047.26869176532</v>
          </cell>
          <cell r="K17">
            <v>7535.7403380099995</v>
          </cell>
          <cell r="M17">
            <v>5245.7058499799996</v>
          </cell>
        </row>
        <row r="18">
          <cell r="J18">
            <v>237.96291799999244</v>
          </cell>
          <cell r="K18">
            <v>131.40671600000633</v>
          </cell>
          <cell r="M18">
            <v>240.47013900001821</v>
          </cell>
        </row>
        <row r="25">
          <cell r="J25">
            <v>3309.8781039999999</v>
          </cell>
          <cell r="K25">
            <v>3324.0287860000003</v>
          </cell>
          <cell r="M25">
            <v>3326.7389590000002</v>
          </cell>
        </row>
        <row r="26">
          <cell r="J26">
            <v>630.69367000000011</v>
          </cell>
          <cell r="K26">
            <v>686.73210599999993</v>
          </cell>
          <cell r="M26">
            <v>602.626532</v>
          </cell>
        </row>
        <row r="27">
          <cell r="J27">
            <v>367.89043511111112</v>
          </cell>
          <cell r="K27">
            <v>223.89002650295868</v>
          </cell>
          <cell r="M27">
            <v>191.24659199999996</v>
          </cell>
        </row>
        <row r="28">
          <cell r="J28">
            <v>6682.5904969540197</v>
          </cell>
          <cell r="K28">
            <v>8444.4330344953414</v>
          </cell>
          <cell r="M28">
            <v>5982.6118619999997</v>
          </cell>
        </row>
        <row r="38">
          <cell r="J38">
            <v>13146.35197977825</v>
          </cell>
          <cell r="K38">
            <v>10670.68667699168</v>
          </cell>
          <cell r="M38">
            <v>19578.751582010005</v>
          </cell>
        </row>
      </sheetData>
      <sheetData sheetId="2">
        <row r="7">
          <cell r="G7" t="str">
            <v>안양</v>
          </cell>
        </row>
      </sheetData>
      <sheetData sheetId="3">
        <row r="7">
          <cell r="J7">
            <v>202</v>
          </cell>
          <cell r="K7">
            <v>211.30400000000003</v>
          </cell>
          <cell r="M7">
            <v>224.42500000000001</v>
          </cell>
          <cell r="O7">
            <v>20088.7739</v>
          </cell>
          <cell r="P7">
            <v>20962.964023</v>
          </cell>
          <cell r="R7">
            <v>20504.099726</v>
          </cell>
          <cell r="T7">
            <v>2554.9770680268257</v>
          </cell>
          <cell r="U7">
            <v>2251.0941969999994</v>
          </cell>
          <cell r="W7">
            <v>2773.1318729800005</v>
          </cell>
        </row>
        <row r="8">
          <cell r="J8">
            <v>150</v>
          </cell>
          <cell r="K8">
            <v>143.90700000000001</v>
          </cell>
          <cell r="M8">
            <v>192.29500000000002</v>
          </cell>
          <cell r="O8">
            <v>15138.051749999999</v>
          </cell>
          <cell r="P8">
            <v>14464.339049</v>
          </cell>
          <cell r="R8">
            <v>17944.411675000003</v>
          </cell>
          <cell r="T8">
            <v>1404.9972100044108</v>
          </cell>
          <cell r="U8">
            <v>1221.7192170000003</v>
          </cell>
          <cell r="W8">
            <v>2043.5013439999998</v>
          </cell>
        </row>
        <row r="9">
          <cell r="J9">
            <v>123</v>
          </cell>
          <cell r="K9">
            <v>123.38600000000002</v>
          </cell>
          <cell r="M9">
            <v>122.93899999999999</v>
          </cell>
          <cell r="O9">
            <v>12024.145497666324</v>
          </cell>
          <cell r="P9">
            <v>12286.365155</v>
          </cell>
          <cell r="R9">
            <v>11063.622361</v>
          </cell>
          <cell r="T9">
            <v>1468.7438124959522</v>
          </cell>
          <cell r="U9">
            <v>974.81997400000034</v>
          </cell>
          <cell r="W9">
            <v>945.75019901000042</v>
          </cell>
        </row>
        <row r="10">
          <cell r="J10">
            <v>65.5</v>
          </cell>
          <cell r="K10">
            <v>61.900499999999994</v>
          </cell>
          <cell r="M10">
            <v>85.100499999999997</v>
          </cell>
          <cell r="O10">
            <v>6199.3665000000001</v>
          </cell>
          <cell r="P10">
            <v>6138.8182030000007</v>
          </cell>
          <cell r="R10">
            <v>7477.5849120000003</v>
          </cell>
          <cell r="T10">
            <v>677.79725808841988</v>
          </cell>
          <cell r="U10">
            <v>621.57450200000005</v>
          </cell>
          <cell r="W10">
            <v>956.62001200000032</v>
          </cell>
        </row>
        <row r="11">
          <cell r="J11">
            <v>93</v>
          </cell>
          <cell r="K11">
            <v>113.14349999999999</v>
          </cell>
          <cell r="M11">
            <v>125.87549999999999</v>
          </cell>
          <cell r="O11">
            <v>10006.80976925</v>
          </cell>
          <cell r="P11">
            <v>12068.067641</v>
          </cell>
          <cell r="R11">
            <v>12750.466549999999</v>
          </cell>
          <cell r="T11">
            <v>1351.1309343868102</v>
          </cell>
          <cell r="U11">
            <v>1401.8405929999994</v>
          </cell>
          <cell r="W11">
            <v>2392.4509159999998</v>
          </cell>
        </row>
        <row r="12">
          <cell r="J12">
            <v>116</v>
          </cell>
          <cell r="K12">
            <v>112.95100000000001</v>
          </cell>
          <cell r="M12">
            <v>109.014</v>
          </cell>
          <cell r="O12">
            <v>12008.83684</v>
          </cell>
          <cell r="P12">
            <v>11446.633319999999</v>
          </cell>
          <cell r="R12">
            <v>10733.914700000001</v>
          </cell>
          <cell r="T12">
            <v>1999.6690077019307</v>
          </cell>
          <cell r="U12">
            <v>1382.2690399999992</v>
          </cell>
          <cell r="W12">
            <v>1813.6500829999998</v>
          </cell>
        </row>
        <row r="13">
          <cell r="J13">
            <v>57</v>
          </cell>
          <cell r="K13">
            <v>66.61</v>
          </cell>
          <cell r="M13">
            <v>68.777000000000001</v>
          </cell>
          <cell r="O13">
            <v>5756.9987999999994</v>
          </cell>
          <cell r="P13">
            <v>6529.6296999999995</v>
          </cell>
          <cell r="R13">
            <v>6615.8876999999993</v>
          </cell>
          <cell r="T13">
            <v>653.85847237422263</v>
          </cell>
          <cell r="U13">
            <v>485.29444599999999</v>
          </cell>
          <cell r="W13">
            <v>878.32124799999974</v>
          </cell>
        </row>
        <row r="14">
          <cell r="J14">
            <v>88</v>
          </cell>
          <cell r="K14">
            <v>102.7595</v>
          </cell>
          <cell r="M14">
            <v>99.246999999999986</v>
          </cell>
          <cell r="O14">
            <v>9152</v>
          </cell>
          <cell r="P14">
            <v>10528.989249999999</v>
          </cell>
          <cell r="R14">
            <v>9848.3495399999993</v>
          </cell>
          <cell r="T14">
            <v>1236.2616245360311</v>
          </cell>
          <cell r="U14">
            <v>1098.6996909999993</v>
          </cell>
          <cell r="W14">
            <v>1553.7414340000005</v>
          </cell>
        </row>
        <row r="15">
          <cell r="J15">
            <v>53.5</v>
          </cell>
          <cell r="K15">
            <v>64.26400000000001</v>
          </cell>
          <cell r="M15">
            <v>72.040000000000006</v>
          </cell>
          <cell r="O15">
            <v>5164.2214940000003</v>
          </cell>
          <cell r="P15">
            <v>6027.519335</v>
          </cell>
          <cell r="R15">
            <v>6747.5580719999998</v>
          </cell>
          <cell r="T15">
            <v>647.48811051391272</v>
          </cell>
          <cell r="U15">
            <v>650.81402700000012</v>
          </cell>
          <cell r="W15">
            <v>1154.4805729999998</v>
          </cell>
        </row>
        <row r="16">
          <cell r="J16">
            <v>82</v>
          </cell>
          <cell r="K16">
            <v>90.770999999999987</v>
          </cell>
          <cell r="M16">
            <v>102.04400000000001</v>
          </cell>
          <cell r="O16">
            <v>8204.1380000000008</v>
          </cell>
          <cell r="P16">
            <v>9261.8741499999996</v>
          </cell>
          <cell r="R16">
            <v>9577.4531000000006</v>
          </cell>
          <cell r="T16">
            <v>1326.0222231935572</v>
          </cell>
          <cell r="U16">
            <v>1502.4126189999999</v>
          </cell>
          <cell r="W16">
            <v>1885.3213729999993</v>
          </cell>
        </row>
        <row r="17">
          <cell r="J17">
            <v>76</v>
          </cell>
          <cell r="K17">
            <v>82.777500000000003</v>
          </cell>
          <cell r="M17">
            <v>105.02</v>
          </cell>
          <cell r="O17">
            <v>7432.1399999999994</v>
          </cell>
          <cell r="P17">
            <v>8334.4383419999995</v>
          </cell>
          <cell r="R17">
            <v>9646.4334500000004</v>
          </cell>
          <cell r="T17">
            <v>1194.1500604759622</v>
          </cell>
          <cell r="U17">
            <v>1311.5241379999998</v>
          </cell>
          <cell r="W17">
            <v>1842.1610370000001</v>
          </cell>
        </row>
        <row r="18">
          <cell r="J18">
            <v>34</v>
          </cell>
          <cell r="K18">
            <v>40.381500000000003</v>
          </cell>
          <cell r="M18">
            <v>47.900000000000006</v>
          </cell>
          <cell r="O18">
            <v>3362.8513600000001</v>
          </cell>
          <cell r="P18">
            <v>4177.3492420000002</v>
          </cell>
          <cell r="R18">
            <v>4496.8904499999999</v>
          </cell>
          <cell r="T18">
            <v>18.435367007522103</v>
          </cell>
          <cell r="U18">
            <v>282.83414800000031</v>
          </cell>
          <cell r="W18">
            <v>360.88302100000016</v>
          </cell>
        </row>
        <row r="19">
          <cell r="J19">
            <v>103</v>
          </cell>
          <cell r="K19">
            <v>130.94799999999998</v>
          </cell>
          <cell r="M19">
            <v>133.69200000000001</v>
          </cell>
          <cell r="O19">
            <v>10402.9917</v>
          </cell>
          <cell r="P19">
            <v>13357.753432000001</v>
          </cell>
          <cell r="R19">
            <v>12639.411692</v>
          </cell>
          <cell r="T19">
            <v>1429.5102763543805</v>
          </cell>
          <cell r="U19">
            <v>1800.4353030000002</v>
          </cell>
          <cell r="W19">
            <v>2301.4077269999998</v>
          </cell>
        </row>
        <row r="20">
          <cell r="J20">
            <v>56</v>
          </cell>
          <cell r="K20">
            <v>39.930499999999995</v>
          </cell>
          <cell r="M20">
            <v>52.610500000000002</v>
          </cell>
          <cell r="O20">
            <v>5751.4434270000002</v>
          </cell>
          <cell r="P20">
            <v>3846.4986979999999</v>
          </cell>
          <cell r="R20">
            <v>4937.1903340000008</v>
          </cell>
          <cell r="T20">
            <v>858.54945647994055</v>
          </cell>
          <cell r="U20">
            <v>262.36192800000003</v>
          </cell>
          <cell r="W20">
            <v>632.26159500000017</v>
          </cell>
        </row>
        <row r="21">
          <cell r="J21">
            <v>30.5</v>
          </cell>
          <cell r="K21">
            <v>43.606000000000002</v>
          </cell>
          <cell r="M21">
            <v>42.802999999999997</v>
          </cell>
          <cell r="O21">
            <v>3327.8844010000003</v>
          </cell>
          <cell r="P21">
            <v>4802.1134900000006</v>
          </cell>
          <cell r="R21">
            <v>4117.1130119999998</v>
          </cell>
          <cell r="T21">
            <v>796.03089664353274</v>
          </cell>
          <cell r="U21">
            <v>1318.4206500000003</v>
          </cell>
          <cell r="W21">
            <v>971.87315100000001</v>
          </cell>
        </row>
        <row r="22">
          <cell r="J22">
            <v>25</v>
          </cell>
          <cell r="K22">
            <v>27.674499999999998</v>
          </cell>
          <cell r="M22">
            <v>21.852499999999999</v>
          </cell>
          <cell r="O22">
            <v>2697.5</v>
          </cell>
          <cell r="P22">
            <v>3083.4445449999998</v>
          </cell>
          <cell r="R22">
            <v>2205.5167179999999</v>
          </cell>
          <cell r="T22">
            <v>416.64632712771254</v>
          </cell>
          <cell r="U22">
            <v>617.18805099999997</v>
          </cell>
          <cell r="W22">
            <v>347.13973499999997</v>
          </cell>
        </row>
        <row r="23">
          <cell r="J23">
            <v>24</v>
          </cell>
          <cell r="K23">
            <v>16.7805</v>
          </cell>
          <cell r="M23">
            <v>38.414000000000001</v>
          </cell>
          <cell r="O23">
            <v>3041.4000000000005</v>
          </cell>
          <cell r="P23">
            <v>2145.02619</v>
          </cell>
          <cell r="R23">
            <v>4552.3665780000001</v>
          </cell>
          <cell r="T23">
            <v>395.69298446169353</v>
          </cell>
          <cell r="U23">
            <v>228.11332500000003</v>
          </cell>
          <cell r="W23">
            <v>1015.8120390000001</v>
          </cell>
        </row>
        <row r="28">
          <cell r="J28">
            <v>35500</v>
          </cell>
          <cell r="K28">
            <v>40097.987000000001</v>
          </cell>
          <cell r="M28">
            <v>41870.298000000003</v>
          </cell>
          <cell r="O28">
            <v>43422.461052631588</v>
          </cell>
          <cell r="P28">
            <v>41530.393304999998</v>
          </cell>
          <cell r="R28">
            <v>50400.813160999998</v>
          </cell>
          <cell r="T28">
            <v>481.25682541053266</v>
          </cell>
          <cell r="U28">
            <v>264.95259500000134</v>
          </cell>
          <cell r="W28">
            <v>376.869065000001</v>
          </cell>
        </row>
        <row r="29">
          <cell r="J29">
            <v>102.74706808648185</v>
          </cell>
          <cell r="K29">
            <v>112.598</v>
          </cell>
          <cell r="M29">
            <v>127.44199999999999</v>
          </cell>
          <cell r="O29">
            <v>3112.4086975564492</v>
          </cell>
          <cell r="P29">
            <v>3385.0360799999999</v>
          </cell>
          <cell r="R29">
            <v>3791.5668999999998</v>
          </cell>
          <cell r="T29">
            <v>167.72694975367497</v>
          </cell>
          <cell r="U29">
            <v>237.30008004040735</v>
          </cell>
          <cell r="W29">
            <v>215.93093101999989</v>
          </cell>
        </row>
        <row r="30">
          <cell r="J30">
            <v>74.735629226666674</v>
          </cell>
          <cell r="K30">
            <v>126.288</v>
          </cell>
          <cell r="M30">
            <v>185.44799999999998</v>
          </cell>
          <cell r="O30">
            <v>1002.4457050666667</v>
          </cell>
          <cell r="P30">
            <v>1754.192</v>
          </cell>
          <cell r="R30">
            <v>2174.1880000000001</v>
          </cell>
          <cell r="T30">
            <v>115.11271346577357</v>
          </cell>
          <cell r="U30">
            <v>246.59464793663386</v>
          </cell>
          <cell r="W30">
            <v>456.63330000000013</v>
          </cell>
        </row>
        <row r="31">
          <cell r="J31">
            <v>202.74107780902344</v>
          </cell>
          <cell r="K31">
            <v>181.489</v>
          </cell>
          <cell r="M31">
            <v>0</v>
          </cell>
          <cell r="O31">
            <v>3631.4547020355794</v>
          </cell>
          <cell r="P31">
            <v>3364.9794999999999</v>
          </cell>
          <cell r="R31">
            <v>0</v>
          </cell>
          <cell r="T31">
            <v>48.310314562815179</v>
          </cell>
          <cell r="U31">
            <v>260.68248751000021</v>
          </cell>
          <cell r="W31">
            <v>-143.76177300000001</v>
          </cell>
        </row>
        <row r="33">
          <cell r="O33">
            <v>454.20000000000005</v>
          </cell>
          <cell r="P33">
            <v>454.20000000000005</v>
          </cell>
          <cell r="R33">
            <v>391.70000000000005</v>
          </cell>
          <cell r="T33">
            <v>364.15780999999998</v>
          </cell>
          <cell r="U33">
            <v>359.77286700000002</v>
          </cell>
          <cell r="W33">
            <v>307.183381</v>
          </cell>
        </row>
        <row r="34">
          <cell r="O34">
            <v>361.48750166666667</v>
          </cell>
          <cell r="P34">
            <v>362.86716799999999</v>
          </cell>
          <cell r="R34">
            <v>472.67100000000005</v>
          </cell>
          <cell r="T34">
            <v>322.79026366666665</v>
          </cell>
          <cell r="U34">
            <v>324.945671</v>
          </cell>
          <cell r="W34">
            <v>275.00372300000004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-6378.02166673172</v>
          </cell>
          <cell r="U35">
            <v>-6564.9440144953414</v>
          </cell>
          <cell r="W35">
            <v>-5371.5641169999999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0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-1595.842547</v>
          </cell>
          <cell r="W37">
            <v>-278.35280399999999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-146.31895922229819</v>
          </cell>
          <cell r="U38">
            <v>-204.88333799999998</v>
          </cell>
          <cell r="W38">
            <v>-45.821252000000001</v>
          </cell>
        </row>
        <row r="39">
          <cell r="O39">
            <v>8.85</v>
          </cell>
          <cell r="P39">
            <v>8.5135999999940406</v>
          </cell>
          <cell r="R39">
            <v>-25.342299999997021</v>
          </cell>
          <cell r="T39">
            <v>-258.62336100000329</v>
          </cell>
          <cell r="U39">
            <v>-69.307621000017519</v>
          </cell>
          <cell r="W39">
            <v>-81.876231999996122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1378.5</v>
          </cell>
          <cell r="K46">
            <v>1473.0949999999998</v>
          </cell>
          <cell r="M46">
            <v>1644.049</v>
          </cell>
          <cell r="O46">
            <v>191752.86109787325</v>
          </cell>
          <cell r="P46">
            <v>200322.00541799999</v>
          </cell>
          <cell r="R46">
            <v>213252.49333100003</v>
          </cell>
          <cell r="T46">
            <v>13146.35197977825</v>
          </cell>
          <cell r="U46">
            <v>10670.68667699168</v>
          </cell>
          <cell r="W46">
            <v>19578.751582010005</v>
          </cell>
        </row>
      </sheetData>
      <sheetData sheetId="4"/>
      <sheetData sheetId="5"/>
      <sheetData sheetId="6"/>
      <sheetData sheetId="7"/>
      <sheetData sheetId="8">
        <row r="10">
          <cell r="K10">
            <v>35500</v>
          </cell>
          <cell r="L10">
            <v>40097.987000000001</v>
          </cell>
          <cell r="N10">
            <v>41870.298000000003</v>
          </cell>
        </row>
        <row r="12">
          <cell r="K12">
            <v>34715000</v>
          </cell>
          <cell r="L12">
            <v>34629932.120000005</v>
          </cell>
          <cell r="N12">
            <v>44019956.184</v>
          </cell>
        </row>
        <row r="13">
          <cell r="K13">
            <v>8707461.0526315831</v>
          </cell>
          <cell r="L13">
            <v>6900461.1850000005</v>
          </cell>
          <cell r="N13">
            <v>6380856.976999999</v>
          </cell>
        </row>
        <row r="15">
          <cell r="K15">
            <v>33905895</v>
          </cell>
          <cell r="L15">
            <v>33826624.636</v>
          </cell>
          <cell r="N15">
            <v>43170576.046999998</v>
          </cell>
        </row>
        <row r="16">
          <cell r="K16">
            <v>8404615.5572210513</v>
          </cell>
          <cell r="L16">
            <v>6752083.9679999994</v>
          </cell>
          <cell r="N16">
            <v>6250741.5169999981</v>
          </cell>
        </row>
        <row r="24">
          <cell r="K24">
            <v>414947.53</v>
          </cell>
          <cell r="L24">
            <v>444815.83799999999</v>
          </cell>
          <cell r="N24">
            <v>420576.12</v>
          </cell>
        </row>
        <row r="25">
          <cell r="K25">
            <v>215746.14</v>
          </cell>
          <cell r="L25">
            <v>241916.26799999998</v>
          </cell>
          <cell r="N25">
            <v>182050.41200000001</v>
          </cell>
        </row>
        <row r="36">
          <cell r="K36">
            <v>481256.82541053265</v>
          </cell>
          <cell r="L36">
            <v>264952.59500000131</v>
          </cell>
          <cell r="N36">
            <v>376869.06500000105</v>
          </cell>
        </row>
      </sheetData>
      <sheetData sheetId="9"/>
      <sheetData sheetId="10">
        <row r="8">
          <cell r="G8">
            <v>38339.599999999999</v>
          </cell>
          <cell r="H8">
            <v>71216</v>
          </cell>
          <cell r="J8">
            <v>4096.0292266666665</v>
          </cell>
          <cell r="K8">
            <v>1920</v>
          </cell>
          <cell r="M8">
            <v>0</v>
          </cell>
          <cell r="N8">
            <v>0</v>
          </cell>
          <cell r="S8">
            <v>50660.443846685463</v>
          </cell>
          <cell r="T8">
            <v>57370</v>
          </cell>
          <cell r="V8">
            <v>46080.633962338004</v>
          </cell>
          <cell r="W8">
            <v>63287</v>
          </cell>
          <cell r="AB8">
            <v>66247.068086481857</v>
          </cell>
          <cell r="AC8">
            <v>66007</v>
          </cell>
        </row>
        <row r="10">
          <cell r="G10">
            <v>3300</v>
          </cell>
          <cell r="H10">
            <v>42400</v>
          </cell>
          <cell r="J10">
            <v>7000</v>
          </cell>
          <cell r="K10">
            <v>10752</v>
          </cell>
          <cell r="M10">
            <v>22000</v>
          </cell>
          <cell r="N10">
            <v>0</v>
          </cell>
          <cell r="S10">
            <v>30000</v>
          </cell>
          <cell r="T10">
            <v>29072</v>
          </cell>
          <cell r="V10">
            <v>76000</v>
          </cell>
          <cell r="W10">
            <v>31760</v>
          </cell>
          <cell r="AB10">
            <v>36500</v>
          </cell>
          <cell r="AC10">
            <v>46591</v>
          </cell>
        </row>
        <row r="12">
          <cell r="P12">
            <v>74735.629226666671</v>
          </cell>
          <cell r="Q12">
            <v>126288</v>
          </cell>
          <cell r="S12">
            <v>80660.443846685463</v>
          </cell>
          <cell r="T12">
            <v>86442</v>
          </cell>
          <cell r="V12">
            <v>122080.633962338</v>
          </cell>
          <cell r="W12">
            <v>95047</v>
          </cell>
          <cell r="Y12">
            <v>202741.07780902347</v>
          </cell>
          <cell r="Z12">
            <v>181489</v>
          </cell>
          <cell r="AB12">
            <v>102747.06808648186</v>
          </cell>
          <cell r="AC12">
            <v>112598</v>
          </cell>
          <cell r="AE12">
            <v>380223.77512217197</v>
          </cell>
          <cell r="AF12">
            <v>420375</v>
          </cell>
          <cell r="AI12">
            <v>380223.77512217197</v>
          </cell>
          <cell r="AJ12">
            <v>420375</v>
          </cell>
        </row>
        <row r="13">
          <cell r="G13">
            <v>599432</v>
          </cell>
          <cell r="H13">
            <v>1150896</v>
          </cell>
          <cell r="J13">
            <v>62063.705066666662</v>
          </cell>
          <cell r="K13">
            <v>18240</v>
          </cell>
          <cell r="M13">
            <v>0</v>
          </cell>
          <cell r="N13">
            <v>0</v>
          </cell>
          <cell r="S13">
            <v>810567.1015469674</v>
          </cell>
          <cell r="T13">
            <v>1003007</v>
          </cell>
          <cell r="V13">
            <v>1016887.6004886128</v>
          </cell>
          <cell r="W13">
            <v>1406596.5</v>
          </cell>
          <cell r="AB13">
            <v>1994158.6975564491</v>
          </cell>
          <cell r="AC13">
            <v>1973610.08</v>
          </cell>
        </row>
        <row r="15">
          <cell r="G15">
            <v>37950</v>
          </cell>
          <cell r="H15">
            <v>495456</v>
          </cell>
          <cell r="J15">
            <v>105000</v>
          </cell>
          <cell r="K15">
            <v>89600</v>
          </cell>
          <cell r="M15">
            <v>198000</v>
          </cell>
          <cell r="N15">
            <v>0</v>
          </cell>
          <cell r="S15">
            <v>360000</v>
          </cell>
          <cell r="T15">
            <v>377936</v>
          </cell>
          <cell r="V15">
            <v>1444000</v>
          </cell>
          <cell r="W15">
            <v>577440</v>
          </cell>
          <cell r="AB15">
            <v>1118250</v>
          </cell>
          <cell r="AC15">
            <v>1411426</v>
          </cell>
        </row>
        <row r="17">
          <cell r="AI17">
            <v>7746309.1046586949</v>
          </cell>
          <cell r="AJ17">
            <v>8504207.5800000001</v>
          </cell>
        </row>
        <row r="18">
          <cell r="G18">
            <v>28411.222712749775</v>
          </cell>
          <cell r="H18">
            <v>240977.03866694088</v>
          </cell>
          <cell r="J18">
            <v>20505.505120656464</v>
          </cell>
          <cell r="K18">
            <v>8860.8583389168198</v>
          </cell>
          <cell r="M18">
            <v>0</v>
          </cell>
          <cell r="N18">
            <v>0</v>
          </cell>
          <cell r="S18">
            <v>-81823.046162299463</v>
          </cell>
          <cell r="T18">
            <v>18919.831845522021</v>
          </cell>
          <cell r="V18">
            <v>198859.91638275178</v>
          </cell>
          <cell r="W18">
            <v>321094.71010733926</v>
          </cell>
          <cell r="AB18">
            <v>106035.16034632326</v>
          </cell>
          <cell r="AC18">
            <v>191171.62299999999</v>
          </cell>
        </row>
        <row r="19">
          <cell r="G19">
            <v>2860.7901474376931</v>
          </cell>
          <cell r="H19">
            <v>-36293.820537326857</v>
          </cell>
          <cell r="J19">
            <v>30170.78530825501</v>
          </cell>
          <cell r="K19">
            <v>33050.571478103033</v>
          </cell>
          <cell r="M19">
            <v>33164.410176674668</v>
          </cell>
          <cell r="N19">
            <v>0</v>
          </cell>
          <cell r="S19">
            <v>-166568.9524116469</v>
          </cell>
          <cell r="T19">
            <v>-116553.41218916484</v>
          </cell>
          <cell r="V19">
            <v>97842.396754009984</v>
          </cell>
          <cell r="W19">
            <v>37221.357746303547</v>
          </cell>
          <cell r="AB19">
            <v>61691.789407351753</v>
          </cell>
          <cell r="AC19">
            <v>46128.457040407375</v>
          </cell>
        </row>
        <row r="20">
          <cell r="AI20">
            <v>331149.97778226371</v>
          </cell>
          <cell r="AJ20">
            <v>744577.21548704151</v>
          </cell>
        </row>
        <row r="21">
          <cell r="G21">
            <v>0</v>
          </cell>
          <cell r="H21">
            <v>4112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50660.443846685463</v>
          </cell>
          <cell r="T21">
            <v>57194</v>
          </cell>
          <cell r="V21">
            <v>35338.888801047673</v>
          </cell>
          <cell r="W21">
            <v>40903</v>
          </cell>
          <cell r="AB21">
            <v>19943.026128439888</v>
          </cell>
          <cell r="AC21">
            <v>24023</v>
          </cell>
        </row>
        <row r="22">
          <cell r="G22">
            <v>36006</v>
          </cell>
          <cell r="H22">
            <v>59600</v>
          </cell>
          <cell r="J22">
            <v>2966.666666666667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176</v>
          </cell>
          <cell r="V22">
            <v>10741.745161290324</v>
          </cell>
          <cell r="W22">
            <v>20080</v>
          </cell>
          <cell r="AB22">
            <v>12305.734265734267</v>
          </cell>
          <cell r="AC22">
            <v>13664</v>
          </cell>
        </row>
        <row r="23">
          <cell r="G23">
            <v>1328</v>
          </cell>
          <cell r="H23">
            <v>5088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AB23">
            <v>8902.097902097903</v>
          </cell>
          <cell r="AC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2064</v>
          </cell>
          <cell r="AB24">
            <v>20381.538461538461</v>
          </cell>
          <cell r="AC24">
            <v>0</v>
          </cell>
        </row>
        <row r="25">
          <cell r="G25">
            <v>0</v>
          </cell>
          <cell r="H25">
            <v>0</v>
          </cell>
          <cell r="J25">
            <v>548.56255999999996</v>
          </cell>
          <cell r="K25">
            <v>1040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AB25">
            <v>4714.6713286713284</v>
          </cell>
          <cell r="AC25">
            <v>11440</v>
          </cell>
        </row>
        <row r="26">
          <cell r="G26">
            <v>1005.6</v>
          </cell>
          <cell r="H26">
            <v>2416</v>
          </cell>
          <cell r="J26">
            <v>580.79999999999995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AB26">
            <v>0</v>
          </cell>
          <cell r="AC26">
            <v>0</v>
          </cell>
        </row>
        <row r="35">
          <cell r="G35">
            <v>0</v>
          </cell>
          <cell r="H35">
            <v>51400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810567.1015469674</v>
          </cell>
          <cell r="T35">
            <v>1000895</v>
          </cell>
          <cell r="V35">
            <v>812794.44242409663</v>
          </cell>
          <cell r="W35">
            <v>961220.5</v>
          </cell>
          <cell r="AB35">
            <v>645457.26399001526</v>
          </cell>
          <cell r="AC35">
            <v>781546.4</v>
          </cell>
        </row>
        <row r="36">
          <cell r="G36">
            <v>576096</v>
          </cell>
          <cell r="H36">
            <v>1013200</v>
          </cell>
          <cell r="J36">
            <v>45123.266666666663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2112</v>
          </cell>
          <cell r="V36">
            <v>204093.15806451614</v>
          </cell>
          <cell r="W36">
            <v>401600</v>
          </cell>
          <cell r="AB36">
            <v>344560.55944055947</v>
          </cell>
          <cell r="AC36">
            <v>382687.34399999998</v>
          </cell>
        </row>
        <row r="37">
          <cell r="G37">
            <v>13280</v>
          </cell>
          <cell r="H37">
            <v>58512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B37">
            <v>244807.69230769231</v>
          </cell>
          <cell r="AC37">
            <v>326143.93599999999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39216</v>
          </cell>
          <cell r="AB38">
            <v>617236.36363636365</v>
          </cell>
          <cell r="AC38">
            <v>450904.4</v>
          </cell>
        </row>
        <row r="39">
          <cell r="G39">
            <v>0</v>
          </cell>
          <cell r="H39">
            <v>0</v>
          </cell>
          <cell r="J39">
            <v>8228.4383999999991</v>
          </cell>
          <cell r="K39">
            <v>9360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B39">
            <v>142096.81818181818</v>
          </cell>
          <cell r="AC39">
            <v>32328</v>
          </cell>
        </row>
        <row r="40">
          <cell r="G40">
            <v>10056</v>
          </cell>
          <cell r="H40">
            <v>27784</v>
          </cell>
          <cell r="J40">
            <v>8712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B40">
            <v>0</v>
          </cell>
          <cell r="AC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N5">
            <v>303500</v>
          </cell>
          <cell r="T5">
            <v>303500</v>
          </cell>
          <cell r="U5">
            <v>305153.7</v>
          </cell>
        </row>
        <row r="9">
          <cell r="E9">
            <v>230.74186940752909</v>
          </cell>
          <cell r="F9">
            <v>252.01156380257322</v>
          </cell>
          <cell r="G9">
            <v>100499.14781452966</v>
          </cell>
          <cell r="H9">
            <v>100386.41358822385</v>
          </cell>
        </row>
        <row r="10">
          <cell r="E10">
            <v>25.724936700429993</v>
          </cell>
          <cell r="F10">
            <v>29.9570106716771</v>
          </cell>
          <cell r="G10">
            <v>91637.730957956388</v>
          </cell>
          <cell r="H10">
            <v>93307.733217576388</v>
          </cell>
        </row>
        <row r="11">
          <cell r="E11">
            <v>0</v>
          </cell>
          <cell r="F11">
            <v>0</v>
          </cell>
        </row>
        <row r="12">
          <cell r="E12">
            <v>56.853186773507289</v>
          </cell>
          <cell r="F12">
            <v>50.394385503354648</v>
          </cell>
          <cell r="G12">
            <v>64091.863517634265</v>
          </cell>
          <cell r="H12">
            <v>63905.786009470801</v>
          </cell>
        </row>
        <row r="13">
          <cell r="E13">
            <v>38.346194929955907</v>
          </cell>
          <cell r="F13">
            <v>34.445115141089289</v>
          </cell>
          <cell r="G13">
            <v>40434.957373990808</v>
          </cell>
          <cell r="H13">
            <v>41577.969205773297</v>
          </cell>
        </row>
        <row r="14">
          <cell r="E14">
            <v>0</v>
          </cell>
          <cell r="F14">
            <v>0</v>
          </cell>
        </row>
        <row r="15">
          <cell r="E15">
            <v>351.66618781142228</v>
          </cell>
          <cell r="F15">
            <v>366.80807511869426</v>
          </cell>
        </row>
        <row r="16">
          <cell r="E16">
            <v>820.18904706222929</v>
          </cell>
          <cell r="F16">
            <v>830.80817380450094</v>
          </cell>
          <cell r="G16">
            <v>12784.408459262142</v>
          </cell>
          <cell r="H16">
            <v>13289.766834206788</v>
          </cell>
        </row>
        <row r="17">
          <cell r="E17">
            <v>906.99013836742506</v>
          </cell>
          <cell r="F17">
            <v>887.50153875579701</v>
          </cell>
          <cell r="G17">
            <v>15811.660122398876</v>
          </cell>
          <cell r="H17">
            <v>16014.927602426698</v>
          </cell>
        </row>
        <row r="19">
          <cell r="E19">
            <v>3.1912577010994259</v>
          </cell>
          <cell r="F19">
            <v>3.0876599079815334</v>
          </cell>
        </row>
        <row r="20">
          <cell r="Q20">
            <v>58095.375368701323</v>
          </cell>
          <cell r="R20">
            <v>60612.838975550461</v>
          </cell>
        </row>
        <row r="21">
          <cell r="Q21">
            <v>17669.012452570361</v>
          </cell>
          <cell r="R21">
            <v>17594.230800749472</v>
          </cell>
        </row>
        <row r="22">
          <cell r="Q22">
            <v>192.66062602965403</v>
          </cell>
          <cell r="R22">
            <v>177.62384731070853</v>
          </cell>
        </row>
        <row r="50">
          <cell r="Q50">
            <v>83865.141847636114</v>
          </cell>
          <cell r="R50">
            <v>86234.835955252114</v>
          </cell>
        </row>
        <row r="56">
          <cell r="L56">
            <v>-668377.49908632634</v>
          </cell>
        </row>
        <row r="61">
          <cell r="T61">
            <v>102211.17607965581</v>
          </cell>
          <cell r="U61">
            <v>100861.45397837207</v>
          </cell>
        </row>
        <row r="80">
          <cell r="H80">
            <v>624199.56000000006</v>
          </cell>
          <cell r="I80">
            <v>620888.06099999999</v>
          </cell>
          <cell r="L80">
            <v>3311.4990000000744</v>
          </cell>
        </row>
        <row r="85">
          <cell r="H85">
            <v>326317.11588971264</v>
          </cell>
          <cell r="I85">
            <v>381232.39585000003</v>
          </cell>
          <cell r="L85">
            <v>-54915.279960287422</v>
          </cell>
          <cell r="Q85">
            <v>102211.17607965581</v>
          </cell>
          <cell r="R85">
            <v>100861.45397837207</v>
          </cell>
        </row>
        <row r="86">
          <cell r="H86">
            <v>4617504.7135282671</v>
          </cell>
          <cell r="I86">
            <v>3510446.2479999997</v>
          </cell>
          <cell r="K86">
            <v>-411370.59655683045</v>
          </cell>
          <cell r="M86">
            <v>24293.411075179873</v>
          </cell>
        </row>
        <row r="89">
          <cell r="Q89">
            <v>75957.048447301335</v>
          </cell>
          <cell r="R89">
            <v>78384.693623610641</v>
          </cell>
        </row>
        <row r="90">
          <cell r="Q90">
            <v>26254.127632354473</v>
          </cell>
          <cell r="R90">
            <v>22476.760354761427</v>
          </cell>
        </row>
      </sheetData>
      <sheetData sheetId="1">
        <row r="5">
          <cell r="T5">
            <v>119500</v>
          </cell>
          <cell r="U5">
            <v>107285.2</v>
          </cell>
        </row>
        <row r="9">
          <cell r="E9">
            <v>250.90493723849372</v>
          </cell>
          <cell r="F9">
            <v>265.37548751884424</v>
          </cell>
          <cell r="G9">
            <v>100000</v>
          </cell>
          <cell r="H9">
            <v>100000.00711859435</v>
          </cell>
        </row>
        <row r="10">
          <cell r="E10">
            <v>7.0664435146443516</v>
          </cell>
          <cell r="F10">
            <v>16.537744507580719</v>
          </cell>
          <cell r="G10">
            <v>91922.907488986777</v>
          </cell>
          <cell r="H10">
            <v>96938.671903767259</v>
          </cell>
        </row>
        <row r="11">
          <cell r="E11">
            <v>0</v>
          </cell>
          <cell r="F11">
            <v>0</v>
          </cell>
        </row>
        <row r="12">
          <cell r="E12">
            <v>53.56589958158996</v>
          </cell>
          <cell r="F12">
            <v>45.001688687467983</v>
          </cell>
          <cell r="G12">
            <v>64321.140815091101</v>
          </cell>
          <cell r="H12">
            <v>64262.043629030915</v>
          </cell>
        </row>
        <row r="13">
          <cell r="E13">
            <v>42.772384937238492</v>
          </cell>
          <cell r="F13">
            <v>36.882800488547566</v>
          </cell>
          <cell r="G13">
            <v>45170.113278422323</v>
          </cell>
          <cell r="H13">
            <v>48356.750837034597</v>
          </cell>
        </row>
        <row r="14">
          <cell r="E14">
            <v>0</v>
          </cell>
          <cell r="F14">
            <v>0</v>
          </cell>
        </row>
        <row r="15">
          <cell r="E15">
            <v>354.30966527196654</v>
          </cell>
          <cell r="F15">
            <v>363.79772120244053</v>
          </cell>
        </row>
        <row r="16">
          <cell r="E16">
            <v>845.82958158995814</v>
          </cell>
          <cell r="F16">
            <v>864.28630400302279</v>
          </cell>
          <cell r="G16">
            <v>15331.113443444836</v>
          </cell>
          <cell r="H16">
            <v>16241.335989549099</v>
          </cell>
        </row>
        <row r="17">
          <cell r="E17">
            <v>890.85008368200852</v>
          </cell>
          <cell r="F17">
            <v>867.58444986028144</v>
          </cell>
          <cell r="G17">
            <v>14701.406413196995</v>
          </cell>
          <cell r="H17">
            <v>14665.679107704782</v>
          </cell>
        </row>
        <row r="19">
          <cell r="E19">
            <v>3.0358805020920498</v>
          </cell>
          <cell r="F19">
            <v>3.1296379192961337</v>
          </cell>
        </row>
        <row r="20">
          <cell r="Q20">
            <v>59577.16288713571</v>
          </cell>
          <cell r="R20">
            <v>62012.859555668612</v>
          </cell>
        </row>
        <row r="21">
          <cell r="Q21">
            <v>17540.998611043633</v>
          </cell>
          <cell r="R21">
            <v>17820.851367072792</v>
          </cell>
        </row>
        <row r="22">
          <cell r="Q22">
            <v>224.37238493723848</v>
          </cell>
          <cell r="R22">
            <v>193.79096635904881</v>
          </cell>
        </row>
        <row r="50">
          <cell r="Q50">
            <v>83981.929753551594</v>
          </cell>
          <cell r="R50">
            <v>87001.720587080039</v>
          </cell>
        </row>
        <row r="56">
          <cell r="L56">
            <v>-322832.68298258528</v>
          </cell>
        </row>
        <row r="61">
          <cell r="T61">
            <v>100194.01396799617</v>
          </cell>
          <cell r="U61">
            <v>97972.58561150539</v>
          </cell>
        </row>
        <row r="80">
          <cell r="H80">
            <v>209656.48</v>
          </cell>
          <cell r="I80">
            <v>204506.83700000003</v>
          </cell>
          <cell r="L80">
            <v>5149.6429999999764</v>
          </cell>
        </row>
        <row r="85">
          <cell r="H85">
            <v>100760.60101724445</v>
          </cell>
          <cell r="I85">
            <v>102803.92189000001</v>
          </cell>
          <cell r="L85">
            <v>-2043.3208727555675</v>
          </cell>
          <cell r="Q85">
            <v>100194.01396799617</v>
          </cell>
          <cell r="R85">
            <v>97972.58561150539</v>
          </cell>
        </row>
        <row r="86">
          <cell r="H86">
            <v>1626926.9826088811</v>
          </cell>
          <cell r="I86">
            <v>866421.6450000006</v>
          </cell>
          <cell r="K86">
            <v>-237500.01416317024</v>
          </cell>
          <cell r="M86">
            <v>-203278.96259037079</v>
          </cell>
        </row>
        <row r="89">
          <cell r="Q89">
            <v>77342.533883116572</v>
          </cell>
          <cell r="R89">
            <v>80027.501889100458</v>
          </cell>
        </row>
        <row r="90">
          <cell r="Q90">
            <v>22851.4800848796</v>
          </cell>
          <cell r="R90">
            <v>17945.083722404932</v>
          </cell>
        </row>
      </sheetData>
      <sheetData sheetId="2">
        <row r="5">
          <cell r="T5">
            <v>128500</v>
          </cell>
          <cell r="U5">
            <v>137792</v>
          </cell>
        </row>
        <row r="9">
          <cell r="E9">
            <v>203.0209133477438</v>
          </cell>
          <cell r="F9">
            <v>227.04709600260938</v>
          </cell>
          <cell r="G9">
            <v>99999.999999999985</v>
          </cell>
          <cell r="H9">
            <v>100003.52078452351</v>
          </cell>
        </row>
        <row r="10">
          <cell r="E10">
            <v>46.105823257435823</v>
          </cell>
          <cell r="F10">
            <v>51.714553981082148</v>
          </cell>
          <cell r="G10">
            <v>92100.000000000015</v>
          </cell>
          <cell r="H10">
            <v>92349.958242128007</v>
          </cell>
        </row>
        <row r="11">
          <cell r="E11">
            <v>0</v>
          </cell>
          <cell r="F11">
            <v>0</v>
          </cell>
        </row>
        <row r="12">
          <cell r="E12">
            <v>62.027215453381018</v>
          </cell>
          <cell r="F12">
            <v>54.642002464393123</v>
          </cell>
          <cell r="G12">
            <v>63691.182023294823</v>
          </cell>
          <cell r="H12">
            <v>63398.815528260136</v>
          </cell>
        </row>
        <row r="13">
          <cell r="E13">
            <v>38.78085728592697</v>
          </cell>
          <cell r="F13">
            <v>33.902952850360585</v>
          </cell>
          <cell r="G13">
            <v>35450.350602055478</v>
          </cell>
          <cell r="H13">
            <v>35426.914296780356</v>
          </cell>
        </row>
        <row r="14">
          <cell r="E14">
            <v>0</v>
          </cell>
          <cell r="F14">
            <v>0</v>
          </cell>
        </row>
        <row r="15">
          <cell r="E15">
            <v>349.93480934448763</v>
          </cell>
          <cell r="F15">
            <v>367.30660529844522</v>
          </cell>
        </row>
        <row r="16">
          <cell r="E16">
            <v>802.73595940378675</v>
          </cell>
          <cell r="F16">
            <v>804.91275813430957</v>
          </cell>
          <cell r="G16">
            <v>10374.893200812825</v>
          </cell>
          <cell r="H16">
            <v>11062.926824511011</v>
          </cell>
        </row>
        <row r="17">
          <cell r="E17">
            <v>913.03908166936549</v>
          </cell>
          <cell r="F17">
            <v>895.02012423440738</v>
          </cell>
          <cell r="G17">
            <v>17354.449438688393</v>
          </cell>
          <cell r="H17">
            <v>17666.741729708319</v>
          </cell>
        </row>
        <row r="19">
          <cell r="E19">
            <v>3.4385804846978663</v>
          </cell>
          <cell r="F19">
            <v>3.1150553546189248</v>
          </cell>
        </row>
        <row r="20">
          <cell r="Q20">
            <v>56777.946042888972</v>
          </cell>
          <cell r="R20">
            <v>59647.826716920958</v>
          </cell>
        </row>
        <row r="21">
          <cell r="Q21">
            <v>17865.694762002735</v>
          </cell>
          <cell r="R21">
            <v>18319.327430870151</v>
          </cell>
        </row>
        <row r="22">
          <cell r="Q22">
            <v>176.73151750972764</v>
          </cell>
          <cell r="R22">
            <v>164.82961620700902</v>
          </cell>
        </row>
        <row r="50">
          <cell r="Q50">
            <v>83789.709970349664</v>
          </cell>
          <cell r="R50">
            <v>86501.831674700108</v>
          </cell>
        </row>
        <row r="56">
          <cell r="L56">
            <v>-321028.37335557939</v>
          </cell>
        </row>
        <row r="61">
          <cell r="T61">
            <v>102400.98092607004</v>
          </cell>
          <cell r="U61">
            <v>100840.35619629588</v>
          </cell>
        </row>
        <row r="80">
          <cell r="H80">
            <v>312755.18</v>
          </cell>
          <cell r="I80">
            <v>304735.16200000001</v>
          </cell>
          <cell r="L80">
            <v>8020.0179999999937</v>
          </cell>
        </row>
        <row r="85">
          <cell r="H85">
            <v>153298.28603023186</v>
          </cell>
          <cell r="I85">
            <v>205609.47240999999</v>
          </cell>
          <cell r="L85">
            <v>-52311.186379768136</v>
          </cell>
          <cell r="Q85">
            <v>102400.98092607004</v>
          </cell>
          <cell r="R85">
            <v>100840.35619629588</v>
          </cell>
        </row>
        <row r="86">
          <cell r="H86">
            <v>1925494.8517798381</v>
          </cell>
          <cell r="I86">
            <v>1518069.6369999996</v>
          </cell>
          <cell r="K86">
            <v>-215041.60276504169</v>
          </cell>
          <cell r="M86">
            <v>172935.9297205538</v>
          </cell>
        </row>
        <row r="89">
          <cell r="Q89">
            <v>74820.372322401439</v>
          </cell>
          <cell r="R89">
            <v>78131.983763998112</v>
          </cell>
        </row>
        <row r="90">
          <cell r="Q90">
            <v>27580.608603668603</v>
          </cell>
          <cell r="R90">
            <v>22708.372432297765</v>
          </cell>
        </row>
      </sheetData>
      <sheetData sheetId="3">
        <row r="5">
          <cell r="T5">
            <v>55500</v>
          </cell>
          <cell r="U5">
            <v>60076.5</v>
          </cell>
        </row>
        <row r="9">
          <cell r="E9">
            <v>251.51045045045041</v>
          </cell>
          <cell r="F9">
            <v>285.50103830494385</v>
          </cell>
          <cell r="G9">
            <v>102504.17835878795</v>
          </cell>
          <cell r="H9">
            <v>101722.77752997776</v>
          </cell>
        </row>
        <row r="10">
          <cell r="E10">
            <v>18.71135135135135</v>
          </cell>
          <cell r="F10">
            <v>3.9184885749896128</v>
          </cell>
          <cell r="G10">
            <v>88768.563669979208</v>
          </cell>
          <cell r="H10">
            <v>95057.966653668103</v>
          </cell>
        </row>
        <row r="11">
          <cell r="E11">
            <v>0</v>
          </cell>
          <cell r="F11">
            <v>0</v>
          </cell>
        </row>
        <row r="12">
          <cell r="E12">
            <v>51.951711711711717</v>
          </cell>
          <cell r="F12">
            <v>50.23841179891982</v>
          </cell>
          <cell r="G12">
            <v>64690.478337472072</v>
          </cell>
          <cell r="H12">
            <v>64602.945530255536</v>
          </cell>
        </row>
        <row r="13">
          <cell r="E13">
            <v>27.809549549549548</v>
          </cell>
          <cell r="F13">
            <v>31.356451682592436</v>
          </cell>
          <cell r="G13">
            <v>40847.796790265842</v>
          </cell>
          <cell r="H13">
            <v>42657.312848918278</v>
          </cell>
        </row>
        <row r="14">
          <cell r="E14">
            <v>0</v>
          </cell>
          <cell r="F14">
            <v>0</v>
          </cell>
        </row>
        <row r="15">
          <cell r="E15">
            <v>349.98306306306301</v>
          </cell>
          <cell r="F15">
            <v>371.01439036144569</v>
          </cell>
        </row>
        <row r="16">
          <cell r="E16">
            <v>805.39045045045043</v>
          </cell>
          <cell r="F16">
            <v>830.68970838388054</v>
          </cell>
          <cell r="G16">
            <v>12586.035952494569</v>
          </cell>
          <cell r="H16">
            <v>12779.904516271723</v>
          </cell>
        </row>
        <row r="17">
          <cell r="E17">
            <v>927.7369369369369</v>
          </cell>
          <cell r="F17">
            <v>905.65553520565038</v>
          </cell>
          <cell r="G17">
            <v>14591.705267690701</v>
          </cell>
          <cell r="H17">
            <v>14569.026271585046</v>
          </cell>
        </row>
        <row r="19">
          <cell r="E19">
            <v>2.9531783783783783</v>
          </cell>
          <cell r="F19">
            <v>2.9502558703780646</v>
          </cell>
        </row>
        <row r="20">
          <cell r="Q20">
            <v>57955.124195980185</v>
          </cell>
          <cell r="R20">
            <v>60337.555812214378</v>
          </cell>
        </row>
        <row r="21">
          <cell r="Q21">
            <v>17489.264295820503</v>
          </cell>
          <cell r="R21">
            <v>15529.082276692978</v>
          </cell>
        </row>
        <row r="22">
          <cell r="Q22">
            <v>161.26126126126124</v>
          </cell>
          <cell r="R22">
            <v>178.22906522642296</v>
          </cell>
        </row>
        <row r="50">
          <cell r="Q50">
            <v>83788.328180508339</v>
          </cell>
          <cell r="R50">
            <v>84259.95561279601</v>
          </cell>
        </row>
        <row r="56">
          <cell r="L56">
            <v>-27038.879513692464</v>
          </cell>
        </row>
        <row r="61">
          <cell r="T61">
            <v>106114.97697297296</v>
          </cell>
          <cell r="U61">
            <v>106050.92518705317</v>
          </cell>
        </row>
        <row r="80">
          <cell r="H80">
            <v>101787.90000000001</v>
          </cell>
          <cell r="I80">
            <v>111646.06200000001</v>
          </cell>
          <cell r="L80">
            <v>-9858.1620000000057</v>
          </cell>
        </row>
        <row r="85">
          <cell r="H85">
            <v>72258.22884223632</v>
          </cell>
          <cell r="I85">
            <v>72819.001550000001</v>
          </cell>
          <cell r="L85">
            <v>-560.77270776368414</v>
          </cell>
          <cell r="Q85">
            <v>106114.97697297296</v>
          </cell>
          <cell r="R85">
            <v>106050.92518705317</v>
          </cell>
        </row>
        <row r="86">
          <cell r="H86">
            <v>1065082.8791395503</v>
          </cell>
          <cell r="I86">
            <v>1125954.9659999993</v>
          </cell>
          <cell r="K86">
            <v>-3848.0071168100353</v>
          </cell>
          <cell r="M86">
            <v>102177.90819871443</v>
          </cell>
        </row>
        <row r="89">
          <cell r="Q89">
            <v>75605.649753061953</v>
          </cell>
          <cell r="R89">
            <v>76044.867154133768</v>
          </cell>
        </row>
        <row r="90">
          <cell r="Q90">
            <v>30509.327219911007</v>
          </cell>
          <cell r="R90">
            <v>30006.058032919405</v>
          </cell>
        </row>
      </sheetData>
      <sheetData sheetId="4">
        <row r="2">
          <cell r="N2">
            <v>43000</v>
          </cell>
        </row>
        <row r="5">
          <cell r="T5">
            <v>43000</v>
          </cell>
          <cell r="U5">
            <v>35374</v>
          </cell>
        </row>
        <row r="9">
          <cell r="E9">
            <v>270</v>
          </cell>
          <cell r="F9">
            <v>283.47282865478837</v>
          </cell>
          <cell r="G9">
            <v>100000</v>
          </cell>
          <cell r="H9">
            <v>100000.02048475679</v>
          </cell>
        </row>
        <row r="10">
          <cell r="E10">
            <v>12</v>
          </cell>
          <cell r="F10">
            <v>0</v>
          </cell>
          <cell r="G10">
            <v>87100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40</v>
          </cell>
          <cell r="F12">
            <v>52.922263830269408</v>
          </cell>
          <cell r="G12">
            <v>64000</v>
          </cell>
          <cell r="H12">
            <v>64203.427444032044</v>
          </cell>
        </row>
        <row r="13">
          <cell r="E13">
            <v>47.3</v>
          </cell>
          <cell r="F13">
            <v>43.273958587088927</v>
          </cell>
          <cell r="G13">
            <v>45000</v>
          </cell>
          <cell r="H13">
            <v>46724.011805035916</v>
          </cell>
        </row>
        <row r="14">
          <cell r="E14">
            <v>0</v>
          </cell>
          <cell r="F14">
            <v>0</v>
          </cell>
        </row>
        <row r="15">
          <cell r="E15">
            <v>369.3</v>
          </cell>
          <cell r="F15">
            <v>379.66905107214671</v>
          </cell>
        </row>
        <row r="16">
          <cell r="E16">
            <v>845</v>
          </cell>
          <cell r="F16">
            <v>854.75724442681883</v>
          </cell>
          <cell r="G16">
            <v>15333.333333333336</v>
          </cell>
          <cell r="H16">
            <v>16715.655103586545</v>
          </cell>
        </row>
        <row r="17">
          <cell r="E17">
            <v>880</v>
          </cell>
          <cell r="F17">
            <v>867.33152989830853</v>
          </cell>
          <cell r="G17">
            <v>15161.290322580646</v>
          </cell>
          <cell r="H17">
            <v>15851.357496985987</v>
          </cell>
        </row>
        <row r="19">
          <cell r="E19">
            <v>3.29</v>
          </cell>
          <cell r="F19">
            <v>3.2336090417245007</v>
          </cell>
        </row>
        <row r="20">
          <cell r="Q20">
            <v>61813.997150537638</v>
          </cell>
          <cell r="R20">
            <v>64537.132538311191</v>
          </cell>
        </row>
        <row r="21">
          <cell r="Q21">
            <v>16656.429320685438</v>
          </cell>
          <cell r="R21">
            <v>16559.934424836418</v>
          </cell>
        </row>
        <row r="22">
          <cell r="Q22">
            <v>190.69767441860466</v>
          </cell>
          <cell r="R22">
            <v>196.22372036370848</v>
          </cell>
        </row>
        <row r="50">
          <cell r="Q50">
            <v>84717.119363344173</v>
          </cell>
          <cell r="R50">
            <v>88420.599382488756</v>
          </cell>
        </row>
        <row r="56">
          <cell r="L56">
            <v>-130714.97787204021</v>
          </cell>
        </row>
        <row r="80">
          <cell r="H80">
            <v>69046.599999999991</v>
          </cell>
          <cell r="I80">
            <v>66782.379000000001</v>
          </cell>
          <cell r="L80">
            <v>2264.2209999999968</v>
          </cell>
        </row>
        <row r="85">
          <cell r="H85">
            <v>30108.799666666662</v>
          </cell>
          <cell r="I85">
            <v>29664.480960000001</v>
          </cell>
          <cell r="L85">
            <v>444.31870666666055</v>
          </cell>
          <cell r="Q85">
            <v>101280.96395348838</v>
          </cell>
          <cell r="R85">
            <v>100399.69886959231</v>
          </cell>
        </row>
        <row r="86">
          <cell r="H86">
            <v>613089.91770953347</v>
          </cell>
          <cell r="I86">
            <v>326986.77100000018</v>
          </cell>
          <cell r="K86">
            <v>-31106.013666279548</v>
          </cell>
          <cell r="M86">
            <v>-126990.69487788074</v>
          </cell>
        </row>
        <row r="89">
          <cell r="Q89">
            <v>78661.12414564169</v>
          </cell>
          <cell r="R89">
            <v>81293.29068351131</v>
          </cell>
        </row>
      </sheetData>
      <sheetData sheetId="5">
        <row r="2">
          <cell r="N2">
            <v>30000</v>
          </cell>
        </row>
        <row r="5">
          <cell r="T5">
            <v>30000</v>
          </cell>
          <cell r="U5">
            <v>28969</v>
          </cell>
        </row>
        <row r="9">
          <cell r="E9">
            <v>264.52800000000002</v>
          </cell>
          <cell r="F9">
            <v>272.49953684210539</v>
          </cell>
          <cell r="G9">
            <v>100000</v>
          </cell>
          <cell r="H9">
            <v>99999.999746696703</v>
          </cell>
        </row>
        <row r="10">
          <cell r="E10">
            <v>10.947999999999999</v>
          </cell>
          <cell r="F10">
            <v>28.963625194132863</v>
          </cell>
          <cell r="G10">
            <v>99500</v>
          </cell>
          <cell r="H10">
            <v>98401.346086366029</v>
          </cell>
        </row>
        <row r="11">
          <cell r="E11">
            <v>0</v>
          </cell>
          <cell r="F11">
            <v>0</v>
          </cell>
        </row>
        <row r="12">
          <cell r="E12">
            <v>55.216999999999999</v>
          </cell>
          <cell r="F12">
            <v>42.531152717860259</v>
          </cell>
          <cell r="G12">
            <v>64500</v>
          </cell>
          <cell r="H12">
            <v>64500.819031174076</v>
          </cell>
        </row>
        <row r="13">
          <cell r="E13">
            <v>36.919999999999995</v>
          </cell>
          <cell r="F13">
            <v>31.291583433994809</v>
          </cell>
          <cell r="G13">
            <v>45000</v>
          </cell>
          <cell r="H13">
            <v>50511.533019880619</v>
          </cell>
        </row>
        <row r="14">
          <cell r="E14">
            <v>0</v>
          </cell>
          <cell r="F14">
            <v>0</v>
          </cell>
        </row>
        <row r="15">
          <cell r="E15">
            <v>367.613</v>
          </cell>
          <cell r="F15">
            <v>375.28589818809331</v>
          </cell>
        </row>
        <row r="16">
          <cell r="E16">
            <v>882.94499999999994</v>
          </cell>
          <cell r="F16">
            <v>953.51078515962138</v>
          </cell>
          <cell r="G16">
            <v>15733.333333333334</v>
          </cell>
          <cell r="H16">
            <v>16000.978283786615</v>
          </cell>
        </row>
        <row r="17">
          <cell r="E17">
            <v>848.82299999999998</v>
          </cell>
          <cell r="F17">
            <v>791.5782571182059</v>
          </cell>
          <cell r="G17">
            <v>15504.296280171253</v>
          </cell>
          <cell r="H17">
            <v>15089.646965161277</v>
          </cell>
        </row>
        <row r="19">
          <cell r="E19">
            <v>3.3090000000000002</v>
          </cell>
          <cell r="F19">
            <v>3.0577939603106148</v>
          </cell>
        </row>
        <row r="20">
          <cell r="Q20">
            <v>62596.653781423804</v>
          </cell>
          <cell r="R20">
            <v>63918.035064710959</v>
          </cell>
        </row>
        <row r="21">
          <cell r="Q21">
            <v>17611.738996563574</v>
          </cell>
          <cell r="R21">
            <v>17460.536911130283</v>
          </cell>
        </row>
        <row r="22">
          <cell r="Q22">
            <v>366.66666666666663</v>
          </cell>
          <cell r="R22">
            <v>306.79537532355482</v>
          </cell>
        </row>
        <row r="50">
          <cell r="Q50">
            <v>88654.799620983162</v>
          </cell>
          <cell r="R50">
            <v>89427.595064710957</v>
          </cell>
        </row>
        <row r="56">
          <cell r="L56">
            <v>-22394.47395973856</v>
          </cell>
        </row>
        <row r="80">
          <cell r="H80">
            <v>60681.440000000002</v>
          </cell>
          <cell r="I80">
            <v>58896.055000000008</v>
          </cell>
          <cell r="L80">
            <v>1785.3849999999966</v>
          </cell>
        </row>
        <row r="85">
          <cell r="H85">
            <v>34391.757239466679</v>
          </cell>
          <cell r="I85">
            <v>35040.951820000002</v>
          </cell>
          <cell r="L85">
            <v>-649.19458053332005</v>
          </cell>
          <cell r="Q85">
            <v>101383.64833333335</v>
          </cell>
          <cell r="R85">
            <v>98667.487797300564</v>
          </cell>
        </row>
        <row r="86">
          <cell r="H86">
            <v>286792.26413103868</v>
          </cell>
          <cell r="I86">
            <v>173726.08299999987</v>
          </cell>
          <cell r="K86">
            <v>-78684.454568333647</v>
          </cell>
          <cell r="M86">
            <v>-13123.443022433028</v>
          </cell>
        </row>
        <row r="89">
          <cell r="Q89">
            <v>80575.059444654049</v>
          </cell>
          <cell r="R89">
            <v>81685.367351164794</v>
          </cell>
        </row>
      </sheetData>
      <sheetData sheetId="6">
        <row r="2">
          <cell r="N2">
            <v>28000</v>
          </cell>
        </row>
        <row r="5">
          <cell r="T5">
            <v>28000</v>
          </cell>
          <cell r="U5">
            <v>31124.2</v>
          </cell>
        </row>
        <row r="9">
          <cell r="E9">
            <v>241.93928571428572</v>
          </cell>
          <cell r="F9">
            <v>250.60857216000409</v>
          </cell>
          <cell r="G9">
            <v>100000</v>
          </cell>
          <cell r="H9">
            <v>99999.999870693806</v>
          </cell>
        </row>
        <row r="10">
          <cell r="E10">
            <v>0</v>
          </cell>
          <cell r="F10">
            <v>30.10922998651942</v>
          </cell>
          <cell r="G10">
            <v>0</v>
          </cell>
          <cell r="H10">
            <v>95617.559874153347</v>
          </cell>
        </row>
        <row r="11">
          <cell r="E11">
            <v>0</v>
          </cell>
          <cell r="F11">
            <v>0</v>
          </cell>
        </row>
        <row r="12">
          <cell r="E12">
            <v>57.14696428571429</v>
          </cell>
          <cell r="F12">
            <v>33.300366503344222</v>
          </cell>
          <cell r="G12">
            <v>64500</v>
          </cell>
          <cell r="H12">
            <v>64481.481320376079</v>
          </cell>
        </row>
        <row r="13">
          <cell r="E13">
            <v>39.296428571428571</v>
          </cell>
          <cell r="F13">
            <v>38.33401481567897</v>
          </cell>
          <cell r="G13">
            <v>45000</v>
          </cell>
          <cell r="H13">
            <v>48097.672660181051</v>
          </cell>
        </row>
        <row r="14">
          <cell r="E14">
            <v>0</v>
          </cell>
          <cell r="F14">
            <v>0</v>
          </cell>
        </row>
        <row r="15">
          <cell r="E15">
            <v>338.38267857142858</v>
          </cell>
          <cell r="F15">
            <v>352.35218346554672</v>
          </cell>
        </row>
        <row r="16">
          <cell r="E16">
            <v>873.95660714285714</v>
          </cell>
          <cell r="F16">
            <v>832.3964347099087</v>
          </cell>
          <cell r="G16">
            <v>15266.666666666668</v>
          </cell>
          <cell r="H16">
            <v>16513.059831548144</v>
          </cell>
        </row>
        <row r="17">
          <cell r="E17">
            <v>880.42482142857148</v>
          </cell>
          <cell r="F17">
            <v>891.14773409550446</v>
          </cell>
          <cell r="G17">
            <v>13419.354838709676</v>
          </cell>
          <cell r="H17">
            <v>13030.618535333049</v>
          </cell>
        </row>
        <row r="19">
          <cell r="E19">
            <v>2.7070614285714281</v>
          </cell>
          <cell r="F19">
            <v>3.2771669064654949</v>
          </cell>
        </row>
        <row r="20">
          <cell r="Q20">
            <v>56754.468572081416</v>
          </cell>
          <cell r="R20">
            <v>59644.373541763882</v>
          </cell>
        </row>
        <row r="21">
          <cell r="Q21">
            <v>18613.020357142857</v>
          </cell>
          <cell r="R21">
            <v>19780.488962772852</v>
          </cell>
        </row>
        <row r="22">
          <cell r="Q22">
            <v>202.5</v>
          </cell>
          <cell r="R22">
            <v>124.11731347539794</v>
          </cell>
        </row>
        <row r="50">
          <cell r="Q50">
            <v>81366.674198244596</v>
          </cell>
          <cell r="R50">
            <v>84491.723894332972</v>
          </cell>
        </row>
        <row r="56">
          <cell r="L56">
            <v>-96436.537951529972</v>
          </cell>
        </row>
        <row r="80">
          <cell r="H80">
            <v>46085.41</v>
          </cell>
          <cell r="I80">
            <v>46056.258000000002</v>
          </cell>
          <cell r="L80">
            <v>29.152000000000498</v>
          </cell>
        </row>
        <row r="85">
          <cell r="H85">
            <v>17060.498555555554</v>
          </cell>
          <cell r="I85">
            <v>17169.766630000002</v>
          </cell>
          <cell r="L85">
            <v>-109.26807444444648</v>
          </cell>
          <cell r="Q85">
            <v>99754.402470555084</v>
          </cell>
          <cell r="R85">
            <v>94837.487556385124</v>
          </cell>
        </row>
        <row r="86">
          <cell r="H86">
            <v>451710.48306913773</v>
          </cell>
          <cell r="I86">
            <v>256190.66</v>
          </cell>
          <cell r="K86">
            <v>-151732.06071935364</v>
          </cell>
          <cell r="M86">
            <v>52728.891676190135</v>
          </cell>
        </row>
        <row r="89">
          <cell r="Q89">
            <v>75569.988929224273</v>
          </cell>
          <cell r="R89">
            <v>79548.979818012129</v>
          </cell>
        </row>
      </sheetData>
      <sheetData sheetId="7">
        <row r="2">
          <cell r="N2">
            <v>18500</v>
          </cell>
        </row>
        <row r="5">
          <cell r="T5">
            <v>18500</v>
          </cell>
          <cell r="U5">
            <v>11818</v>
          </cell>
        </row>
        <row r="9">
          <cell r="E9">
            <v>198</v>
          </cell>
          <cell r="F9">
            <v>232.33490332428778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77</v>
          </cell>
          <cell r="F12">
            <v>57.981434023066441</v>
          </cell>
          <cell r="G12">
            <v>64300</v>
          </cell>
          <cell r="H12">
            <v>63662.032015669924</v>
          </cell>
        </row>
        <row r="13">
          <cell r="E13">
            <v>47</v>
          </cell>
          <cell r="F13">
            <v>27.689715909090904</v>
          </cell>
          <cell r="G13">
            <v>46000</v>
          </cell>
          <cell r="H13">
            <v>50951.195118001924</v>
          </cell>
        </row>
        <row r="14">
          <cell r="E14">
            <v>0</v>
          </cell>
          <cell r="F14">
            <v>0</v>
          </cell>
        </row>
        <row r="15">
          <cell r="E15">
            <v>322</v>
          </cell>
          <cell r="F15">
            <v>318.00605325644511</v>
          </cell>
        </row>
        <row r="16">
          <cell r="E16">
            <v>745</v>
          </cell>
          <cell r="F16">
            <v>757.02891791044703</v>
          </cell>
          <cell r="G16">
            <v>14666.666666666666</v>
          </cell>
          <cell r="H16">
            <v>14600.000672126966</v>
          </cell>
        </row>
        <row r="17">
          <cell r="E17">
            <v>1000</v>
          </cell>
          <cell r="F17">
            <v>993.43792401628343</v>
          </cell>
          <cell r="G17">
            <v>14363.982202447165</v>
          </cell>
          <cell r="H17">
            <v>14574.805840906474</v>
          </cell>
        </row>
        <row r="19">
          <cell r="E19">
            <v>2.5</v>
          </cell>
          <cell r="F19">
            <v>2.6088237788331079</v>
          </cell>
        </row>
        <row r="20">
          <cell r="Q20">
            <v>53753.748869113828</v>
          </cell>
          <cell r="R20">
            <v>55972.553765264594</v>
          </cell>
        </row>
        <row r="21">
          <cell r="Q21">
            <v>17859.79099099099</v>
          </cell>
          <cell r="R21">
            <v>17352.857276119405</v>
          </cell>
        </row>
        <row r="22">
          <cell r="Q22">
            <v>105</v>
          </cell>
          <cell r="R22">
            <v>91.1694369063772</v>
          </cell>
        </row>
        <row r="50">
          <cell r="Q50">
            <v>78653.708472717437</v>
          </cell>
          <cell r="R50">
            <v>83361.633989145193</v>
          </cell>
        </row>
        <row r="56">
          <cell r="L56">
            <v>-55482.105043607007</v>
          </cell>
        </row>
        <row r="80">
          <cell r="H80">
            <v>33843.03</v>
          </cell>
          <cell r="I80">
            <v>32772.144999999997</v>
          </cell>
          <cell r="L80">
            <v>1070.8850000000025</v>
          </cell>
        </row>
        <row r="85">
          <cell r="H85">
            <v>19199.545555555553</v>
          </cell>
          <cell r="I85">
            <v>20928.72248</v>
          </cell>
          <cell r="L85">
            <v>-1729.1769244444481</v>
          </cell>
          <cell r="Q85">
            <v>96403.810810810814</v>
          </cell>
          <cell r="R85">
            <v>97204.531642348156</v>
          </cell>
        </row>
        <row r="86">
          <cell r="H86">
            <v>275334.31769917201</v>
          </cell>
          <cell r="I86">
            <v>109518.13100000008</v>
          </cell>
          <cell r="K86">
            <v>9438.8971621621968</v>
          </cell>
          <cell r="M86">
            <v>-119114.68689328281</v>
          </cell>
        </row>
        <row r="89">
          <cell r="Q89">
            <v>71718.539860104822</v>
          </cell>
          <cell r="R89">
            <v>73416.580478290372</v>
          </cell>
        </row>
      </sheetData>
      <sheetData sheetId="8">
        <row r="2">
          <cell r="N2">
            <v>20000</v>
          </cell>
        </row>
        <row r="5">
          <cell r="T5">
            <v>20000</v>
          </cell>
          <cell r="U5">
            <v>18738</v>
          </cell>
        </row>
        <row r="9">
          <cell r="E9">
            <v>205.28586825925396</v>
          </cell>
          <cell r="F9">
            <v>181.58554589114215</v>
          </cell>
          <cell r="G9">
            <v>100000</v>
          </cell>
          <cell r="H9">
            <v>100001.25686429134</v>
          </cell>
        </row>
        <row r="10">
          <cell r="E10">
            <v>50.971414429025131</v>
          </cell>
          <cell r="F10">
            <v>159.12631590181422</v>
          </cell>
          <cell r="G10">
            <v>92100</v>
          </cell>
          <cell r="H10">
            <v>92697.990047817046</v>
          </cell>
        </row>
        <row r="11">
          <cell r="E11">
            <v>0</v>
          </cell>
          <cell r="F11">
            <v>0</v>
          </cell>
        </row>
        <row r="12">
          <cell r="E12">
            <v>60.126859287973062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41.417008062080782</v>
          </cell>
          <cell r="F13">
            <v>32.884377801494125</v>
          </cell>
          <cell r="G13">
            <v>36500</v>
          </cell>
          <cell r="H13">
            <v>36500.002823514573</v>
          </cell>
        </row>
        <row r="14">
          <cell r="E14">
            <v>0</v>
          </cell>
          <cell r="F14">
            <v>0</v>
          </cell>
        </row>
        <row r="15">
          <cell r="E15">
            <v>357.80115003833293</v>
          </cell>
          <cell r="F15">
            <v>373.59623959445048</v>
          </cell>
        </row>
        <row r="16">
          <cell r="E16">
            <v>822.85329161249149</v>
          </cell>
          <cell r="F16">
            <v>889.77881536819598</v>
          </cell>
          <cell r="G16">
            <v>10738.686167990412</v>
          </cell>
          <cell r="H16">
            <v>11708.573323685845</v>
          </cell>
        </row>
        <row r="17">
          <cell r="E17">
            <v>899.91219871176179</v>
          </cell>
          <cell r="F17">
            <v>828.79402347918904</v>
          </cell>
          <cell r="G17">
            <v>17417.838446495472</v>
          </cell>
          <cell r="H17">
            <v>18521.273790208346</v>
          </cell>
        </row>
        <row r="19">
          <cell r="E19">
            <v>3.5823051141837894</v>
          </cell>
          <cell r="F19">
            <v>3.2561216648879401</v>
          </cell>
        </row>
        <row r="20">
          <cell r="Q20">
            <v>58434.673913916733</v>
          </cell>
          <cell r="R20">
            <v>62875.948345784418</v>
          </cell>
        </row>
        <row r="21">
          <cell r="Q21">
            <v>19641.118055555558</v>
          </cell>
          <cell r="R21">
            <v>19899.977534685167</v>
          </cell>
        </row>
        <row r="22">
          <cell r="Q22">
            <v>50</v>
          </cell>
          <cell r="R22">
            <v>0</v>
          </cell>
        </row>
        <row r="50">
          <cell r="Q50">
            <v>88905.158145168651</v>
          </cell>
          <cell r="R50">
            <v>94790.296584845259</v>
          </cell>
        </row>
        <row r="56">
          <cell r="L56">
            <v>-81076.923495829629</v>
          </cell>
        </row>
        <row r="80">
          <cell r="H80">
            <v>52997.16</v>
          </cell>
          <cell r="I80">
            <v>47421.748999999996</v>
          </cell>
          <cell r="L80">
            <v>5575.4109999999991</v>
          </cell>
        </row>
        <row r="85">
          <cell r="H85">
            <v>46892.19733333333</v>
          </cell>
          <cell r="I85">
            <v>75302.98818</v>
          </cell>
          <cell r="L85">
            <v>-28410.790846666678</v>
          </cell>
          <cell r="Q85">
            <v>107599.94745000001</v>
          </cell>
          <cell r="R85">
            <v>106112.66677340164</v>
          </cell>
        </row>
        <row r="86">
          <cell r="H86">
            <v>274006.42876329354</v>
          </cell>
          <cell r="I86">
            <v>118632.63599999987</v>
          </cell>
          <cell r="K86">
            <v>-27868.665318100251</v>
          </cell>
          <cell r="M86">
            <v>-23592.824102697152</v>
          </cell>
        </row>
        <row r="89">
          <cell r="Q89">
            <v>78125.791969472295</v>
          </cell>
          <cell r="R89">
            <v>82775.925880469586</v>
          </cell>
        </row>
      </sheetData>
      <sheetData sheetId="9">
        <row r="2">
          <cell r="N2">
            <v>25000</v>
          </cell>
        </row>
        <row r="5">
          <cell r="T5">
            <v>25000</v>
          </cell>
          <cell r="U5">
            <v>23641</v>
          </cell>
        </row>
        <row r="9">
          <cell r="E9">
            <v>211.79999999999998</v>
          </cell>
          <cell r="F9">
            <v>234.6052041717482</v>
          </cell>
          <cell r="G9">
            <v>100000</v>
          </cell>
          <cell r="H9">
            <v>100019.09933074366</v>
          </cell>
        </row>
        <row r="10">
          <cell r="E10">
            <v>49.2</v>
          </cell>
          <cell r="F10">
            <v>38.892094705412319</v>
          </cell>
          <cell r="G10">
            <v>92100</v>
          </cell>
          <cell r="H10">
            <v>92100.350824714071</v>
          </cell>
        </row>
        <row r="11">
          <cell r="E11">
            <v>0</v>
          </cell>
          <cell r="F11">
            <v>0</v>
          </cell>
        </row>
        <row r="12">
          <cell r="E12">
            <v>56.5</v>
          </cell>
          <cell r="F12">
            <v>52.515715967870761</v>
          </cell>
          <cell r="G12">
            <v>65000</v>
          </cell>
          <cell r="H12">
            <v>65290.211166863839</v>
          </cell>
        </row>
        <row r="13">
          <cell r="E13">
            <v>41.5</v>
          </cell>
          <cell r="F13">
            <v>26.73929139156397</v>
          </cell>
          <cell r="G13">
            <v>35200</v>
          </cell>
          <cell r="H13">
            <v>35351.119611308393</v>
          </cell>
        </row>
        <row r="14">
          <cell r="E14">
            <v>0</v>
          </cell>
          <cell r="F14">
            <v>0</v>
          </cell>
        </row>
        <row r="15">
          <cell r="E15">
            <v>359</v>
          </cell>
          <cell r="F15">
            <v>352.7523062365953</v>
          </cell>
        </row>
        <row r="16">
          <cell r="E16">
            <v>818.4</v>
          </cell>
          <cell r="F16">
            <v>814.66314815593614</v>
          </cell>
          <cell r="G16">
            <v>10666.666666666666</v>
          </cell>
          <cell r="H16">
            <v>11200.2205775125</v>
          </cell>
        </row>
        <row r="17">
          <cell r="E17">
            <v>909.3</v>
          </cell>
          <cell r="F17">
            <v>911.71643046385475</v>
          </cell>
          <cell r="G17">
            <v>17805.900356103688</v>
          </cell>
          <cell r="H17">
            <v>18844.805360589547</v>
          </cell>
        </row>
        <row r="19">
          <cell r="E19">
            <v>4.867</v>
          </cell>
          <cell r="F19">
            <v>2.9847546154169642</v>
          </cell>
        </row>
        <row r="20">
          <cell r="Q20">
            <v>60014.545193805083</v>
          </cell>
          <cell r="R20">
            <v>60306.886328272842</v>
          </cell>
        </row>
        <row r="21">
          <cell r="Q21">
            <v>16267.667010309278</v>
          </cell>
          <cell r="R21">
            <v>17308.913032507677</v>
          </cell>
        </row>
        <row r="22">
          <cell r="Q22">
            <v>80</v>
          </cell>
          <cell r="R22">
            <v>236.0908364523319</v>
          </cell>
        </row>
        <row r="50">
          <cell r="Q50">
            <v>83618.415564114359</v>
          </cell>
          <cell r="R50">
            <v>85910.097901509725</v>
          </cell>
        </row>
        <row r="56">
          <cell r="L56">
            <v>-41062.869098772637</v>
          </cell>
        </row>
        <row r="80">
          <cell r="H80">
            <v>48980</v>
          </cell>
          <cell r="I80">
            <v>46960.271000000001</v>
          </cell>
          <cell r="L80">
            <v>2019.7290000000035</v>
          </cell>
        </row>
        <row r="85">
          <cell r="H85">
            <v>1835.1728888888897</v>
          </cell>
          <cell r="I85">
            <v>16092.64855</v>
          </cell>
          <cell r="L85">
            <v>-14257.47566111111</v>
          </cell>
          <cell r="Q85">
            <v>104325.31199999999</v>
          </cell>
          <cell r="R85">
            <v>99811.027071612873</v>
          </cell>
        </row>
        <row r="86">
          <cell r="H86">
            <v>466857.238008252</v>
          </cell>
          <cell r="I86">
            <v>278693.73999999976</v>
          </cell>
          <cell r="K86">
            <v>-106722.20999199986</v>
          </cell>
          <cell r="M86">
            <v>-28140.672256368576</v>
          </cell>
        </row>
        <row r="89">
          <cell r="Q89">
            <v>76362.212204114359</v>
          </cell>
          <cell r="R89">
            <v>77851.890197232846</v>
          </cell>
        </row>
      </sheetData>
      <sheetData sheetId="10">
        <row r="2">
          <cell r="N2">
            <v>12000</v>
          </cell>
        </row>
        <row r="5">
          <cell r="T5">
            <v>12000</v>
          </cell>
          <cell r="U5">
            <v>12699</v>
          </cell>
        </row>
        <row r="9">
          <cell r="E9">
            <v>158.38</v>
          </cell>
          <cell r="F9">
            <v>216.21151586739117</v>
          </cell>
          <cell r="G9">
            <v>100000</v>
          </cell>
          <cell r="H9">
            <v>100000.03314309388</v>
          </cell>
        </row>
        <row r="10">
          <cell r="E10">
            <v>152.32</v>
          </cell>
          <cell r="F10">
            <v>112.00488699897627</v>
          </cell>
          <cell r="G10">
            <v>92100.000000000015</v>
          </cell>
          <cell r="H10">
            <v>92099.997521004101</v>
          </cell>
        </row>
        <row r="11">
          <cell r="E11">
            <v>0</v>
          </cell>
          <cell r="F11">
            <v>0</v>
          </cell>
        </row>
        <row r="12">
          <cell r="E12">
            <v>13.12</v>
          </cell>
          <cell r="F12">
            <v>3.4057051736357202</v>
          </cell>
          <cell r="G12">
            <v>64000</v>
          </cell>
          <cell r="H12">
            <v>63176.231616648212</v>
          </cell>
        </row>
        <row r="13">
          <cell r="E13">
            <v>19.18</v>
          </cell>
          <cell r="F13">
            <v>20.092141113473506</v>
          </cell>
          <cell r="G13">
            <v>35000</v>
          </cell>
          <cell r="H13">
            <v>34999.966686276042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351.71424915347671</v>
          </cell>
        </row>
        <row r="16">
          <cell r="E16">
            <v>830</v>
          </cell>
          <cell r="F16">
            <v>759.27238365225594</v>
          </cell>
          <cell r="G16">
            <v>9426.6666666666679</v>
          </cell>
          <cell r="H16">
            <v>9734.4537440365075</v>
          </cell>
        </row>
        <row r="17">
          <cell r="E17">
            <v>890</v>
          </cell>
          <cell r="F17">
            <v>959.91022915190172</v>
          </cell>
          <cell r="G17">
            <v>17730.479017177091</v>
          </cell>
          <cell r="H17">
            <v>15187.897685789056</v>
          </cell>
        </row>
        <row r="19">
          <cell r="E19">
            <v>3.3</v>
          </cell>
          <cell r="F19">
            <v>2.8347932908103002</v>
          </cell>
        </row>
        <row r="20">
          <cell r="Q20">
            <v>57614.511658620941</v>
          </cell>
          <cell r="R20">
            <v>58123.157886447749</v>
          </cell>
        </row>
        <row r="21">
          <cell r="Q21">
            <v>18115.390073099417</v>
          </cell>
          <cell r="R21">
            <v>19056.375777620284</v>
          </cell>
        </row>
        <row r="22">
          <cell r="Q22">
            <v>408.33333333333331</v>
          </cell>
          <cell r="R22">
            <v>423.27498228206946</v>
          </cell>
        </row>
        <row r="50">
          <cell r="Q50">
            <v>84759.351169626709</v>
          </cell>
          <cell r="R50">
            <v>85183.682967162778</v>
          </cell>
        </row>
        <row r="56">
          <cell r="L56">
            <v>-2403.4155569103473</v>
          </cell>
        </row>
        <row r="80">
          <cell r="H80">
            <v>33527.57</v>
          </cell>
          <cell r="I80">
            <v>35429.499000000003</v>
          </cell>
          <cell r="L80">
            <v>-1901.9290000000012</v>
          </cell>
        </row>
        <row r="85">
          <cell r="H85">
            <v>12068.37588888889</v>
          </cell>
          <cell r="I85">
            <v>15205.247939999999</v>
          </cell>
          <cell r="L85">
            <v>-3136.8720511111096</v>
          </cell>
          <cell r="Q85">
            <v>101000.2</v>
          </cell>
          <cell r="R85">
            <v>93546.074494054657</v>
          </cell>
        </row>
        <row r="86">
          <cell r="H86">
            <v>149294.24007559044</v>
          </cell>
          <cell r="I86">
            <v>58544.437000000122</v>
          </cell>
          <cell r="K86">
            <v>-94659.939799999862</v>
          </cell>
          <cell r="M86">
            <v>11352.353332430925</v>
          </cell>
        </row>
        <row r="89">
          <cell r="Q89">
            <v>76138.235065053683</v>
          </cell>
          <cell r="R89">
            <v>77602.808646350095</v>
          </cell>
        </row>
      </sheetData>
      <sheetData sheetId="11">
        <row r="2">
          <cell r="N2">
            <v>17000</v>
          </cell>
        </row>
        <row r="5">
          <cell r="T5">
            <v>17000</v>
          </cell>
          <cell r="U5">
            <v>19584</v>
          </cell>
        </row>
        <row r="9">
          <cell r="E9">
            <v>172.4</v>
          </cell>
          <cell r="F9">
            <v>189.32036866830055</v>
          </cell>
          <cell r="G9">
            <v>100000</v>
          </cell>
          <cell r="H9">
            <v>100030.38905963651</v>
          </cell>
        </row>
        <row r="10">
          <cell r="E10">
            <v>102.5</v>
          </cell>
          <cell r="F10">
            <v>92.198023897058846</v>
          </cell>
          <cell r="G10">
            <v>92100</v>
          </cell>
          <cell r="H10">
            <v>92099.921461275502</v>
          </cell>
        </row>
        <row r="11">
          <cell r="E11">
            <v>0</v>
          </cell>
          <cell r="F11">
            <v>0</v>
          </cell>
        </row>
        <row r="12">
          <cell r="E12">
            <v>43.699999999999996</v>
          </cell>
          <cell r="F12">
            <v>47.536612540849667</v>
          </cell>
          <cell r="G12">
            <v>63500.000000000007</v>
          </cell>
          <cell r="H12">
            <v>63674.316565119196</v>
          </cell>
        </row>
        <row r="13">
          <cell r="E13">
            <v>39.5</v>
          </cell>
          <cell r="F13">
            <v>36.423459456699369</v>
          </cell>
          <cell r="G13">
            <v>35500</v>
          </cell>
          <cell r="H13">
            <v>35500.002011728197</v>
          </cell>
        </row>
        <row r="14">
          <cell r="E14">
            <v>0</v>
          </cell>
          <cell r="F14">
            <v>0</v>
          </cell>
        </row>
        <row r="15">
          <cell r="E15">
            <v>358.09999999999997</v>
          </cell>
          <cell r="F15">
            <v>365.47846456290841</v>
          </cell>
        </row>
        <row r="16">
          <cell r="E16">
            <v>795</v>
          </cell>
          <cell r="F16">
            <v>801.46701388888926</v>
          </cell>
          <cell r="G16">
            <v>10733.333333333332</v>
          </cell>
          <cell r="H16">
            <v>11680.332226252278</v>
          </cell>
        </row>
        <row r="17">
          <cell r="E17">
            <v>920</v>
          </cell>
          <cell r="F17">
            <v>925.2637357026133</v>
          </cell>
          <cell r="G17">
            <v>18315.171013635976</v>
          </cell>
          <cell r="H17">
            <v>19018.532408149636</v>
          </cell>
        </row>
        <row r="19">
          <cell r="E19">
            <v>3.0551550000000001</v>
          </cell>
          <cell r="F19">
            <v>2.9131433823529416</v>
          </cell>
        </row>
        <row r="20">
          <cell r="Q20">
            <v>58551.054132545098</v>
          </cell>
          <cell r="R20">
            <v>61375.134140114373</v>
          </cell>
        </row>
        <row r="21">
          <cell r="Q21">
            <v>19052.270915032677</v>
          </cell>
          <cell r="R21">
            <v>19304.753421160134</v>
          </cell>
        </row>
        <row r="22">
          <cell r="Q22">
            <v>264.70588235294116</v>
          </cell>
          <cell r="R22">
            <v>164.78135212418303</v>
          </cell>
        </row>
        <row r="50">
          <cell r="Q50">
            <v>86493.81045934248</v>
          </cell>
          <cell r="R50">
            <v>88984.479779411762</v>
          </cell>
        </row>
        <row r="56">
          <cell r="L56">
            <v>-41759.804874236863</v>
          </cell>
        </row>
        <row r="80">
          <cell r="H80">
            <v>44119.53</v>
          </cell>
          <cell r="I80">
            <v>44449.044999999998</v>
          </cell>
          <cell r="L80">
            <v>-329.51500000000374</v>
          </cell>
        </row>
        <row r="85">
          <cell r="H85">
            <v>23269.997111111115</v>
          </cell>
          <cell r="I85">
            <v>30289.077089999999</v>
          </cell>
          <cell r="L85">
            <v>-7019.0799788888853</v>
          </cell>
          <cell r="Q85">
            <v>104000</v>
          </cell>
          <cell r="R85">
            <v>99712.724673202611</v>
          </cell>
        </row>
        <row r="86">
          <cell r="H86">
            <v>230215.69508006665</v>
          </cell>
          <cell r="I86">
            <v>142381.28899999984</v>
          </cell>
          <cell r="K86">
            <v>-83962.000000000073</v>
          </cell>
          <cell r="M86">
            <v>45235.993773059046</v>
          </cell>
        </row>
        <row r="89">
          <cell r="Q89">
            <v>77868.030929930712</v>
          </cell>
          <cell r="R89">
            <v>80844.66891339868</v>
          </cell>
        </row>
      </sheetData>
      <sheetData sheetId="12">
        <row r="2">
          <cell r="N2">
            <v>10000</v>
          </cell>
        </row>
        <row r="5">
          <cell r="T5">
            <v>10000</v>
          </cell>
          <cell r="U5">
            <v>12081</v>
          </cell>
        </row>
        <row r="9">
          <cell r="E9">
            <v>201.90100000000001</v>
          </cell>
          <cell r="F9">
            <v>256.54366525949848</v>
          </cell>
          <cell r="G9">
            <v>100000</v>
          </cell>
          <cell r="H9">
            <v>99933.183063467222</v>
          </cell>
        </row>
        <row r="10">
          <cell r="E10">
            <v>10.482999999999999</v>
          </cell>
          <cell r="F10">
            <v>0</v>
          </cell>
          <cell r="G10">
            <v>92100.000000000015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68.222000000000023</v>
          </cell>
          <cell r="F12">
            <v>83.108191374886232</v>
          </cell>
          <cell r="G12">
            <v>63000</v>
          </cell>
          <cell r="H12">
            <v>63246.333481290349</v>
          </cell>
        </row>
        <row r="13">
          <cell r="E13">
            <v>50.604000000000013</v>
          </cell>
          <cell r="F13">
            <v>30.239099412300288</v>
          </cell>
          <cell r="G13">
            <v>36000</v>
          </cell>
          <cell r="H13">
            <v>35999.996824689144</v>
          </cell>
        </row>
        <row r="14">
          <cell r="E14">
            <v>0</v>
          </cell>
          <cell r="F14">
            <v>0</v>
          </cell>
        </row>
        <row r="15">
          <cell r="E15">
            <v>331.21000000000004</v>
          </cell>
          <cell r="F15">
            <v>369.89095604668501</v>
          </cell>
        </row>
        <row r="16">
          <cell r="E16">
            <v>783.5</v>
          </cell>
          <cell r="F16">
            <v>775.07987749358506</v>
          </cell>
          <cell r="G16">
            <v>9066.6666666666661</v>
          </cell>
          <cell r="H16">
            <v>9563.8407303064796</v>
          </cell>
        </row>
        <row r="17">
          <cell r="E17">
            <v>910.20830800000022</v>
          </cell>
          <cell r="F17">
            <v>913.61311149739311</v>
          </cell>
          <cell r="G17">
            <v>17512.617316064228</v>
          </cell>
          <cell r="H17">
            <v>16527.957772510807</v>
          </cell>
        </row>
        <row r="19">
          <cell r="E19">
            <v>2.4558854999999995</v>
          </cell>
          <cell r="F19">
            <v>3.3582716662527923</v>
          </cell>
        </row>
        <row r="20">
          <cell r="Q20">
            <v>52148.830111239666</v>
          </cell>
          <cell r="R20">
            <v>57321.565267775848</v>
          </cell>
        </row>
        <row r="21">
          <cell r="Q21">
            <v>17353.761228070176</v>
          </cell>
          <cell r="R21">
            <v>17054.165466434897</v>
          </cell>
        </row>
        <row r="22">
          <cell r="Q22">
            <v>95</v>
          </cell>
          <cell r="R22">
            <v>18.109014154457412</v>
          </cell>
        </row>
        <row r="50">
          <cell r="Q50">
            <v>80603.718039309839</v>
          </cell>
          <cell r="R50">
            <v>83578.552437712118</v>
          </cell>
        </row>
        <row r="56">
          <cell r="L56">
            <v>-35881.341987097963</v>
          </cell>
        </row>
        <row r="80">
          <cell r="H80">
            <v>34266.870000000003</v>
          </cell>
          <cell r="I80">
            <v>28324.021000000001</v>
          </cell>
          <cell r="L80">
            <v>5942.8489999999993</v>
          </cell>
        </row>
        <row r="85">
          <cell r="H85">
            <v>10760.140111111112</v>
          </cell>
          <cell r="I85">
            <v>10227.64438</v>
          </cell>
          <cell r="L85">
            <v>532.49573111111147</v>
          </cell>
          <cell r="Q85">
            <v>96385.316000000021</v>
          </cell>
          <cell r="R85">
            <v>93310.47098750103</v>
          </cell>
        </row>
        <row r="86">
          <cell r="H86">
            <v>112788.96949579066</v>
          </cell>
          <cell r="I86">
            <v>79077.275000000038</v>
          </cell>
          <cell r="K86">
            <v>-37147.202596000308</v>
          </cell>
          <cell r="M86">
            <v>32841.505356196256</v>
          </cell>
        </row>
        <row r="89">
          <cell r="Q89">
            <v>69597.591339309845</v>
          </cell>
          <cell r="R89">
            <v>74393.839748365208</v>
          </cell>
        </row>
      </sheetData>
      <sheetData sheetId="13">
        <row r="2">
          <cell r="N2">
            <v>17000</v>
          </cell>
        </row>
        <row r="5">
          <cell r="T5">
            <v>17000</v>
          </cell>
          <cell r="U5">
            <v>20596</v>
          </cell>
        </row>
        <row r="9">
          <cell r="E9">
            <v>239.4</v>
          </cell>
          <cell r="F9">
            <v>254.4408686152652</v>
          </cell>
          <cell r="G9">
            <v>100000</v>
          </cell>
          <cell r="H9">
            <v>100000.84858895882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69.100000000000009</v>
          </cell>
          <cell r="F12">
            <v>72.463107885026162</v>
          </cell>
          <cell r="G12">
            <v>65000</v>
          </cell>
          <cell r="H12">
            <v>65009.875003062974</v>
          </cell>
        </row>
        <row r="13">
          <cell r="E13">
            <v>34.9</v>
          </cell>
          <cell r="F13">
            <v>36.503862400466112</v>
          </cell>
          <cell r="G13">
            <v>33000.000000000007</v>
          </cell>
          <cell r="H13">
            <v>33000.006450895948</v>
          </cell>
        </row>
        <row r="14">
          <cell r="E14">
            <v>0</v>
          </cell>
          <cell r="F14">
            <v>0</v>
          </cell>
        </row>
        <row r="15">
          <cell r="E15">
            <v>343.4</v>
          </cell>
          <cell r="F15">
            <v>363.4078389007575</v>
          </cell>
        </row>
        <row r="16">
          <cell r="E16">
            <v>837.30000000000007</v>
          </cell>
          <cell r="F16">
            <v>844.28651194406655</v>
          </cell>
          <cell r="G16">
            <v>10400</v>
          </cell>
          <cell r="H16">
            <v>11189.06827190295</v>
          </cell>
        </row>
        <row r="17">
          <cell r="E17">
            <v>880.6</v>
          </cell>
          <cell r="F17">
            <v>870.39522237327651</v>
          </cell>
          <cell r="G17">
            <v>17019.616516901082</v>
          </cell>
          <cell r="H17">
            <v>17522.646996149862</v>
          </cell>
        </row>
        <row r="19">
          <cell r="E19">
            <v>3.08</v>
          </cell>
          <cell r="F19">
            <v>3.0371965430180605</v>
          </cell>
        </row>
        <row r="20">
          <cell r="Q20">
            <v>55737.794304783092</v>
          </cell>
          <cell r="R20">
            <v>58671.529034764033</v>
          </cell>
        </row>
        <row r="21">
          <cell r="Q21">
            <v>16492.246558197745</v>
          </cell>
          <cell r="R21">
            <v>16016.312876286658</v>
          </cell>
        </row>
        <row r="22">
          <cell r="Q22">
            <v>70.588235294117652</v>
          </cell>
          <cell r="R22">
            <v>71.476257525733146</v>
          </cell>
        </row>
        <row r="50">
          <cell r="Q50">
            <v>81887.427755546101</v>
          </cell>
          <cell r="R50">
            <v>81948.441590600123</v>
          </cell>
        </row>
        <row r="56">
          <cell r="L56">
            <v>-973.28676677219653</v>
          </cell>
        </row>
        <row r="80">
          <cell r="H80">
            <v>39206.69</v>
          </cell>
          <cell r="I80">
            <v>41654.851999999999</v>
          </cell>
          <cell r="L80">
            <v>-2448.1619999999998</v>
          </cell>
        </row>
        <row r="85">
          <cell r="H85">
            <v>32560.991888888886</v>
          </cell>
          <cell r="I85">
            <v>31282.298179999998</v>
          </cell>
          <cell r="L85">
            <v>1278.6937088888878</v>
          </cell>
          <cell r="Q85">
            <v>101651</v>
          </cell>
          <cell r="R85">
            <v>99143.406486696447</v>
          </cell>
        </row>
        <row r="86">
          <cell r="H86">
            <v>264213.04626682721</v>
          </cell>
          <cell r="I86">
            <v>281493.70100000023</v>
          </cell>
          <cell r="K86">
            <v>-51646.395999999972</v>
          </cell>
          <cell r="M86">
            <v>71069.805791056133</v>
          </cell>
        </row>
        <row r="89">
          <cell r="Q89">
            <v>72300.629098274949</v>
          </cell>
          <cell r="R89">
            <v>74759.318168576428</v>
          </cell>
        </row>
      </sheetData>
      <sheetData sheetId="14">
        <row r="2">
          <cell r="N2">
            <v>16500</v>
          </cell>
        </row>
        <row r="5">
          <cell r="T5">
            <v>16500</v>
          </cell>
          <cell r="U5">
            <v>15957</v>
          </cell>
        </row>
        <row r="9">
          <cell r="E9">
            <v>204</v>
          </cell>
          <cell r="F9">
            <v>257.67798624140096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91.800000000000026</v>
          </cell>
          <cell r="F12">
            <v>86.91984490306433</v>
          </cell>
          <cell r="G12">
            <v>62500</v>
          </cell>
          <cell r="H12">
            <v>62061.93637015015</v>
          </cell>
        </row>
        <row r="13">
          <cell r="E13">
            <v>44.199999999999996</v>
          </cell>
          <cell r="F13">
            <v>40.297452157598443</v>
          </cell>
          <cell r="G13">
            <v>35500.000000000007</v>
          </cell>
          <cell r="H13">
            <v>35372.770336707879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384.89528330206377</v>
          </cell>
        </row>
        <row r="16">
          <cell r="E16">
            <v>771.29726976586358</v>
          </cell>
          <cell r="F16">
            <v>744.48553320825511</v>
          </cell>
          <cell r="G16">
            <v>10466.666666666666</v>
          </cell>
          <cell r="H16">
            <v>10497.060597565025</v>
          </cell>
        </row>
        <row r="17">
          <cell r="E17">
            <v>942.69666304716668</v>
          </cell>
          <cell r="F17">
            <v>917.28026516572868</v>
          </cell>
          <cell r="G17">
            <v>14718.131256952165</v>
          </cell>
          <cell r="H17">
            <v>14705.381820132674</v>
          </cell>
        </row>
        <row r="19">
          <cell r="E19">
            <v>2.72</v>
          </cell>
          <cell r="F19">
            <v>3.422591744840525</v>
          </cell>
        </row>
        <row r="20">
          <cell r="Q20">
            <v>51286.244645768376</v>
          </cell>
          <cell r="R20">
            <v>56839.957223264537</v>
          </cell>
        </row>
        <row r="21">
          <cell r="Q21">
            <v>16751.031174242424</v>
          </cell>
          <cell r="R21">
            <v>19418.015822388992</v>
          </cell>
        </row>
        <row r="22">
          <cell r="Q22">
            <v>321.21212121212125</v>
          </cell>
          <cell r="R22">
            <v>237.70237648530332</v>
          </cell>
        </row>
        <row r="50">
          <cell r="Q50">
            <v>76296.806244253225</v>
          </cell>
          <cell r="R50">
            <v>84883.638961851146</v>
          </cell>
        </row>
        <row r="56">
          <cell r="L56">
            <v>-136878.5206004511</v>
          </cell>
        </row>
        <row r="80">
          <cell r="H80">
            <v>34021.94</v>
          </cell>
          <cell r="I80">
            <v>34921.156000000003</v>
          </cell>
          <cell r="L80">
            <v>-899.21600000000149</v>
          </cell>
        </row>
        <row r="85">
          <cell r="H85">
            <v>14030.872474676307</v>
          </cell>
          <cell r="I85">
            <v>14616.973160000001</v>
          </cell>
          <cell r="L85">
            <v>-586.10068532369428</v>
          </cell>
          <cell r="Q85">
            <v>97760</v>
          </cell>
          <cell r="R85">
            <v>105888.73660462494</v>
          </cell>
        </row>
        <row r="86">
          <cell r="H86">
            <v>306089.88449514529</v>
          </cell>
          <cell r="I86">
            <v>285781.78300000005</v>
          </cell>
          <cell r="K86">
            <v>129710.25000000012</v>
          </cell>
          <cell r="M86">
            <v>-11654.514209370493</v>
          </cell>
        </row>
        <row r="89">
          <cell r="Q89">
            <v>68358.487941222935</v>
          </cell>
          <cell r="R89">
            <v>76495.67542213884</v>
          </cell>
        </row>
      </sheetData>
      <sheetData sheetId="15">
        <row r="2">
          <cell r="N2">
            <v>11000</v>
          </cell>
        </row>
        <row r="5">
          <cell r="T5">
            <v>11000</v>
          </cell>
          <cell r="U5">
            <v>14496</v>
          </cell>
        </row>
        <row r="9">
          <cell r="E9">
            <v>218.3</v>
          </cell>
          <cell r="F9">
            <v>236.58961299668874</v>
          </cell>
          <cell r="G9">
            <v>100000</v>
          </cell>
          <cell r="H9">
            <v>100026.04878734318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98.5</v>
          </cell>
          <cell r="F12">
            <v>98.60499724061809</v>
          </cell>
          <cell r="G12">
            <v>61300.000000000007</v>
          </cell>
          <cell r="H12">
            <v>61298.570810560384</v>
          </cell>
        </row>
        <row r="13">
          <cell r="E13">
            <v>35.200000000000003</v>
          </cell>
          <cell r="F13">
            <v>47.96899420529801</v>
          </cell>
          <cell r="G13">
            <v>37000</v>
          </cell>
          <cell r="H13">
            <v>37000.002904976194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383.16360444260488</v>
          </cell>
        </row>
        <row r="16">
          <cell r="E16">
            <v>724</v>
          </cell>
          <cell r="F16">
            <v>759.41915011037497</v>
          </cell>
          <cell r="G16">
            <v>10546.666666666666</v>
          </cell>
          <cell r="H16">
            <v>11814.41499054371</v>
          </cell>
        </row>
        <row r="17">
          <cell r="E17">
            <v>968</v>
          </cell>
          <cell r="F17">
            <v>850.47944260485644</v>
          </cell>
          <cell r="G17">
            <v>18681.860814127729</v>
          </cell>
          <cell r="H17">
            <v>19734.875634198674</v>
          </cell>
        </row>
        <row r="19">
          <cell r="E19">
            <v>3.2</v>
          </cell>
          <cell r="F19">
            <v>3.2334264624724067</v>
          </cell>
        </row>
        <row r="20">
          <cell r="Q20">
            <v>56810.277934742313</v>
          </cell>
          <cell r="R20">
            <v>59818.675772626935</v>
          </cell>
        </row>
        <row r="21">
          <cell r="Q21">
            <v>20423.330542790543</v>
          </cell>
          <cell r="R21">
            <v>19070.995722958058</v>
          </cell>
        </row>
        <row r="22">
          <cell r="Q22">
            <v>260</v>
          </cell>
          <cell r="R22">
            <v>209.2098509933775</v>
          </cell>
        </row>
        <row r="50">
          <cell r="Q50">
            <v>86716.948370163183</v>
          </cell>
          <cell r="R50">
            <v>85248.841542494483</v>
          </cell>
        </row>
        <row r="56">
          <cell r="L56">
            <v>21281.673503885424</v>
          </cell>
        </row>
        <row r="80">
          <cell r="H80">
            <v>25635.420000000002</v>
          </cell>
          <cell r="I80">
            <v>25574.569000000003</v>
          </cell>
          <cell r="L80">
            <v>60.850999999999658</v>
          </cell>
        </row>
        <row r="85">
          <cell r="H85">
            <v>11880.538333333334</v>
          </cell>
          <cell r="I85">
            <v>12592.594929999999</v>
          </cell>
          <cell r="L85">
            <v>-712.05659666666565</v>
          </cell>
          <cell r="Q85">
            <v>101221.06727272726</v>
          </cell>
          <cell r="R85">
            <v>106746.63010485651</v>
          </cell>
        </row>
        <row r="86">
          <cell r="H86">
            <v>122029.34959487178</v>
          </cell>
          <cell r="I86">
            <v>273464.77599999984</v>
          </cell>
          <cell r="K86">
            <v>80098.558814545555</v>
          </cell>
          <cell r="M86">
            <v>50706.399683364027</v>
          </cell>
        </row>
        <row r="89">
          <cell r="Q89">
            <v>77493.608477532864</v>
          </cell>
          <cell r="R89">
            <v>79098.881346578361</v>
          </cell>
        </row>
      </sheetData>
      <sheetData sheetId="16">
        <row r="2">
          <cell r="N2">
            <v>24000</v>
          </cell>
        </row>
        <row r="5">
          <cell r="T5">
            <v>24000</v>
          </cell>
          <cell r="U5">
            <v>30673</v>
          </cell>
        </row>
        <row r="9">
          <cell r="E9">
            <v>245.70416666666665</v>
          </cell>
          <cell r="F9">
            <v>297.17142447730072</v>
          </cell>
          <cell r="G9">
            <v>100000</v>
          </cell>
          <cell r="H9">
            <v>100401.71723716641</v>
          </cell>
        </row>
        <row r="10">
          <cell r="E10">
            <v>32.523333333333326</v>
          </cell>
          <cell r="F10">
            <v>0</v>
          </cell>
          <cell r="G10">
            <v>87100.000000000015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50.558333333333337</v>
          </cell>
          <cell r="F12">
            <v>47.331282159838487</v>
          </cell>
          <cell r="G12">
            <v>64500</v>
          </cell>
          <cell r="H12">
            <v>64439.050256394781</v>
          </cell>
        </row>
        <row r="13">
          <cell r="E13">
            <v>32.523333333333326</v>
          </cell>
          <cell r="F13">
            <v>38.924149026248941</v>
          </cell>
          <cell r="G13">
            <v>42000</v>
          </cell>
          <cell r="H13">
            <v>43182.74057974929</v>
          </cell>
        </row>
        <row r="14">
          <cell r="E14">
            <v>0</v>
          </cell>
          <cell r="F14">
            <v>0</v>
          </cell>
        </row>
        <row r="15">
          <cell r="E15">
            <v>361.30916666666661</v>
          </cell>
          <cell r="F15">
            <v>383.42685566338815</v>
          </cell>
        </row>
        <row r="16">
          <cell r="E16">
            <v>854.9133333333333</v>
          </cell>
          <cell r="F16">
            <v>897.98062925812621</v>
          </cell>
          <cell r="G16">
            <v>10933.333333333334</v>
          </cell>
          <cell r="H16">
            <v>11443.064830233285</v>
          </cell>
        </row>
        <row r="17">
          <cell r="E17">
            <v>864.74416666666662</v>
          </cell>
          <cell r="F17">
            <v>838.94192766885953</v>
          </cell>
          <cell r="G17">
            <v>13742.253874325719</v>
          </cell>
          <cell r="H17">
            <v>13214.831865720053</v>
          </cell>
        </row>
        <row r="19">
          <cell r="E19">
            <v>3.0019333333333331</v>
          </cell>
          <cell r="F19">
            <v>3.1603656288673219</v>
          </cell>
        </row>
        <row r="20">
          <cell r="Q20">
            <v>55812.421152453346</v>
          </cell>
          <cell r="R20">
            <v>58932.597831042789</v>
          </cell>
        </row>
        <row r="21">
          <cell r="Q21">
            <v>19763.523670212766</v>
          </cell>
          <cell r="R21">
            <v>16713.825766951086</v>
          </cell>
        </row>
        <row r="22">
          <cell r="Q22">
            <v>166.66666666666666</v>
          </cell>
          <cell r="R22">
            <v>179.94437569204715</v>
          </cell>
        </row>
        <row r="50">
          <cell r="Q50">
            <v>82228.181254200783</v>
          </cell>
          <cell r="R50">
            <v>81902.217384224583</v>
          </cell>
        </row>
        <row r="56">
          <cell r="L56">
            <v>10039.708440099992</v>
          </cell>
        </row>
        <row r="80">
          <cell r="H80">
            <v>39911.259999999995</v>
          </cell>
          <cell r="I80">
            <v>41214.762000000002</v>
          </cell>
          <cell r="L80">
            <v>-1303.5020000000047</v>
          </cell>
        </row>
        <row r="85">
          <cell r="H85">
            <v>22868.705999999998</v>
          </cell>
          <cell r="I85">
            <v>24418.521829999998</v>
          </cell>
          <cell r="L85">
            <v>-1549.8158300000002</v>
          </cell>
          <cell r="Q85">
            <v>101000.15</v>
          </cell>
          <cell r="R85">
            <v>100900.77462263228</v>
          </cell>
        </row>
        <row r="86">
          <cell r="H86">
            <v>387747.28389918106</v>
          </cell>
          <cell r="I86">
            <v>517150.8809999997</v>
          </cell>
          <cell r="K86">
            <v>-3048.1409499999613</v>
          </cell>
          <cell r="M86">
            <v>125265.34744071797</v>
          </cell>
        </row>
        <row r="89">
          <cell r="Q89">
            <v>75742.61148933279</v>
          </cell>
          <cell r="R89">
            <v>75826.367973685934</v>
          </cell>
        </row>
      </sheetData>
      <sheetData sheetId="17">
        <row r="2">
          <cell r="N2">
            <v>5000</v>
          </cell>
        </row>
        <row r="5">
          <cell r="T5">
            <v>5000</v>
          </cell>
          <cell r="U5">
            <v>6349</v>
          </cell>
        </row>
        <row r="9">
          <cell r="E9">
            <v>259.90000000000003</v>
          </cell>
          <cell r="F9">
            <v>296.46857930382731</v>
          </cell>
          <cell r="G9">
            <v>100000</v>
          </cell>
          <cell r="H9">
            <v>100000.2544787449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44.4</v>
          </cell>
          <cell r="F12">
            <v>46.913534414868458</v>
          </cell>
          <cell r="G12">
            <v>64000</v>
          </cell>
          <cell r="H12">
            <v>63973.527569863705</v>
          </cell>
        </row>
        <row r="13">
          <cell r="E13">
            <v>39.199999999999996</v>
          </cell>
          <cell r="F13">
            <v>40.203817924082522</v>
          </cell>
          <cell r="G13">
            <v>49000</v>
          </cell>
          <cell r="H13">
            <v>49000.000156706643</v>
          </cell>
        </row>
        <row r="14">
          <cell r="E14">
            <v>0</v>
          </cell>
          <cell r="F14">
            <v>0</v>
          </cell>
        </row>
        <row r="15">
          <cell r="E15">
            <v>343.5</v>
          </cell>
          <cell r="F15">
            <v>383.58593164277829</v>
          </cell>
        </row>
        <row r="16">
          <cell r="E16">
            <v>815.9</v>
          </cell>
          <cell r="F16">
            <v>835.02913844699958</v>
          </cell>
          <cell r="G16">
            <v>13666.666666666666</v>
          </cell>
          <cell r="H16">
            <v>14159.056511241888</v>
          </cell>
        </row>
        <row r="17">
          <cell r="E17">
            <v>953.30000000000007</v>
          </cell>
          <cell r="F17">
            <v>934.38825011812878</v>
          </cell>
          <cell r="G17">
            <v>13419.354838709678</v>
          </cell>
          <cell r="H17">
            <v>13999.91184052541</v>
          </cell>
        </row>
        <row r="19">
          <cell r="E19">
            <v>2.871</v>
          </cell>
          <cell r="F19">
            <v>3.014844857457867</v>
          </cell>
        </row>
        <row r="20">
          <cell r="Q20">
            <v>56418.304301075266</v>
          </cell>
          <cell r="R20">
            <v>61624.110096078119</v>
          </cell>
        </row>
        <row r="21">
          <cell r="Q21">
            <v>15776.613212446833</v>
          </cell>
          <cell r="R21">
            <v>13685.398645455978</v>
          </cell>
        </row>
        <row r="22">
          <cell r="Q22">
            <v>300</v>
          </cell>
          <cell r="R22">
            <v>300.19089620412666</v>
          </cell>
        </row>
        <row r="50">
          <cell r="Q50">
            <v>87153.925042492658</v>
          </cell>
          <cell r="R50">
            <v>87330.517719325886</v>
          </cell>
        </row>
        <row r="56">
          <cell r="L56">
            <v>-1121.1896552141918</v>
          </cell>
        </row>
        <row r="80">
          <cell r="H80">
            <v>9776.630000000001</v>
          </cell>
          <cell r="I80">
            <v>12712.237999999999</v>
          </cell>
          <cell r="L80">
            <v>-2935.6079999999993</v>
          </cell>
        </row>
        <row r="85">
          <cell r="H85">
            <v>5428.9927777777775</v>
          </cell>
          <cell r="I85">
            <v>5813.6002500000004</v>
          </cell>
          <cell r="L85">
            <v>-384.60747222222221</v>
          </cell>
          <cell r="Q85">
            <v>107900</v>
          </cell>
          <cell r="R85">
            <v>115059.83619467633</v>
          </cell>
        </row>
        <row r="86">
          <cell r="H86">
            <v>88524.7520097589</v>
          </cell>
          <cell r="I86">
            <v>157527.60199999998</v>
          </cell>
          <cell r="K86">
            <v>45457.800000000039</v>
          </cell>
          <cell r="M86">
            <v>27986.455117677411</v>
          </cell>
        </row>
        <row r="89">
          <cell r="Q89">
            <v>72494.917513522101</v>
          </cell>
          <cell r="R89">
            <v>75609.699637738217</v>
          </cell>
        </row>
      </sheetData>
      <sheetData sheetId="18">
        <row r="2">
          <cell r="N2">
            <v>7500</v>
          </cell>
        </row>
        <row r="5">
          <cell r="T5">
            <v>7500</v>
          </cell>
          <cell r="U5">
            <v>10450</v>
          </cell>
        </row>
        <row r="9">
          <cell r="E9">
            <v>218.5</v>
          </cell>
          <cell r="F9">
            <v>281.11398086124393</v>
          </cell>
          <cell r="G9">
            <v>100000</v>
          </cell>
          <cell r="H9">
            <v>100000.00000000001</v>
          </cell>
        </row>
        <row r="10">
          <cell r="E10">
            <v>13</v>
          </cell>
          <cell r="F10">
            <v>22.521534928229659</v>
          </cell>
          <cell r="G10">
            <v>95000</v>
          </cell>
          <cell r="H10">
            <v>95059.134045611383</v>
          </cell>
        </row>
        <row r="11">
          <cell r="E11">
            <v>0</v>
          </cell>
          <cell r="F11">
            <v>0</v>
          </cell>
        </row>
        <row r="12">
          <cell r="E12">
            <v>85</v>
          </cell>
          <cell r="F12">
            <v>66.080385645933035</v>
          </cell>
          <cell r="G12">
            <v>64900.000000000007</v>
          </cell>
          <cell r="H12">
            <v>64885.682297085637</v>
          </cell>
        </row>
        <row r="13">
          <cell r="E13">
            <v>22.3</v>
          </cell>
          <cell r="F13">
            <v>17.818131100478467</v>
          </cell>
          <cell r="G13">
            <v>37500</v>
          </cell>
          <cell r="H13">
            <v>39535.757002960323</v>
          </cell>
        </row>
        <row r="14">
          <cell r="E14">
            <v>0</v>
          </cell>
          <cell r="F14">
            <v>0</v>
          </cell>
        </row>
        <row r="15">
          <cell r="E15">
            <v>338.8</v>
          </cell>
          <cell r="F15">
            <v>387.5340325358851</v>
          </cell>
        </row>
        <row r="16">
          <cell r="E16">
            <v>785</v>
          </cell>
          <cell r="F16">
            <v>823.57320574162668</v>
          </cell>
          <cell r="G16">
            <v>13666.666666666666</v>
          </cell>
          <cell r="H16">
            <v>14143.221160214449</v>
          </cell>
        </row>
        <row r="17">
          <cell r="E17">
            <v>935</v>
          </cell>
          <cell r="F17">
            <v>883.83779904306243</v>
          </cell>
          <cell r="G17">
            <v>14837.329653268933</v>
          </cell>
          <cell r="H17">
            <v>15363.438700621091</v>
          </cell>
        </row>
        <row r="19">
          <cell r="E19">
            <v>2.84</v>
          </cell>
          <cell r="F19">
            <v>2.9516985645933023</v>
          </cell>
        </row>
        <row r="20">
          <cell r="Q20">
            <v>56594.986559139783</v>
          </cell>
          <cell r="R20">
            <v>62479.875502392351</v>
          </cell>
        </row>
        <row r="21">
          <cell r="Q21">
            <v>12670.57211340206</v>
          </cell>
          <cell r="R21">
            <v>13213.551004784689</v>
          </cell>
        </row>
        <row r="22">
          <cell r="Q22">
            <v>60</v>
          </cell>
          <cell r="R22">
            <v>43.295789473684209</v>
          </cell>
        </row>
        <row r="50">
          <cell r="Q50">
            <v>77328.23345975102</v>
          </cell>
          <cell r="R50">
            <v>81165.226889952159</v>
          </cell>
        </row>
        <row r="56">
          <cell r="L56">
            <v>-40096.609985601681</v>
          </cell>
        </row>
        <row r="80">
          <cell r="H80">
            <v>9853.1500000000015</v>
          </cell>
          <cell r="I80">
            <v>13214.586000000001</v>
          </cell>
          <cell r="L80">
            <v>-3361.4360000000001</v>
          </cell>
        </row>
        <row r="85">
          <cell r="H85">
            <v>10246.369555555555</v>
          </cell>
          <cell r="I85">
            <v>10387.602360000001</v>
          </cell>
          <cell r="L85">
            <v>-141.23280444444572</v>
          </cell>
          <cell r="Q85">
            <v>108957.96426666666</v>
          </cell>
          <cell r="R85">
            <v>117840.63157894737</v>
          </cell>
        </row>
        <row r="86">
          <cell r="H86">
            <v>217123.46149631171</v>
          </cell>
          <cell r="I86">
            <v>359655.7620000001</v>
          </cell>
          <cell r="K86">
            <v>92823.873413333436</v>
          </cell>
          <cell r="M86">
            <v>93307.705880401103</v>
          </cell>
        </row>
        <row r="89">
          <cell r="Q89">
            <v>69325.55867254184</v>
          </cell>
          <cell r="R89">
            <v>75736.722296650725</v>
          </cell>
        </row>
      </sheetData>
      <sheetData sheetId="19">
        <row r="2">
          <cell r="N2">
            <v>13000</v>
          </cell>
        </row>
        <row r="5">
          <cell r="T5">
            <v>13000</v>
          </cell>
          <cell r="U5">
            <v>7993.5</v>
          </cell>
        </row>
        <row r="9">
          <cell r="E9">
            <v>235.96</v>
          </cell>
          <cell r="F9">
            <v>212.64479529970617</v>
          </cell>
          <cell r="G9">
            <v>100000</v>
          </cell>
          <cell r="H9">
            <v>99912.681683742048</v>
          </cell>
        </row>
        <row r="10">
          <cell r="E10">
            <v>12.339999999999998</v>
          </cell>
          <cell r="F10">
            <v>5.5629726857929725E-2</v>
          </cell>
          <cell r="G10">
            <v>93100</v>
          </cell>
          <cell r="H10">
            <v>94440.574369113427</v>
          </cell>
        </row>
        <row r="11">
          <cell r="E11">
            <v>0</v>
          </cell>
          <cell r="F11">
            <v>0</v>
          </cell>
        </row>
        <row r="12">
          <cell r="E12">
            <v>62.339999999999996</v>
          </cell>
          <cell r="F12">
            <v>72.673044565285309</v>
          </cell>
          <cell r="G12">
            <v>65000</v>
          </cell>
          <cell r="H12">
            <v>64999.320028646551</v>
          </cell>
        </row>
        <row r="13">
          <cell r="E13">
            <v>30.74</v>
          </cell>
          <cell r="F13">
            <v>31.278961185074074</v>
          </cell>
          <cell r="G13">
            <v>36000</v>
          </cell>
          <cell r="H13">
            <v>36000.032771678714</v>
          </cell>
        </row>
        <row r="14">
          <cell r="E14">
            <v>0</v>
          </cell>
          <cell r="F14">
            <v>0</v>
          </cell>
        </row>
        <row r="15">
          <cell r="E15">
            <v>341.38</v>
          </cell>
          <cell r="F15">
            <v>316.6524307769235</v>
          </cell>
        </row>
        <row r="16">
          <cell r="E16">
            <v>765.84999999999991</v>
          </cell>
          <cell r="F16">
            <v>652.01887617976081</v>
          </cell>
          <cell r="G16">
            <v>12533.333333333336</v>
          </cell>
          <cell r="H16">
            <v>12939.826010266839</v>
          </cell>
        </row>
        <row r="17">
          <cell r="E17">
            <v>978.98</v>
          </cell>
          <cell r="F17">
            <v>1087.6986061628847</v>
          </cell>
          <cell r="G17">
            <v>14400.148632599852</v>
          </cell>
          <cell r="H17">
            <v>14908.290440975774</v>
          </cell>
        </row>
        <row r="19">
          <cell r="E19">
            <v>2.92</v>
          </cell>
          <cell r="F19">
            <v>1.9535220951309462</v>
          </cell>
        </row>
        <row r="20">
          <cell r="Q20">
            <v>55672.904841675932</v>
          </cell>
          <cell r="R20">
            <v>53499.444340271257</v>
          </cell>
        </row>
        <row r="21">
          <cell r="Q21">
            <v>17127.598606286188</v>
          </cell>
          <cell r="R21">
            <v>15715.04831551972</v>
          </cell>
        </row>
        <row r="22">
          <cell r="Q22">
            <v>230.76923076923077</v>
          </cell>
          <cell r="R22">
            <v>185.25945371585723</v>
          </cell>
        </row>
        <row r="50">
          <cell r="Q50">
            <v>80541.459203156031</v>
          </cell>
          <cell r="R50">
            <v>83520.222888930555</v>
          </cell>
        </row>
        <row r="56">
          <cell r="L56">
            <v>-23806.667529572303</v>
          </cell>
        </row>
        <row r="80">
          <cell r="H80">
            <v>27865.47</v>
          </cell>
          <cell r="I80">
            <v>30934.908000000003</v>
          </cell>
          <cell r="L80">
            <v>-3069.438000000001</v>
          </cell>
        </row>
        <row r="85">
          <cell r="H85">
            <v>23608.662666666667</v>
          </cell>
          <cell r="I85">
            <v>20866.223330000001</v>
          </cell>
          <cell r="L85">
            <v>2742.4393366666682</v>
          </cell>
          <cell r="Q85">
            <v>103684.06846153847</v>
          </cell>
          <cell r="R85">
            <v>93306.136235691491</v>
          </cell>
        </row>
        <row r="86">
          <cell r="H86">
            <v>249379.78769230505</v>
          </cell>
          <cell r="I86">
            <v>26426.646999999997</v>
          </cell>
          <cell r="K86">
            <v>-82956.00124730781</v>
          </cell>
          <cell r="M86">
            <v>-115863.47325209167</v>
          </cell>
        </row>
        <row r="89">
          <cell r="Q89">
            <v>73031.272678731359</v>
          </cell>
          <cell r="R89">
            <v>69399.752109506837</v>
          </cell>
        </row>
      </sheetData>
      <sheetData sheetId="20">
        <row r="2">
          <cell r="N2">
            <v>6000</v>
          </cell>
        </row>
        <row r="5">
          <cell r="T5">
            <v>6000</v>
          </cell>
          <cell r="U5">
            <v>4611</v>
          </cell>
        </row>
        <row r="9">
          <cell r="E9">
            <v>342.69999999999993</v>
          </cell>
          <cell r="F9">
            <v>328.46741676480053</v>
          </cell>
          <cell r="G9">
            <v>117000</v>
          </cell>
          <cell r="H9">
            <v>116999.96532836519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342.69999999999993</v>
          </cell>
          <cell r="F15">
            <v>328.46741676480053</v>
          </cell>
        </row>
        <row r="16">
          <cell r="E16">
            <v>709.7</v>
          </cell>
          <cell r="F16">
            <v>704.33465367733686</v>
          </cell>
          <cell r="G16">
            <v>18143.333333333336</v>
          </cell>
          <cell r="H16">
            <v>17942.304447811955</v>
          </cell>
        </row>
        <row r="17">
          <cell r="E17">
            <v>1038.3</v>
          </cell>
          <cell r="F17">
            <v>1042.2203190236587</v>
          </cell>
          <cell r="G17">
            <v>18433.378210746429</v>
          </cell>
          <cell r="H17">
            <v>20315.447368258872</v>
          </cell>
        </row>
        <row r="19">
          <cell r="E19">
            <v>3.04</v>
          </cell>
          <cell r="F19">
            <v>3.1850465688898404</v>
          </cell>
        </row>
        <row r="20">
          <cell r="Q20">
            <v>74451.600262884676</v>
          </cell>
          <cell r="R20">
            <v>74744.265710309381</v>
          </cell>
        </row>
        <row r="21">
          <cell r="Q21">
            <v>16626.410256410258</v>
          </cell>
          <cell r="R21">
            <v>15108.673375441602</v>
          </cell>
        </row>
        <row r="22">
          <cell r="Q22">
            <v>0</v>
          </cell>
          <cell r="R22">
            <v>291.02365913713743</v>
          </cell>
        </row>
        <row r="50">
          <cell r="Q50">
            <v>102334.25301929493</v>
          </cell>
          <cell r="R50">
            <v>103778.01969810513</v>
          </cell>
        </row>
        <row r="56">
          <cell r="L56">
            <v>-6486.9105480310791</v>
          </cell>
        </row>
        <row r="80">
          <cell r="H80">
            <v>14381.390000000001</v>
          </cell>
          <cell r="I80">
            <v>13569.567999999999</v>
          </cell>
          <cell r="L80">
            <v>811.82200000000057</v>
          </cell>
        </row>
        <row r="85">
          <cell r="H85">
            <v>10105.497842236317</v>
          </cell>
          <cell r="I85">
            <v>11333.05378</v>
          </cell>
          <cell r="L85">
            <v>-1227.5559377636839</v>
          </cell>
          <cell r="Q85">
            <v>126800</v>
          </cell>
          <cell r="R85">
            <v>123280.60008674907</v>
          </cell>
        </row>
        <row r="86">
          <cell r="H86">
            <v>122307.59404199406</v>
          </cell>
          <cell r="I86">
            <v>65194.07399999995</v>
          </cell>
          <cell r="K86">
            <v>-16227.953000000058</v>
          </cell>
          <cell r="M86">
            <v>-33982.922556199366</v>
          </cell>
        </row>
        <row r="89">
          <cell r="Q89">
            <v>91078.010519294941</v>
          </cell>
          <cell r="R89">
            <v>90143.962744888122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98290.63873133529</v>
          </cell>
        </row>
        <row r="89">
          <cell r="Q89">
            <v>71567.894481482988</v>
          </cell>
        </row>
        <row r="90">
          <cell r="Q90">
            <v>26722.744249852301</v>
          </cell>
        </row>
      </sheetData>
      <sheetData sheetId="1">
        <row r="5">
          <cell r="T5">
            <v>144232</v>
          </cell>
        </row>
        <row r="85">
          <cell r="Q85">
            <v>95370.958923016558</v>
          </cell>
        </row>
        <row r="89">
          <cell r="Q89">
            <v>72212.802337715097</v>
          </cell>
        </row>
        <row r="90">
          <cell r="Q90">
            <v>23158.156585301462</v>
          </cell>
        </row>
      </sheetData>
      <sheetData sheetId="2">
        <row r="5">
          <cell r="T5">
            <v>146565</v>
          </cell>
        </row>
        <row r="85">
          <cell r="Q85">
            <v>99670.720502240685</v>
          </cell>
        </row>
        <row r="89">
          <cell r="Q89">
            <v>71056.777361905974</v>
          </cell>
        </row>
        <row r="90">
          <cell r="Q90">
            <v>28613.943140334712</v>
          </cell>
        </row>
      </sheetData>
      <sheetData sheetId="3">
        <row r="5">
          <cell r="T5">
            <v>59285</v>
          </cell>
        </row>
        <row r="85">
          <cell r="Q85">
            <v>102035.99167931342</v>
          </cell>
        </row>
        <row r="89">
          <cell r="Q89">
            <v>71271.841813426334</v>
          </cell>
        </row>
        <row r="90">
          <cell r="Q90">
            <v>30764.149865887084</v>
          </cell>
        </row>
      </sheetData>
      <sheetData sheetId="4">
        <row r="85">
          <cell r="Q85">
            <v>95391.443232867765</v>
          </cell>
        </row>
        <row r="89">
          <cell r="Q89">
            <v>71409.999755157012</v>
          </cell>
        </row>
      </sheetData>
      <sheetData sheetId="5">
        <row r="85">
          <cell r="Q85">
            <v>98809.252985686937</v>
          </cell>
        </row>
        <row r="89">
          <cell r="Q89">
            <v>76007.006106452784</v>
          </cell>
        </row>
      </sheetData>
      <sheetData sheetId="6">
        <row r="85">
          <cell r="Q85">
            <v>92792.513334448711</v>
          </cell>
        </row>
        <row r="89">
          <cell r="Q89">
            <v>70955.269733980254</v>
          </cell>
        </row>
      </sheetData>
      <sheetData sheetId="7">
        <row r="85">
          <cell r="Q85">
            <v>91630.526826341316</v>
          </cell>
        </row>
        <row r="89">
          <cell r="Q89">
            <v>67734.297175706073</v>
          </cell>
        </row>
      </sheetData>
      <sheetData sheetId="8">
        <row r="85">
          <cell r="Q85">
            <v>103289.69416045745</v>
          </cell>
        </row>
        <row r="89">
          <cell r="Q89">
            <v>71742.55913113436</v>
          </cell>
        </row>
      </sheetData>
      <sheetData sheetId="9">
        <row r="85">
          <cell r="Q85">
            <v>103756.29837543592</v>
          </cell>
        </row>
        <row r="89">
          <cell r="Q89">
            <v>75475.255144557814</v>
          </cell>
        </row>
      </sheetData>
      <sheetData sheetId="10">
        <row r="85">
          <cell r="Q85">
            <v>100201.86519426301</v>
          </cell>
        </row>
        <row r="89">
          <cell r="Q89">
            <v>71900.183489327319</v>
          </cell>
        </row>
      </sheetData>
      <sheetData sheetId="11">
        <row r="85">
          <cell r="Q85">
            <v>103010.60279601143</v>
          </cell>
        </row>
        <row r="89">
          <cell r="Q89">
            <v>75355.060612132453</v>
          </cell>
        </row>
      </sheetData>
      <sheetData sheetId="12">
        <row r="85">
          <cell r="Q85">
            <v>93528.960565306596</v>
          </cell>
        </row>
        <row r="89">
          <cell r="Q89">
            <v>68124.295659109048</v>
          </cell>
        </row>
      </sheetData>
      <sheetData sheetId="13">
        <row r="85">
          <cell r="Q85">
            <v>97356.07335700735</v>
          </cell>
        </row>
        <row r="89">
          <cell r="Q89">
            <v>66837.889850702733</v>
          </cell>
        </row>
      </sheetData>
      <sheetData sheetId="14">
        <row r="85">
          <cell r="Q85">
            <v>95666.260028574572</v>
          </cell>
        </row>
        <row r="89">
          <cell r="Q89">
            <v>66158.54174906612</v>
          </cell>
        </row>
      </sheetData>
      <sheetData sheetId="15">
        <row r="85">
          <cell r="Q85">
            <v>96682.853025936594</v>
          </cell>
        </row>
        <row r="89">
          <cell r="Q89">
            <v>72088.073083573487</v>
          </cell>
        </row>
      </sheetData>
      <sheetData sheetId="16">
        <row r="85">
          <cell r="Q85">
            <v>98555.126951048369</v>
          </cell>
        </row>
        <row r="89">
          <cell r="Q89">
            <v>71190.348363790908</v>
          </cell>
        </row>
      </sheetData>
      <sheetData sheetId="17">
        <row r="85">
          <cell r="Q85">
            <v>101117.99217731421</v>
          </cell>
        </row>
        <row r="89">
          <cell r="Q89">
            <v>68277.321599304662</v>
          </cell>
        </row>
      </sheetData>
      <sheetData sheetId="18">
        <row r="85">
          <cell r="Q85">
            <v>98570.921049493132</v>
          </cell>
        </row>
        <row r="89">
          <cell r="Q89">
            <v>64797.831724466683</v>
          </cell>
        </row>
      </sheetData>
      <sheetData sheetId="19">
        <row r="85">
          <cell r="Q85">
            <v>99035.303162704935</v>
          </cell>
        </row>
        <row r="89">
          <cell r="Q89">
            <v>66752.806990820536</v>
          </cell>
        </row>
      </sheetData>
      <sheetData sheetId="20">
        <row r="85">
          <cell r="Q85">
            <v>120298.26635541988</v>
          </cell>
        </row>
        <row r="89">
          <cell r="Q89">
            <v>86402.017477703965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/>
          <cell r="L3"/>
          <cell r="M3"/>
          <cell r="N3"/>
          <cell r="O3"/>
          <cell r="P3"/>
          <cell r="Q3">
            <v>48080.048000000003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/>
          <cell r="L4"/>
          <cell r="M4"/>
          <cell r="N4"/>
          <cell r="O4"/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/>
          <cell r="L5"/>
          <cell r="M5"/>
          <cell r="N5"/>
          <cell r="O5"/>
          <cell r="P5"/>
          <cell r="Q5">
            <v>48080.048000000003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/>
          <cell r="L6"/>
          <cell r="M6"/>
          <cell r="N6"/>
          <cell r="O6"/>
          <cell r="P6"/>
          <cell r="Q6">
            <v>40896430.122000009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/>
          <cell r="L7"/>
          <cell r="M7"/>
          <cell r="N7"/>
          <cell r="O7"/>
          <cell r="P7"/>
          <cell r="Q7">
            <v>8507307.9609999992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/>
          <cell r="L8"/>
          <cell r="M8"/>
          <cell r="N8"/>
          <cell r="O8"/>
          <cell r="P8"/>
          <cell r="Q8">
            <v>49403738.083000004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/>
          <cell r="L9"/>
          <cell r="M9"/>
          <cell r="N9"/>
          <cell r="O9"/>
          <cell r="P9"/>
          <cell r="Q9">
            <v>39860886.372000001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/>
          <cell r="L10"/>
          <cell r="M10"/>
          <cell r="N10"/>
          <cell r="O10"/>
          <cell r="P10"/>
          <cell r="Q10">
            <v>8310169.8109999998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/>
          <cell r="L11"/>
          <cell r="M11"/>
          <cell r="N11"/>
          <cell r="O11"/>
          <cell r="P11"/>
          <cell r="Q11">
            <v>48171056.182999998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/>
          <cell r="L12"/>
          <cell r="M12"/>
          <cell r="N12"/>
          <cell r="O12"/>
          <cell r="P12"/>
          <cell r="Q12">
            <v>1035543.7500000075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/>
          <cell r="L13"/>
          <cell r="M13"/>
          <cell r="N13"/>
          <cell r="O13"/>
          <cell r="P13"/>
          <cell r="Q13">
            <v>197138.14999999944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/>
          <cell r="L14"/>
          <cell r="M14"/>
          <cell r="N14"/>
          <cell r="O14"/>
          <cell r="P14"/>
          <cell r="Q14">
            <v>1232681.900000006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/>
          <cell r="L15"/>
          <cell r="M15"/>
          <cell r="N15"/>
          <cell r="O15"/>
          <cell r="P15"/>
          <cell r="Q15">
            <v>401717.42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/>
          <cell r="L16"/>
          <cell r="M16"/>
          <cell r="N16"/>
          <cell r="O16"/>
          <cell r="P16"/>
          <cell r="Q16">
            <v>90815.006000000008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/>
          <cell r="L17"/>
          <cell r="M17"/>
          <cell r="N17"/>
          <cell r="O17"/>
          <cell r="P17"/>
          <cell r="Q17">
            <v>43865.97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/>
          <cell r="L18"/>
          <cell r="M18"/>
          <cell r="N18"/>
          <cell r="O18"/>
          <cell r="P18"/>
          <cell r="Q18">
            <v>536398.39599999995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/>
          <cell r="L19"/>
          <cell r="M19"/>
          <cell r="N19"/>
          <cell r="O19"/>
          <cell r="P19"/>
          <cell r="Q19">
            <v>73109.819999999992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/>
          <cell r="L20"/>
          <cell r="M20"/>
          <cell r="N20"/>
          <cell r="O20"/>
          <cell r="P20"/>
          <cell r="Q20">
            <v>10803.117999999999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/>
          <cell r="L21"/>
          <cell r="M21"/>
          <cell r="N21"/>
          <cell r="O21"/>
          <cell r="P21"/>
          <cell r="Q21">
            <v>22341.381999999998</v>
          </cell>
          <cell r="S21">
            <v>0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/>
          <cell r="L22"/>
          <cell r="M22"/>
          <cell r="N22"/>
          <cell r="O22"/>
          <cell r="P22"/>
          <cell r="Q22">
            <v>1250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/>
          <cell r="L23"/>
          <cell r="M23"/>
          <cell r="N23"/>
          <cell r="O23"/>
          <cell r="P23"/>
          <cell r="Q23">
            <v>9813.5529999999999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/>
          <cell r="L24"/>
          <cell r="M24"/>
          <cell r="N24"/>
          <cell r="O24"/>
          <cell r="P24"/>
          <cell r="Q24">
            <v>2042.9049999999997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/>
          <cell r="L25"/>
          <cell r="M25"/>
          <cell r="N25"/>
          <cell r="O25"/>
          <cell r="P25"/>
          <cell r="Q25">
            <v>1568.7350000000001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/>
          <cell r="L26"/>
          <cell r="M26"/>
          <cell r="N26"/>
          <cell r="O26"/>
          <cell r="P26"/>
          <cell r="Q26">
            <v>19330.920000000002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/>
          <cell r="L27"/>
          <cell r="M27"/>
          <cell r="N27"/>
          <cell r="O27"/>
          <cell r="P27"/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/>
          <cell r="L28"/>
          <cell r="M28"/>
          <cell r="N28"/>
          <cell r="O28"/>
          <cell r="P28"/>
          <cell r="Q28">
            <v>33875.829999999994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/>
          <cell r="L29"/>
          <cell r="M29"/>
          <cell r="N29"/>
          <cell r="O29"/>
          <cell r="P29"/>
          <cell r="Q29">
            <v>757.06900000000007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/>
          <cell r="L30"/>
          <cell r="M30"/>
          <cell r="N30"/>
          <cell r="O30"/>
          <cell r="P30"/>
          <cell r="Q30">
            <v>35818.099000000002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/>
          <cell r="L31"/>
          <cell r="M31"/>
          <cell r="N31"/>
          <cell r="O31"/>
          <cell r="P31"/>
          <cell r="Q31">
            <v>43999.53</v>
          </cell>
          <cell r="S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/>
          <cell r="L32"/>
          <cell r="M32"/>
          <cell r="N32"/>
          <cell r="O32"/>
          <cell r="P32"/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/>
          <cell r="L33"/>
          <cell r="M33"/>
          <cell r="N33"/>
          <cell r="O33"/>
          <cell r="P33"/>
          <cell r="Q33">
            <v>-5991.6030000000001</v>
          </cell>
          <cell r="S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/>
          <cell r="L34"/>
          <cell r="M34"/>
          <cell r="N34"/>
          <cell r="O34"/>
          <cell r="P34"/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/>
          <cell r="L35"/>
          <cell r="M35"/>
          <cell r="N35"/>
          <cell r="O35"/>
          <cell r="P35"/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/>
          <cell r="L36"/>
          <cell r="M36"/>
          <cell r="N36"/>
          <cell r="O36"/>
          <cell r="P36"/>
          <cell r="Q36">
            <v>248719.35799999998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/>
          <cell r="L37"/>
          <cell r="M37"/>
          <cell r="N37"/>
          <cell r="O37"/>
          <cell r="P37"/>
          <cell r="Q37">
            <v>785117.75399999996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/>
          <cell r="L38"/>
          <cell r="M38"/>
          <cell r="N38"/>
          <cell r="O38"/>
          <cell r="P38"/>
          <cell r="Q38">
            <v>447564.146000006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/>
          <cell r="L39"/>
          <cell r="M39"/>
          <cell r="N39"/>
          <cell r="O39"/>
          <cell r="P39"/>
          <cell r="Q39">
            <v>32441.711000000003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/>
          <cell r="L40"/>
          <cell r="M40"/>
          <cell r="N40"/>
          <cell r="O40"/>
          <cell r="P40"/>
          <cell r="Q40">
            <v>415122.43500000599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/>
          <cell r="L41"/>
          <cell r="M41"/>
          <cell r="N41"/>
          <cell r="O41"/>
          <cell r="P41"/>
          <cell r="Q41">
            <v>8.4026523317443265E-3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/>
          <cell r="L43"/>
          <cell r="M43"/>
          <cell r="N43"/>
          <cell r="O43"/>
          <cell r="P43"/>
          <cell r="Q43">
            <v>850590.45951867616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I44">
            <v>2.607951153265552E-2</v>
          </cell>
          <cell r="J44">
            <v>3.568968550509475E-2</v>
          </cell>
          <cell r="K44"/>
          <cell r="L44"/>
          <cell r="M44"/>
          <cell r="N44"/>
          <cell r="O44"/>
          <cell r="P44"/>
          <cell r="Q44">
            <v>2.4951186850052872E-2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  <cell r="I49">
            <v>132554.527</v>
          </cell>
          <cell r="J49">
            <v>130827.359</v>
          </cell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  <cell r="I50">
            <v>162554.527</v>
          </cell>
          <cell r="J50">
            <v>160827.359</v>
          </cell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  <cell r="I52">
            <v>0.81243687934850584</v>
          </cell>
          <cell r="J52">
            <v>0.79591306854871746</v>
          </cell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  <cell r="I53">
            <v>0.18756312065149416</v>
          </cell>
          <cell r="J53">
            <v>0.20408693145128257</v>
          </cell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  <cell r="I55">
            <v>2.7812889049050216E-2</v>
          </cell>
          <cell r="J55">
            <v>3.0345726629506187E-2</v>
          </cell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2.2005694548837322E-2</v>
          </cell>
          <cell r="F57">
            <v>1.5188168703492945E-2</v>
          </cell>
          <cell r="G57">
            <v>1.7650951996336726E-2</v>
          </cell>
          <cell r="H57">
            <v>2.0045029420160815E-2</v>
          </cell>
          <cell r="I57">
            <v>2.7812889049050205E-2</v>
          </cell>
          <cell r="J57">
            <v>3.0345726629506131E-2</v>
          </cell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E58">
            <v>2.6651369945751794E-2</v>
          </cell>
          <cell r="F58">
            <v>2.5582238806566245E-2</v>
          </cell>
          <cell r="G58">
            <v>1.8641220384622476E-2</v>
          </cell>
          <cell r="H58">
            <v>1.847120545626342E-2</v>
          </cell>
          <cell r="I58">
            <v>2.607951153265552E-2</v>
          </cell>
          <cell r="J58">
            <v>3.568968550509475E-2</v>
          </cell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E59">
            <v>2.7823178707229314E-2</v>
          </cell>
          <cell r="F59">
            <v>2.7130154457106714E-2</v>
          </cell>
          <cell r="G59">
            <v>1.8797000201944851E-2</v>
          </cell>
          <cell r="H59">
            <v>1.8146921038230335E-2</v>
          </cell>
          <cell r="I59">
            <v>2.5679335587291203E-2</v>
          </cell>
          <cell r="J59">
            <v>3.7059976070507129E-2</v>
          </cell>
          <cell r="K59"/>
          <cell r="L59"/>
          <cell r="M59"/>
          <cell r="N59"/>
          <cell r="O59"/>
          <cell r="P59"/>
        </row>
      </sheetData>
      <sheetData sheetId="1">
        <row r="8">
          <cell r="G8">
            <v>6425.0929999999998</v>
          </cell>
        </row>
      </sheetData>
      <sheetData sheetId="2">
        <row r="8">
          <cell r="G8">
            <v>6645.402</v>
          </cell>
        </row>
      </sheetData>
      <sheetData sheetId="3">
        <row r="8">
          <cell r="G8">
            <v>8665.0679999999993</v>
          </cell>
        </row>
      </sheetData>
      <sheetData sheetId="4">
        <row r="8">
          <cell r="G8">
            <v>8574.9830000000002</v>
          </cell>
        </row>
      </sheetData>
      <sheetData sheetId="5">
        <row r="8">
          <cell r="G8">
            <v>9787.4410000000007</v>
          </cell>
        </row>
      </sheetData>
      <sheetData sheetId="6">
        <row r="8">
          <cell r="G8">
            <v>7982.0609999999997</v>
          </cell>
        </row>
        <row r="9">
          <cell r="G9">
            <v>6266498.0020000003</v>
          </cell>
          <cell r="J9">
            <v>1606846.7759999996</v>
          </cell>
        </row>
        <row r="10">
          <cell r="F10">
            <v>974590.16393442615</v>
          </cell>
          <cell r="G10">
            <v>785072.67759542307</v>
          </cell>
        </row>
        <row r="11">
          <cell r="G11">
            <v>6034261.7359999996</v>
          </cell>
          <cell r="J11">
            <v>1558085.8430000003</v>
          </cell>
        </row>
        <row r="15">
          <cell r="F15">
            <v>2.3156433978132884E-2</v>
          </cell>
          <cell r="G15">
            <v>3.7059976070507129E-2</v>
          </cell>
        </row>
        <row r="19">
          <cell r="M19">
            <v>91582.558000000005</v>
          </cell>
        </row>
        <row r="37">
          <cell r="M37">
            <v>33694.425999999999</v>
          </cell>
        </row>
        <row r="40">
          <cell r="M40">
            <v>5550.375</v>
          </cell>
        </row>
        <row r="41">
          <cell r="M41">
            <v>150169.84000000003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  <row r="10">
          <cell r="G10">
            <v>1043902.0889611768</v>
          </cell>
        </row>
        <row r="15">
          <cell r="G15">
            <v>2.3814617122833455E-2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6862</v>
          </cell>
        </row>
        <row r="48">
          <cell r="Q48">
            <v>18065.379730358123</v>
          </cell>
          <cell r="R48">
            <v>11628</v>
          </cell>
        </row>
        <row r="53">
          <cell r="R53">
            <v>194740</v>
          </cell>
        </row>
        <row r="54">
          <cell r="R54">
            <v>341504</v>
          </cell>
        </row>
        <row r="64">
          <cell r="R64">
            <v>4620</v>
          </cell>
        </row>
        <row r="65">
          <cell r="R65">
            <v>1888</v>
          </cell>
        </row>
        <row r="66">
          <cell r="R66">
            <v>1120</v>
          </cell>
        </row>
        <row r="76">
          <cell r="R76">
            <v>147840</v>
          </cell>
        </row>
        <row r="77">
          <cell r="R77">
            <v>52864</v>
          </cell>
        </row>
        <row r="78">
          <cell r="R78">
            <v>30800</v>
          </cell>
        </row>
        <row r="79">
          <cell r="R79">
            <v>110000</v>
          </cell>
        </row>
        <row r="80">
          <cell r="R80">
            <v>0</v>
          </cell>
        </row>
        <row r="81">
          <cell r="I81">
            <v>-53966.538827381148</v>
          </cell>
        </row>
        <row r="82">
          <cell r="R82">
            <v>-15352.655000000001</v>
          </cell>
        </row>
      </sheetData>
      <sheetData sheetId="1">
        <row r="59">
          <cell r="F59">
            <v>8064</v>
          </cell>
          <cell r="I59">
            <v>2336</v>
          </cell>
          <cell r="N59">
            <v>32300</v>
          </cell>
          <cell r="O59">
            <v>10400</v>
          </cell>
        </row>
        <row r="60">
          <cell r="F60">
            <v>96</v>
          </cell>
          <cell r="I60">
            <v>0</v>
          </cell>
        </row>
        <row r="61">
          <cell r="F61">
            <v>11600</v>
          </cell>
          <cell r="I61">
            <v>0</v>
          </cell>
        </row>
        <row r="62">
          <cell r="F62">
            <v>1616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144</v>
          </cell>
        </row>
        <row r="65">
          <cell r="F65">
            <v>1088</v>
          </cell>
          <cell r="I65">
            <v>0</v>
          </cell>
        </row>
        <row r="66">
          <cell r="F66">
            <v>14400</v>
          </cell>
          <cell r="I66">
            <v>144</v>
          </cell>
          <cell r="N66">
            <v>17937.673493333336</v>
          </cell>
          <cell r="O66">
            <v>14544</v>
          </cell>
        </row>
        <row r="71">
          <cell r="F71">
            <v>92736</v>
          </cell>
          <cell r="I71">
            <v>21024</v>
          </cell>
        </row>
        <row r="72">
          <cell r="F72">
            <v>229496</v>
          </cell>
          <cell r="I72">
            <v>1296</v>
          </cell>
        </row>
        <row r="86">
          <cell r="F86">
            <v>-16674.765003014807</v>
          </cell>
          <cell r="I86">
            <v>7308.314225604352</v>
          </cell>
        </row>
        <row r="87">
          <cell r="F87">
            <v>32179.109654147112</v>
          </cell>
          <cell r="I87">
            <v>450.51281527698052</v>
          </cell>
        </row>
      </sheetData>
      <sheetData sheetId="2">
        <row r="59">
          <cell r="F59">
            <v>6576</v>
          </cell>
          <cell r="I59">
            <v>5472</v>
          </cell>
          <cell r="N59">
            <v>21000</v>
          </cell>
          <cell r="O59">
            <v>12048</v>
          </cell>
        </row>
        <row r="60">
          <cell r="F60">
            <v>9500</v>
          </cell>
          <cell r="I60">
            <v>5950</v>
          </cell>
        </row>
        <row r="61">
          <cell r="F61">
            <v>896</v>
          </cell>
          <cell r="I61">
            <v>4496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10396</v>
          </cell>
          <cell r="I66">
            <v>10446</v>
          </cell>
          <cell r="N66">
            <v>20645.145544513252</v>
          </cell>
          <cell r="O66">
            <v>20842</v>
          </cell>
        </row>
        <row r="71">
          <cell r="F71">
            <v>85488</v>
          </cell>
          <cell r="I71">
            <v>103968</v>
          </cell>
        </row>
        <row r="72">
          <cell r="F72">
            <v>177002</v>
          </cell>
          <cell r="I72">
            <v>229745</v>
          </cell>
        </row>
        <row r="86">
          <cell r="F86">
            <v>-31402.569401920577</v>
          </cell>
          <cell r="I86">
            <v>5745.1231840503915</v>
          </cell>
        </row>
        <row r="87">
          <cell r="F87">
            <v>-9018.7623291591135</v>
          </cell>
          <cell r="I87">
            <v>41320.613237029305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10">
          <cell r="I10">
            <v>6992</v>
          </cell>
        </row>
        <row r="47">
          <cell r="R47">
            <v>8377</v>
          </cell>
        </row>
        <row r="48">
          <cell r="R48">
            <v>19004</v>
          </cell>
        </row>
      </sheetData>
      <sheetData sheetId="1"/>
      <sheetData sheetId="2">
        <row r="8">
          <cell r="F8">
            <v>25400</v>
          </cell>
        </row>
        <row r="59">
          <cell r="O59">
            <v>9536</v>
          </cell>
        </row>
        <row r="66">
          <cell r="O66">
            <v>23856</v>
          </cell>
        </row>
      </sheetData>
      <sheetData sheetId="3"/>
      <sheetData sheetId="4">
        <row r="8">
          <cell r="F8">
            <v>1900</v>
          </cell>
        </row>
        <row r="59">
          <cell r="O59">
            <v>0</v>
          </cell>
        </row>
        <row r="66">
          <cell r="O66">
            <v>3800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N5">
            <v>1682000</v>
          </cell>
        </row>
        <row r="85">
          <cell r="Q85">
            <v>101534.27192573833</v>
          </cell>
          <cell r="R85">
            <v>101364.59567528202</v>
          </cell>
        </row>
        <row r="89">
          <cell r="Q89">
            <v>76651.161884204368</v>
          </cell>
          <cell r="R89">
            <v>79091.934153693743</v>
          </cell>
        </row>
      </sheetData>
      <sheetData sheetId="1">
        <row r="85">
          <cell r="Q85">
            <v>99126.548964911912</v>
          </cell>
          <cell r="R85">
            <v>99368.533022112199</v>
          </cell>
        </row>
        <row r="89">
          <cell r="Q89">
            <v>78226.094812913812</v>
          </cell>
          <cell r="R89">
            <v>81006.471969992737</v>
          </cell>
        </row>
      </sheetData>
      <sheetData sheetId="2">
        <row r="85">
          <cell r="Q85">
            <v>101986.98119814559</v>
          </cell>
          <cell r="R85">
            <v>101399.65663950722</v>
          </cell>
        </row>
        <row r="89">
          <cell r="Q89">
            <v>75454.526787511684</v>
          </cell>
          <cell r="R89">
            <v>78722.808314329624</v>
          </cell>
        </row>
      </sheetData>
      <sheetData sheetId="3">
        <row r="85">
          <cell r="Q85">
            <v>105818.36989795919</v>
          </cell>
          <cell r="R85">
            <v>105326.67623776084</v>
          </cell>
        </row>
        <row r="89">
          <cell r="Q89">
            <v>76078.69459659906</v>
          </cell>
          <cell r="R89">
            <v>76149.192112897523</v>
          </cell>
        </row>
      </sheetData>
      <sheetData sheetId="4">
        <row r="5">
          <cell r="N5">
            <v>245000</v>
          </cell>
        </row>
        <row r="85">
          <cell r="Q85">
            <v>99770.838163265304</v>
          </cell>
          <cell r="R85">
            <v>99374.659735434063</v>
          </cell>
        </row>
        <row r="89">
          <cell r="Q89">
            <v>79220.914753681442</v>
          </cell>
          <cell r="R89">
            <v>81333.040797537309</v>
          </cell>
        </row>
      </sheetData>
      <sheetData sheetId="5">
        <row r="5">
          <cell r="N5">
            <v>180000</v>
          </cell>
        </row>
        <row r="85">
          <cell r="Q85">
            <v>100997.56222222222</v>
          </cell>
          <cell r="R85">
            <v>100202.67418843563</v>
          </cell>
        </row>
        <row r="89">
          <cell r="Q89">
            <v>81428.035348269506</v>
          </cell>
          <cell r="R89">
            <v>82122.859504753535</v>
          </cell>
        </row>
      </sheetData>
      <sheetData sheetId="6">
        <row r="5">
          <cell r="N5">
            <v>151000</v>
          </cell>
        </row>
        <row r="85">
          <cell r="Q85">
            <v>98127.607727429597</v>
          </cell>
          <cell r="R85">
            <v>98647.485347044363</v>
          </cell>
        </row>
        <row r="89">
          <cell r="Q89">
            <v>76485.866025557218</v>
          </cell>
          <cell r="R89">
            <v>81669.229388684733</v>
          </cell>
        </row>
      </sheetData>
      <sheetData sheetId="7">
        <row r="5">
          <cell r="N5">
            <v>84000</v>
          </cell>
        </row>
        <row r="85">
          <cell r="Q85">
            <v>95033.773809523802</v>
          </cell>
          <cell r="R85">
            <v>98880.550595217763</v>
          </cell>
        </row>
        <row r="89">
          <cell r="Q89">
            <v>71591.50392051808</v>
          </cell>
          <cell r="R89">
            <v>75884.50340015172</v>
          </cell>
        </row>
      </sheetData>
      <sheetData sheetId="8">
        <row r="5">
          <cell r="N5">
            <v>113000</v>
          </cell>
        </row>
        <row r="85">
          <cell r="Q85">
            <v>107600.07715265486</v>
          </cell>
          <cell r="R85">
            <v>106583.61325128999</v>
          </cell>
        </row>
        <row r="89">
          <cell r="Q89">
            <v>78633.325408207471</v>
          </cell>
          <cell r="R89">
            <v>83433.784101484067</v>
          </cell>
        </row>
      </sheetData>
      <sheetData sheetId="9">
        <row r="5">
          <cell r="N5">
            <v>141000</v>
          </cell>
        </row>
        <row r="85">
          <cell r="Q85">
            <v>103666.45134751774</v>
          </cell>
          <cell r="R85">
            <v>101076.67953467261</v>
          </cell>
        </row>
        <row r="89">
          <cell r="Q89">
            <v>77301.500913008946</v>
          </cell>
          <cell r="R89">
            <v>79083.397984371564</v>
          </cell>
        </row>
      </sheetData>
      <sheetData sheetId="10">
        <row r="5">
          <cell r="N5">
            <v>69000</v>
          </cell>
        </row>
        <row r="85">
          <cell r="Q85">
            <v>101000.01739130437</v>
          </cell>
          <cell r="R85">
            <v>97399.068465843739</v>
          </cell>
        </row>
        <row r="89">
          <cell r="Q89">
            <v>76425.281749095593</v>
          </cell>
          <cell r="R89">
            <v>79402.426972322326</v>
          </cell>
        </row>
      </sheetData>
      <sheetData sheetId="11">
        <row r="5">
          <cell r="N5">
            <v>105000</v>
          </cell>
        </row>
        <row r="85">
          <cell r="Q85">
            <v>104000</v>
          </cell>
          <cell r="R85">
            <v>102022.28357043897</v>
          </cell>
        </row>
        <row r="89">
          <cell r="Q89">
            <v>78381.366317941924</v>
          </cell>
          <cell r="R89">
            <v>82011.464148692321</v>
          </cell>
        </row>
      </sheetData>
      <sheetData sheetId="12">
        <row r="5">
          <cell r="N5">
            <v>63500</v>
          </cell>
        </row>
        <row r="85">
          <cell r="Q85">
            <v>96505.112661417326</v>
          </cell>
          <cell r="R85">
            <v>93716.721920230542</v>
          </cell>
        </row>
        <row r="89">
          <cell r="Q89">
            <v>70930.311515157795</v>
          </cell>
          <cell r="R89">
            <v>73101.325889641244</v>
          </cell>
        </row>
      </sheetData>
      <sheetData sheetId="13">
        <row r="5">
          <cell r="N5">
            <v>99000</v>
          </cell>
        </row>
        <row r="85">
          <cell r="Q85">
            <v>100325.30303030304</v>
          </cell>
          <cell r="R85">
            <v>101500.72956980075</v>
          </cell>
        </row>
        <row r="89">
          <cell r="Q89">
            <v>72175.034467431673</v>
          </cell>
          <cell r="R89">
            <v>74971.175752841664</v>
          </cell>
        </row>
      </sheetData>
      <sheetData sheetId="14">
        <row r="5">
          <cell r="N5">
            <v>92500</v>
          </cell>
        </row>
        <row r="85">
          <cell r="Q85">
            <v>97785.729729729719</v>
          </cell>
          <cell r="R85">
            <v>101525.85886392294</v>
          </cell>
        </row>
        <row r="89">
          <cell r="Q89">
            <v>70001.229701654665</v>
          </cell>
          <cell r="R89">
            <v>74888.901365244717</v>
          </cell>
        </row>
      </sheetData>
      <sheetData sheetId="15">
        <row r="5">
          <cell r="N5">
            <v>45000</v>
          </cell>
        </row>
        <row r="85">
          <cell r="Q85">
            <v>99472.957777777759</v>
          </cell>
          <cell r="R85">
            <v>104318.68055213886</v>
          </cell>
        </row>
        <row r="89">
          <cell r="Q89">
            <v>78175.85014408901</v>
          </cell>
          <cell r="R89">
            <v>80462.832657967345</v>
          </cell>
        </row>
      </sheetData>
      <sheetData sheetId="16">
        <row r="5">
          <cell r="N5">
            <v>127000</v>
          </cell>
        </row>
        <row r="85">
          <cell r="Q85">
            <v>100999.96299212598</v>
          </cell>
          <cell r="R85">
            <v>101738.17882411559</v>
          </cell>
        </row>
        <row r="89">
          <cell r="Q89">
            <v>76426.529383594927</v>
          </cell>
          <cell r="R89">
            <v>77956.409931700866</v>
          </cell>
        </row>
      </sheetData>
      <sheetData sheetId="17">
        <row r="5">
          <cell r="N5">
            <v>30000</v>
          </cell>
        </row>
        <row r="85">
          <cell r="Q85">
            <v>107900</v>
          </cell>
          <cell r="R85">
            <v>112106.46342360364</v>
          </cell>
        </row>
        <row r="89">
          <cell r="Q89">
            <v>73596.746825706316</v>
          </cell>
          <cell r="R89">
            <v>73510.954825613051</v>
          </cell>
        </row>
      </sheetData>
      <sheetData sheetId="18">
        <row r="5">
          <cell r="N5">
            <v>38000</v>
          </cell>
        </row>
        <row r="85">
          <cell r="Q85">
            <v>109080.76665789472</v>
          </cell>
          <cell r="R85">
            <v>111626.93770601091</v>
          </cell>
        </row>
        <row r="89">
          <cell r="Q89">
            <v>69641.488666437668</v>
          </cell>
          <cell r="R89">
            <v>71723.876222041188</v>
          </cell>
        </row>
      </sheetData>
      <sheetData sheetId="19">
        <row r="5">
          <cell r="N5">
            <v>69000</v>
          </cell>
        </row>
        <row r="85">
          <cell r="Q85">
            <v>102888.93213043478</v>
          </cell>
          <cell r="R85">
            <v>95827.775183762104</v>
          </cell>
        </row>
        <row r="89">
          <cell r="Q89">
            <v>73873.669338653257</v>
          </cell>
          <cell r="R89">
            <v>71176.351106471819</v>
          </cell>
        </row>
      </sheetData>
      <sheetData sheetId="20">
        <row r="5">
          <cell r="N5">
            <v>30000</v>
          </cell>
        </row>
        <row r="85">
          <cell r="Q85">
            <v>126740</v>
          </cell>
          <cell r="R85">
            <v>126848.18909379894</v>
          </cell>
        </row>
        <row r="89">
          <cell r="Q89">
            <v>90313.494040689067</v>
          </cell>
          <cell r="R89">
            <v>89031.394280923996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95428.069148926719</v>
          </cell>
        </row>
        <row r="89">
          <cell r="Q89">
            <v>71223.298120681007</v>
          </cell>
        </row>
      </sheetData>
      <sheetData sheetId="1">
        <row r="85">
          <cell r="Q85">
            <v>91994.236965185934</v>
          </cell>
        </row>
        <row r="89">
          <cell r="Q89">
            <v>72640.458794236343</v>
          </cell>
        </row>
      </sheetData>
      <sheetData sheetId="2">
        <row r="85">
          <cell r="Q85">
            <v>97010.653071036184</v>
          </cell>
        </row>
        <row r="89">
          <cell r="Q89">
            <v>70705.276903004269</v>
          </cell>
        </row>
      </sheetData>
      <sheetData sheetId="3">
        <row r="85">
          <cell r="Q85">
            <v>99083.979493525563</v>
          </cell>
        </row>
        <row r="89">
          <cell r="Q89">
            <v>69366.928609013878</v>
          </cell>
        </row>
      </sheetData>
      <sheetData sheetId="4">
        <row r="85">
          <cell r="Q85">
            <v>92071.61116745694</v>
          </cell>
        </row>
        <row r="89">
          <cell r="Q89">
            <v>72424.500810538841</v>
          </cell>
        </row>
      </sheetData>
      <sheetData sheetId="5">
        <row r="85">
          <cell r="Q85">
            <v>94336.147548901252</v>
          </cell>
        </row>
        <row r="89">
          <cell r="Q89">
            <v>75238.594161276531</v>
          </cell>
        </row>
      </sheetData>
      <sheetData sheetId="6">
        <row r="85">
          <cell r="Q85">
            <v>90534.843101856881</v>
          </cell>
        </row>
        <row r="89">
          <cell r="Q89">
            <v>72706.497238431271</v>
          </cell>
        </row>
      </sheetData>
      <sheetData sheetId="7">
        <row r="85">
          <cell r="Q85">
            <v>88547.824297396059</v>
          </cell>
        </row>
        <row r="89">
          <cell r="Q89">
            <v>67223.702640284639</v>
          </cell>
        </row>
      </sheetData>
      <sheetData sheetId="8">
        <row r="85">
          <cell r="Q85">
            <v>101603.49524535191</v>
          </cell>
        </row>
        <row r="89">
          <cell r="Q89">
            <v>72669.386624715276</v>
          </cell>
        </row>
      </sheetData>
      <sheetData sheetId="9">
        <row r="85">
          <cell r="Q85">
            <v>99402.694524930586</v>
          </cell>
        </row>
        <row r="89">
          <cell r="Q89">
            <v>73086.722511429994</v>
          </cell>
        </row>
      </sheetData>
      <sheetData sheetId="10">
        <row r="85">
          <cell r="Q85">
            <v>96915.451692499351</v>
          </cell>
        </row>
        <row r="89">
          <cell r="Q89">
            <v>73033.606185468219</v>
          </cell>
        </row>
      </sheetData>
      <sheetData sheetId="11">
        <row r="85">
          <cell r="Q85">
            <v>99863.529243985118</v>
          </cell>
        </row>
        <row r="89">
          <cell r="Q89">
            <v>74208.344161670364</v>
          </cell>
        </row>
      </sheetData>
      <sheetData sheetId="12">
        <row r="85">
          <cell r="Q85">
            <v>93639.948097774512</v>
          </cell>
        </row>
        <row r="89">
          <cell r="Q89">
            <v>67713.663194560737</v>
          </cell>
        </row>
      </sheetData>
      <sheetData sheetId="13">
        <row r="85">
          <cell r="Q85">
            <v>94442.964576145387</v>
          </cell>
        </row>
        <row r="89">
          <cell r="Q89">
            <v>66571.781097327243</v>
          </cell>
        </row>
      </sheetData>
      <sheetData sheetId="14">
        <row r="85">
          <cell r="Q85">
            <v>92415.54845364175</v>
          </cell>
        </row>
        <row r="89">
          <cell r="Q89">
            <v>66116.22744031185</v>
          </cell>
        </row>
      </sheetData>
      <sheetData sheetId="15">
        <row r="85">
          <cell r="Q85">
            <v>94327.295691464751</v>
          </cell>
        </row>
        <row r="89">
          <cell r="Q89">
            <v>72700.856199520713</v>
          </cell>
        </row>
      </sheetData>
      <sheetData sheetId="16">
        <row r="85">
          <cell r="Q85">
            <v>95253.560526493413</v>
          </cell>
        </row>
        <row r="89">
          <cell r="Q89">
            <v>68600.672915232732</v>
          </cell>
        </row>
      </sheetData>
      <sheetData sheetId="17">
        <row r="85">
          <cell r="Q85">
            <v>100955.18705924842</v>
          </cell>
        </row>
        <row r="89">
          <cell r="Q89">
            <v>66608.01672336139</v>
          </cell>
        </row>
      </sheetData>
      <sheetData sheetId="18">
        <row r="85">
          <cell r="Q85">
            <v>96506.220349438838</v>
          </cell>
        </row>
        <row r="89">
          <cell r="Q89">
            <v>63577.452675552013</v>
          </cell>
        </row>
      </sheetData>
      <sheetData sheetId="19">
        <row r="85">
          <cell r="Q85">
            <v>94924.95787511651</v>
          </cell>
        </row>
        <row r="89">
          <cell r="Q89">
            <v>67588.68535259398</v>
          </cell>
        </row>
      </sheetData>
      <sheetData sheetId="20">
        <row r="85">
          <cell r="Q85">
            <v>118870.68725551642</v>
          </cell>
        </row>
        <row r="89">
          <cell r="Q89">
            <v>82153.285738983846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>
        <row r="86">
          <cell r="H86">
            <v>10500</v>
          </cell>
        </row>
      </sheetData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178011746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1200000</v>
          </cell>
          <cell r="P16">
            <v>1200000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197200000</v>
          </cell>
          <cell r="P17">
            <v>197200000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18584000</v>
          </cell>
          <cell r="P18">
            <v>18584000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1296000</v>
          </cell>
          <cell r="O20">
            <v>0</v>
          </cell>
          <cell r="P20">
            <v>1296000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12512000</v>
          </cell>
          <cell r="P21">
            <v>12512000</v>
          </cell>
        </row>
        <row r="22">
          <cell r="M22" t="str">
            <v>계</v>
          </cell>
          <cell r="N22">
            <v>1296000</v>
          </cell>
          <cell r="O22">
            <v>229496000</v>
          </cell>
          <cell r="P22">
            <v>230792000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166250000</v>
          </cell>
          <cell r="O16">
            <v>139825000</v>
          </cell>
          <cell r="P16">
            <v>306075000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10752000</v>
          </cell>
          <cell r="O17">
            <v>89920000</v>
          </cell>
          <cell r="P17">
            <v>100672000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177002000</v>
          </cell>
          <cell r="O22">
            <v>229745000</v>
          </cell>
          <cell r="P22">
            <v>406747000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/>
  <cols>
    <col min="13" max="13" width="15.75" customWidth="1"/>
  </cols>
  <sheetData>
    <row r="6" spans="1:13">
      <c r="A6" s="793" t="s">
        <v>216</v>
      </c>
      <c r="B6" s="794"/>
      <c r="C6" s="794"/>
      <c r="D6" s="794"/>
      <c r="E6" s="794"/>
      <c r="F6" s="794"/>
      <c r="G6" s="794"/>
      <c r="H6" s="794"/>
      <c r="I6" s="794"/>
      <c r="J6" s="794"/>
      <c r="K6" s="794"/>
      <c r="L6" s="794"/>
      <c r="M6" s="794"/>
    </row>
    <row r="7" spans="1:13">
      <c r="A7" s="794"/>
      <c r="B7" s="794"/>
      <c r="C7" s="794"/>
      <c r="D7" s="794"/>
      <c r="E7" s="794"/>
      <c r="F7" s="794"/>
      <c r="G7" s="794"/>
      <c r="H7" s="794"/>
      <c r="I7" s="794"/>
      <c r="J7" s="794"/>
      <c r="K7" s="794"/>
      <c r="L7" s="794"/>
      <c r="M7" s="794"/>
    </row>
    <row r="8" spans="1:13">
      <c r="A8" s="794"/>
      <c r="B8" s="794"/>
      <c r="C8" s="794"/>
      <c r="D8" s="794"/>
      <c r="E8" s="794"/>
      <c r="F8" s="794"/>
      <c r="G8" s="794"/>
      <c r="H8" s="794"/>
      <c r="I8" s="794"/>
      <c r="J8" s="794"/>
      <c r="K8" s="794"/>
      <c r="L8" s="794"/>
      <c r="M8" s="794"/>
    </row>
    <row r="9" spans="1:13">
      <c r="A9" s="794"/>
      <c r="B9" s="794"/>
      <c r="C9" s="794"/>
      <c r="D9" s="794"/>
      <c r="E9" s="794"/>
      <c r="F9" s="794"/>
      <c r="G9" s="794"/>
      <c r="H9" s="794"/>
      <c r="I9" s="794"/>
      <c r="J9" s="794"/>
      <c r="K9" s="794"/>
      <c r="L9" s="794"/>
      <c r="M9" s="794"/>
    </row>
    <row r="10" spans="1:13">
      <c r="A10" s="794"/>
      <c r="B10" s="794"/>
      <c r="C10" s="794"/>
      <c r="D10" s="794"/>
      <c r="E10" s="794"/>
      <c r="F10" s="794"/>
      <c r="G10" s="794"/>
      <c r="H10" s="794"/>
      <c r="I10" s="794"/>
      <c r="J10" s="794"/>
      <c r="K10" s="794"/>
      <c r="L10" s="794"/>
      <c r="M10" s="794"/>
    </row>
    <row r="11" spans="1:13">
      <c r="A11" s="794"/>
      <c r="B11" s="794"/>
      <c r="C11" s="794"/>
      <c r="D11" s="794"/>
      <c r="E11" s="794"/>
      <c r="F11" s="794"/>
      <c r="G11" s="794"/>
      <c r="H11" s="794"/>
      <c r="I11" s="794"/>
      <c r="J11" s="794"/>
      <c r="K11" s="794"/>
      <c r="L11" s="794"/>
      <c r="M11" s="794"/>
    </row>
    <row r="12" spans="1:13">
      <c r="A12" s="794"/>
      <c r="B12" s="794"/>
      <c r="C12" s="794"/>
      <c r="D12" s="794"/>
      <c r="E12" s="794"/>
      <c r="F12" s="794"/>
      <c r="G12" s="794"/>
      <c r="H12" s="794"/>
      <c r="I12" s="794"/>
      <c r="J12" s="794"/>
      <c r="K12" s="794"/>
      <c r="L12" s="794"/>
      <c r="M12" s="794"/>
    </row>
    <row r="13" spans="1:13">
      <c r="A13" s="794"/>
      <c r="B13" s="794"/>
      <c r="C13" s="794"/>
      <c r="D13" s="794"/>
      <c r="E13" s="794"/>
      <c r="F13" s="794"/>
      <c r="G13" s="794"/>
      <c r="H13" s="794"/>
      <c r="I13" s="794"/>
      <c r="J13" s="794"/>
      <c r="K13" s="794"/>
      <c r="L13" s="794"/>
      <c r="M13" s="794"/>
    </row>
    <row r="14" spans="1:13">
      <c r="A14" s="794"/>
      <c r="B14" s="794"/>
      <c r="C14" s="794"/>
      <c r="D14" s="794"/>
      <c r="E14" s="794"/>
      <c r="F14" s="794"/>
      <c r="G14" s="794"/>
      <c r="H14" s="794"/>
      <c r="I14" s="794"/>
      <c r="J14" s="794"/>
      <c r="K14" s="794"/>
      <c r="L14" s="794"/>
      <c r="M14" s="794"/>
    </row>
    <row r="24" spans="1:13">
      <c r="A24" s="795" t="s">
        <v>120</v>
      </c>
      <c r="B24" s="795"/>
      <c r="C24" s="795"/>
      <c r="D24" s="795"/>
      <c r="E24" s="795"/>
      <c r="F24" s="795"/>
      <c r="G24" s="795"/>
      <c r="H24" s="795"/>
      <c r="I24" s="795"/>
      <c r="J24" s="795"/>
      <c r="K24" s="795"/>
      <c r="L24" s="795"/>
      <c r="M24" s="795"/>
    </row>
    <row r="25" spans="1:13">
      <c r="A25" s="795"/>
      <c r="B25" s="795"/>
      <c r="C25" s="795"/>
      <c r="D25" s="795"/>
      <c r="E25" s="795"/>
      <c r="F25" s="795"/>
      <c r="G25" s="795"/>
      <c r="H25" s="795"/>
      <c r="I25" s="795"/>
      <c r="J25" s="795"/>
      <c r="K25" s="795"/>
      <c r="L25" s="795"/>
      <c r="M25" s="795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A1:AL42"/>
  <sheetViews>
    <sheetView showGridLines="0" zoomScale="70" zoomScaleNormal="70" zoomScaleSheetLayoutView="70" workbookViewId="0">
      <selection activeCell="B1" sqref="B1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/>
    <row r="2" spans="1:38" ht="20.100000000000001" customHeight="1"/>
    <row r="3" spans="1:38" ht="20.100000000000001" customHeight="1">
      <c r="C3" s="4" t="s">
        <v>240</v>
      </c>
      <c r="Z3" s="674" t="s">
        <v>217</v>
      </c>
    </row>
    <row r="4" spans="1:38" ht="20.100000000000001" customHeight="1">
      <c r="H4" s="598"/>
      <c r="X4" s="5" t="s">
        <v>142</v>
      </c>
      <c r="AK4" s="5" t="s">
        <v>209</v>
      </c>
    </row>
    <row r="5" spans="1:38" ht="27" customHeight="1" thickBot="1">
      <c r="C5" s="809" t="s">
        <v>78</v>
      </c>
      <c r="D5" s="810"/>
      <c r="E5" s="133" t="s">
        <v>182</v>
      </c>
      <c r="F5" s="134"/>
      <c r="G5" s="134"/>
      <c r="H5" s="134"/>
      <c r="I5" s="135"/>
      <c r="J5" s="134" t="s">
        <v>218</v>
      </c>
      <c r="K5" s="134"/>
      <c r="L5" s="134"/>
      <c r="M5" s="134"/>
      <c r="N5" s="135"/>
      <c r="O5" s="136"/>
      <c r="P5" s="809" t="s">
        <v>219</v>
      </c>
      <c r="Q5" s="810"/>
      <c r="R5" s="810"/>
      <c r="S5" s="810"/>
      <c r="T5" s="810"/>
      <c r="U5" s="810"/>
      <c r="V5" s="810"/>
      <c r="W5" s="810"/>
      <c r="X5" s="813"/>
      <c r="Z5" s="802" t="s">
        <v>204</v>
      </c>
      <c r="AA5" s="799"/>
      <c r="AB5" s="799" t="str">
        <f>+E5</f>
        <v>6월</v>
      </c>
      <c r="AC5" s="800"/>
      <c r="AD5" s="799"/>
      <c r="AE5" s="799"/>
      <c r="AF5" s="801"/>
      <c r="AG5" s="802" t="str">
        <f>+J5</f>
        <v>6월 누계</v>
      </c>
      <c r="AH5" s="800"/>
      <c r="AI5" s="799"/>
      <c r="AJ5" s="799"/>
      <c r="AK5" s="803"/>
    </row>
    <row r="6" spans="1:38" ht="27" customHeight="1" thickTop="1" thickBot="1">
      <c r="C6" s="811"/>
      <c r="D6" s="812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11"/>
      <c r="Q6" s="812"/>
      <c r="R6" s="812"/>
      <c r="S6" s="812"/>
      <c r="T6" s="812"/>
      <c r="U6" s="812"/>
      <c r="V6" s="812"/>
      <c r="W6" s="812"/>
      <c r="X6" s="814"/>
      <c r="Z6" s="805"/>
      <c r="AA6" s="806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1:38" ht="21.75" customHeight="1">
      <c r="A7" s="598">
        <f>+F7/E7</f>
        <v>1.0054487644151566</v>
      </c>
      <c r="B7" s="598">
        <f>+K7/J7</f>
        <v>1.057222770511296</v>
      </c>
      <c r="C7" s="101" t="s">
        <v>0</v>
      </c>
      <c r="D7" s="102" t="s">
        <v>53</v>
      </c>
      <c r="E7" s="771">
        <f>+'[1]6월'!$Z$7/1000</f>
        <v>303.5</v>
      </c>
      <c r="F7" s="772">
        <f>+'[2]6월'!$Z$7/1000</f>
        <v>305.15370000000001</v>
      </c>
      <c r="G7" s="747">
        <f>+F7-E7</f>
        <v>1.6537000000000148</v>
      </c>
      <c r="H7" s="748">
        <f>+'[3]6월'!$Z$7/1000</f>
        <v>350.08199999999999</v>
      </c>
      <c r="I7" s="749">
        <f>+F7-H7</f>
        <v>-44.928299999999979</v>
      </c>
      <c r="J7" s="771">
        <f>+[4]손익총괄!J7+E7</f>
        <v>1682</v>
      </c>
      <c r="K7" s="772">
        <f>+[4]손익총괄!K7+F7</f>
        <v>1778.2486999999999</v>
      </c>
      <c r="L7" s="747">
        <f t="shared" ref="L7:L36" si="1">+K7-J7</f>
        <v>96.248699999999872</v>
      </c>
      <c r="M7" s="748">
        <f>+[4]손익총괄!M7+H7</f>
        <v>1994.1309999999999</v>
      </c>
      <c r="N7" s="749">
        <f t="shared" ref="N7:N36" si="2">+K7-M7</f>
        <v>-215.88229999999999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96" t="s">
        <v>205</v>
      </c>
      <c r="AA7" s="733" t="str">
        <f>+D7</f>
        <v>레미콘</v>
      </c>
      <c r="AB7" s="734">
        <f>+E7</f>
        <v>303.5</v>
      </c>
      <c r="AC7" s="735">
        <f t="shared" ref="AC7" si="3">+F7</f>
        <v>305.15370000000001</v>
      </c>
      <c r="AD7" s="736">
        <f>+AC7-AB7</f>
        <v>1.6537000000000148</v>
      </c>
      <c r="AE7" s="737">
        <f t="shared" si="0"/>
        <v>350.08199999999999</v>
      </c>
      <c r="AF7" s="738">
        <f>+AC7-AE7</f>
        <v>-44.928299999999979</v>
      </c>
      <c r="AG7" s="739">
        <f t="shared" ref="AG7" si="4">+J7</f>
        <v>1682</v>
      </c>
      <c r="AH7" s="735">
        <f t="shared" ref="AH7" si="5">+K7</f>
        <v>1778.2486999999999</v>
      </c>
      <c r="AI7" s="736">
        <f>+AH7-AG7</f>
        <v>96.248699999999872</v>
      </c>
      <c r="AJ7" s="737">
        <f t="shared" ref="AJ7" si="6">+M7</f>
        <v>1994.1309999999999</v>
      </c>
      <c r="AK7" s="734">
        <f>+AH7-AJ7</f>
        <v>-215.88229999999999</v>
      </c>
    </row>
    <row r="8" spans="1:38" ht="21.75" customHeight="1">
      <c r="B8" s="598"/>
      <c r="C8" s="101"/>
      <c r="D8" s="106" t="s">
        <v>86</v>
      </c>
      <c r="E8" s="773">
        <f>+'[1]6월'!$AA$7</f>
        <v>6100</v>
      </c>
      <c r="F8" s="774">
        <f>+'[2]6월'!$AO$7</f>
        <v>7982.0609999999997</v>
      </c>
      <c r="G8" s="750">
        <f>+F8-E8</f>
        <v>1882.0609999999997</v>
      </c>
      <c r="H8" s="751">
        <f>+'[3]6월'!$AO$7</f>
        <v>7070.5</v>
      </c>
      <c r="I8" s="752">
        <f>+F8-H8</f>
        <v>911.56099999999969</v>
      </c>
      <c r="J8" s="773">
        <f>+[4]손익총괄!J8+E8</f>
        <v>41600</v>
      </c>
      <c r="K8" s="774">
        <f>+[4]손익총괄!K8+F8</f>
        <v>48080.048000000003</v>
      </c>
      <c r="L8" s="750">
        <f t="shared" si="1"/>
        <v>6480.0480000000025</v>
      </c>
      <c r="M8" s="751">
        <f>+[4]손익총괄!M8+H8</f>
        <v>48940.798000000003</v>
      </c>
      <c r="N8" s="752">
        <f t="shared" si="2"/>
        <v>-860.75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96"/>
      <c r="AA8" s="668" t="str">
        <f t="shared" ref="AA8:AA9" si="7">+D8</f>
        <v>철강재</v>
      </c>
      <c r="AB8" s="727">
        <f>+E8/1000</f>
        <v>6.1</v>
      </c>
      <c r="AC8" s="728">
        <f>+F8/1000</f>
        <v>7.9820609999999999</v>
      </c>
      <c r="AD8" s="729">
        <f t="shared" ref="AD8:AD20" si="8">+AC8-AB8</f>
        <v>1.8820610000000002</v>
      </c>
      <c r="AE8" s="730">
        <f>+H8/1000</f>
        <v>7.0705</v>
      </c>
      <c r="AF8" s="731">
        <f t="shared" ref="AF8:AF20" si="9">+AC8-AE8</f>
        <v>0.91156099999999984</v>
      </c>
      <c r="AG8" s="732">
        <f>+J8/1000</f>
        <v>41.6</v>
      </c>
      <c r="AH8" s="728">
        <f>+K8/1000</f>
        <v>48.080048000000005</v>
      </c>
      <c r="AI8" s="729">
        <f t="shared" ref="AI8:AI20" si="10">+AH8-AG8</f>
        <v>6.4800480000000036</v>
      </c>
      <c r="AJ8" s="730">
        <f>+M8/1000</f>
        <v>48.940798000000001</v>
      </c>
      <c r="AK8" s="727">
        <f t="shared" ref="AK8:AK20" si="11">+AH8-AJ8</f>
        <v>-0.86074999999999591</v>
      </c>
    </row>
    <row r="9" spans="1:38" ht="21.75" customHeight="1">
      <c r="B9" s="598"/>
      <c r="C9" s="101"/>
      <c r="D9" s="106" t="s">
        <v>1</v>
      </c>
      <c r="E9" s="773">
        <f>+'[1]6월'!$AE$7/1000</f>
        <v>119.4481987682047</v>
      </c>
      <c r="F9" s="774">
        <f>+'[2]6월'!$AN$7/1000</f>
        <v>76.323999999999998</v>
      </c>
      <c r="G9" s="750">
        <f t="shared" ref="G9:G36" si="12">+F9-E9</f>
        <v>-43.124198768204707</v>
      </c>
      <c r="H9" s="751">
        <f>+'[3]6월'!$AN$7/1000</f>
        <v>64.572999999999993</v>
      </c>
      <c r="I9" s="752">
        <f t="shared" ref="I9:I36" si="13">+F9-H9</f>
        <v>11.751000000000005</v>
      </c>
      <c r="J9" s="773">
        <f>+[4]손익총괄!J9+E9</f>
        <v>499.67197389037665</v>
      </c>
      <c r="K9" s="774">
        <f>+[4]손익총괄!K9+F9</f>
        <v>496.69900000000001</v>
      </c>
      <c r="L9" s="750">
        <f t="shared" si="1"/>
        <v>-2.9729738903766361</v>
      </c>
      <c r="M9" s="751">
        <f>+[4]손익총괄!M9+H9</f>
        <v>377.46300000000002</v>
      </c>
      <c r="N9" s="752">
        <f t="shared" si="2"/>
        <v>119.23599999999999</v>
      </c>
      <c r="O9" s="100"/>
      <c r="P9" s="103"/>
      <c r="Q9" s="107" t="s">
        <v>66</v>
      </c>
      <c r="R9" s="302" t="s">
        <v>19</v>
      </c>
      <c r="S9" s="315">
        <f>+[5]수도권!$T$5/1000</f>
        <v>119.5</v>
      </c>
      <c r="T9" s="108">
        <f>+[5]수도권!$U$5/1000</f>
        <v>107.2852</v>
      </c>
      <c r="U9" s="747">
        <f>+T9-S9</f>
        <v>-12.214799999999997</v>
      </c>
      <c r="V9" s="748">
        <f>+[6]수도권!$T$5/1000</f>
        <v>144.232</v>
      </c>
      <c r="W9" s="749">
        <f>+T9-V9</f>
        <v>-36.946799999999996</v>
      </c>
      <c r="X9" s="105"/>
      <c r="Y9" s="598"/>
      <c r="Z9" s="804"/>
      <c r="AA9" s="670" t="str">
        <f t="shared" si="7"/>
        <v>골재</v>
      </c>
      <c r="AB9" s="676">
        <f t="shared" ref="AB9" si="14">+E9</f>
        <v>119.4481987682047</v>
      </c>
      <c r="AC9" s="682">
        <f t="shared" ref="AC9" si="15">+F9</f>
        <v>76.323999999999998</v>
      </c>
      <c r="AD9" s="679">
        <f t="shared" si="8"/>
        <v>-43.124198768204707</v>
      </c>
      <c r="AE9" s="672">
        <f t="shared" ref="AE9" si="16">+H9</f>
        <v>64.572999999999993</v>
      </c>
      <c r="AF9" s="688">
        <f t="shared" si="9"/>
        <v>11.751000000000005</v>
      </c>
      <c r="AG9" s="685">
        <f t="shared" ref="AG9" si="17">+J9</f>
        <v>499.67197389037665</v>
      </c>
      <c r="AH9" s="682">
        <f t="shared" ref="AH9" si="18">+K9</f>
        <v>496.69900000000001</v>
      </c>
      <c r="AI9" s="679">
        <f t="shared" si="10"/>
        <v>-2.9729738903766361</v>
      </c>
      <c r="AJ9" s="672">
        <f t="shared" ref="AJ9" si="19">+M9</f>
        <v>377.46300000000002</v>
      </c>
      <c r="AK9" s="676">
        <f t="shared" si="11"/>
        <v>119.23599999999999</v>
      </c>
    </row>
    <row r="10" spans="1:38" ht="21.75" customHeight="1">
      <c r="B10" s="598"/>
      <c r="C10" s="109" t="s">
        <v>2</v>
      </c>
      <c r="D10" s="110" t="s">
        <v>53</v>
      </c>
      <c r="E10" s="775">
        <f>+'[1]6월'!$Z$8/1000</f>
        <v>31021.091940175542</v>
      </c>
      <c r="F10" s="776">
        <f>+'[2]6월'!$Z$8/1000</f>
        <v>30777.037808000001</v>
      </c>
      <c r="G10" s="777">
        <f t="shared" si="12"/>
        <v>-244.05413217554087</v>
      </c>
      <c r="H10" s="778">
        <f>+'[3]6월'!$Z$8/1000</f>
        <v>34406.715254000002</v>
      </c>
      <c r="I10" s="779">
        <f t="shared" si="13"/>
        <v>-3629.6774460000015</v>
      </c>
      <c r="J10" s="775">
        <f>+[4]손익총괄!J10+E10</f>
        <v>170780.64537909187</v>
      </c>
      <c r="K10" s="776">
        <f>+[4]손익총괄!K10+F10</f>
        <v>180238.861573</v>
      </c>
      <c r="L10" s="777">
        <f t="shared" si="1"/>
        <v>9458.216193908127</v>
      </c>
      <c r="M10" s="778">
        <f>+[4]손익총괄!M10+H10</f>
        <v>190264.985824</v>
      </c>
      <c r="N10" s="779">
        <f t="shared" si="2"/>
        <v>-10026.124251000001</v>
      </c>
      <c r="O10" s="100"/>
      <c r="P10" s="103"/>
      <c r="Q10" s="111"/>
      <c r="R10" s="303" t="s">
        <v>20</v>
      </c>
      <c r="S10" s="316">
        <f>+[5]영남권!$T$5/1000</f>
        <v>128.5</v>
      </c>
      <c r="T10" s="112">
        <f>+[5]영남권!$U$5/1000</f>
        <v>137.792</v>
      </c>
      <c r="U10" s="750">
        <f t="shared" ref="U10:U20" si="20">+T10-S10</f>
        <v>9.2920000000000016</v>
      </c>
      <c r="V10" s="751">
        <f>+[6]영남권!$T$5/1000</f>
        <v>146.565</v>
      </c>
      <c r="W10" s="752">
        <f t="shared" ref="W10:W20" si="21">+T10-V10</f>
        <v>-8.7729999999999961</v>
      </c>
      <c r="X10" s="105"/>
      <c r="Y10" s="598"/>
      <c r="Z10" s="796" t="s">
        <v>206</v>
      </c>
      <c r="AA10" s="733" t="str">
        <f>+D10</f>
        <v>레미콘</v>
      </c>
      <c r="AB10" s="734">
        <f>+E10/100</f>
        <v>310.2109194017554</v>
      </c>
      <c r="AC10" s="735">
        <f t="shared" ref="AC10:AC13" si="22">+F10/100</f>
        <v>307.77037808</v>
      </c>
      <c r="AD10" s="736">
        <f t="shared" si="8"/>
        <v>-2.4405413217554042</v>
      </c>
      <c r="AE10" s="737">
        <f t="shared" ref="AE10:AE13" si="23">+H10/100</f>
        <v>344.06715254000005</v>
      </c>
      <c r="AF10" s="738">
        <f t="shared" si="9"/>
        <v>-36.296774460000051</v>
      </c>
      <c r="AG10" s="739">
        <f t="shared" ref="AG10:AG13" si="24">+J10/100</f>
        <v>1707.8064537909188</v>
      </c>
      <c r="AH10" s="735">
        <f t="shared" ref="AH10:AH13" si="25">+K10/100</f>
        <v>1802.3886157300001</v>
      </c>
      <c r="AI10" s="736">
        <f t="shared" si="10"/>
        <v>94.582161939081288</v>
      </c>
      <c r="AJ10" s="737">
        <f t="shared" ref="AJ10:AJ13" si="26">+M10/100</f>
        <v>1902.64985824</v>
      </c>
      <c r="AK10" s="734">
        <f t="shared" si="11"/>
        <v>-100.26124250999987</v>
      </c>
    </row>
    <row r="11" spans="1:38" ht="21.75" customHeight="1">
      <c r="B11" s="598"/>
      <c r="C11" s="101"/>
      <c r="D11" s="106" t="s">
        <v>3</v>
      </c>
      <c r="E11" s="773">
        <f>+'[1]6월'!$AA$8/1000</f>
        <v>7443.8252631578962</v>
      </c>
      <c r="F11" s="774">
        <f>+'[2]6월'!$AO$8/1000</f>
        <v>7873.3447779999997</v>
      </c>
      <c r="G11" s="750">
        <f>+F11-E11</f>
        <v>429.51951484210349</v>
      </c>
      <c r="H11" s="751">
        <f>+'[3]6월'!$AO$8/1000</f>
        <v>8947.0894150000004</v>
      </c>
      <c r="I11" s="752">
        <f>+F11-H11</f>
        <v>-1073.7446370000007</v>
      </c>
      <c r="J11" s="773">
        <f>+[4]손익총괄!J11+E11</f>
        <v>50866.286315789483</v>
      </c>
      <c r="K11" s="774">
        <f>+[4]손익총괄!K11+F11</f>
        <v>49403.738082999997</v>
      </c>
      <c r="L11" s="750">
        <f t="shared" si="1"/>
        <v>-1462.5482327894861</v>
      </c>
      <c r="M11" s="751">
        <f>+[4]손익총괄!M11+H11</f>
        <v>59347.902576</v>
      </c>
      <c r="N11" s="752">
        <f t="shared" si="2"/>
        <v>-9944.1644930000039</v>
      </c>
      <c r="O11" s="100"/>
      <c r="P11" s="103"/>
      <c r="Q11" s="111"/>
      <c r="R11" s="304" t="s">
        <v>170</v>
      </c>
      <c r="S11" s="317">
        <f>+[5]중부권!$T$5/1000</f>
        <v>55.5</v>
      </c>
      <c r="T11" s="113">
        <f>+[5]중부권!$U$5/1000</f>
        <v>60.076500000000003</v>
      </c>
      <c r="U11" s="753">
        <f t="shared" si="20"/>
        <v>4.5765000000000029</v>
      </c>
      <c r="V11" s="754">
        <f>+[6]중부권!$T$5/1000</f>
        <v>59.284999999999997</v>
      </c>
      <c r="W11" s="755">
        <f t="shared" si="21"/>
        <v>0.79150000000000631</v>
      </c>
      <c r="X11" s="105"/>
      <c r="Y11" s="598"/>
      <c r="Z11" s="796"/>
      <c r="AA11" s="668" t="str">
        <f t="shared" ref="AA11:AA13" si="27">+D11</f>
        <v>건자재</v>
      </c>
      <c r="AB11" s="675">
        <f t="shared" ref="AB11:AB13" si="28">+E11/100</f>
        <v>74.438252631578962</v>
      </c>
      <c r="AC11" s="681">
        <f t="shared" si="22"/>
        <v>78.733447779999992</v>
      </c>
      <c r="AD11" s="678">
        <f t="shared" si="8"/>
        <v>4.2951951484210298</v>
      </c>
      <c r="AE11" s="671">
        <f t="shared" si="23"/>
        <v>89.470894150000007</v>
      </c>
      <c r="AF11" s="687">
        <f t="shared" si="9"/>
        <v>-10.737446370000015</v>
      </c>
      <c r="AG11" s="684">
        <f t="shared" si="24"/>
        <v>508.66286315789483</v>
      </c>
      <c r="AH11" s="681">
        <f t="shared" si="25"/>
        <v>494.03738082999996</v>
      </c>
      <c r="AI11" s="678">
        <f t="shared" si="10"/>
        <v>-14.625482327894872</v>
      </c>
      <c r="AJ11" s="671">
        <f t="shared" si="26"/>
        <v>593.47902576000001</v>
      </c>
      <c r="AK11" s="675">
        <f t="shared" si="11"/>
        <v>-99.441644930000052</v>
      </c>
    </row>
    <row r="12" spans="1:38" ht="21.75" customHeight="1">
      <c r="B12" s="598"/>
      <c r="C12" s="101"/>
      <c r="D12" s="106" t="s">
        <v>1</v>
      </c>
      <c r="E12" s="773">
        <f>+'[1]6월'!$AE$8/1000</f>
        <v>2150.6540527820025</v>
      </c>
      <c r="F12" s="774">
        <f>+'[2]6월'!$AN$8/1000</f>
        <v>1476.999</v>
      </c>
      <c r="G12" s="750">
        <f t="shared" si="12"/>
        <v>-673.65505278200249</v>
      </c>
      <c r="H12" s="751">
        <f>+'[3]6월'!$AN$8/1000</f>
        <v>1257.309</v>
      </c>
      <c r="I12" s="752">
        <f t="shared" si="13"/>
        <v>219.69000000000005</v>
      </c>
      <c r="J12" s="773">
        <f>+[4]손익총괄!J12+E12</f>
        <v>9896.9631574406958</v>
      </c>
      <c r="K12" s="774">
        <f>+[4]손익총괄!K12+F12</f>
        <v>9981.20658</v>
      </c>
      <c r="L12" s="750">
        <f t="shared" si="1"/>
        <v>84.243422559304236</v>
      </c>
      <c r="M12" s="751">
        <f>+[4]손익총괄!M12+H12</f>
        <v>7223.0639000000001</v>
      </c>
      <c r="N12" s="752">
        <f t="shared" si="2"/>
        <v>2758.1426799999999</v>
      </c>
      <c r="O12" s="100"/>
      <c r="P12" s="103"/>
      <c r="Q12" s="114" t="s">
        <v>73</v>
      </c>
      <c r="R12" s="305"/>
      <c r="S12" s="318">
        <f>SUM(S9:S11)</f>
        <v>303.5</v>
      </c>
      <c r="T12" s="115">
        <f>SUM(T9:T11)</f>
        <v>305.15370000000001</v>
      </c>
      <c r="U12" s="756">
        <f t="shared" si="20"/>
        <v>1.6537000000000148</v>
      </c>
      <c r="V12" s="757">
        <f>SUM(V9:V11)</f>
        <v>350.08199999999999</v>
      </c>
      <c r="W12" s="758">
        <f t="shared" si="21"/>
        <v>-44.928299999999979</v>
      </c>
      <c r="X12" s="105"/>
      <c r="Z12" s="796"/>
      <c r="AA12" s="668" t="str">
        <f t="shared" si="27"/>
        <v>골재</v>
      </c>
      <c r="AB12" s="675">
        <f t="shared" si="28"/>
        <v>21.506540527820025</v>
      </c>
      <c r="AC12" s="681">
        <f t="shared" si="22"/>
        <v>14.76999</v>
      </c>
      <c r="AD12" s="678">
        <f t="shared" si="8"/>
        <v>-6.7365505278200253</v>
      </c>
      <c r="AE12" s="671">
        <f t="shared" si="23"/>
        <v>12.573090000000001</v>
      </c>
      <c r="AF12" s="687">
        <f t="shared" si="9"/>
        <v>2.1968999999999994</v>
      </c>
      <c r="AG12" s="684">
        <f t="shared" si="24"/>
        <v>98.969631574406961</v>
      </c>
      <c r="AH12" s="681">
        <f t="shared" si="25"/>
        <v>99.812065799999999</v>
      </c>
      <c r="AI12" s="678">
        <f t="shared" si="10"/>
        <v>0.84243422559303838</v>
      </c>
      <c r="AJ12" s="671">
        <f t="shared" si="26"/>
        <v>72.230638999999996</v>
      </c>
      <c r="AK12" s="675">
        <f t="shared" si="11"/>
        <v>27.581426800000003</v>
      </c>
    </row>
    <row r="13" spans="1:38" ht="21.75" customHeight="1">
      <c r="B13" s="598"/>
      <c r="C13" s="101"/>
      <c r="D13" s="116" t="s">
        <v>4</v>
      </c>
      <c r="E13" s="780">
        <f>+'[1]6월'!$E$8/1000-E10-E11-E12</f>
        <v>164.90750033333006</v>
      </c>
      <c r="F13" s="781">
        <f>+'[2]6월'!$F$8/1000-F10-F11-F12</f>
        <v>166.17921199999796</v>
      </c>
      <c r="G13" s="753">
        <f t="shared" si="12"/>
        <v>1.2717116666678976</v>
      </c>
      <c r="H13" s="754">
        <f>+'[3]6월'!$F$8/1000-H10-H11-H12</f>
        <v>181.61219099999585</v>
      </c>
      <c r="I13" s="755">
        <f t="shared" si="13"/>
        <v>-15.432978999997886</v>
      </c>
      <c r="J13" s="780">
        <f>+[4]손익총괄!J13+E13</f>
        <v>989.44500199998083</v>
      </c>
      <c r="K13" s="781">
        <f>+[4]손익총괄!K13+F13</f>
        <v>991.75997999998708</v>
      </c>
      <c r="L13" s="753">
        <f t="shared" si="1"/>
        <v>2.3149780000062492</v>
      </c>
      <c r="M13" s="754">
        <f>+[4]손익총괄!M13+H13</f>
        <v>1209.2668910000023</v>
      </c>
      <c r="N13" s="755">
        <f t="shared" si="2"/>
        <v>-217.50691100001518</v>
      </c>
      <c r="O13" s="100"/>
      <c r="P13" s="103"/>
      <c r="Q13" s="107" t="s">
        <v>74</v>
      </c>
      <c r="R13" s="302" t="s">
        <v>19</v>
      </c>
      <c r="S13" s="315">
        <f>+[5]수도권!$T$61</f>
        <v>100194.01396799617</v>
      </c>
      <c r="T13" s="108">
        <f>+[5]수도권!$U$61</f>
        <v>97972.58561150539</v>
      </c>
      <c r="U13" s="747">
        <f t="shared" si="20"/>
        <v>-2221.4283564907819</v>
      </c>
      <c r="V13" s="748">
        <f>+[6]수도권!$Q$85</f>
        <v>95370.958923016558</v>
      </c>
      <c r="W13" s="749">
        <f t="shared" si="21"/>
        <v>2601.6266884888319</v>
      </c>
      <c r="X13" s="105"/>
      <c r="Z13" s="796"/>
      <c r="AA13" s="668" t="str">
        <f t="shared" si="27"/>
        <v>기타</v>
      </c>
      <c r="AB13" s="675">
        <f t="shared" si="28"/>
        <v>1.6490750033333006</v>
      </c>
      <c r="AC13" s="681">
        <f t="shared" si="22"/>
        <v>1.6617921199999797</v>
      </c>
      <c r="AD13" s="678">
        <f t="shared" si="8"/>
        <v>1.2717116666679074E-2</v>
      </c>
      <c r="AE13" s="671">
        <f t="shared" si="23"/>
        <v>1.8161219099999584</v>
      </c>
      <c r="AF13" s="687">
        <f t="shared" si="9"/>
        <v>-0.15432978999997871</v>
      </c>
      <c r="AG13" s="684">
        <f t="shared" si="24"/>
        <v>9.8944500199998089</v>
      </c>
      <c r="AH13" s="681">
        <f t="shared" si="25"/>
        <v>9.91759979999987</v>
      </c>
      <c r="AI13" s="678">
        <f t="shared" si="10"/>
        <v>2.3149780000061071E-2</v>
      </c>
      <c r="AJ13" s="671">
        <f t="shared" si="26"/>
        <v>12.092668910000022</v>
      </c>
      <c r="AK13" s="675">
        <f t="shared" si="11"/>
        <v>-2.1750691100001518</v>
      </c>
    </row>
    <row r="14" spans="1:38" ht="21.75" customHeight="1">
      <c r="A14" s="598">
        <f>+F14/E14</f>
        <v>0.98806002348925892</v>
      </c>
      <c r="B14" s="598">
        <f>+K14/J14</f>
        <v>1.0347572798237934</v>
      </c>
      <c r="C14" s="117" t="s">
        <v>8</v>
      </c>
      <c r="D14" s="118"/>
      <c r="E14" s="780">
        <f>SUM(E10:E13)</f>
        <v>40780.478756448771</v>
      </c>
      <c r="F14" s="781">
        <f>SUM(F10:F13)</f>
        <v>40293.560797999999</v>
      </c>
      <c r="G14" s="753">
        <f t="shared" si="12"/>
        <v>-486.91795844877197</v>
      </c>
      <c r="H14" s="754">
        <f>SUM(H10:H13)</f>
        <v>44792.725859999999</v>
      </c>
      <c r="I14" s="755">
        <f t="shared" si="13"/>
        <v>-4499.165062</v>
      </c>
      <c r="J14" s="780">
        <f>SUM(J10:J13)</f>
        <v>232533.33985432205</v>
      </c>
      <c r="K14" s="781">
        <f>SUM(K10:K13)</f>
        <v>240615.56621599998</v>
      </c>
      <c r="L14" s="753">
        <f t="shared" si="1"/>
        <v>8082.2263616779237</v>
      </c>
      <c r="M14" s="754">
        <f>SUM(M10:M13)</f>
        <v>258045.21919100001</v>
      </c>
      <c r="N14" s="755">
        <f t="shared" si="2"/>
        <v>-17429.652975000034</v>
      </c>
      <c r="O14" s="100"/>
      <c r="P14" s="103"/>
      <c r="Q14" s="111"/>
      <c r="R14" s="303" t="s">
        <v>20</v>
      </c>
      <c r="S14" s="316">
        <f>+[5]영남권!$T$61</f>
        <v>102400.98092607004</v>
      </c>
      <c r="T14" s="112">
        <f>+[5]영남권!$U$61</f>
        <v>100840.35619629588</v>
      </c>
      <c r="U14" s="750">
        <f t="shared" si="20"/>
        <v>-1560.6247297741647</v>
      </c>
      <c r="V14" s="751">
        <f>+[6]영남권!$Q$85</f>
        <v>99670.720502240685</v>
      </c>
      <c r="W14" s="752">
        <f t="shared" si="21"/>
        <v>1169.6356940551923</v>
      </c>
      <c r="X14" s="105"/>
      <c r="Y14" s="598"/>
      <c r="Z14" s="696"/>
      <c r="AA14" s="706" t="s">
        <v>208</v>
      </c>
      <c r="AB14" s="707">
        <f>SUM(AB10:AB13)</f>
        <v>407.8047875644877</v>
      </c>
      <c r="AC14" s="724">
        <f t="shared" ref="AC14:AJ14" si="29">SUM(AC10:AC13)</f>
        <v>402.93560797999999</v>
      </c>
      <c r="AD14" s="708">
        <f t="shared" si="8"/>
        <v>-4.8691795844877106</v>
      </c>
      <c r="AE14" s="709">
        <f t="shared" si="29"/>
        <v>447.92725859999996</v>
      </c>
      <c r="AF14" s="710">
        <f t="shared" si="9"/>
        <v>-44.991650619999973</v>
      </c>
      <c r="AG14" s="711">
        <f t="shared" si="29"/>
        <v>2325.3333985432205</v>
      </c>
      <c r="AH14" s="724">
        <f t="shared" si="29"/>
        <v>2406.1556621599998</v>
      </c>
      <c r="AI14" s="708">
        <f t="shared" si="10"/>
        <v>80.82226361677931</v>
      </c>
      <c r="AJ14" s="709">
        <f t="shared" si="29"/>
        <v>2580.4521919099998</v>
      </c>
      <c r="AK14" s="707">
        <f t="shared" si="11"/>
        <v>-174.29652974999999</v>
      </c>
    </row>
    <row r="15" spans="1:38" ht="21.75" customHeight="1">
      <c r="C15" s="101" t="s">
        <v>5</v>
      </c>
      <c r="D15" s="110" t="s">
        <v>53</v>
      </c>
      <c r="E15" s="775">
        <f>+('[1]6월'!$Z$10+'[1]6월'!$Z$19)/1000</f>
        <v>25754.859852647274</v>
      </c>
      <c r="F15" s="776">
        <f>+('[2]6월'!$Z$10+'[2]6월'!$Z$19)/1000</f>
        <v>26624.108910000003</v>
      </c>
      <c r="G15" s="777">
        <f t="shared" si="12"/>
        <v>869.24905735272841</v>
      </c>
      <c r="H15" s="778">
        <f>+('[3]6월'!$Z$10+'[3]6월'!$Z$19)/1000</f>
        <v>27540.432863999995</v>
      </c>
      <c r="I15" s="779">
        <f t="shared" si="13"/>
        <v>-916.32395399999223</v>
      </c>
      <c r="J15" s="775">
        <f>+[4]손익총괄!J15+E15</f>
        <v>143774.57409769078</v>
      </c>
      <c r="K15" s="776">
        <f>+[4]손익총괄!K15+F15</f>
        <v>155350.48804000003</v>
      </c>
      <c r="L15" s="777">
        <f t="shared" si="1"/>
        <v>11575.913942309242</v>
      </c>
      <c r="M15" s="778">
        <f>+[4]손익총괄!M15+H15</f>
        <v>156203.45711501001</v>
      </c>
      <c r="N15" s="779">
        <f t="shared" si="2"/>
        <v>-852.9690750099835</v>
      </c>
      <c r="O15" s="100"/>
      <c r="P15" s="103"/>
      <c r="Q15" s="111"/>
      <c r="R15" s="304" t="s">
        <v>169</v>
      </c>
      <c r="S15" s="317">
        <f>+[5]중부권!$T$61</f>
        <v>106114.97697297296</v>
      </c>
      <c r="T15" s="113">
        <f>+[5]중부권!$U$61</f>
        <v>106050.92518705317</v>
      </c>
      <c r="U15" s="753">
        <f t="shared" si="20"/>
        <v>-64.051785919786198</v>
      </c>
      <c r="V15" s="754">
        <f>+[6]중부권!$Q$85</f>
        <v>102035.99167931342</v>
      </c>
      <c r="W15" s="755">
        <f t="shared" si="21"/>
        <v>4014.9335077397554</v>
      </c>
      <c r="X15" s="105"/>
      <c r="Z15" s="797" t="s">
        <v>207</v>
      </c>
      <c r="AA15" s="740" t="str">
        <f>+D30</f>
        <v>레미콘</v>
      </c>
      <c r="AB15" s="741">
        <f>+E30/100</f>
        <v>46.175047135282675</v>
      </c>
      <c r="AC15" s="742">
        <f t="shared" ref="AC15:AC19" si="30">+F30/100</f>
        <v>35.104462479999981</v>
      </c>
      <c r="AD15" s="743">
        <f t="shared" si="8"/>
        <v>-11.070584655282694</v>
      </c>
      <c r="AE15" s="744">
        <f t="shared" ref="AE15:AE19" si="31">+H30/100</f>
        <v>63.006299530000078</v>
      </c>
      <c r="AF15" s="745">
        <f t="shared" si="9"/>
        <v>-27.901837050000097</v>
      </c>
      <c r="AG15" s="746">
        <f t="shared" ref="AG15:AH15" si="32">+J30/100</f>
        <v>230.4746580340109</v>
      </c>
      <c r="AH15" s="742">
        <f t="shared" si="32"/>
        <v>209.21862096999976</v>
      </c>
      <c r="AI15" s="743">
        <f t="shared" si="10"/>
        <v>-21.256037064011139</v>
      </c>
      <c r="AJ15" s="744">
        <f t="shared" ref="AJ15:AJ19" si="33">+M30/100</f>
        <v>301.69137312989994</v>
      </c>
      <c r="AK15" s="741">
        <f t="shared" si="11"/>
        <v>-92.472752159900182</v>
      </c>
    </row>
    <row r="16" spans="1:38" ht="21.75" customHeight="1">
      <c r="C16" s="101"/>
      <c r="D16" s="106" t="s">
        <v>3</v>
      </c>
      <c r="E16" s="773">
        <f>+('[1]6월'!$AA$10+'[1]6월'!$AA$19)/1000</f>
        <v>7254.0311205052622</v>
      </c>
      <c r="F16" s="774">
        <f>+('[2]6월'!$AO$10+'[2]6월'!$AO$19)/1000</f>
        <v>7592.3475790000002</v>
      </c>
      <c r="G16" s="750">
        <f>+F16-E16</f>
        <v>338.31645849473807</v>
      </c>
      <c r="H16" s="751">
        <f>+('[3]6월'!$AO$10+'[3]6월'!$AO$19)/1000</f>
        <v>8737.8985099999991</v>
      </c>
      <c r="I16" s="752">
        <f>+F16-H16</f>
        <v>-1145.5509309999989</v>
      </c>
      <c r="J16" s="773">
        <f>+[4]손익총괄!J16+E16</f>
        <v>49564.541677726309</v>
      </c>
      <c r="K16" s="774">
        <f>+[4]손익총괄!K16+F16</f>
        <v>48171.056183000001</v>
      </c>
      <c r="L16" s="750">
        <f t="shared" si="1"/>
        <v>-1393.4854947263084</v>
      </c>
      <c r="M16" s="751">
        <f>+[4]손익총괄!M16+H16</f>
        <v>58159.216073999996</v>
      </c>
      <c r="N16" s="752">
        <f t="shared" si="2"/>
        <v>-9988.1598909999957</v>
      </c>
      <c r="O16" s="100"/>
      <c r="P16" s="103"/>
      <c r="Q16" s="114" t="s">
        <v>73</v>
      </c>
      <c r="R16" s="305"/>
      <c r="S16" s="318">
        <f>+[5]합계!$T$61</f>
        <v>102211.17607965581</v>
      </c>
      <c r="T16" s="115">
        <f>+[5]합계!$U$61</f>
        <v>100861.45397837207</v>
      </c>
      <c r="U16" s="756">
        <f>+T16-S16</f>
        <v>-1349.7221012837399</v>
      </c>
      <c r="V16" s="757">
        <f>+[6]합계!$Q$85</f>
        <v>98290.63873133529</v>
      </c>
      <c r="W16" s="758">
        <f>+T16-V16</f>
        <v>2570.8152470367786</v>
      </c>
      <c r="X16" s="105"/>
      <c r="Z16" s="798"/>
      <c r="AA16" s="698" t="str">
        <f t="shared" ref="AA16" si="34">+D31</f>
        <v>%</v>
      </c>
      <c r="AB16" s="699">
        <f>+E31</f>
        <v>0.14885048928751984</v>
      </c>
      <c r="AC16" s="700">
        <f>+F31</f>
        <v>0.11406056261488277</v>
      </c>
      <c r="AD16" s="701">
        <f t="shared" si="8"/>
        <v>-3.478992667263707E-2</v>
      </c>
      <c r="AE16" s="702">
        <f>+H31</f>
        <v>0.18312210004608095</v>
      </c>
      <c r="AF16" s="703">
        <f t="shared" si="9"/>
        <v>-6.9061537431198181E-2</v>
      </c>
      <c r="AG16" s="704">
        <f>+J31</f>
        <v>0.13495361697598268</v>
      </c>
      <c r="AH16" s="700">
        <f>+K31</f>
        <v>0.1160785299818721</v>
      </c>
      <c r="AI16" s="701">
        <f t="shared" si="10"/>
        <v>-1.8875086994110585E-2</v>
      </c>
      <c r="AJ16" s="702">
        <f>+M31</f>
        <v>0.15856379029664039</v>
      </c>
      <c r="AK16" s="699">
        <f t="shared" si="11"/>
        <v>-4.2485260314768292E-2</v>
      </c>
      <c r="AL16" s="705"/>
    </row>
    <row r="17" spans="2:37" ht="21.75" customHeight="1">
      <c r="C17" s="101"/>
      <c r="D17" s="106" t="s">
        <v>1</v>
      </c>
      <c r="E17" s="773">
        <f>+('[1]6월'!$AE$10+'[1]6월'!$AE$19)/1000</f>
        <v>1904.2025176554455</v>
      </c>
      <c r="F17" s="774">
        <f>+('[2]6월'!$AN$10+'[2]6월'!$AN$19)/1000</f>
        <v>1456.89688</v>
      </c>
      <c r="G17" s="750">
        <f t="shared" si="12"/>
        <v>-447.30563765544548</v>
      </c>
      <c r="H17" s="751">
        <f>+('[3]6월'!$AN$10+'[3]6월'!$AN$19)/1000</f>
        <v>1192.0180110000001</v>
      </c>
      <c r="I17" s="752">
        <f t="shared" si="13"/>
        <v>264.8788689999999</v>
      </c>
      <c r="J17" s="773">
        <f>+[4]손익총괄!J17+E17</f>
        <v>8951.4712094207662</v>
      </c>
      <c r="K17" s="774">
        <f>+[4]손익총괄!K17+F17</f>
        <v>8992.6372180099988</v>
      </c>
      <c r="L17" s="750">
        <f t="shared" si="1"/>
        <v>41.166008589232661</v>
      </c>
      <c r="M17" s="751">
        <f>+[4]손익총괄!M17+H17</f>
        <v>6437.7238609799997</v>
      </c>
      <c r="N17" s="752">
        <f t="shared" si="2"/>
        <v>2554.9133570299991</v>
      </c>
      <c r="O17" s="100"/>
      <c r="P17" s="103"/>
      <c r="Q17" s="297" t="s">
        <v>75</v>
      </c>
      <c r="R17" s="306" t="s">
        <v>19</v>
      </c>
      <c r="S17" s="319">
        <f>+[5]수도권!$Q$90</f>
        <v>22851.4800848796</v>
      </c>
      <c r="T17" s="119">
        <f>+[5]수도권!$R$90</f>
        <v>17945.083722404932</v>
      </c>
      <c r="U17" s="759">
        <f t="shared" si="20"/>
        <v>-4906.3963624746684</v>
      </c>
      <c r="V17" s="760">
        <f>+[6]수도권!$Q$90</f>
        <v>23158.156585301462</v>
      </c>
      <c r="W17" s="761">
        <f t="shared" si="21"/>
        <v>-5213.0728628965298</v>
      </c>
      <c r="X17" s="105"/>
      <c r="Z17" s="798"/>
      <c r="AA17" s="669" t="str">
        <f t="shared" ref="AA17" si="35">+D32</f>
        <v>건자재</v>
      </c>
      <c r="AB17" s="677">
        <f t="shared" ref="AB17:AB19" si="36">+E32/100</f>
        <v>0.65463102652634031</v>
      </c>
      <c r="AC17" s="683">
        <f t="shared" si="30"/>
        <v>1.5016983999999944</v>
      </c>
      <c r="AD17" s="680">
        <f t="shared" si="8"/>
        <v>0.84706737347365413</v>
      </c>
      <c r="AE17" s="673">
        <f t="shared" si="31"/>
        <v>1.170250420000013</v>
      </c>
      <c r="AF17" s="689">
        <f t="shared" si="9"/>
        <v>0.33144797999998143</v>
      </c>
      <c r="AG17" s="686">
        <f t="shared" ref="AG17:AH17" si="37">+J32/100</f>
        <v>5.4671992806317347</v>
      </c>
      <c r="AH17" s="683">
        <f t="shared" si="37"/>
        <v>4.1512243499999606</v>
      </c>
      <c r="AI17" s="680">
        <f t="shared" si="10"/>
        <v>-1.3159749306317741</v>
      </c>
      <c r="AJ17" s="673">
        <f t="shared" si="33"/>
        <v>4.938941070000042</v>
      </c>
      <c r="AK17" s="677">
        <f t="shared" si="11"/>
        <v>-0.78771672000008142</v>
      </c>
    </row>
    <row r="18" spans="2:37" ht="21.75" customHeight="1">
      <c r="C18" s="101"/>
      <c r="D18" s="116" t="s">
        <v>4</v>
      </c>
      <c r="E18" s="780">
        <f>+('[1]6월'!$E$10+'[1]6월'!$E$19)/1000-E15-E16-E17</f>
        <v>-1218.7369130000027</v>
      </c>
      <c r="F18" s="781">
        <f>+('[2]6월'!$F$10+'[2]6월'!$F$19)/1000-F15-F16-F17</f>
        <v>194.15653700000371</v>
      </c>
      <c r="G18" s="753">
        <f t="shared" si="12"/>
        <v>1412.8934500000064</v>
      </c>
      <c r="H18" s="754">
        <f>+('[3]6월'!$F$10+'[3]6월'!$F$19)/1000-H15-H16-H17</f>
        <v>158.33376600000338</v>
      </c>
      <c r="I18" s="755">
        <f t="shared" si="13"/>
        <v>35.82277100000033</v>
      </c>
      <c r="J18" s="780">
        <f>+[4]손익총괄!J18+E18</f>
        <v>-980.77399500001025</v>
      </c>
      <c r="K18" s="781">
        <f>+[4]손익총괄!K18+F18</f>
        <v>325.56325300001004</v>
      </c>
      <c r="L18" s="753">
        <f t="shared" si="1"/>
        <v>1306.3372480000203</v>
      </c>
      <c r="M18" s="754">
        <f>+[4]손익총괄!M18+H18</f>
        <v>398.80390500002159</v>
      </c>
      <c r="N18" s="755">
        <f t="shared" si="2"/>
        <v>-73.240652000011551</v>
      </c>
      <c r="O18" s="100"/>
      <c r="P18" s="103"/>
      <c r="Q18" s="298"/>
      <c r="R18" s="307" t="s">
        <v>20</v>
      </c>
      <c r="S18" s="320">
        <f>+[5]영남권!$Q$90</f>
        <v>27580.608603668603</v>
      </c>
      <c r="T18" s="120">
        <f>+[5]영남권!$R$90</f>
        <v>22708.372432297765</v>
      </c>
      <c r="U18" s="762">
        <f t="shared" si="20"/>
        <v>-4872.2361713708378</v>
      </c>
      <c r="V18" s="763">
        <f>+[6]영남권!$Q$90</f>
        <v>28613.943140334712</v>
      </c>
      <c r="W18" s="764">
        <f t="shared" si="21"/>
        <v>-5905.5707080369466</v>
      </c>
      <c r="X18" s="105"/>
      <c r="Z18" s="798"/>
      <c r="AA18" s="669" t="str">
        <f t="shared" ref="AA18" si="38">+D33</f>
        <v>골재</v>
      </c>
      <c r="AB18" s="677">
        <f t="shared" si="36"/>
        <v>2.1126678512655701</v>
      </c>
      <c r="AC18" s="683">
        <f t="shared" si="30"/>
        <v>-0.24058962445367485</v>
      </c>
      <c r="AD18" s="680">
        <f t="shared" si="8"/>
        <v>-2.353257475719245</v>
      </c>
      <c r="AE18" s="673">
        <f t="shared" si="31"/>
        <v>7.0288269999998571E-2</v>
      </c>
      <c r="AF18" s="689">
        <f t="shared" si="9"/>
        <v>-0.31087789445367342</v>
      </c>
      <c r="AG18" s="686">
        <f t="shared" ref="AG18:AH18" si="39">+J33/100</f>
        <v>5.4241676290881857</v>
      </c>
      <c r="AH18" s="683">
        <f t="shared" si="39"/>
        <v>7.2051825304167503</v>
      </c>
      <c r="AI18" s="680">
        <f t="shared" si="10"/>
        <v>1.7810149013285645</v>
      </c>
      <c r="AJ18" s="673">
        <f t="shared" si="33"/>
        <v>5.3583128502000044</v>
      </c>
      <c r="AK18" s="677">
        <f t="shared" si="11"/>
        <v>1.8468696802167459</v>
      </c>
    </row>
    <row r="19" spans="2:37" ht="21.75" customHeight="1">
      <c r="C19" s="101" t="s">
        <v>8</v>
      </c>
      <c r="D19" s="121"/>
      <c r="E19" s="773">
        <f>SUM(E15:E18)</f>
        <v>33694.356577807979</v>
      </c>
      <c r="F19" s="774">
        <f>SUM(F15:F18)</f>
        <v>35867.509906000007</v>
      </c>
      <c r="G19" s="750">
        <f t="shared" si="12"/>
        <v>2173.1533281920274</v>
      </c>
      <c r="H19" s="751">
        <f>SUM(H15:H18)</f>
        <v>37628.683150999997</v>
      </c>
      <c r="I19" s="752">
        <f t="shared" si="13"/>
        <v>-1761.1732449999909</v>
      </c>
      <c r="J19" s="773">
        <f>SUM(J15:J18)</f>
        <v>201309.81298983787</v>
      </c>
      <c r="K19" s="774">
        <f>SUM(K15:K18)</f>
        <v>212839.74469401003</v>
      </c>
      <c r="L19" s="750">
        <f t="shared" si="1"/>
        <v>11529.931704172166</v>
      </c>
      <c r="M19" s="751">
        <f>SUM(M15:M18)</f>
        <v>221199.20095499002</v>
      </c>
      <c r="N19" s="752">
        <f t="shared" si="2"/>
        <v>-8359.4562609799905</v>
      </c>
      <c r="O19" s="100"/>
      <c r="P19" s="103"/>
      <c r="Q19" s="298"/>
      <c r="R19" s="308" t="s">
        <v>169</v>
      </c>
      <c r="S19" s="321">
        <f>+[5]중부권!$Q$90</f>
        <v>30509.327219911007</v>
      </c>
      <c r="T19" s="122">
        <f>+[5]중부권!$R$90</f>
        <v>30006.058032919405</v>
      </c>
      <c r="U19" s="765">
        <f t="shared" si="20"/>
        <v>-503.2691869916016</v>
      </c>
      <c r="V19" s="766">
        <f>+[6]중부권!$Q$90</f>
        <v>30764.149865887084</v>
      </c>
      <c r="W19" s="767">
        <f t="shared" si="21"/>
        <v>-758.09183296767878</v>
      </c>
      <c r="X19" s="105"/>
      <c r="Z19" s="798"/>
      <c r="AA19" s="669" t="str">
        <f t="shared" ref="AA19" si="40">+D34</f>
        <v>기타</v>
      </c>
      <c r="AB19" s="677">
        <f t="shared" si="36"/>
        <v>-13.145548979275302</v>
      </c>
      <c r="AC19" s="683">
        <f t="shared" si="30"/>
        <v>-19.609079585523407</v>
      </c>
      <c r="AD19" s="680">
        <f t="shared" si="8"/>
        <v>-6.4635306062481046</v>
      </c>
      <c r="AE19" s="673">
        <f t="shared" si="31"/>
        <v>-25.76338790000008</v>
      </c>
      <c r="AF19" s="689">
        <f t="shared" si="9"/>
        <v>6.1543083144766726</v>
      </c>
      <c r="AG19" s="686">
        <f t="shared" ref="AG19:AH19" si="41">+J34/100</f>
        <v>-74.105708112148918</v>
      </c>
      <c r="AH19" s="683">
        <f t="shared" si="41"/>
        <v>-97.111669410476992</v>
      </c>
      <c r="AI19" s="680">
        <f t="shared" si="10"/>
        <v>-23.005961298328074</v>
      </c>
      <c r="AJ19" s="673">
        <f t="shared" si="33"/>
        <v>-77.717660910000191</v>
      </c>
      <c r="AK19" s="677">
        <f t="shared" si="11"/>
        <v>-19.394008500476801</v>
      </c>
    </row>
    <row r="20" spans="2:37" ht="21.75" customHeight="1">
      <c r="C20" s="109" t="s">
        <v>18</v>
      </c>
      <c r="D20" s="110" t="s">
        <v>53</v>
      </c>
      <c r="E20" s="775">
        <f t="shared" ref="E20:F23" si="42">+E10-E15</f>
        <v>5266.2320875282676</v>
      </c>
      <c r="F20" s="776">
        <f t="shared" si="42"/>
        <v>4152.9288979999983</v>
      </c>
      <c r="G20" s="777">
        <f t="shared" si="12"/>
        <v>-1113.3031895282693</v>
      </c>
      <c r="H20" s="778">
        <f t="shared" ref="H20" si="43">+H10-H15</f>
        <v>6866.2823900000076</v>
      </c>
      <c r="I20" s="779">
        <f t="shared" si="13"/>
        <v>-2713.3534920000093</v>
      </c>
      <c r="J20" s="775">
        <f t="shared" ref="J20:K20" si="44">+J10-J15</f>
        <v>27006.071281401091</v>
      </c>
      <c r="K20" s="776">
        <f t="shared" si="44"/>
        <v>24888.373532999976</v>
      </c>
      <c r="L20" s="777">
        <f t="shared" si="1"/>
        <v>-2117.6977484011149</v>
      </c>
      <c r="M20" s="778">
        <f t="shared" ref="M20" si="45">+M10-M15</f>
        <v>34061.528708989994</v>
      </c>
      <c r="N20" s="779">
        <f t="shared" si="2"/>
        <v>-9173.1551759900176</v>
      </c>
      <c r="O20" s="100"/>
      <c r="P20" s="103"/>
      <c r="Q20" s="299" t="s">
        <v>73</v>
      </c>
      <c r="R20" s="309"/>
      <c r="S20" s="322">
        <f>+[5]합계!$Q$90</f>
        <v>26254.127632354473</v>
      </c>
      <c r="T20" s="123">
        <f>+[5]합계!$R$90</f>
        <v>22476.760354761427</v>
      </c>
      <c r="U20" s="768">
        <f t="shared" si="20"/>
        <v>-3777.3672775930463</v>
      </c>
      <c r="V20" s="769">
        <f>+[6]합계!$Q$90</f>
        <v>26722.744249852301</v>
      </c>
      <c r="W20" s="770">
        <f t="shared" si="21"/>
        <v>-4245.9838950908743</v>
      </c>
      <c r="X20" s="105"/>
      <c r="Z20" s="798"/>
      <c r="AA20" s="712" t="s">
        <v>208</v>
      </c>
      <c r="AB20" s="713">
        <f>+AB15+AB17+AB18+AB19</f>
        <v>35.79679703379928</v>
      </c>
      <c r="AC20" s="725">
        <f>+AC15+AC17+AC18+AC19</f>
        <v>16.756491670022893</v>
      </c>
      <c r="AD20" s="714">
        <f t="shared" si="8"/>
        <v>-19.040305363776387</v>
      </c>
      <c r="AE20" s="715">
        <f>+AE15+AE17+AE18+AE19</f>
        <v>38.483450320000003</v>
      </c>
      <c r="AF20" s="716">
        <f t="shared" si="9"/>
        <v>-21.72695864997711</v>
      </c>
      <c r="AG20" s="717">
        <f t="shared" ref="AG20:AH20" si="46">+AG15+AG17+AG18+AG19</f>
        <v>167.26031683158192</v>
      </c>
      <c r="AH20" s="725">
        <f t="shared" si="46"/>
        <v>123.46335843993947</v>
      </c>
      <c r="AI20" s="714">
        <f t="shared" si="10"/>
        <v>-43.796958391642448</v>
      </c>
      <c r="AJ20" s="715">
        <f>+AJ15+AJ17+AJ18+AJ19</f>
        <v>234.2709661400998</v>
      </c>
      <c r="AK20" s="713">
        <f t="shared" si="11"/>
        <v>-110.80760770016033</v>
      </c>
    </row>
    <row r="21" spans="2:37" ht="21.75" customHeight="1" thickBot="1">
      <c r="C21" s="101"/>
      <c r="D21" s="106" t="s">
        <v>3</v>
      </c>
      <c r="E21" s="773">
        <f t="shared" si="42"/>
        <v>189.79414265263404</v>
      </c>
      <c r="F21" s="774">
        <f t="shared" si="42"/>
        <v>280.99719899999945</v>
      </c>
      <c r="G21" s="750">
        <f>+F21-E21</f>
        <v>91.203056347365418</v>
      </c>
      <c r="H21" s="751">
        <f t="shared" ref="H21" si="47">+H11-H16</f>
        <v>209.19090500000129</v>
      </c>
      <c r="I21" s="752">
        <f>+F21-H21</f>
        <v>71.806293999998161</v>
      </c>
      <c r="J21" s="773">
        <f t="shared" ref="J21:K21" si="48">+J11-J16</f>
        <v>1301.7446380631736</v>
      </c>
      <c r="K21" s="774">
        <f t="shared" si="48"/>
        <v>1232.6818999999959</v>
      </c>
      <c r="L21" s="750">
        <f t="shared" si="1"/>
        <v>-69.062738063177676</v>
      </c>
      <c r="M21" s="751">
        <f t="shared" ref="M21" si="49">+M11-M16</f>
        <v>1188.6865020000041</v>
      </c>
      <c r="N21" s="752">
        <f t="shared" si="2"/>
        <v>43.995397999991837</v>
      </c>
      <c r="O21" s="100"/>
      <c r="P21" s="103"/>
      <c r="Q21" s="157" t="s">
        <v>106</v>
      </c>
      <c r="R21" s="158"/>
      <c r="S21" s="159"/>
      <c r="T21" s="165"/>
      <c r="U21" s="159"/>
      <c r="X21" s="105"/>
      <c r="Z21" s="697"/>
      <c r="AA21" s="718" t="str">
        <f t="shared" ref="AA21:AK21" si="50">+D36</f>
        <v>%</v>
      </c>
      <c r="AB21" s="719">
        <f t="shared" si="50"/>
        <v>8.7779246652759324E-2</v>
      </c>
      <c r="AC21" s="726">
        <f t="shared" si="50"/>
        <v>4.1586028482383769E-2</v>
      </c>
      <c r="AD21" s="720">
        <f t="shared" si="50"/>
        <v>-4.6193218170375555E-2</v>
      </c>
      <c r="AE21" s="721">
        <f t="shared" si="50"/>
        <v>8.5914508619726174E-2</v>
      </c>
      <c r="AF21" s="722">
        <f t="shared" si="50"/>
        <v>-4.4328480137342405E-2</v>
      </c>
      <c r="AG21" s="723">
        <f t="shared" si="50"/>
        <v>7.192960671203856E-2</v>
      </c>
      <c r="AH21" s="726">
        <f t="shared" si="50"/>
        <v>5.1311459346361138E-2</v>
      </c>
      <c r="AI21" s="720">
        <f t="shared" si="50"/>
        <v>-2.0618147365677422E-2</v>
      </c>
      <c r="AJ21" s="721">
        <f t="shared" si="50"/>
        <v>9.0786788019001058E-2</v>
      </c>
      <c r="AK21" s="719">
        <f t="shared" si="50"/>
        <v>-3.947532867263992E-2</v>
      </c>
    </row>
    <row r="22" spans="2:37" ht="21.75" customHeight="1">
      <c r="C22" s="101"/>
      <c r="D22" s="106" t="s">
        <v>1</v>
      </c>
      <c r="E22" s="773">
        <f t="shared" si="42"/>
        <v>246.45153512655702</v>
      </c>
      <c r="F22" s="774">
        <f t="shared" si="42"/>
        <v>20.102120000000014</v>
      </c>
      <c r="G22" s="750">
        <f t="shared" si="12"/>
        <v>-226.34941512655701</v>
      </c>
      <c r="H22" s="751">
        <f t="shared" ref="H22" si="51">+H12-H17</f>
        <v>65.290988999999854</v>
      </c>
      <c r="I22" s="752">
        <f t="shared" si="13"/>
        <v>-45.188868999999841</v>
      </c>
      <c r="J22" s="773">
        <f t="shared" ref="J22:K22" si="52">+J12-J17</f>
        <v>945.49194801992962</v>
      </c>
      <c r="K22" s="774">
        <f t="shared" si="52"/>
        <v>988.5693619900012</v>
      </c>
      <c r="L22" s="750">
        <f t="shared" si="1"/>
        <v>43.077413970071575</v>
      </c>
      <c r="M22" s="751">
        <f t="shared" ref="M22" si="53">+M12-M17</f>
        <v>785.3400390200004</v>
      </c>
      <c r="N22" s="752">
        <f t="shared" si="2"/>
        <v>203.22932297000079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  <c r="Z22" s="784" t="s">
        <v>220</v>
      </c>
    </row>
    <row r="23" spans="2:37" ht="21.75" customHeight="1">
      <c r="C23" s="101"/>
      <c r="D23" s="116" t="s">
        <v>4</v>
      </c>
      <c r="E23" s="780">
        <f t="shared" si="42"/>
        <v>1383.6444133333327</v>
      </c>
      <c r="F23" s="781">
        <f t="shared" si="42"/>
        <v>-27.977325000005749</v>
      </c>
      <c r="G23" s="753">
        <f t="shared" si="12"/>
        <v>-1411.6217383333385</v>
      </c>
      <c r="H23" s="754">
        <f t="shared" ref="H23" si="54">+H13-H18</f>
        <v>23.278424999992467</v>
      </c>
      <c r="I23" s="755">
        <f t="shared" si="13"/>
        <v>-51.255749999998216</v>
      </c>
      <c r="J23" s="780">
        <f t="shared" ref="J23:K23" si="55">+J13-J18</f>
        <v>1970.2189969999911</v>
      </c>
      <c r="K23" s="781">
        <f t="shared" si="55"/>
        <v>666.19672699997705</v>
      </c>
      <c r="L23" s="753">
        <f t="shared" si="1"/>
        <v>-1304.022270000014</v>
      </c>
      <c r="M23" s="754">
        <f t="shared" ref="M23" si="56">+M13-M18</f>
        <v>810.46298599998067</v>
      </c>
      <c r="N23" s="755">
        <f t="shared" si="2"/>
        <v>-144.26625900000363</v>
      </c>
      <c r="O23" s="100"/>
      <c r="P23" s="103"/>
      <c r="Q23" s="160" t="s">
        <v>107</v>
      </c>
      <c r="R23" s="161"/>
      <c r="S23" s="331">
        <f>+'[7]6월'!$F$10</f>
        <v>974590.16393442615</v>
      </c>
      <c r="T23" s="337">
        <f>+'[7]6월'!$G$10</f>
        <v>785072.67759542307</v>
      </c>
      <c r="U23" s="334">
        <f>+T23-S23</f>
        <v>-189517.48633900308</v>
      </c>
      <c r="V23" s="313">
        <f>+'[8]6월'!$G$10</f>
        <v>1043902.0889611768</v>
      </c>
      <c r="W23" s="310">
        <f>+T23-V23</f>
        <v>-258829.41136575374</v>
      </c>
      <c r="X23" s="105"/>
    </row>
    <row r="24" spans="2:37" ht="21.75" customHeight="1">
      <c r="C24" s="117" t="s">
        <v>8</v>
      </c>
      <c r="D24" s="118"/>
      <c r="E24" s="780">
        <f>SUM(E20:E23)</f>
        <v>7086.1221786407914</v>
      </c>
      <c r="F24" s="781">
        <f>SUM(F20:F23)</f>
        <v>4426.050891999992</v>
      </c>
      <c r="G24" s="753">
        <f t="shared" si="12"/>
        <v>-2660.0712866407994</v>
      </c>
      <c r="H24" s="754">
        <f>SUM(H20:H23)</f>
        <v>7164.0427090000012</v>
      </c>
      <c r="I24" s="755">
        <f t="shared" si="13"/>
        <v>-2737.9918170000092</v>
      </c>
      <c r="J24" s="780">
        <f>SUM(J20:J23)</f>
        <v>31223.526864484189</v>
      </c>
      <c r="K24" s="781">
        <f>SUM(K20:K23)</f>
        <v>27775.82152198995</v>
      </c>
      <c r="L24" s="753">
        <f t="shared" si="1"/>
        <v>-3447.7053424942387</v>
      </c>
      <c r="M24" s="754">
        <f>SUM(M20:M23)</f>
        <v>36846.018236009986</v>
      </c>
      <c r="N24" s="755">
        <f t="shared" si="2"/>
        <v>-9070.1967140200359</v>
      </c>
      <c r="O24" s="100"/>
      <c r="P24" s="103"/>
      <c r="Q24" s="162" t="s">
        <v>108</v>
      </c>
      <c r="R24" s="163"/>
      <c r="S24" s="332">
        <f>+'[7]6월'!$F$15</f>
        <v>2.3156433978132884E-2</v>
      </c>
      <c r="T24" s="338">
        <f>+'[7]6월'!$G$15</f>
        <v>3.7059976070507129E-2</v>
      </c>
      <c r="U24" s="335">
        <f>+T24-S24</f>
        <v>1.3903542092374245E-2</v>
      </c>
      <c r="V24" s="314">
        <f>+'[8]6월'!$G$15</f>
        <v>2.3814617122833455E-2</v>
      </c>
      <c r="W24" s="311">
        <f>+T24-V24</f>
        <v>1.3245358947673674E-2</v>
      </c>
      <c r="X24" s="105"/>
    </row>
    <row r="25" spans="2:37" ht="21.75" customHeight="1">
      <c r="C25" s="109" t="s">
        <v>6</v>
      </c>
      <c r="D25" s="110" t="s">
        <v>53</v>
      </c>
      <c r="E25" s="775">
        <f>+('[1]6월'!$Z$13+'[1]6월'!$Z$20)/1000</f>
        <v>648.72737400000005</v>
      </c>
      <c r="F25" s="776">
        <f>+('[2]6월'!$Z$13+'[2]6월'!$Z$20)/1000</f>
        <v>642.48265000000004</v>
      </c>
      <c r="G25" s="777">
        <f t="shared" si="12"/>
        <v>-6.2447240000000193</v>
      </c>
      <c r="H25" s="778">
        <f>+('[3]6월'!$Z$13+'[3]6월'!$Z$20)/1000</f>
        <v>565.65243700000008</v>
      </c>
      <c r="I25" s="779">
        <f t="shared" si="13"/>
        <v>76.830212999999958</v>
      </c>
      <c r="J25" s="775">
        <f>+[4]손익총괄!J25+E25</f>
        <v>3958.6054779999999</v>
      </c>
      <c r="K25" s="776">
        <f>+[4]손익총괄!K25+F25</f>
        <v>3966.5114360000002</v>
      </c>
      <c r="L25" s="777">
        <f t="shared" si="1"/>
        <v>7.9059580000002825</v>
      </c>
      <c r="M25" s="778">
        <f>+[4]손익총괄!M25+H25</f>
        <v>3892.3913960000004</v>
      </c>
      <c r="N25" s="779">
        <f t="shared" si="2"/>
        <v>74.12003999999979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>
      <c r="C26" s="101"/>
      <c r="D26" s="106" t="s">
        <v>85</v>
      </c>
      <c r="E26" s="773">
        <f>+('[1]6월'!$AA$13+'[1]6월'!$AA$20)/1000</f>
        <v>124.33104</v>
      </c>
      <c r="F26" s="774">
        <f>+('[2]6월'!$AO$13+'[2]6월'!$AO$20)/1000</f>
        <v>130.827359</v>
      </c>
      <c r="G26" s="750">
        <f>+F26-E26</f>
        <v>6.4963189999999997</v>
      </c>
      <c r="H26" s="751">
        <f>+('[3]6월'!$AO$13+'[3]6월'!$AO$20)/1000</f>
        <v>92.165863000000002</v>
      </c>
      <c r="I26" s="752">
        <f>+F26-H26</f>
        <v>38.661496</v>
      </c>
      <c r="J26" s="773">
        <f>+[4]손익총괄!J26+E26</f>
        <v>755.02471000000014</v>
      </c>
      <c r="K26" s="774">
        <f>+[4]손익총괄!K26+F26</f>
        <v>817.55946499999993</v>
      </c>
      <c r="L26" s="750">
        <f t="shared" si="1"/>
        <v>62.534754999999791</v>
      </c>
      <c r="M26" s="751">
        <f>+[4]손익총괄!M26+H26</f>
        <v>694.79239499999994</v>
      </c>
      <c r="N26" s="752">
        <f t="shared" si="2"/>
        <v>122.76706999999999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</row>
    <row r="27" spans="2:37" ht="21.75" customHeight="1">
      <c r="C27" s="101"/>
      <c r="D27" s="106" t="s">
        <v>1</v>
      </c>
      <c r="E27" s="773">
        <f>+('[1]6월'!$AE$13+'[1]6월'!$AE$20+'[1]6월'!$AE$22)/1000</f>
        <v>35.184750000000001</v>
      </c>
      <c r="F27" s="774">
        <f>+('[2]6월'!$AN$13+'[2]6월'!$AN$20+'[2]6월'!$AN$22)/1000</f>
        <v>44.161082445367498</v>
      </c>
      <c r="G27" s="750">
        <f t="shared" si="12"/>
        <v>8.9763324453674969</v>
      </c>
      <c r="H27" s="751">
        <f>+('[3]6월'!$AN$13+'[3]6월'!$AN$20+'[3]6월'!$AN$22)/1000</f>
        <v>58.262161999999996</v>
      </c>
      <c r="I27" s="752">
        <f t="shared" si="13"/>
        <v>-14.101079554632499</v>
      </c>
      <c r="J27" s="773">
        <f>+[4]손익총괄!J27+E27</f>
        <v>403.07518511111113</v>
      </c>
      <c r="K27" s="774">
        <f>+[4]손익총괄!K27+F27</f>
        <v>268.05110894832615</v>
      </c>
      <c r="L27" s="750">
        <f t="shared" si="1"/>
        <v>-135.02407616278498</v>
      </c>
      <c r="M27" s="751">
        <f>+[4]손익총괄!M27+H27</f>
        <v>249.50875399999995</v>
      </c>
      <c r="N27" s="752">
        <f t="shared" si="2"/>
        <v>18.542354948326192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56.648198768204708</v>
      </c>
      <c r="T27" s="337">
        <f>(+'[9]서부산크라샤(당월)'!$O$66+'[9]부산모래장(당월)'!$R$48+'[9]부산크라샤(당월)'!$O$66)/1000</f>
        <v>47.014000000000003</v>
      </c>
      <c r="U27" s="334">
        <f>+T27-S27</f>
        <v>-9.6341987682047048</v>
      </c>
      <c r="V27" s="313">
        <f>('[10]부산골재(당월)'!$R$48+'[10]서부산골재(당월)'!$O$66+'[10]부산크라샤(당월)'!$O$66)/1000</f>
        <v>46.66</v>
      </c>
      <c r="W27" s="310">
        <f>+T27-V27</f>
        <v>0.35400000000000631</v>
      </c>
      <c r="X27" s="105"/>
    </row>
    <row r="28" spans="2:37" ht="21.75" customHeight="1">
      <c r="B28" s="98"/>
      <c r="C28" s="101"/>
      <c r="D28" s="116" t="s">
        <v>4</v>
      </c>
      <c r="E28" s="780">
        <f>+('[1]6월'!$E$13+'[1]6월'!$E$20)/1000-E25-E26-E27+('[1]6월'!$E$22/1000)</f>
        <v>2698.1993112608629</v>
      </c>
      <c r="F28" s="781">
        <f>+('[2]6월'!$F$13+'[2]6월'!$F$20)/1000-F25-F26-F27+'[2]6월'!$F$22/1000</f>
        <v>1932.9306335523349</v>
      </c>
      <c r="G28" s="753">
        <f t="shared" si="12"/>
        <v>-765.268677708528</v>
      </c>
      <c r="H28" s="754">
        <f>+('[3]6월'!$F$13+'[3]6월'!$F$20)/1000-H25-H26-H27+'[3]6월'!$F$22/1000</f>
        <v>2599.6172150000002</v>
      </c>
      <c r="I28" s="755">
        <f t="shared" si="13"/>
        <v>-666.68658144766528</v>
      </c>
      <c r="J28" s="780">
        <f>+[4]손익총괄!J28+E28</f>
        <v>9380.7898082148822</v>
      </c>
      <c r="K28" s="781">
        <f>+[4]손익총괄!K28+F28</f>
        <v>10377.363668047676</v>
      </c>
      <c r="L28" s="753">
        <f t="shared" si="1"/>
        <v>996.57385983279346</v>
      </c>
      <c r="M28" s="754">
        <f>+[4]손익총괄!M28+H28</f>
        <v>8582.229077</v>
      </c>
      <c r="N28" s="755">
        <f t="shared" si="2"/>
        <v>1795.1345910476757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62.8</v>
      </c>
      <c r="T28" s="154">
        <f>(+'[9]서부산크라샤(당월)'!$O$59+'[9]부산모래장(당월)'!$R$47+'[9]부산크라샤(당월)'!$O$59)/1000</f>
        <v>29.31</v>
      </c>
      <c r="U28" s="336">
        <f>+T28-S28</f>
        <v>-33.489999999999995</v>
      </c>
      <c r="V28" s="73">
        <f>+('[10]부산골재(당월)'!$R$47+'[10]서부산골재(당월)'!$O$59+'[10]부산크라샤(당월)'!$O$59)/1000</f>
        <v>17.913</v>
      </c>
      <c r="W28" s="312">
        <f>+T28-V28</f>
        <v>11.396999999999998</v>
      </c>
      <c r="X28" s="105"/>
    </row>
    <row r="29" spans="2:37" ht="21.75" customHeight="1">
      <c r="C29" s="117" t="s">
        <v>8</v>
      </c>
      <c r="D29" s="118"/>
      <c r="E29" s="780">
        <f>SUM(E25:E28)</f>
        <v>3506.4424752608629</v>
      </c>
      <c r="F29" s="781">
        <f>SUM(F25:F28)</f>
        <v>2750.4017249977023</v>
      </c>
      <c r="G29" s="753">
        <f t="shared" si="12"/>
        <v>-756.04075026316059</v>
      </c>
      <c r="H29" s="754">
        <f>SUM(H25:H28)</f>
        <v>3315.6976770000001</v>
      </c>
      <c r="I29" s="755">
        <f t="shared" si="13"/>
        <v>-565.29595200229778</v>
      </c>
      <c r="J29" s="780">
        <f>SUM(J25:J28)</f>
        <v>14497.495181325994</v>
      </c>
      <c r="K29" s="781">
        <f>SUM(K25:K28)</f>
        <v>15429.485677996003</v>
      </c>
      <c r="L29" s="753">
        <f t="shared" si="1"/>
        <v>931.99049667000872</v>
      </c>
      <c r="M29" s="754">
        <f>SUM(M25:M28)</f>
        <v>13418.921622</v>
      </c>
      <c r="N29" s="755">
        <f t="shared" si="2"/>
        <v>2010.5640559960029</v>
      </c>
      <c r="O29" s="100"/>
      <c r="P29" s="103"/>
      <c r="Q29" s="815" t="s">
        <v>141</v>
      </c>
      <c r="R29" s="816"/>
      <c r="S29" s="333">
        <f>SUM(S27:S28)</f>
        <v>119.4481987682047</v>
      </c>
      <c r="T29" s="154">
        <f>SUM(T27:T28)</f>
        <v>76.323999999999998</v>
      </c>
      <c r="U29" s="336">
        <f>+T29-S29</f>
        <v>-43.124198768204707</v>
      </c>
      <c r="V29" s="73">
        <f>SUM(V27:V28)</f>
        <v>64.572999999999993</v>
      </c>
      <c r="W29" s="312">
        <f>+T29-V29</f>
        <v>11.751000000000005</v>
      </c>
      <c r="X29" s="105"/>
    </row>
    <row r="30" spans="2:37" ht="21.75" customHeight="1">
      <c r="B30" s="598"/>
      <c r="C30" s="101" t="s">
        <v>7</v>
      </c>
      <c r="D30" s="110" t="s">
        <v>53</v>
      </c>
      <c r="E30" s="775">
        <f>+E20-E25</f>
        <v>4617.5047135282675</v>
      </c>
      <c r="F30" s="782">
        <f>+F20-F25</f>
        <v>3510.4462479999984</v>
      </c>
      <c r="G30" s="777">
        <f t="shared" si="12"/>
        <v>-1107.0584655282692</v>
      </c>
      <c r="H30" s="778">
        <f>+H20-H25</f>
        <v>6300.6299530000078</v>
      </c>
      <c r="I30" s="779">
        <f t="shared" si="13"/>
        <v>-2790.1837050000095</v>
      </c>
      <c r="J30" s="775">
        <f>+J20-J25</f>
        <v>23047.46580340109</v>
      </c>
      <c r="K30" s="782">
        <f>+K20-K25</f>
        <v>20921.862096999976</v>
      </c>
      <c r="L30" s="777">
        <f t="shared" si="1"/>
        <v>-2125.6037064011143</v>
      </c>
      <c r="M30" s="778">
        <f>+M20-M25</f>
        <v>30169.137312989995</v>
      </c>
      <c r="N30" s="779">
        <f t="shared" si="2"/>
        <v>-9247.2752159900192</v>
      </c>
      <c r="O30" s="100"/>
      <c r="P30" s="103"/>
      <c r="Q30" s="157" t="s">
        <v>183</v>
      </c>
      <c r="X30" s="105"/>
      <c r="Z30" s="598"/>
      <c r="AA30" s="598"/>
    </row>
    <row r="31" spans="2:37" ht="21.75" customHeight="1">
      <c r="B31" s="598"/>
      <c r="C31" s="101"/>
      <c r="D31" s="124" t="s">
        <v>10</v>
      </c>
      <c r="E31" s="323">
        <f>+E30/E10</f>
        <v>0.14885048928751984</v>
      </c>
      <c r="F31" s="329">
        <f>+F30/F10</f>
        <v>0.11406056261488277</v>
      </c>
      <c r="G31" s="326">
        <f t="shared" si="12"/>
        <v>-3.478992667263707E-2</v>
      </c>
      <c r="H31" s="125">
        <f>+H30/H10</f>
        <v>0.18312210004608095</v>
      </c>
      <c r="I31" s="126">
        <f t="shared" si="13"/>
        <v>-6.9061537431198181E-2</v>
      </c>
      <c r="J31" s="323">
        <f>+J30/J10</f>
        <v>0.13495361697598268</v>
      </c>
      <c r="K31" s="329">
        <f>+K30/K10</f>
        <v>0.1160785299818721</v>
      </c>
      <c r="L31" s="326">
        <f t="shared" si="1"/>
        <v>-1.8875086994110585E-2</v>
      </c>
      <c r="M31" s="125">
        <f>+M30/M10</f>
        <v>0.15856379029664039</v>
      </c>
      <c r="N31" s="126">
        <f t="shared" si="2"/>
        <v>-4.2485260314768292E-2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>
      <c r="B32" s="598"/>
      <c r="C32" s="101"/>
      <c r="D32" s="106" t="s">
        <v>3</v>
      </c>
      <c r="E32" s="773">
        <f t="shared" ref="E32:F34" si="57">+E21-E26</f>
        <v>65.463102652634035</v>
      </c>
      <c r="F32" s="774">
        <f t="shared" si="57"/>
        <v>150.16983999999945</v>
      </c>
      <c r="G32" s="750">
        <f>+F32-E32</f>
        <v>84.706737347365419</v>
      </c>
      <c r="H32" s="751">
        <f t="shared" ref="H32" si="58">+H21-H26</f>
        <v>117.02504200000129</v>
      </c>
      <c r="I32" s="752">
        <f>+F32-H32</f>
        <v>33.144797999998161</v>
      </c>
      <c r="J32" s="773">
        <f t="shared" ref="J32:J34" si="59">+J21-J26</f>
        <v>546.71992806317348</v>
      </c>
      <c r="K32" s="774">
        <f t="shared" ref="K32" si="60">+K21-K26</f>
        <v>415.12243499999602</v>
      </c>
      <c r="L32" s="750">
        <f t="shared" si="1"/>
        <v>-131.59749306317747</v>
      </c>
      <c r="M32" s="751">
        <f t="shared" ref="M32" si="61">+M21-M26</f>
        <v>493.89410700000417</v>
      </c>
      <c r="N32" s="752">
        <f t="shared" si="2"/>
        <v>-78.771672000008152</v>
      </c>
      <c r="O32" s="100"/>
      <c r="P32" s="103"/>
      <c r="Q32" s="817" t="s">
        <v>168</v>
      </c>
      <c r="R32" s="818"/>
      <c r="S32" s="603">
        <f>+'사업장별(당월)'!T33</f>
        <v>13.943841999999998</v>
      </c>
      <c r="T32" s="604">
        <f>+'사업장별(당월)'!U33</f>
        <v>-23.482855000000011</v>
      </c>
      <c r="U32" s="605">
        <f>+T32-S32</f>
        <v>-37.426697000000011</v>
      </c>
      <c r="V32" s="606">
        <f>+'사업장별(당월)'!W33</f>
        <v>-3.9420389999999945</v>
      </c>
      <c r="W32" s="607">
        <f>+T32-V32</f>
        <v>-19.540816000000017</v>
      </c>
      <c r="X32" s="105"/>
      <c r="Z32" s="598"/>
      <c r="AA32" s="598"/>
    </row>
    <row r="33" spans="2:31" ht="21.75" customHeight="1">
      <c r="B33" s="598"/>
      <c r="C33" s="101"/>
      <c r="D33" s="106" t="s">
        <v>1</v>
      </c>
      <c r="E33" s="773">
        <f t="shared" si="57"/>
        <v>211.26678512655701</v>
      </c>
      <c r="F33" s="774">
        <f t="shared" si="57"/>
        <v>-24.058962445367484</v>
      </c>
      <c r="G33" s="750">
        <f t="shared" si="12"/>
        <v>-235.3257475719245</v>
      </c>
      <c r="H33" s="751">
        <f t="shared" ref="H33" si="62">+H22-H27</f>
        <v>7.0288269999998576</v>
      </c>
      <c r="I33" s="752">
        <f t="shared" si="13"/>
        <v>-31.087789445367342</v>
      </c>
      <c r="J33" s="773">
        <f t="shared" si="59"/>
        <v>542.41676290881855</v>
      </c>
      <c r="K33" s="774">
        <f t="shared" ref="K33" si="63">+K22-K27</f>
        <v>720.51825304167505</v>
      </c>
      <c r="L33" s="750">
        <f t="shared" si="1"/>
        <v>178.1014901328565</v>
      </c>
      <c r="M33" s="751">
        <f t="shared" ref="M33" si="64">+M22-M27</f>
        <v>535.83128502000045</v>
      </c>
      <c r="N33" s="752">
        <f t="shared" si="2"/>
        <v>184.6869680216746</v>
      </c>
      <c r="O33" s="100"/>
      <c r="P33" s="103"/>
      <c r="Q33" s="819" t="s">
        <v>59</v>
      </c>
      <c r="R33" s="820"/>
      <c r="S33" s="192">
        <f>+'사업장별(당월)'!T34</f>
        <v>74.63840133333332</v>
      </c>
      <c r="T33" s="613">
        <f>+'사업장별(당월)'!U34</f>
        <v>76.100836999999999</v>
      </c>
      <c r="U33" s="205">
        <f>+T33-S33</f>
        <v>1.4624356666666785</v>
      </c>
      <c r="V33" s="614">
        <f>+'사업장별(당월)'!W34</f>
        <v>98.057102999999998</v>
      </c>
      <c r="W33" s="222">
        <f>+T33-V33</f>
        <v>-21.956265999999999</v>
      </c>
      <c r="X33" s="105"/>
      <c r="Z33" s="598"/>
      <c r="AA33" s="598"/>
    </row>
    <row r="34" spans="2:31" ht="21.75" customHeight="1">
      <c r="B34" s="598"/>
      <c r="C34" s="101"/>
      <c r="D34" s="116" t="s">
        <v>4</v>
      </c>
      <c r="E34" s="780">
        <f t="shared" si="57"/>
        <v>-1314.5548979275302</v>
      </c>
      <c r="F34" s="781">
        <f t="shared" si="57"/>
        <v>-1960.9079585523407</v>
      </c>
      <c r="G34" s="753">
        <f t="shared" si="12"/>
        <v>-646.3530606248105</v>
      </c>
      <c r="H34" s="754">
        <f t="shared" ref="H34" si="65">+H23-H28</f>
        <v>-2576.338790000008</v>
      </c>
      <c r="I34" s="755">
        <f t="shared" si="13"/>
        <v>615.43083144766729</v>
      </c>
      <c r="J34" s="780">
        <f t="shared" si="59"/>
        <v>-7410.5708112148914</v>
      </c>
      <c r="K34" s="781">
        <f t="shared" ref="K34" si="66">+K23-K28</f>
        <v>-9711.1669410476989</v>
      </c>
      <c r="L34" s="753">
        <f t="shared" si="1"/>
        <v>-2300.5961298328075</v>
      </c>
      <c r="M34" s="754">
        <f t="shared" ref="M34" si="67">+M23-M28</f>
        <v>-7771.7660910000195</v>
      </c>
      <c r="N34" s="755">
        <f t="shared" si="2"/>
        <v>-1939.4008500476793</v>
      </c>
      <c r="O34" s="100"/>
      <c r="P34" s="103"/>
      <c r="Q34" s="625" t="s">
        <v>38</v>
      </c>
      <c r="R34" s="626"/>
      <c r="S34" s="620">
        <f>+'사업장별(당월)'!T35</f>
        <v>-2614.3236738164032</v>
      </c>
      <c r="T34" s="621">
        <f>+'사업장별(당월)'!U35</f>
        <v>-2487.3998435523354</v>
      </c>
      <c r="U34" s="622">
        <f>+T34-S34</f>
        <v>126.92383026406787</v>
      </c>
      <c r="V34" s="623">
        <f>+'사업장별(당월)'!W35</f>
        <v>-1613.419975</v>
      </c>
      <c r="W34" s="624">
        <f>+T34-V34</f>
        <v>-873.97986855233535</v>
      </c>
      <c r="X34" s="105"/>
      <c r="Z34" s="598"/>
      <c r="AA34" s="598"/>
    </row>
    <row r="35" spans="2:31" ht="21.75" customHeight="1">
      <c r="B35" s="598"/>
      <c r="C35" s="101" t="s">
        <v>8</v>
      </c>
      <c r="D35" s="121"/>
      <c r="E35" s="773">
        <f>SUM(E30,E32:E34)</f>
        <v>3579.6797033799285</v>
      </c>
      <c r="F35" s="783">
        <f>SUM(F30,F32:F34)</f>
        <v>1675.6491670022899</v>
      </c>
      <c r="G35" s="750">
        <f t="shared" si="12"/>
        <v>-1904.0305363776386</v>
      </c>
      <c r="H35" s="751">
        <f>SUM(H30,H32:H34)</f>
        <v>3848.3450320000011</v>
      </c>
      <c r="I35" s="752">
        <f t="shared" si="13"/>
        <v>-2172.6958649977114</v>
      </c>
      <c r="J35" s="773">
        <f>SUM(J30,J32:J34)</f>
        <v>16726.031683158188</v>
      </c>
      <c r="K35" s="783">
        <f>SUM(K30,K32:K34)</f>
        <v>12346.335843993949</v>
      </c>
      <c r="L35" s="750">
        <f t="shared" si="1"/>
        <v>-4379.6958391642384</v>
      </c>
      <c r="M35" s="751">
        <f>SUM(M30,M32:M34)</f>
        <v>23427.096614009981</v>
      </c>
      <c r="N35" s="752">
        <f t="shared" si="2"/>
        <v>-11080.760770016032</v>
      </c>
      <c r="O35" s="100"/>
      <c r="P35" s="103"/>
      <c r="Q35" s="627" t="s">
        <v>166</v>
      </c>
      <c r="R35" s="628"/>
      <c r="S35" s="615">
        <f>+S36-S32-S33-S34</f>
        <v>1211.18653255554</v>
      </c>
      <c r="T35" s="616">
        <f>+T36-T32-T33-T34</f>
        <v>473.87390299999947</v>
      </c>
      <c r="U35" s="617">
        <f>+T35-S35</f>
        <v>-737.31262955554052</v>
      </c>
      <c r="V35" s="618">
        <f>+V36-V32-V33-V34</f>
        <v>-1057.0338790000017</v>
      </c>
      <c r="W35" s="619">
        <f>+T35-V35</f>
        <v>1530.9077820000011</v>
      </c>
      <c r="X35" s="105"/>
      <c r="Z35" s="598"/>
      <c r="AA35" s="598"/>
      <c r="AD35" s="99"/>
      <c r="AE35" s="598"/>
    </row>
    <row r="36" spans="2:31" ht="21.75" customHeight="1" thickBot="1">
      <c r="C36" s="127"/>
      <c r="D36" s="128" t="s">
        <v>9</v>
      </c>
      <c r="E36" s="324">
        <f>+E35/E14</f>
        <v>8.7779246652759324E-2</v>
      </c>
      <c r="F36" s="330">
        <f>+F35/F14</f>
        <v>4.1586028482383769E-2</v>
      </c>
      <c r="G36" s="327">
        <f t="shared" si="12"/>
        <v>-4.6193218170375555E-2</v>
      </c>
      <c r="H36" s="129">
        <f>+H35/H14</f>
        <v>8.5914508619726174E-2</v>
      </c>
      <c r="I36" s="130">
        <f t="shared" si="13"/>
        <v>-4.4328480137342405E-2</v>
      </c>
      <c r="J36" s="324">
        <f>+J35/J14</f>
        <v>7.192960671203856E-2</v>
      </c>
      <c r="K36" s="330">
        <f>+K35/K14</f>
        <v>5.1311459346361138E-2</v>
      </c>
      <c r="L36" s="327">
        <f t="shared" si="1"/>
        <v>-2.0618147365677422E-2</v>
      </c>
      <c r="M36" s="129">
        <f>+M35/M14</f>
        <v>9.0786788019001058E-2</v>
      </c>
      <c r="N36" s="130">
        <f t="shared" si="2"/>
        <v>-3.947532867263992E-2</v>
      </c>
      <c r="O36" s="100"/>
      <c r="P36" s="131"/>
      <c r="Q36" s="807" t="s">
        <v>165</v>
      </c>
      <c r="R36" s="808"/>
      <c r="S36" s="608">
        <f>+'사업장별(당월)'!T41</f>
        <v>-1314.55489792753</v>
      </c>
      <c r="T36" s="609">
        <f>+'사업장별(당월)'!U41</f>
        <v>-1960.9079585523359</v>
      </c>
      <c r="U36" s="610">
        <f>+T36-S36</f>
        <v>-646.35306062480595</v>
      </c>
      <c r="V36" s="611">
        <f>+'사업장별(당월)'!W41</f>
        <v>-2576.3387900000016</v>
      </c>
      <c r="W36" s="612">
        <f>+T36-V36</f>
        <v>615.4308314476657</v>
      </c>
      <c r="X36" s="132"/>
      <c r="AA36" s="598"/>
    </row>
    <row r="37" spans="2:31" ht="20.100000000000001" customHeight="1" thickTop="1">
      <c r="F37" s="598"/>
    </row>
    <row r="38" spans="2:31">
      <c r="E38" s="99">
        <f>+'[1]6월'!$E$26/1000</f>
        <v>3579.6797033799276</v>
      </c>
      <c r="F38" s="351">
        <f>+'[2]6월'!$F$26/1000</f>
        <v>1675.6491670022967</v>
      </c>
      <c r="H38" s="351">
        <f>+'[3]6월'!$F$26/1000</f>
        <v>3848.3450320000015</v>
      </c>
      <c r="J38" s="600">
        <f>+[4]손익총괄!J38+E38</f>
        <v>16726.031683158177</v>
      </c>
      <c r="K38" s="600">
        <f>+[4]손익총괄!K38+F38</f>
        <v>12346.335843993977</v>
      </c>
      <c r="L38" s="601"/>
      <c r="M38" s="600">
        <f>+[4]손익총괄!M38+H38</f>
        <v>23427.096614010006</v>
      </c>
      <c r="N38" s="601"/>
      <c r="O38" s="601"/>
    </row>
    <row r="39" spans="2:31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>
      <c r="E40" s="602">
        <f>+E35-E38</f>
        <v>0</v>
      </c>
      <c r="F40" s="602">
        <f>+F35-F38</f>
        <v>-6.8212102632969618E-12</v>
      </c>
      <c r="G40" s="599"/>
      <c r="H40" s="602">
        <f>+H35-H38</f>
        <v>0</v>
      </c>
      <c r="I40" s="599"/>
      <c r="J40" s="602">
        <f>+J35-J38</f>
        <v>0</v>
      </c>
      <c r="K40" s="602">
        <f>+K35-K38</f>
        <v>-2.7284841053187847E-11</v>
      </c>
      <c r="L40" s="599"/>
      <c r="M40" s="602">
        <f>+M35-M38</f>
        <v>0</v>
      </c>
      <c r="N40" s="599"/>
      <c r="O40" s="99"/>
      <c r="P40" s="99"/>
    </row>
    <row r="42" spans="2:31">
      <c r="E42" s="98"/>
      <c r="F42" s="98"/>
      <c r="G42" s="98"/>
    </row>
  </sheetData>
  <mergeCells count="12">
    <mergeCell ref="Q36:R36"/>
    <mergeCell ref="C5:D6"/>
    <mergeCell ref="P5:X6"/>
    <mergeCell ref="Q29:R29"/>
    <mergeCell ref="Q32:R32"/>
    <mergeCell ref="Q33:R33"/>
    <mergeCell ref="Z10:Z13"/>
    <mergeCell ref="Z15:Z20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tabSelected="1" view="pageBreakPreview" topLeftCell="E13" zoomScale="85" zoomScaleNormal="85" zoomScaleSheetLayoutView="85" workbookViewId="0">
      <selection activeCell="W31" sqref="W31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221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21" t="s">
        <v>48</v>
      </c>
      <c r="I5" s="822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23"/>
      <c r="I6" s="824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G7" s="792" t="str">
        <f>+I7</f>
        <v>안양</v>
      </c>
      <c r="H7" s="78" t="s">
        <v>53</v>
      </c>
      <c r="I7" s="79" t="s">
        <v>22</v>
      </c>
      <c r="J7" s="36">
        <f>+IFERROR(HLOOKUP($B7,'[1]6월'!$D$6:$BN$259,2,),)/1000</f>
        <v>43</v>
      </c>
      <c r="K7" s="37">
        <f>+IFERROR(HLOOKUP($B7,'[2]6월'!$F$6:$CP$99,2,),)/1000</f>
        <v>35.374000000000002</v>
      </c>
      <c r="L7" s="38">
        <f t="shared" ref="L7:L26" si="0">+K7-J7</f>
        <v>-7.6259999999999977</v>
      </c>
      <c r="M7" s="39">
        <f>+IFERROR(HLOOKUP($B7,'[3]6월'!$F$6:$CC$57,2,),)/1000</f>
        <v>49.16</v>
      </c>
      <c r="N7" s="40">
        <f>+K7-M7</f>
        <v>-13.785999999999994</v>
      </c>
      <c r="O7" s="36">
        <f>+IFERROR(HLOOKUP($B7,'[1]6월'!$D$6:$BN$259,3,),)/1000</f>
        <v>4355.0814500000006</v>
      </c>
      <c r="P7" s="37">
        <f>+IFERROR(HLOOKUP($B7,'[2]6월'!$F$6:$CP$99,3,),)/1000</f>
        <v>3552.1472710000003</v>
      </c>
      <c r="Q7" s="38">
        <f>+P7-O7</f>
        <v>-802.93417900000031</v>
      </c>
      <c r="R7" s="39">
        <f>+IFERROR(HLOOKUP($B7,'[3]6월'!$F$6:$CC$57,3,),)/1000</f>
        <v>4691.3841580000008</v>
      </c>
      <c r="S7" s="40">
        <f>+P7-R7</f>
        <v>-1139.2368870000005</v>
      </c>
      <c r="T7" s="36">
        <f>+IFERROR(HLOOKUP($B7,'[1]6월'!$D$6:$BN$259,16,),)/1000</f>
        <v>613.08991770953344</v>
      </c>
      <c r="U7" s="37">
        <f>+IFERROR(HLOOKUP($B7,'[2]6월'!$F$6:$CP$99,16,),)/1000</f>
        <v>326.9867710000002</v>
      </c>
      <c r="V7" s="41">
        <f>+U7-T7</f>
        <v>-286.10314670953323</v>
      </c>
      <c r="W7" s="42">
        <f>+IFERROR(HLOOKUP($B7,'[3]6월'!$F$6:$CC$57,16,),)/1000</f>
        <v>827.79900900000052</v>
      </c>
      <c r="X7" s="40">
        <f>+U7-W7</f>
        <v>-500.81223800000032</v>
      </c>
      <c r="Y7" s="36">
        <f>+[5]안양!$Q$85</f>
        <v>101280.96395348838</v>
      </c>
      <c r="Z7" s="37">
        <f>+[5]안양!$R$85</f>
        <v>100399.69886959231</v>
      </c>
      <c r="AA7" s="43">
        <f>+[6]안양!$Q$85</f>
        <v>95391.443232867765</v>
      </c>
      <c r="AB7" s="44">
        <f>+[5]안양!$Q$89</f>
        <v>78661.12414564169</v>
      </c>
      <c r="AC7" s="37">
        <f>+[5]안양!$R$89</f>
        <v>81293.29068351131</v>
      </c>
      <c r="AD7" s="45">
        <f>+[6]안양!$Q$89</f>
        <v>71409.999755157012</v>
      </c>
      <c r="AE7" s="44">
        <f>+Y7-AB7</f>
        <v>22619.839807846685</v>
      </c>
      <c r="AF7" s="37">
        <f>+Z7-AC7</f>
        <v>19106.408186080997</v>
      </c>
      <c r="AG7" s="45">
        <f>+AA7-AD7</f>
        <v>23981.443477710753</v>
      </c>
      <c r="AH7" s="18"/>
      <c r="AI7" s="19"/>
    </row>
    <row r="8" spans="2:36" s="8" customFormat="1" ht="19.5" customHeight="1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+IFERROR(HLOOKUP($B8,'[1]6월'!$D$6:$BN$259,2,),)/1000</f>
        <v>30</v>
      </c>
      <c r="K8" s="47">
        <f>+IFERROR(HLOOKUP($B8,'[2]6월'!$F$6:$CP$99,2,),)/1000</f>
        <v>28.969000000000001</v>
      </c>
      <c r="L8" s="48">
        <f t="shared" si="0"/>
        <v>-1.0309999999999988</v>
      </c>
      <c r="M8" s="49">
        <f>+IFERROR(HLOOKUP($B8,'[3]6월'!$F$6:$CC$57,2,),)/1000</f>
        <v>44.112000000000002</v>
      </c>
      <c r="N8" s="50">
        <f t="shared" ref="N8:N26" si="2">+K8-M8</f>
        <v>-15.143000000000001</v>
      </c>
      <c r="O8" s="46">
        <f>+IFERROR(HLOOKUP($B8,'[1]6월'!$D$6:$BN$259,3,),)/1000</f>
        <v>3041.50945</v>
      </c>
      <c r="P8" s="47">
        <f>+IFERROR(HLOOKUP($B8,'[2]6월'!$F$6:$CP$99,3,),)/1000</f>
        <v>2858.2984539999998</v>
      </c>
      <c r="Q8" s="48">
        <f t="shared" ref="Q8:Q26" si="3">+P8-O8</f>
        <v>-183.21099600000025</v>
      </c>
      <c r="R8" s="49">
        <f>+IFERROR(HLOOKUP($B8,'[3]6월'!$F$6:$CC$57,3,),)/1000</f>
        <v>4359.3698839999997</v>
      </c>
      <c r="S8" s="50">
        <f t="shared" ref="S8:S26" si="4">+P8-R8</f>
        <v>-1501.07143</v>
      </c>
      <c r="T8" s="46">
        <f>+IFERROR(HLOOKUP($B8,'[1]6월'!$D$6:$BN$259,16,),)/1000</f>
        <v>286.79226413103868</v>
      </c>
      <c r="U8" s="47">
        <f>+IFERROR(HLOOKUP($B8,'[2]6월'!$F$6:$CP$99,16,),)/1000</f>
        <v>173.72608299999987</v>
      </c>
      <c r="V8" s="48">
        <f t="shared" ref="V8:V26" si="5">+U8-T8</f>
        <v>-113.0661811310388</v>
      </c>
      <c r="W8" s="49">
        <f>+IFERROR(HLOOKUP($B8,'[3]6월'!$F$6:$CC$57,16,),)/1000</f>
        <v>678.53516799999989</v>
      </c>
      <c r="X8" s="50">
        <f t="shared" ref="X8:X26" si="6">+U8-W8</f>
        <v>-504.80908499999998</v>
      </c>
      <c r="Y8" s="46">
        <f>+[5]인천!$Q$85</f>
        <v>101383.64833333335</v>
      </c>
      <c r="Z8" s="47">
        <f>+[5]인천!$R$85</f>
        <v>98667.487797300564</v>
      </c>
      <c r="AA8" s="51">
        <f>+[6]인천!$Q$85</f>
        <v>98809.252985686937</v>
      </c>
      <c r="AB8" s="52">
        <f>+[5]인천!$Q$89</f>
        <v>80575.059444654049</v>
      </c>
      <c r="AC8" s="47">
        <f>+[5]인천!$R$89</f>
        <v>81685.367351164794</v>
      </c>
      <c r="AD8" s="53">
        <f>+[6]인천!$Q$89</f>
        <v>76007.006106452784</v>
      </c>
      <c r="AE8" s="52">
        <f t="shared" ref="AE8:AE27" si="7">+Y8-AB8</f>
        <v>20808.588888679296</v>
      </c>
      <c r="AF8" s="47">
        <f t="shared" ref="AF8:AF27" si="8">+Z8-AC8</f>
        <v>16982.12044613577</v>
      </c>
      <c r="AG8" s="53">
        <f t="shared" ref="AG8:AG27" si="9">+AA8-AD8</f>
        <v>22802.246879234153</v>
      </c>
      <c r="AH8" s="18"/>
      <c r="AI8" s="19"/>
      <c r="AJ8" s="97"/>
    </row>
    <row r="9" spans="2:36" s="8" customFormat="1" ht="19.5" customHeight="1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+IFERROR(HLOOKUP($B9,'[1]6월'!$D$6:$BN$259,2,),)/1000</f>
        <v>28</v>
      </c>
      <c r="K9" s="47">
        <f>+IFERROR(HLOOKUP($B9,'[2]6월'!$F$6:$CP$99,2,),)/1000</f>
        <v>31.124200000000002</v>
      </c>
      <c r="L9" s="48">
        <f t="shared" si="0"/>
        <v>3.1242000000000019</v>
      </c>
      <c r="M9" s="49">
        <f>+IFERROR(HLOOKUP($B9,'[3]6월'!$F$6:$CC$57,2,),)/1000</f>
        <v>30.721</v>
      </c>
      <c r="N9" s="50">
        <f t="shared" si="2"/>
        <v>0.40320000000000178</v>
      </c>
      <c r="O9" s="46">
        <f>+IFERROR(HLOOKUP($B9,'[1]6월'!$D$6:$BN$259,3,),)/1000</f>
        <v>2793.1232691755422</v>
      </c>
      <c r="P9" s="47">
        <f>+IFERROR(HLOOKUP($B9,'[2]6월'!$F$6:$CP$99,3,),)/1000</f>
        <v>2951.5882959999994</v>
      </c>
      <c r="Q9" s="48">
        <f t="shared" si="3"/>
        <v>158.46502682445725</v>
      </c>
      <c r="R9" s="49">
        <f>+IFERROR(HLOOKUP($B9,'[3]6월'!$F$6:$CC$57,3,),)/1000</f>
        <v>2851.6795609999999</v>
      </c>
      <c r="S9" s="50">
        <f t="shared" si="4"/>
        <v>99.908734999999524</v>
      </c>
      <c r="T9" s="46">
        <f>+IFERROR(HLOOKUP($B9,'[1]6월'!$D$6:$BN$259,16,),)/1000</f>
        <v>451.71048306913775</v>
      </c>
      <c r="U9" s="47">
        <f>+IFERROR(HLOOKUP($B9,'[2]6월'!$F$6:$CP$99,16,),)/1000</f>
        <v>256.19065999999998</v>
      </c>
      <c r="V9" s="48">
        <f t="shared" si="5"/>
        <v>-195.51982306913777</v>
      </c>
      <c r="W9" s="49">
        <f>+IFERROR(HLOOKUP($B9,'[3]6월'!$F$6:$CC$57,16,),)/1000</f>
        <v>473.0452229999994</v>
      </c>
      <c r="X9" s="50">
        <f t="shared" si="6"/>
        <v>-216.85456299999942</v>
      </c>
      <c r="Y9" s="46">
        <f>+[5]파주!$Q$85</f>
        <v>99754.402470555084</v>
      </c>
      <c r="Z9" s="47">
        <f>+[5]파주!$R$85</f>
        <v>94837.487556385124</v>
      </c>
      <c r="AA9" s="51">
        <f>+[6]파주!$Q$85</f>
        <v>92792.513334448711</v>
      </c>
      <c r="AB9" s="52">
        <f>+[5]파주!$Q$89</f>
        <v>75569.988929224273</v>
      </c>
      <c r="AC9" s="47">
        <f>+[5]파주!$R$89</f>
        <v>79548.979818012129</v>
      </c>
      <c r="AD9" s="53">
        <f>+[6]파주!$Q$89</f>
        <v>70955.269733980254</v>
      </c>
      <c r="AE9" s="52">
        <f t="shared" si="7"/>
        <v>24184.41354133081</v>
      </c>
      <c r="AF9" s="47">
        <f t="shared" si="8"/>
        <v>15288.507738372995</v>
      </c>
      <c r="AG9" s="53">
        <f t="shared" si="9"/>
        <v>21837.243600468457</v>
      </c>
      <c r="AH9" s="18"/>
      <c r="AI9" s="19"/>
      <c r="AJ9" s="97"/>
    </row>
    <row r="10" spans="2:36" s="8" customFormat="1" ht="19.5" customHeight="1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+IFERROR(HLOOKUP($B10,'[1]6월'!$D$6:$BN$259,2,),)/1000</f>
        <v>18.5</v>
      </c>
      <c r="K10" s="47">
        <f>+IFERROR(HLOOKUP($B10,'[2]6월'!$F$6:$CP$99,2,),)/1000</f>
        <v>11.818</v>
      </c>
      <c r="L10" s="48">
        <f t="shared" si="0"/>
        <v>-6.6820000000000004</v>
      </c>
      <c r="M10" s="49">
        <f>+IFERROR(HLOOKUP($B10,'[3]6월'!$F$6:$CC$57,2,),)/1000</f>
        <v>20.239000000000001</v>
      </c>
      <c r="N10" s="50">
        <f t="shared" si="2"/>
        <v>-8.4210000000000012</v>
      </c>
      <c r="O10" s="46">
        <f>+IFERROR(HLOOKUP($B10,'[1]6월'!$D$6:$BN$259,3,),)/1000</f>
        <v>1783.4704999999999</v>
      </c>
      <c r="P10" s="47">
        <f>+IFERROR(HLOOKUP($B10,'[2]6월'!$F$6:$CP$99,3,),)/1000</f>
        <v>1148.8410190000002</v>
      </c>
      <c r="Q10" s="48">
        <f t="shared" si="3"/>
        <v>-634.62948099999971</v>
      </c>
      <c r="R10" s="49">
        <f>+IFERROR(HLOOKUP($B10,'[3]6월'!$F$6:$CC$57,3,),)/1000</f>
        <v>1855.8217059999999</v>
      </c>
      <c r="S10" s="50">
        <f t="shared" si="4"/>
        <v>-706.98068699999976</v>
      </c>
      <c r="T10" s="46">
        <f>+IFERROR(HLOOKUP($B10,'[1]6월'!$D$6:$BN$259,16,),)/1000</f>
        <v>275.334317699172</v>
      </c>
      <c r="U10" s="47">
        <f>+IFERROR(HLOOKUP($B10,'[2]6월'!$F$6:$CP$99,16,),)/1000</f>
        <v>109.51813100000008</v>
      </c>
      <c r="V10" s="48">
        <f t="shared" si="5"/>
        <v>-165.81618669917191</v>
      </c>
      <c r="W10" s="49">
        <f>+IFERROR(HLOOKUP($B10,'[3]6월'!$F$6:$CC$57,16,),)/1000</f>
        <v>299.02148799999992</v>
      </c>
      <c r="X10" s="50">
        <f t="shared" si="6"/>
        <v>-189.50335699999982</v>
      </c>
      <c r="Y10" s="46">
        <f>+[5]김포!$Q$85</f>
        <v>96403.810810810814</v>
      </c>
      <c r="Z10" s="47">
        <f>+[5]김포!$R$85</f>
        <v>97204.531642348156</v>
      </c>
      <c r="AA10" s="51">
        <f>+[6]김포!$Q$85</f>
        <v>91630.526826341316</v>
      </c>
      <c r="AB10" s="52">
        <f>+[5]김포!$Q$89</f>
        <v>71718.539860104822</v>
      </c>
      <c r="AC10" s="47">
        <f>+[5]김포!$R$89</f>
        <v>73416.580478290372</v>
      </c>
      <c r="AD10" s="53">
        <f>+[6]김포!$Q$89</f>
        <v>67734.297175706073</v>
      </c>
      <c r="AE10" s="52">
        <f t="shared" si="7"/>
        <v>24685.270950705992</v>
      </c>
      <c r="AF10" s="47">
        <f t="shared" si="8"/>
        <v>23787.951164057784</v>
      </c>
      <c r="AG10" s="53">
        <f t="shared" si="9"/>
        <v>23896.229650635243</v>
      </c>
      <c r="AH10" s="18"/>
      <c r="AI10" s="19"/>
      <c r="AJ10" s="97"/>
    </row>
    <row r="11" spans="2:36" s="8" customFormat="1" ht="19.5" customHeight="1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+IFERROR(HLOOKUP($B11,'[1]6월'!$D$6:$BN$259,2,),)/1000</f>
        <v>20</v>
      </c>
      <c r="K11" s="64">
        <f>+IFERROR(HLOOKUP($B11,'[2]6월'!$F$6:$CP$99,2,),)/1000</f>
        <v>18.738</v>
      </c>
      <c r="L11" s="65">
        <f t="shared" si="0"/>
        <v>-1.2620000000000005</v>
      </c>
      <c r="M11" s="66">
        <f>+IFERROR(HLOOKUP($B11,'[3]6월'!$F$6:$CC$57,2,),)/1000</f>
        <v>23.084</v>
      </c>
      <c r="N11" s="67">
        <f t="shared" si="2"/>
        <v>-4.3460000000000001</v>
      </c>
      <c r="O11" s="63">
        <f>+IFERROR(HLOOKUP($B11,'[1]6월'!$D$6:$BN$259,3,),)/1000</f>
        <v>2151.9989489999998</v>
      </c>
      <c r="P11" s="64">
        <f>+IFERROR(HLOOKUP($B11,'[2]6월'!$F$6:$CP$99,3,),)/1000</f>
        <v>1988.33915</v>
      </c>
      <c r="Q11" s="65">
        <f t="shared" si="3"/>
        <v>-163.65979899999979</v>
      </c>
      <c r="R11" s="66">
        <f>+IFERROR(HLOOKUP($B11,'[3]6월'!$F$6:$CC$57,3,),)/1000</f>
        <v>2384.3392999999996</v>
      </c>
      <c r="S11" s="67">
        <f t="shared" si="4"/>
        <v>-396.00014999999962</v>
      </c>
      <c r="T11" s="63">
        <f>+IFERROR(HLOOKUP($B11,'[1]6월'!$D$6:$BN$259,16,),)/1000</f>
        <v>274.00642876329357</v>
      </c>
      <c r="U11" s="64">
        <f>+IFERROR(HLOOKUP($B11,'[2]6월'!$F$6:$CP$99,16,),)/1000</f>
        <v>118.63263599999986</v>
      </c>
      <c r="V11" s="65">
        <f t="shared" si="5"/>
        <v>-155.37379276329369</v>
      </c>
      <c r="W11" s="66">
        <f>+IFERROR(HLOOKUP($B11,'[3]6월'!$F$6:$CC$57,16,),)/1000</f>
        <v>463.92295699999977</v>
      </c>
      <c r="X11" s="67">
        <f t="shared" si="6"/>
        <v>-345.29032099999989</v>
      </c>
      <c r="Y11" s="63">
        <f>+[5]부산!$Q$85</f>
        <v>107599.94745000001</v>
      </c>
      <c r="Z11" s="64">
        <f>+[5]부산!$R$85</f>
        <v>106112.66677340164</v>
      </c>
      <c r="AA11" s="68">
        <f>+[6]부산!$Q$85</f>
        <v>103289.69416045745</v>
      </c>
      <c r="AB11" s="69">
        <f>+[5]부산!$Q$89</f>
        <v>78125.791969472295</v>
      </c>
      <c r="AC11" s="64">
        <f>+[5]부산!$R$89</f>
        <v>82775.925880469586</v>
      </c>
      <c r="AD11" s="70">
        <f>+[6]부산!$Q$89</f>
        <v>71742.55913113436</v>
      </c>
      <c r="AE11" s="69">
        <f t="shared" si="7"/>
        <v>29474.155480527712</v>
      </c>
      <c r="AF11" s="64">
        <f t="shared" si="8"/>
        <v>23336.740892932052</v>
      </c>
      <c r="AG11" s="70">
        <f t="shared" si="9"/>
        <v>31547.135029323093</v>
      </c>
      <c r="AH11" s="18"/>
      <c r="AI11" s="19"/>
      <c r="AJ11" s="97"/>
    </row>
    <row r="12" spans="2:36" s="8" customFormat="1" ht="19.5" customHeight="1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+IFERROR(HLOOKUP($B12,'[1]6월'!$D$6:$BN$259,2,),)/1000</f>
        <v>25</v>
      </c>
      <c r="K12" s="47">
        <f>+IFERROR(HLOOKUP($B12,'[2]6월'!$F$6:$CP$99,2,),)/1000</f>
        <v>23.640999999999998</v>
      </c>
      <c r="L12" s="48">
        <f t="shared" si="0"/>
        <v>-1.3590000000000018</v>
      </c>
      <c r="M12" s="49">
        <f>+IFERROR(HLOOKUP($B12,'[3]6월'!$F$6:$CC$57,2,),)/1000</f>
        <v>23.513999999999999</v>
      </c>
      <c r="N12" s="50">
        <f t="shared" si="2"/>
        <v>0.12699999999999889</v>
      </c>
      <c r="O12" s="46">
        <f>+IFERROR(HLOOKUP($B12,'[1]6월'!$D$6:$BN$259,3,),)/1000</f>
        <v>2608.1327999999999</v>
      </c>
      <c r="P12" s="47">
        <f>+IFERROR(HLOOKUP($B12,'[2]6월'!$F$6:$CP$99,3,),)/1000</f>
        <v>2359.6324909999998</v>
      </c>
      <c r="Q12" s="48">
        <f t="shared" si="3"/>
        <v>-248.50030900000002</v>
      </c>
      <c r="R12" s="49">
        <f>+IFERROR(HLOOKUP($B12,'[3]6월'!$F$6:$CC$57,3,),)/1000</f>
        <v>2439.7256000000002</v>
      </c>
      <c r="S12" s="50">
        <f t="shared" si="4"/>
        <v>-80.093109000000368</v>
      </c>
      <c r="T12" s="46">
        <f>+IFERROR(HLOOKUP($B12,'[1]6월'!$D$6:$BN$259,16,),)/1000</f>
        <v>466.85723800825201</v>
      </c>
      <c r="U12" s="47">
        <f>+IFERROR(HLOOKUP($B12,'[2]6월'!$F$6:$CP$99,16,),)/1000</f>
        <v>278.69373999999976</v>
      </c>
      <c r="V12" s="48">
        <f t="shared" si="5"/>
        <v>-188.16349800825225</v>
      </c>
      <c r="W12" s="49">
        <f>+IFERROR(HLOOKUP($B12,'[3]6월'!$F$6:$CC$57,16,),)/1000</f>
        <v>455.44938800000017</v>
      </c>
      <c r="X12" s="50">
        <f t="shared" si="6"/>
        <v>-176.75564800000041</v>
      </c>
      <c r="Y12" s="46">
        <f>+[5]서부산!$Q$85</f>
        <v>104325.31199999999</v>
      </c>
      <c r="Z12" s="47">
        <f>+[5]서부산!$R$85</f>
        <v>99811.027071612873</v>
      </c>
      <c r="AA12" s="51">
        <f>+[6]서부산!$Q$85</f>
        <v>103756.29837543592</v>
      </c>
      <c r="AB12" s="52">
        <f>+[5]서부산!$Q$89</f>
        <v>76362.212204114359</v>
      </c>
      <c r="AC12" s="47">
        <f>+[5]서부산!$R$89</f>
        <v>77851.890197232846</v>
      </c>
      <c r="AD12" s="53">
        <f>+[6]서부산!$Q$89</f>
        <v>75475.255144557814</v>
      </c>
      <c r="AE12" s="52">
        <f t="shared" si="7"/>
        <v>27963.099795885631</v>
      </c>
      <c r="AF12" s="47">
        <f t="shared" si="8"/>
        <v>21959.136874380027</v>
      </c>
      <c r="AG12" s="53">
        <f t="shared" si="9"/>
        <v>28281.043230878102</v>
      </c>
      <c r="AH12" s="18"/>
      <c r="AI12" s="19"/>
      <c r="AJ12" s="97"/>
    </row>
    <row r="13" spans="2:36" s="8" customFormat="1" ht="19.5" customHeight="1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+IFERROR(HLOOKUP($B13,'[1]6월'!$D$6:$BN$259,2,),)/1000</f>
        <v>12</v>
      </c>
      <c r="K13" s="47">
        <f>+IFERROR(HLOOKUP($B13,'[2]6월'!$F$6:$CP$99,2,),)/1000</f>
        <v>12.699</v>
      </c>
      <c r="L13" s="48">
        <f t="shared" si="0"/>
        <v>0.69899999999999984</v>
      </c>
      <c r="M13" s="49">
        <f>+IFERROR(HLOOKUP($B13,'[3]6월'!$F$6:$CC$57,2,),)/1000</f>
        <v>14.851000000000001</v>
      </c>
      <c r="N13" s="50">
        <f t="shared" si="2"/>
        <v>-2.152000000000001</v>
      </c>
      <c r="O13" s="46">
        <f>+IFERROR(HLOOKUP($B13,'[1]6월'!$D$6:$BN$259,3,),)/1000</f>
        <v>1212.0023999999999</v>
      </c>
      <c r="P13" s="47">
        <f>+IFERROR(HLOOKUP($B13,'[2]6월'!$F$6:$CP$99,3,),)/1000</f>
        <v>1187.9416000000001</v>
      </c>
      <c r="Q13" s="48">
        <f t="shared" si="3"/>
        <v>-24.060799999999745</v>
      </c>
      <c r="R13" s="49">
        <f>+IFERROR(HLOOKUP($B13,'[3]6월'!$F$6:$CC$57,3,),)/1000</f>
        <v>1488.0979</v>
      </c>
      <c r="S13" s="50">
        <f t="shared" si="4"/>
        <v>-300.15629999999987</v>
      </c>
      <c r="T13" s="46">
        <f>+IFERROR(HLOOKUP($B13,'[1]6월'!$D$6:$BN$259,16,),)/1000</f>
        <v>149.29424007559044</v>
      </c>
      <c r="U13" s="47">
        <f>+IFERROR(HLOOKUP($B13,'[2]6월'!$F$6:$CP$99,16,),)/1000</f>
        <v>58.544437000000123</v>
      </c>
      <c r="V13" s="48">
        <f t="shared" si="5"/>
        <v>-90.749803075590307</v>
      </c>
      <c r="W13" s="49">
        <f>+IFERROR(HLOOKUP($B13,'[3]6월'!$F$6:$CC$57,16,),)/1000</f>
        <v>282.88672700000001</v>
      </c>
      <c r="X13" s="50">
        <f t="shared" si="6"/>
        <v>-224.34228999999988</v>
      </c>
      <c r="Y13" s="46">
        <f>+[5]김해!$Q$85</f>
        <v>101000.2</v>
      </c>
      <c r="Z13" s="47">
        <f>+[5]김해!$R$85</f>
        <v>93546.074494054657</v>
      </c>
      <c r="AA13" s="51">
        <f>+[6]김해!$Q$85</f>
        <v>100201.86519426301</v>
      </c>
      <c r="AB13" s="52">
        <f>+[5]김해!$Q$89</f>
        <v>76138.235065053683</v>
      </c>
      <c r="AC13" s="47">
        <f>+[5]김해!$R$89</f>
        <v>77602.808646350095</v>
      </c>
      <c r="AD13" s="53">
        <f>+[6]김해!$Q$89</f>
        <v>71900.183489327319</v>
      </c>
      <c r="AE13" s="52">
        <f t="shared" si="7"/>
        <v>24861.964934946314</v>
      </c>
      <c r="AF13" s="47">
        <f t="shared" si="8"/>
        <v>15943.265847704562</v>
      </c>
      <c r="AG13" s="53">
        <f t="shared" si="9"/>
        <v>28301.681704935691</v>
      </c>
      <c r="AH13" s="18"/>
      <c r="AI13" s="19"/>
      <c r="AJ13" s="97"/>
    </row>
    <row r="14" spans="2:36" s="8" customFormat="1" ht="19.5" customHeight="1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+IFERROR(HLOOKUP($B14,'[1]6월'!$D$6:$BN$259,2,),)/1000</f>
        <v>17</v>
      </c>
      <c r="K14" s="47">
        <f>+IFERROR(HLOOKUP($B14,'[2]6월'!$F$6:$CP$99,2,),)/1000</f>
        <v>19.584</v>
      </c>
      <c r="L14" s="48">
        <f t="shared" si="0"/>
        <v>2.5839999999999996</v>
      </c>
      <c r="M14" s="49">
        <f>+IFERROR(HLOOKUP($B14,'[3]6월'!$F$6:$CC$57,2,),)/1000</f>
        <v>19.957000000000001</v>
      </c>
      <c r="N14" s="50">
        <f t="shared" si="2"/>
        <v>-0.37300000000000111</v>
      </c>
      <c r="O14" s="46">
        <f>+IFERROR(HLOOKUP($B14,'[1]6월'!$D$6:$BN$259,3,),)/1000</f>
        <v>1768</v>
      </c>
      <c r="P14" s="47">
        <f>+IFERROR(HLOOKUP($B14,'[2]6월'!$F$6:$CP$99,3,),)/1000</f>
        <v>1952.7739999999999</v>
      </c>
      <c r="Q14" s="48">
        <f t="shared" si="3"/>
        <v>184.77399999999989</v>
      </c>
      <c r="R14" s="49">
        <f>+IFERROR(HLOOKUP($B14,'[3]6월'!$F$6:$CC$57,3,),)/1000</f>
        <v>2055.7826</v>
      </c>
      <c r="S14" s="50">
        <f t="shared" si="4"/>
        <v>-103.00860000000011</v>
      </c>
      <c r="T14" s="46">
        <f>+IFERROR(HLOOKUP($B14,'[1]6월'!$D$6:$BN$259,16,),)/1000</f>
        <v>230.21569508006667</v>
      </c>
      <c r="U14" s="47">
        <f>+IFERROR(HLOOKUP($B14,'[2]6월'!$F$6:$CP$99,16,),)/1000</f>
        <v>142.38128899999984</v>
      </c>
      <c r="V14" s="48">
        <f t="shared" si="5"/>
        <v>-87.834406080066827</v>
      </c>
      <c r="W14" s="49">
        <f>+IFERROR(HLOOKUP($B14,'[3]6월'!$F$6:$CC$57,16,),)/1000</f>
        <v>368.10466900000006</v>
      </c>
      <c r="X14" s="50">
        <f t="shared" si="6"/>
        <v>-225.72338000000022</v>
      </c>
      <c r="Y14" s="46">
        <f>+[5]정관!$Q$85</f>
        <v>104000</v>
      </c>
      <c r="Z14" s="47">
        <f>+[5]정관!$R$85</f>
        <v>99712.724673202611</v>
      </c>
      <c r="AA14" s="51">
        <f>+[6]정관!$Q$85</f>
        <v>103010.60279601143</v>
      </c>
      <c r="AB14" s="52">
        <f>+[5]정관!$Q$89</f>
        <v>77868.030929930712</v>
      </c>
      <c r="AC14" s="47">
        <f>+[5]정관!$R$89</f>
        <v>80844.66891339868</v>
      </c>
      <c r="AD14" s="53">
        <f>+[6]정관!$Q$89</f>
        <v>75355.060612132453</v>
      </c>
      <c r="AE14" s="52">
        <f t="shared" si="7"/>
        <v>26131.969070069288</v>
      </c>
      <c r="AF14" s="47">
        <f t="shared" si="8"/>
        <v>18868.05575980393</v>
      </c>
      <c r="AG14" s="53">
        <f t="shared" si="9"/>
        <v>27655.542183878977</v>
      </c>
      <c r="AH14" s="18"/>
      <c r="AI14" s="19"/>
      <c r="AJ14" s="97"/>
    </row>
    <row r="15" spans="2:36" s="8" customFormat="1" ht="19.5" customHeight="1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+IFERROR(HLOOKUP($B15,'[1]6월'!$D$6:$BN$259,2,),)/1000</f>
        <v>10</v>
      </c>
      <c r="K15" s="47">
        <f>+IFERROR(HLOOKUP($B15,'[2]6월'!$F$6:$CP$99,2,),)/1000</f>
        <v>12.081</v>
      </c>
      <c r="L15" s="48">
        <f t="shared" si="0"/>
        <v>2.0809999999999995</v>
      </c>
      <c r="M15" s="49">
        <f>+IFERROR(HLOOKUP($B15,'[3]6월'!$F$6:$CC$57,2,),)/1000</f>
        <v>17.547999999999998</v>
      </c>
      <c r="N15" s="50">
        <f t="shared" si="2"/>
        <v>-5.4669999999999987</v>
      </c>
      <c r="O15" s="46">
        <f>+IFERROR(HLOOKUP($B15,'[1]6월'!$D$6:$BN$259,3,),)/1000</f>
        <v>963.85316000000012</v>
      </c>
      <c r="P15" s="47">
        <f>+IFERROR(HLOOKUP($B15,'[2]6월'!$F$6:$CP$99,3,),)/1000</f>
        <v>1127.2838000000002</v>
      </c>
      <c r="Q15" s="48">
        <f t="shared" si="3"/>
        <v>163.43064000000004</v>
      </c>
      <c r="R15" s="49">
        <f>+IFERROR(HLOOKUP($B15,'[3]6월'!$F$6:$CC$57,3,),)/1000</f>
        <v>1641.2462</v>
      </c>
      <c r="S15" s="50">
        <f t="shared" si="4"/>
        <v>-513.96239999999989</v>
      </c>
      <c r="T15" s="46">
        <f>+IFERROR(HLOOKUP($B15,'[1]6월'!$D$6:$BN$259,16,),)/1000</f>
        <v>112.78896949579067</v>
      </c>
      <c r="U15" s="47">
        <f>+IFERROR(HLOOKUP($B15,'[2]6월'!$F$6:$CP$99,16,),)/1000</f>
        <v>79.077275000000043</v>
      </c>
      <c r="V15" s="48">
        <f t="shared" si="5"/>
        <v>-33.711694495790624</v>
      </c>
      <c r="W15" s="49">
        <f>+IFERROR(HLOOKUP($B15,'[3]6월'!$F$6:$CC$57,16,),)/1000</f>
        <v>311.39311400000008</v>
      </c>
      <c r="X15" s="50">
        <f t="shared" si="6"/>
        <v>-232.31583900000004</v>
      </c>
      <c r="Y15" s="46">
        <f>+[5]양산!$Q$85</f>
        <v>96385.316000000021</v>
      </c>
      <c r="Z15" s="47">
        <f>+[5]양산!$R$85</f>
        <v>93310.47098750103</v>
      </c>
      <c r="AA15" s="51">
        <f>+[6]양산!$Q$85</f>
        <v>93528.960565306596</v>
      </c>
      <c r="AB15" s="52">
        <f>+[5]양산!$Q$89</f>
        <v>69597.591339309845</v>
      </c>
      <c r="AC15" s="47">
        <f>+[5]양산!$R$89</f>
        <v>74393.839748365208</v>
      </c>
      <c r="AD15" s="53">
        <f>+[6]양산!$Q$89</f>
        <v>68124.295659109048</v>
      </c>
      <c r="AE15" s="52">
        <f t="shared" si="7"/>
        <v>26787.724660690175</v>
      </c>
      <c r="AF15" s="47">
        <f t="shared" si="8"/>
        <v>18916.631239135822</v>
      </c>
      <c r="AG15" s="53">
        <f t="shared" si="9"/>
        <v>25404.664906197548</v>
      </c>
      <c r="AH15" s="18"/>
      <c r="AI15" s="19"/>
      <c r="AJ15" s="97"/>
    </row>
    <row r="16" spans="2:36" s="8" customFormat="1" ht="19.5" customHeight="1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+IFERROR(HLOOKUP($B16,'[1]6월'!$D$6:$BN$259,2,),)/1000</f>
        <v>17</v>
      </c>
      <c r="K16" s="47">
        <f>+IFERROR(HLOOKUP($B16,'[2]6월'!$F$6:$CP$99,2,),)/1000</f>
        <v>20.596</v>
      </c>
      <c r="L16" s="48">
        <f t="shared" si="0"/>
        <v>3.5960000000000001</v>
      </c>
      <c r="M16" s="49">
        <f>+IFERROR(HLOOKUP($B16,'[3]6월'!$F$6:$CC$57,2,),)/1000</f>
        <v>20.556999999999999</v>
      </c>
      <c r="N16" s="50">
        <f t="shared" si="2"/>
        <v>3.9000000000001478E-2</v>
      </c>
      <c r="O16" s="46">
        <f>+IFERROR(HLOOKUP($B16,'[1]6월'!$D$6:$BN$259,3,),)/1000</f>
        <v>1728.067</v>
      </c>
      <c r="P16" s="47">
        <f>+IFERROR(HLOOKUP($B16,'[2]6월'!$F$6:$CP$99,3,),)/1000</f>
        <v>2041.9576000000002</v>
      </c>
      <c r="Q16" s="48">
        <f t="shared" si="3"/>
        <v>313.89060000000018</v>
      </c>
      <c r="R16" s="49">
        <f>+IFERROR(HLOOKUP($B16,'[3]6월'!$F$6:$CC$57,3,),)/1000</f>
        <v>2001.3488</v>
      </c>
      <c r="S16" s="50">
        <f t="shared" si="4"/>
        <v>40.608800000000201</v>
      </c>
      <c r="T16" s="46">
        <f>+IFERROR(HLOOKUP($B16,'[1]6월'!$D$6:$BN$259,16,),)/1000</f>
        <v>264.21304626682723</v>
      </c>
      <c r="U16" s="47">
        <f>+IFERROR(HLOOKUP($B16,'[2]6월'!$F$6:$CP$99,16,),)/1000</f>
        <v>281.49370100000021</v>
      </c>
      <c r="V16" s="48">
        <f t="shared" si="5"/>
        <v>17.28065473317298</v>
      </c>
      <c r="W16" s="49">
        <f>+IFERROR(HLOOKUP($B16,'[3]6월'!$F$6:$CC$57,16,),)/1000</f>
        <v>423.39158500000008</v>
      </c>
      <c r="X16" s="50">
        <f t="shared" si="6"/>
        <v>-141.89788399999986</v>
      </c>
      <c r="Y16" s="46">
        <f>+[5]창원!$Q$85</f>
        <v>101651</v>
      </c>
      <c r="Z16" s="47">
        <f>+[5]창원!$R$85</f>
        <v>99143.406486696447</v>
      </c>
      <c r="AA16" s="51">
        <f>+[6]창원!$Q$85</f>
        <v>97356.07335700735</v>
      </c>
      <c r="AB16" s="52">
        <f>+[5]창원!$Q$89</f>
        <v>72300.629098274949</v>
      </c>
      <c r="AC16" s="47">
        <f>+[5]창원!$R$89</f>
        <v>74759.318168576428</v>
      </c>
      <c r="AD16" s="53">
        <f>+[6]창원!$Q$89</f>
        <v>66837.889850702733</v>
      </c>
      <c r="AE16" s="52">
        <f t="shared" si="7"/>
        <v>29350.370901725051</v>
      </c>
      <c r="AF16" s="47">
        <f t="shared" si="8"/>
        <v>24384.088318120019</v>
      </c>
      <c r="AG16" s="53">
        <f t="shared" si="9"/>
        <v>30518.183506304616</v>
      </c>
      <c r="AH16" s="18"/>
      <c r="AI16" s="19"/>
      <c r="AJ16" s="97"/>
    </row>
    <row r="17" spans="2:38" s="8" customFormat="1" ht="19.5" customHeight="1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+IFERROR(HLOOKUP($B17,'[1]6월'!$D$6:$BN$259,2,),)/1000</f>
        <v>16.5</v>
      </c>
      <c r="K17" s="47">
        <f>+IFERROR(HLOOKUP($B17,'[2]6월'!$F$6:$CP$99,2,),)/1000</f>
        <v>15.957000000000001</v>
      </c>
      <c r="L17" s="48">
        <f t="shared" si="0"/>
        <v>-0.54299999999999926</v>
      </c>
      <c r="M17" s="49">
        <f>+IFERROR(HLOOKUP($B17,'[3]6월'!$F$6:$CC$57,2,),)/1000</f>
        <v>18.367000000000001</v>
      </c>
      <c r="N17" s="50">
        <f t="shared" si="2"/>
        <v>-2.41</v>
      </c>
      <c r="O17" s="46">
        <f>+IFERROR(HLOOKUP($B17,'[1]6월'!$D$6:$BN$259,3,),)/1000</f>
        <v>1613.04</v>
      </c>
      <c r="P17" s="47">
        <f>+IFERROR(HLOOKUP($B17,'[2]6월'!$F$6:$CP$99,3,),)/1000</f>
        <v>1689.6665700000001</v>
      </c>
      <c r="Q17" s="48">
        <f t="shared" si="3"/>
        <v>76.626570000000129</v>
      </c>
      <c r="R17" s="49">
        <f>+IFERROR(HLOOKUP($B17,'[3]6월'!$F$6:$CC$57,3,),)/1000</f>
        <v>1757.3783000000001</v>
      </c>
      <c r="S17" s="50">
        <f t="shared" si="4"/>
        <v>-67.711729999999989</v>
      </c>
      <c r="T17" s="46">
        <f>+IFERROR(HLOOKUP($B17,'[1]6월'!$D$6:$BN$259,16,),)/1000</f>
        <v>306.08988449514527</v>
      </c>
      <c r="U17" s="47">
        <f>+IFERROR(HLOOKUP($B17,'[2]6월'!$F$6:$CP$99,16,),)/1000</f>
        <v>285.78178300000008</v>
      </c>
      <c r="V17" s="48">
        <f t="shared" si="5"/>
        <v>-20.308101495145195</v>
      </c>
      <c r="W17" s="49">
        <f>+IFERROR(HLOOKUP($B17,'[3]6월'!$F$6:$CC$57,16,),)/1000</f>
        <v>371.82623100000023</v>
      </c>
      <c r="X17" s="50">
        <f t="shared" si="6"/>
        <v>-86.044448000000159</v>
      </c>
      <c r="Y17" s="46">
        <f>+[5]대구!$Q$85</f>
        <v>97760</v>
      </c>
      <c r="Z17" s="47">
        <f>+[5]대구!$R$85</f>
        <v>105888.73660462494</v>
      </c>
      <c r="AA17" s="51">
        <f>+[6]대구!$Q$85</f>
        <v>95666.260028574572</v>
      </c>
      <c r="AB17" s="52">
        <f>+[5]대구!$Q$89</f>
        <v>68358.487941222935</v>
      </c>
      <c r="AC17" s="47">
        <f>+[5]대구!$R$89</f>
        <v>76495.67542213884</v>
      </c>
      <c r="AD17" s="53">
        <f>+[6]대구!$Q$89</f>
        <v>66158.54174906612</v>
      </c>
      <c r="AE17" s="52">
        <f t="shared" si="7"/>
        <v>29401.512058777065</v>
      </c>
      <c r="AF17" s="47">
        <f t="shared" si="8"/>
        <v>29393.061182486097</v>
      </c>
      <c r="AG17" s="53">
        <f t="shared" si="9"/>
        <v>29507.718279508452</v>
      </c>
      <c r="AH17" s="18"/>
      <c r="AI17" s="19"/>
      <c r="AJ17" s="97"/>
    </row>
    <row r="18" spans="2:38" s="8" customFormat="1" ht="19.5" customHeight="1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+IFERROR(HLOOKUP($B18,'[1]6월'!$D$6:$BN$259,2,),)/1000</f>
        <v>11</v>
      </c>
      <c r="K18" s="11">
        <f>+IFERROR(HLOOKUP($B18,'[2]6월'!$F$6:$CP$99,2,),)/1000</f>
        <v>14.496</v>
      </c>
      <c r="L18" s="12">
        <f t="shared" si="0"/>
        <v>3.4960000000000004</v>
      </c>
      <c r="M18" s="13">
        <f>+IFERROR(HLOOKUP($B18,'[3]6월'!$F$6:$CC$57,2,),)/1000</f>
        <v>8.6869999999999994</v>
      </c>
      <c r="N18" s="14">
        <f t="shared" si="2"/>
        <v>5.8090000000000011</v>
      </c>
      <c r="O18" s="10">
        <f>+IFERROR(HLOOKUP($B18,'[1]6월'!$D$6:$BN$259,3,),)/1000</f>
        <v>1113.43174</v>
      </c>
      <c r="P18" s="11">
        <f>+IFERROR(HLOOKUP($B18,'[2]6월'!$F$6:$CP$99,3,),)/1000</f>
        <v>1547.39915</v>
      </c>
      <c r="Q18" s="12">
        <f t="shared" si="3"/>
        <v>433.96740999999997</v>
      </c>
      <c r="R18" s="13">
        <f>+IFERROR(HLOOKUP($B18,'[3]6월'!$F$6:$CC$57,3,),)/1000</f>
        <v>839.83614999999998</v>
      </c>
      <c r="S18" s="14">
        <f t="shared" si="4"/>
        <v>707.56299999999999</v>
      </c>
      <c r="T18" s="10">
        <f>+IFERROR(HLOOKUP($B18,'[1]6월'!$D$6:$BN$259,16,),)/1000</f>
        <v>122.02934959487177</v>
      </c>
      <c r="U18" s="11">
        <f>+IFERROR(HLOOKUP($B18,'[2]6월'!$F$6:$CP$99,16,),)/1000</f>
        <v>273.46477599999986</v>
      </c>
      <c r="V18" s="12">
        <f t="shared" si="5"/>
        <v>151.43542640512808</v>
      </c>
      <c r="W18" s="13">
        <f>+IFERROR(HLOOKUP($B18,'[3]6월'!$F$6:$CC$57,16,),)/1000</f>
        <v>102.44357200000005</v>
      </c>
      <c r="X18" s="14">
        <f t="shared" si="6"/>
        <v>171.02120399999981</v>
      </c>
      <c r="Y18" s="10">
        <f>+[5]울산!$Q$85</f>
        <v>101221.06727272726</v>
      </c>
      <c r="Z18" s="11">
        <f>+[5]울산!$R$85</f>
        <v>106746.63010485651</v>
      </c>
      <c r="AA18" s="15">
        <f>+[6]울산!$Q$85</f>
        <v>96682.853025936594</v>
      </c>
      <c r="AB18" s="16">
        <f>+[5]울산!$Q$89</f>
        <v>77493.608477532864</v>
      </c>
      <c r="AC18" s="11">
        <f>+[5]울산!$R$89</f>
        <v>79098.881346578361</v>
      </c>
      <c r="AD18" s="17">
        <f>+[6]울산!$Q$89</f>
        <v>72088.073083573487</v>
      </c>
      <c r="AE18" s="16">
        <f t="shared" si="7"/>
        <v>23727.458795194398</v>
      </c>
      <c r="AF18" s="11">
        <f t="shared" si="8"/>
        <v>27647.748758278147</v>
      </c>
      <c r="AG18" s="17">
        <f t="shared" si="9"/>
        <v>24594.779942363108</v>
      </c>
      <c r="AH18" s="18"/>
      <c r="AI18" s="19"/>
      <c r="AJ18" s="97"/>
    </row>
    <row r="19" spans="2:38" s="8" customFormat="1" ht="19.5" customHeight="1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+IFERROR(HLOOKUP($B19,'[1]6월'!$D$6:$BN$259,2,),)/1000</f>
        <v>24</v>
      </c>
      <c r="K19" s="47">
        <f>+IFERROR(HLOOKUP($B19,'[2]6월'!$F$6:$CP$99,2,),)/1000</f>
        <v>30.672999999999998</v>
      </c>
      <c r="L19" s="48">
        <f t="shared" si="0"/>
        <v>6.6729999999999983</v>
      </c>
      <c r="M19" s="49">
        <f>+IFERROR(HLOOKUP($B19,'[3]6월'!$F$6:$CC$57,2,),)/1000</f>
        <v>24.8</v>
      </c>
      <c r="N19" s="50">
        <f t="shared" si="2"/>
        <v>5.8729999999999976</v>
      </c>
      <c r="O19" s="46">
        <f>+IFERROR(HLOOKUP($B19,'[1]6월'!$D$6:$BN$259,3,),)/1000</f>
        <v>2424.0035999999996</v>
      </c>
      <c r="P19" s="47">
        <f>+IFERROR(HLOOKUP($B19,'[2]6월'!$F$6:$CP$99,3,),)/1000</f>
        <v>3094.9294599999998</v>
      </c>
      <c r="Q19" s="48">
        <f t="shared" si="3"/>
        <v>670.92586000000028</v>
      </c>
      <c r="R19" s="49">
        <f>+IFERROR(HLOOKUP($B19,'[3]6월'!$F$6:$CC$57,3,),)/1000</f>
        <v>2440.2958000000003</v>
      </c>
      <c r="S19" s="50">
        <f t="shared" si="4"/>
        <v>654.63365999999951</v>
      </c>
      <c r="T19" s="46">
        <f>+IFERROR(HLOOKUP($B19,'[1]6월'!$D$6:$BN$259,16,),)/1000</f>
        <v>387.74728389918107</v>
      </c>
      <c r="U19" s="47">
        <f>+IFERROR(HLOOKUP($B19,'[2]6월'!$F$6:$CP$99,16,),)/1000</f>
        <v>517.15088099999969</v>
      </c>
      <c r="V19" s="48">
        <f t="shared" si="5"/>
        <v>129.40359710081862</v>
      </c>
      <c r="W19" s="49">
        <f>+IFERROR(HLOOKUP($B19,'[3]6월'!$F$6:$CC$57,16,),)/1000</f>
        <v>467.73001700000026</v>
      </c>
      <c r="X19" s="50">
        <f t="shared" si="6"/>
        <v>49.420863999999426</v>
      </c>
      <c r="Y19" s="46">
        <f>+[5]아산!$Q$85</f>
        <v>101000.15</v>
      </c>
      <c r="Z19" s="47">
        <f>+[5]아산!$R$85</f>
        <v>100900.77462263228</v>
      </c>
      <c r="AA19" s="51">
        <f>+[6]아산!$Q$85</f>
        <v>98555.126951048369</v>
      </c>
      <c r="AB19" s="52">
        <f>+[5]아산!$Q$89</f>
        <v>75742.61148933279</v>
      </c>
      <c r="AC19" s="47">
        <f>+[5]아산!$R$89</f>
        <v>75826.367973685934</v>
      </c>
      <c r="AD19" s="53">
        <f>+[6]아산!$Q$89</f>
        <v>71190.348363790908</v>
      </c>
      <c r="AE19" s="52">
        <f t="shared" si="7"/>
        <v>25257.538510667204</v>
      </c>
      <c r="AF19" s="47">
        <f t="shared" si="8"/>
        <v>25074.406648946344</v>
      </c>
      <c r="AG19" s="53">
        <f t="shared" si="9"/>
        <v>27364.77858725746</v>
      </c>
      <c r="AH19" s="18"/>
      <c r="AI19" s="19"/>
      <c r="AJ19" s="97"/>
    </row>
    <row r="20" spans="2:38" s="8" customFormat="1" ht="19.5" customHeight="1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+IFERROR(HLOOKUP($B20,'[1]6월'!$D$6:$BN$259,2,),)/1000</f>
        <v>13</v>
      </c>
      <c r="K20" s="47">
        <f>+IFERROR(HLOOKUP($B20,'[2]6월'!$F$6:$CP$99,2,),)/1000</f>
        <v>7.9935</v>
      </c>
      <c r="L20" s="48">
        <f t="shared" si="0"/>
        <v>-5.0065</v>
      </c>
      <c r="M20" s="49">
        <f>+IFERROR(HLOOKUP($B20,'[3]6월'!$F$6:$CC$57,2,),)/1000</f>
        <v>12.647500000000001</v>
      </c>
      <c r="N20" s="50">
        <f t="shared" si="2"/>
        <v>-4.6540000000000008</v>
      </c>
      <c r="O20" s="46">
        <f>+IFERROR(HLOOKUP($B20,'[1]6월'!$D$6:$BN$259,3,),)/1000</f>
        <v>1347.8928900000001</v>
      </c>
      <c r="P20" s="47">
        <f>+IFERROR(HLOOKUP($B20,'[2]6월'!$F$6:$CP$99,3,),)/1000</f>
        <v>745.84259999999995</v>
      </c>
      <c r="Q20" s="48">
        <f t="shared" si="3"/>
        <v>-602.05029000000013</v>
      </c>
      <c r="R20" s="49">
        <f>+IFERROR(HLOOKUP($B20,'[3]6월'!$F$6:$CC$57,3,),)/1000</f>
        <v>1250.7506540000002</v>
      </c>
      <c r="S20" s="50">
        <f t="shared" si="4"/>
        <v>-504.90805400000022</v>
      </c>
      <c r="T20" s="46">
        <f>+IFERROR(HLOOKUP($B20,'[1]6월'!$D$6:$BN$259,16,),)/1000</f>
        <v>249.37978769230506</v>
      </c>
      <c r="U20" s="47">
        <f>+IFERROR(HLOOKUP($B20,'[2]6월'!$F$6:$CP$99,16,),)/1000</f>
        <v>26.426646999999996</v>
      </c>
      <c r="V20" s="48">
        <f t="shared" si="5"/>
        <v>-222.95314069230506</v>
      </c>
      <c r="W20" s="49">
        <f>+IFERROR(HLOOKUP($B20,'[3]6월'!$F$6:$CC$57,16,),)/1000</f>
        <v>281.72896200000008</v>
      </c>
      <c r="X20" s="50">
        <f t="shared" si="6"/>
        <v>-255.30231500000008</v>
      </c>
      <c r="Y20" s="46">
        <f>+[5]전주!$Q$85</f>
        <v>103684.06846153847</v>
      </c>
      <c r="Z20" s="47">
        <f>+[5]전주!$R$85</f>
        <v>93306.136235691491</v>
      </c>
      <c r="AA20" s="51">
        <f>+[6]전주!$Q$85</f>
        <v>99035.303162704935</v>
      </c>
      <c r="AB20" s="52">
        <f>+[5]전주!$Q$89</f>
        <v>73031.272678731359</v>
      </c>
      <c r="AC20" s="47">
        <f>+[5]전주!$R$89</f>
        <v>69399.752109506837</v>
      </c>
      <c r="AD20" s="53">
        <f>+[6]전주!$Q$89</f>
        <v>66752.806990820536</v>
      </c>
      <c r="AE20" s="52">
        <f t="shared" si="7"/>
        <v>30652.795782807108</v>
      </c>
      <c r="AF20" s="47">
        <f t="shared" si="8"/>
        <v>23906.384126184654</v>
      </c>
      <c r="AG20" s="53">
        <f t="shared" si="9"/>
        <v>32282.496171884399</v>
      </c>
      <c r="AH20" s="18"/>
      <c r="AI20" s="19"/>
      <c r="AJ20" s="97"/>
    </row>
    <row r="21" spans="2:38" s="8" customFormat="1" ht="19.5" customHeight="1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+IFERROR(HLOOKUP($B21,'[1]6월'!$D$6:$BN$259,2,),)/1000</f>
        <v>7.5</v>
      </c>
      <c r="K21" s="47">
        <f>+IFERROR(HLOOKUP($B21,'[2]6월'!$F$6:$CP$99,2,),)/1000</f>
        <v>10.45</v>
      </c>
      <c r="L21" s="48">
        <f t="shared" si="0"/>
        <v>2.9499999999999993</v>
      </c>
      <c r="M21" s="49">
        <f>+IFERROR(HLOOKUP($B21,'[3]6월'!$F$6:$CC$57,2,),)/1000</f>
        <v>8.8070000000000004</v>
      </c>
      <c r="N21" s="50">
        <f t="shared" si="2"/>
        <v>1.6429999999999989</v>
      </c>
      <c r="O21" s="46">
        <f>+IFERROR(HLOOKUP($B21,'[1]6월'!$D$6:$BN$259,3,),)/1000</f>
        <v>817.18473199999994</v>
      </c>
      <c r="P21" s="47">
        <f>+IFERROR(HLOOKUP($B21,'[2]6월'!$F$6:$CP$99,3,),)/1000</f>
        <v>1231.4346</v>
      </c>
      <c r="Q21" s="48">
        <f t="shared" si="3"/>
        <v>414.24986800000011</v>
      </c>
      <c r="R21" s="49">
        <f>+IFERROR(HLOOKUP($B21,'[3]6월'!$F$6:$CC$57,3,),)/1000</f>
        <v>871.30717299999992</v>
      </c>
      <c r="S21" s="50">
        <f t="shared" si="4"/>
        <v>360.12742700000013</v>
      </c>
      <c r="T21" s="46">
        <f>+IFERROR(HLOOKUP($B21,'[1]6월'!$D$6:$BN$259,16,),)/1000</f>
        <v>217.12346149631171</v>
      </c>
      <c r="U21" s="47">
        <f>+IFERROR(HLOOKUP($B21,'[2]6월'!$F$6:$CP$99,16,),)/1000</f>
        <v>359.6557620000001</v>
      </c>
      <c r="V21" s="48">
        <f t="shared" si="5"/>
        <v>142.53230050368839</v>
      </c>
      <c r="W21" s="49">
        <f>+IFERROR(HLOOKUP($B21,'[3]6월'!$F$6:$CC$57,16,),)/1000</f>
        <v>209.08494499999995</v>
      </c>
      <c r="X21" s="50">
        <f t="shared" si="6"/>
        <v>150.57081700000015</v>
      </c>
      <c r="Y21" s="46">
        <f>+[5]군산!$Q$85</f>
        <v>108957.96426666666</v>
      </c>
      <c r="Z21" s="47">
        <f>+[5]군산!$R$85</f>
        <v>117840.63157894737</v>
      </c>
      <c r="AA21" s="51">
        <f>+[6]군산!$Q$85</f>
        <v>98570.921049493132</v>
      </c>
      <c r="AB21" s="52">
        <f>+[5]군산!$Q$89</f>
        <v>69325.55867254184</v>
      </c>
      <c r="AC21" s="47">
        <f>+[5]군산!$R$89</f>
        <v>75736.722296650725</v>
      </c>
      <c r="AD21" s="53">
        <f>+[6]군산!$Q$89</f>
        <v>64797.831724466683</v>
      </c>
      <c r="AE21" s="52">
        <f t="shared" si="7"/>
        <v>39632.405594124823</v>
      </c>
      <c r="AF21" s="47">
        <f t="shared" si="8"/>
        <v>42103.909282296649</v>
      </c>
      <c r="AG21" s="53">
        <f t="shared" si="9"/>
        <v>33773.089325026449</v>
      </c>
      <c r="AH21" s="18"/>
      <c r="AI21" s="19"/>
      <c r="AJ21" s="97"/>
    </row>
    <row r="22" spans="2:38" s="8" customFormat="1" ht="19.5" customHeight="1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+IFERROR(HLOOKUP($B22,'[1]6월'!$D$6:$BN$259,2,),)/1000</f>
        <v>5</v>
      </c>
      <c r="K22" s="47">
        <f>+IFERROR(HLOOKUP($B22,'[2]6월'!$F$6:$CP$99,2,),)/1000</f>
        <v>6.3490000000000002</v>
      </c>
      <c r="L22" s="48">
        <f t="shared" si="0"/>
        <v>1.3490000000000002</v>
      </c>
      <c r="M22" s="49">
        <f>+IFERROR(HLOOKUP($B22,'[3]6월'!$F$6:$CC$57,2,),)/1000</f>
        <v>4.6379999999999999</v>
      </c>
      <c r="N22" s="50">
        <f t="shared" si="2"/>
        <v>1.7110000000000003</v>
      </c>
      <c r="O22" s="46">
        <f>+IFERROR(HLOOKUP($B22,'[1]6월'!$D$6:$BN$259,3,),)/1000</f>
        <v>539.5</v>
      </c>
      <c r="P22" s="47">
        <f>+IFERROR(HLOOKUP($B22,'[2]6월'!$F$6:$CP$99,3,),)/1000</f>
        <v>730.51490000000001</v>
      </c>
      <c r="Q22" s="48">
        <f t="shared" si="3"/>
        <v>191.01490000000001</v>
      </c>
      <c r="R22" s="49">
        <f>+IFERROR(HLOOKUP($B22,'[3]6월'!$F$6:$CC$57,3,),)/1000</f>
        <v>468.8184</v>
      </c>
      <c r="S22" s="50">
        <f t="shared" si="4"/>
        <v>261.69650000000001</v>
      </c>
      <c r="T22" s="46">
        <f>+IFERROR(HLOOKUP($B22,'[1]6월'!$D$6:$BN$259,16,),)/1000</f>
        <v>88.524752009758899</v>
      </c>
      <c r="U22" s="47">
        <f>+IFERROR(HLOOKUP($B22,'[2]6월'!$F$6:$CP$99,16,),)/1000</f>
        <v>157.52760199999997</v>
      </c>
      <c r="V22" s="48">
        <f t="shared" si="5"/>
        <v>69.002849990241074</v>
      </c>
      <c r="W22" s="49">
        <f>+IFERROR(HLOOKUP($B22,'[3]6월'!$F$6:$CC$57,16,),)/1000</f>
        <v>76.760799000000077</v>
      </c>
      <c r="X22" s="50">
        <f t="shared" si="6"/>
        <v>80.766802999999896</v>
      </c>
      <c r="Y22" s="46">
        <f>+[5]원주!$Q$85</f>
        <v>107900</v>
      </c>
      <c r="Z22" s="47">
        <f>+[5]원주!$R$85</f>
        <v>115059.83619467633</v>
      </c>
      <c r="AA22" s="51">
        <f>+[6]원주!$Q$85</f>
        <v>101117.99217731421</v>
      </c>
      <c r="AB22" s="52">
        <f>+[5]원주!$Q$89</f>
        <v>72494.917513522101</v>
      </c>
      <c r="AC22" s="47">
        <f>+[5]원주!$R$89</f>
        <v>75609.699637738217</v>
      </c>
      <c r="AD22" s="53">
        <f>+[6]원주!$Q$89</f>
        <v>68277.321599304662</v>
      </c>
      <c r="AE22" s="52">
        <f t="shared" si="7"/>
        <v>35405.082486477899</v>
      </c>
      <c r="AF22" s="47">
        <f t="shared" si="8"/>
        <v>39450.136556938116</v>
      </c>
      <c r="AG22" s="53">
        <f t="shared" si="9"/>
        <v>32840.670578009551</v>
      </c>
      <c r="AH22" s="18"/>
      <c r="AI22" s="19"/>
      <c r="AJ22" s="97"/>
    </row>
    <row r="23" spans="2:38" s="8" customFormat="1" ht="19.5" customHeight="1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+IFERROR(HLOOKUP($B23,'[1]6월'!$D$6:$BN$259,2,),)/1000</f>
        <v>6</v>
      </c>
      <c r="K23" s="47">
        <f>+IFERROR(HLOOKUP($B23,'[2]6월'!$F$6:$CP$99,2,),)/1000</f>
        <v>4.6109999999999998</v>
      </c>
      <c r="L23" s="48">
        <f t="shared" si="0"/>
        <v>-1.3890000000000002</v>
      </c>
      <c r="M23" s="49">
        <f>+IFERROR(HLOOKUP($B23,'[3]6월'!$F$6:$CC$57,2,),)/1000</f>
        <v>8.3925000000000001</v>
      </c>
      <c r="N23" s="50">
        <f t="shared" si="2"/>
        <v>-3.7815000000000003</v>
      </c>
      <c r="O23" s="46">
        <f>+IFERROR(HLOOKUP($B23,'[1]6월'!$D$6:$BN$259,3,),)/1000</f>
        <v>760.8</v>
      </c>
      <c r="P23" s="47">
        <f>+IFERROR(HLOOKUP($B23,'[2]6월'!$F$6:$CP$99,3,),)/1000</f>
        <v>568.44684699999993</v>
      </c>
      <c r="Q23" s="48">
        <f t="shared" si="3"/>
        <v>-192.35315300000002</v>
      </c>
      <c r="R23" s="49">
        <f>+IFERROR(HLOOKUP($B23,'[3]6월'!$F$6:$CC$57,3,),)/1000</f>
        <v>1009.533068</v>
      </c>
      <c r="S23" s="50">
        <f t="shared" si="4"/>
        <v>-441.08622100000002</v>
      </c>
      <c r="T23" s="46">
        <f>+IFERROR(HLOOKUP($B23,'[1]6월'!$D$6:$BN$259,16,),)/1000</f>
        <v>122.30759404199407</v>
      </c>
      <c r="U23" s="47">
        <f>+IFERROR(HLOOKUP($B23,'[2]6월'!$F$6:$CP$99,16,),)/1000</f>
        <v>65.194073999999944</v>
      </c>
      <c r="V23" s="48">
        <f t="shared" si="5"/>
        <v>-57.113520041994121</v>
      </c>
      <c r="W23" s="49">
        <f>+IFERROR(HLOOKUP($B23,'[3]6월'!$F$6:$CC$57,16,),)/1000</f>
        <v>207.50609899999992</v>
      </c>
      <c r="X23" s="50">
        <f t="shared" si="6"/>
        <v>-142.31202499999998</v>
      </c>
      <c r="Y23" s="46">
        <f>+[5]제주!$Q$85</f>
        <v>126800</v>
      </c>
      <c r="Z23" s="47">
        <f>+[5]제주!$R$85</f>
        <v>123280.60008674907</v>
      </c>
      <c r="AA23" s="51">
        <f>+[6]제주!$Q$85</f>
        <v>120298.26635541988</v>
      </c>
      <c r="AB23" s="52">
        <f>+[5]제주!$Q$89</f>
        <v>91078.010519294941</v>
      </c>
      <c r="AC23" s="47">
        <f>+[5]제주!$R$89</f>
        <v>90143.962744888122</v>
      </c>
      <c r="AD23" s="53">
        <f>+[6]제주!$Q$89</f>
        <v>86402.017477703965</v>
      </c>
      <c r="AE23" s="52">
        <f t="shared" si="7"/>
        <v>35721.989480705059</v>
      </c>
      <c r="AF23" s="47">
        <f t="shared" si="8"/>
        <v>33136.637341860944</v>
      </c>
      <c r="AG23" s="53">
        <f t="shared" si="9"/>
        <v>33896.248877715916</v>
      </c>
      <c r="AH23" s="18"/>
      <c r="AI23" s="19"/>
      <c r="AJ23" s="97"/>
    </row>
    <row r="24" spans="2:38" s="8" customFormat="1" ht="19.5" customHeight="1">
      <c r="G24" s="96" t="str">
        <f t="shared" si="1"/>
        <v>수도권</v>
      </c>
      <c r="H24" s="80"/>
      <c r="I24" s="84" t="s">
        <v>55</v>
      </c>
      <c r="J24" s="23">
        <f>SUM(J7:J10)</f>
        <v>119.5</v>
      </c>
      <c r="K24" s="20">
        <f>SUM(K7:K10)</f>
        <v>107.2852</v>
      </c>
      <c r="L24" s="21">
        <f t="shared" si="0"/>
        <v>-12.214799999999997</v>
      </c>
      <c r="M24" s="25">
        <f>SUM(M7:M10)</f>
        <v>144.232</v>
      </c>
      <c r="N24" s="22">
        <f t="shared" si="2"/>
        <v>-36.946799999999996</v>
      </c>
      <c r="O24" s="23">
        <f>SUM(O7:O10)</f>
        <v>11973.184669175542</v>
      </c>
      <c r="P24" s="20">
        <f>SUM(P7:P10)</f>
        <v>10510.875039999999</v>
      </c>
      <c r="Q24" s="21">
        <f t="shared" si="3"/>
        <v>-1462.3096291755428</v>
      </c>
      <c r="R24" s="25">
        <f>SUM(R7:R10)</f>
        <v>13758.255309000002</v>
      </c>
      <c r="S24" s="22">
        <f t="shared" si="4"/>
        <v>-3247.380269000003</v>
      </c>
      <c r="T24" s="23">
        <f>SUM(T7:T10)</f>
        <v>1626.9269826088819</v>
      </c>
      <c r="U24" s="20">
        <f>SUM(U7:U10)</f>
        <v>866.42164500000013</v>
      </c>
      <c r="V24" s="21">
        <f t="shared" si="5"/>
        <v>-760.50533760888175</v>
      </c>
      <c r="W24" s="25">
        <f>SUM(W7:W10)</f>
        <v>2278.4008879999997</v>
      </c>
      <c r="X24" s="22">
        <f t="shared" si="6"/>
        <v>-1411.9792429999995</v>
      </c>
      <c r="Y24" s="23">
        <f>+[5]수도권!$Q$85</f>
        <v>100194.01396799617</v>
      </c>
      <c r="Z24" s="20">
        <f>+[5]수도권!$R$85</f>
        <v>97972.58561150539</v>
      </c>
      <c r="AA24" s="24">
        <f>+[6]수도권!$Q$85</f>
        <v>95370.958923016558</v>
      </c>
      <c r="AB24" s="29">
        <f>+[5]수도권!$Q$89</f>
        <v>77342.533883116572</v>
      </c>
      <c r="AC24" s="20">
        <f>+[5]수도권!$R$89</f>
        <v>80027.501889100458</v>
      </c>
      <c r="AD24" s="30">
        <f>+[6]수도권!$Q$89</f>
        <v>72212.802337715097</v>
      </c>
      <c r="AE24" s="29">
        <f t="shared" si="7"/>
        <v>22851.4800848796</v>
      </c>
      <c r="AF24" s="20">
        <f t="shared" si="8"/>
        <v>17945.083722404932</v>
      </c>
      <c r="AG24" s="30">
        <f t="shared" si="9"/>
        <v>23158.156585301462</v>
      </c>
      <c r="AH24" s="18"/>
      <c r="AI24" s="19"/>
      <c r="AJ24" s="97"/>
    </row>
    <row r="25" spans="2:38" s="8" customFormat="1" ht="19.5" customHeight="1">
      <c r="G25" s="8" t="str">
        <f t="shared" si="1"/>
        <v>영남권</v>
      </c>
      <c r="H25" s="80"/>
      <c r="I25" s="84" t="s">
        <v>56</v>
      </c>
      <c r="J25" s="23">
        <f>SUM(J11:J18)</f>
        <v>128.5</v>
      </c>
      <c r="K25" s="20">
        <f>SUM(K11:K18)</f>
        <v>137.792</v>
      </c>
      <c r="L25" s="21">
        <f t="shared" si="0"/>
        <v>9.2920000000000016</v>
      </c>
      <c r="M25" s="25">
        <f>SUM(M11:M18)</f>
        <v>146.56500000000003</v>
      </c>
      <c r="N25" s="22">
        <f t="shared" si="2"/>
        <v>-8.7730000000000246</v>
      </c>
      <c r="O25" s="23">
        <f>SUM(O11:O18)</f>
        <v>13158.526049</v>
      </c>
      <c r="P25" s="20">
        <f>SUM(P11:P18)</f>
        <v>13894.994360999999</v>
      </c>
      <c r="Q25" s="21">
        <f t="shared" si="3"/>
        <v>736.46831199999906</v>
      </c>
      <c r="R25" s="25">
        <f>SUM(R11:R18)</f>
        <v>14607.754849999998</v>
      </c>
      <c r="S25" s="22">
        <f t="shared" si="4"/>
        <v>-712.76048899999842</v>
      </c>
      <c r="T25" s="23">
        <f>SUM(T11:T18)</f>
        <v>1925.4948517798377</v>
      </c>
      <c r="U25" s="20">
        <f>SUM(U11:U18)</f>
        <v>1518.0696369999996</v>
      </c>
      <c r="V25" s="21">
        <f t="shared" si="5"/>
        <v>-407.42521477983814</v>
      </c>
      <c r="W25" s="25">
        <f>SUM(W11:W18)</f>
        <v>2779.4182430000001</v>
      </c>
      <c r="X25" s="22">
        <f t="shared" si="6"/>
        <v>-1261.3486060000005</v>
      </c>
      <c r="Y25" s="23">
        <f>+[5]영남권!$Q$85</f>
        <v>102400.98092607004</v>
      </c>
      <c r="Z25" s="20">
        <f>+[5]영남권!$R$85</f>
        <v>100840.35619629588</v>
      </c>
      <c r="AA25" s="24">
        <f>+[6]영남권!$Q$85</f>
        <v>99670.720502240685</v>
      </c>
      <c r="AB25" s="29">
        <f>+[5]영남권!$Q$89</f>
        <v>74820.372322401439</v>
      </c>
      <c r="AC25" s="20">
        <f>+[5]영남권!$R$89</f>
        <v>78131.983763998112</v>
      </c>
      <c r="AD25" s="30">
        <f>+[6]영남권!$Q$89</f>
        <v>71056.777361905974</v>
      </c>
      <c r="AE25" s="29">
        <f t="shared" si="7"/>
        <v>27580.608603668603</v>
      </c>
      <c r="AF25" s="20">
        <f t="shared" si="8"/>
        <v>22708.372432297765</v>
      </c>
      <c r="AG25" s="30">
        <f t="shared" si="9"/>
        <v>28613.943140334712</v>
      </c>
      <c r="AH25" s="18"/>
      <c r="AI25" s="19"/>
      <c r="AJ25" s="97"/>
    </row>
    <row r="26" spans="2:38" s="8" customFormat="1" ht="19.5" customHeight="1">
      <c r="G26" s="8" t="str">
        <f t="shared" si="1"/>
        <v>중부권</v>
      </c>
      <c r="H26" s="80"/>
      <c r="I26" s="84" t="s">
        <v>171</v>
      </c>
      <c r="J26" s="23">
        <f>SUM(J19:J23)</f>
        <v>55.5</v>
      </c>
      <c r="K26" s="20">
        <f>SUM(K19:K23)</f>
        <v>60.076500000000003</v>
      </c>
      <c r="L26" s="21">
        <f t="shared" si="0"/>
        <v>4.5765000000000029</v>
      </c>
      <c r="M26" s="25">
        <f>SUM(M19:M23)</f>
        <v>59.285000000000004</v>
      </c>
      <c r="N26" s="22">
        <f t="shared" si="2"/>
        <v>0.7914999999999992</v>
      </c>
      <c r="O26" s="23">
        <f>SUM(O19:O23)</f>
        <v>5889.381222</v>
      </c>
      <c r="P26" s="20">
        <f>SUM(P19:P23)</f>
        <v>6371.1684070000001</v>
      </c>
      <c r="Q26" s="21">
        <f t="shared" si="3"/>
        <v>481.78718500000014</v>
      </c>
      <c r="R26" s="25">
        <f>SUM(R19:R23)</f>
        <v>6040.7050950000003</v>
      </c>
      <c r="S26" s="22">
        <f t="shared" si="4"/>
        <v>330.46331199999986</v>
      </c>
      <c r="T26" s="23">
        <f>SUM(T19:T23)</f>
        <v>1065.0828791395509</v>
      </c>
      <c r="U26" s="20">
        <f>SUM(U19:U23)</f>
        <v>1125.9549659999998</v>
      </c>
      <c r="V26" s="21">
        <f t="shared" si="5"/>
        <v>60.872086860448917</v>
      </c>
      <c r="W26" s="25">
        <f>SUM(W19:W23)</f>
        <v>1242.8108220000004</v>
      </c>
      <c r="X26" s="22">
        <f t="shared" si="6"/>
        <v>-116.85585600000059</v>
      </c>
      <c r="Y26" s="23">
        <f>+[5]중부권!$Q$85</f>
        <v>106114.97697297296</v>
      </c>
      <c r="Z26" s="20">
        <f>+[5]중부권!$R$85</f>
        <v>106050.92518705317</v>
      </c>
      <c r="AA26" s="24">
        <f>+[6]중부권!$Q$85</f>
        <v>102035.99167931342</v>
      </c>
      <c r="AB26" s="29">
        <f>+[5]중부권!$Q$89</f>
        <v>75605.649753061953</v>
      </c>
      <c r="AC26" s="20">
        <f>+[5]중부권!$R$89</f>
        <v>76044.867154133768</v>
      </c>
      <c r="AD26" s="30">
        <f>+[6]중부권!$Q$89</f>
        <v>71271.841813426334</v>
      </c>
      <c r="AE26" s="29">
        <f t="shared" si="7"/>
        <v>30509.327219911007</v>
      </c>
      <c r="AF26" s="20">
        <f t="shared" si="8"/>
        <v>30006.058032919405</v>
      </c>
      <c r="AG26" s="30">
        <f t="shared" si="9"/>
        <v>30764.149865887084</v>
      </c>
      <c r="AH26" s="18"/>
      <c r="AI26" s="19"/>
      <c r="AJ26" s="97"/>
    </row>
    <row r="27" spans="2:38" s="3" customFormat="1" ht="19.5" customHeight="1">
      <c r="B27" s="26"/>
      <c r="G27" s="9">
        <f>+K27/J27</f>
        <v>1.0054487644151566</v>
      </c>
      <c r="H27" s="630" t="s">
        <v>115</v>
      </c>
      <c r="I27" s="631"/>
      <c r="J27" s="632">
        <f>SUM(J24:J26)</f>
        <v>303.5</v>
      </c>
      <c r="K27" s="633">
        <f>SUM(K24:K26)</f>
        <v>305.15370000000001</v>
      </c>
      <c r="L27" s="634">
        <f t="shared" ref="L27:L32" si="10">+K27-J27</f>
        <v>1.6537000000000148</v>
      </c>
      <c r="M27" s="635">
        <f>SUM(M24:M26)</f>
        <v>350.08200000000005</v>
      </c>
      <c r="N27" s="636">
        <f t="shared" ref="N27:N32" si="11">+K27-M27</f>
        <v>-44.928300000000036</v>
      </c>
      <c r="O27" s="632">
        <f>SUM(O24:O26)</f>
        <v>31021.091940175542</v>
      </c>
      <c r="P27" s="633">
        <f>SUM(P24:P26)</f>
        <v>30777.037807999997</v>
      </c>
      <c r="Q27" s="634">
        <f t="shared" ref="Q27:Q43" si="12">+P27-O27</f>
        <v>-244.05413217554451</v>
      </c>
      <c r="R27" s="635">
        <f>SUM(R24:R26)</f>
        <v>34406.715253999995</v>
      </c>
      <c r="S27" s="636">
        <f t="shared" ref="S27:S34" si="13">+P27-R27</f>
        <v>-3629.6774459999979</v>
      </c>
      <c r="T27" s="632">
        <f>SUM(T24:T26)</f>
        <v>4617.5047135282703</v>
      </c>
      <c r="U27" s="633">
        <f>SUM(U24:U26)</f>
        <v>3510.4462479999997</v>
      </c>
      <c r="V27" s="634">
        <f t="shared" ref="V27:V32" si="14">+U27-T27</f>
        <v>-1107.0584655282705</v>
      </c>
      <c r="W27" s="635">
        <f>SUM(W24:W26)</f>
        <v>6300.6299530000006</v>
      </c>
      <c r="X27" s="636">
        <f t="shared" ref="X27:X32" si="15">+U27-W27</f>
        <v>-2790.1837050000008</v>
      </c>
      <c r="Y27" s="632">
        <f>+[5]합계!$Q$85</f>
        <v>102211.17607965581</v>
      </c>
      <c r="Z27" s="633">
        <f>+[5]합계!$R$85</f>
        <v>100861.45397837207</v>
      </c>
      <c r="AA27" s="637">
        <f>+[6]합계!$Q$85</f>
        <v>98290.63873133529</v>
      </c>
      <c r="AB27" s="638">
        <f>+[5]합계!$Q$89</f>
        <v>75957.048447301335</v>
      </c>
      <c r="AC27" s="633">
        <f>+[5]합계!$R$89</f>
        <v>78384.693623610641</v>
      </c>
      <c r="AD27" s="639">
        <f>+[6]합계!$Q$89</f>
        <v>71567.894481482988</v>
      </c>
      <c r="AE27" s="638">
        <f t="shared" si="7"/>
        <v>26254.127632354473</v>
      </c>
      <c r="AF27" s="633">
        <f t="shared" si="8"/>
        <v>22476.760354761427</v>
      </c>
      <c r="AG27" s="639">
        <f t="shared" si="9"/>
        <v>26722.744249852301</v>
      </c>
      <c r="AH27" s="27"/>
      <c r="AI27" s="28"/>
      <c r="AJ27" s="97"/>
      <c r="AL27" s="26"/>
    </row>
    <row r="28" spans="2:38" s="8" customFormat="1" ht="19.5" customHeight="1">
      <c r="B28" s="8" t="s">
        <v>193</v>
      </c>
      <c r="E28" s="8" t="s">
        <v>202</v>
      </c>
      <c r="G28" s="8" t="s">
        <v>3</v>
      </c>
      <c r="H28" s="826" t="s">
        <v>63</v>
      </c>
      <c r="I28" s="827"/>
      <c r="J28" s="168">
        <f>+IFERROR(HLOOKUP($B28,'[1]6월'!$D$6:$BN$259,2,),)</f>
        <v>6100</v>
      </c>
      <c r="K28" s="169">
        <f>+IFERROR(HLOOKUP($E28,'[2]6월'!$F$6:$CP$99,2,),)</f>
        <v>7982.0609999999997</v>
      </c>
      <c r="L28" s="170">
        <f>+K28-J28</f>
        <v>1882.0609999999997</v>
      </c>
      <c r="M28" s="171">
        <f>+IFERROR(HLOOKUP($E28,'[3]6월'!$F$6:$CC$57,2,),)</f>
        <v>7070.5</v>
      </c>
      <c r="N28" s="172">
        <f>+K28-M28</f>
        <v>911.56099999999969</v>
      </c>
      <c r="O28" s="168">
        <f>+IFERROR(HLOOKUP($B28,'[1]6월'!$D$6:$BN$259,3,),)/1000</f>
        <v>7443.8252631578962</v>
      </c>
      <c r="P28" s="169">
        <f>+IFERROR(HLOOKUP($E28,'[2]6월'!$F$6:$CP$99,3,),)/1000</f>
        <v>7873.3447779999997</v>
      </c>
      <c r="Q28" s="170">
        <f>+P28-O28</f>
        <v>429.51951484210349</v>
      </c>
      <c r="R28" s="171">
        <f>+IFERROR(HLOOKUP($E28,'[3]6월'!$F$6:$CC$57,3,),)/1000</f>
        <v>8947.0894150000004</v>
      </c>
      <c r="S28" s="172">
        <f t="shared" si="13"/>
        <v>-1073.7446370000007</v>
      </c>
      <c r="T28" s="168">
        <f>+IFERROR(HLOOKUP($B28,'[1]6월'!$D$6:$BN$259,16,),)/1000</f>
        <v>65.463102652633594</v>
      </c>
      <c r="U28" s="169">
        <f>+IFERROR(HLOOKUP($E28,'[2]6월'!$F$6:$CP$99,16,),)/1000</f>
        <v>150.16984000000002</v>
      </c>
      <c r="V28" s="170">
        <f t="shared" si="14"/>
        <v>84.706737347366428</v>
      </c>
      <c r="W28" s="171">
        <f>+IFERROR(HLOOKUP($E28,'[3]6월'!$F$6:$CC$57,16,),)/1000</f>
        <v>117.02504200000119</v>
      </c>
      <c r="X28" s="172">
        <f t="shared" si="15"/>
        <v>33.144797999998829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194</v>
      </c>
      <c r="C29" s="79" t="s">
        <v>61</v>
      </c>
      <c r="G29" s="792" t="str">
        <f>+I29</f>
        <v>부산모래장</v>
      </c>
      <c r="H29" s="86" t="s">
        <v>60</v>
      </c>
      <c r="I29" s="81" t="s">
        <v>194</v>
      </c>
      <c r="J29" s="56">
        <f>+IFERROR(HLOOKUP($B29,'[1]6월'!$D$6:$BN$259,2,),)/1000</f>
        <v>27.565379730358124</v>
      </c>
      <c r="K29" s="57">
        <f>+IFERROR(HLOOKUP($C29,'[2]6월'!$F$6:$CP$99,2,),)/1000</f>
        <v>18.489999999999998</v>
      </c>
      <c r="L29" s="38">
        <f t="shared" si="10"/>
        <v>-9.0753797303581258</v>
      </c>
      <c r="M29" s="38">
        <f>+IFERROR(HLOOKUP($C29,'[3]6월'!$F$6:$CC$57,2,),)/1000</f>
        <v>27.381</v>
      </c>
      <c r="N29" s="58">
        <f t="shared" si="11"/>
        <v>-8.8910000000000018</v>
      </c>
      <c r="O29" s="56">
        <f>+IFERROR(HLOOKUP($B29,'[1]6월'!$D$6:$BN$259,3,),)/1000</f>
        <v>783.26375310459412</v>
      </c>
      <c r="P29" s="57">
        <f>+IFERROR(HLOOKUP($C29,'[2]6월'!$F$6:$CP$99,3,),)/1000</f>
        <v>536.24400000000003</v>
      </c>
      <c r="Q29" s="38">
        <f t="shared" si="12"/>
        <v>-247.01975310459409</v>
      </c>
      <c r="R29" s="38">
        <f>+IFERROR(HLOOKUP($C29,'[3]6월'!$F$6:$CC$57,3,),)/1000</f>
        <v>793.57299999999998</v>
      </c>
      <c r="S29" s="58">
        <f t="shared" si="13"/>
        <v>-257.32899999999995</v>
      </c>
      <c r="T29" s="56">
        <f>+IFERROR(HLOOKUP($B29,'[1]6월'!$D$6:$BN$259,21,),)/1000</f>
        <v>-13.063948806318862</v>
      </c>
      <c r="U29" s="57">
        <f>+IFERROR(HLOOKUP($C29,'[2]6월'!$F$6:$CP$99,21,),)/1000</f>
        <v>-53.96653882738115</v>
      </c>
      <c r="V29" s="38">
        <f t="shared" si="14"/>
        <v>-40.902590021062288</v>
      </c>
      <c r="W29" s="38">
        <f>+IFERROR(HLOOKUP($C29,'[3]6월'!$F$6:$CC$57,16,),)/1000</f>
        <v>8.3663359999999809</v>
      </c>
      <c r="X29" s="58">
        <f t="shared" si="15"/>
        <v>-62.332874827381133</v>
      </c>
      <c r="Y29" s="587" t="s">
        <v>232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195</v>
      </c>
      <c r="C30" s="81" t="s">
        <v>62</v>
      </c>
      <c r="G30" s="792" t="str">
        <f t="shared" ref="G30:G31" si="16">+I30</f>
        <v>서부산CR</v>
      </c>
      <c r="H30" s="85"/>
      <c r="I30" s="81" t="s">
        <v>242</v>
      </c>
      <c r="J30" s="54">
        <f>+IFERROR(HLOOKUP($B30,'[1]6월'!$D$6:$BN$259,2,),)/1000</f>
        <v>50.237673493333332</v>
      </c>
      <c r="K30" s="59">
        <f>+IFERROR(HLOOKUP($C30,'[2]6월'!$F$6:$CP$99,2,),)/1000</f>
        <v>24.943999999999999</v>
      </c>
      <c r="L30" s="48">
        <f t="shared" si="10"/>
        <v>-25.293673493333333</v>
      </c>
      <c r="M30" s="48">
        <f>+IFERROR(HLOOKUP($C30,'[3]6월'!$F$6:$CC$57,2,),)/1000</f>
        <v>33.392000000000003</v>
      </c>
      <c r="N30" s="60">
        <f t="shared" si="11"/>
        <v>-8.448000000000004</v>
      </c>
      <c r="O30" s="54">
        <f>+IFERROR(HLOOKUP($B30,'[1]6월'!$D$6:$BN$259,3,),)/1000</f>
        <v>619.24876906666668</v>
      </c>
      <c r="P30" s="59">
        <f>+IFERROR(HLOOKUP($C30,'[2]6월'!$F$6:$CP$99,3,),)/1000</f>
        <v>344.55200000000002</v>
      </c>
      <c r="Q30" s="48">
        <f t="shared" si="12"/>
        <v>-274.69676906666666</v>
      </c>
      <c r="R30" s="48">
        <f>+IFERROR(HLOOKUP($C30,'[3]6월'!$F$6:$CC$57,3,),)/1000</f>
        <v>396.25599999999997</v>
      </c>
      <c r="S30" s="60">
        <f t="shared" si="13"/>
        <v>-51.703999999999951</v>
      </c>
      <c r="T30" s="54">
        <f>+IFERROR(HLOOKUP($B30,'[1]6월'!$D$6:$BN$259,21,),)/1000</f>
        <v>174.71702459951769</v>
      </c>
      <c r="U30" s="59">
        <f>+IFERROR(HLOOKUP($C30,'[2]6월'!$F$6:$CP$99,21,),)/1000</f>
        <v>23.263171692013643</v>
      </c>
      <c r="V30" s="48">
        <f t="shared" si="14"/>
        <v>-151.45385290750403</v>
      </c>
      <c r="W30" s="48">
        <f>+IFERROR(HLOOKUP($C30,'[3]6월'!$F$6:$CC$57,16,),)/1000</f>
        <v>52.482059999999983</v>
      </c>
      <c r="X30" s="60">
        <f t="shared" si="15"/>
        <v>-29.21888830798634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787"/>
      <c r="AK30" s="99"/>
      <c r="AL30" s="99"/>
    </row>
    <row r="31" spans="2:38" s="8" customFormat="1" ht="19.5" customHeight="1">
      <c r="B31" s="8" t="s">
        <v>176</v>
      </c>
      <c r="C31" s="83" t="s">
        <v>176</v>
      </c>
      <c r="G31" s="792" t="str">
        <f t="shared" si="16"/>
        <v>부산CR</v>
      </c>
      <c r="H31" s="85"/>
      <c r="I31" s="83" t="s">
        <v>244</v>
      </c>
      <c r="J31" s="54">
        <f>+IFERROR(HLOOKUP($B31,'[1]6월'!$D$6:$BN$259,2,),)/1000</f>
        <v>41.645145544513255</v>
      </c>
      <c r="K31" s="59">
        <f>+IFERROR(HLOOKUP($C31,'[2]6월'!$F$6:$CP$99,2,),)/1000</f>
        <v>32.89</v>
      </c>
      <c r="L31" s="48">
        <f t="shared" si="10"/>
        <v>-8.7551455445132547</v>
      </c>
      <c r="M31" s="48">
        <f>+IFERROR(HLOOKUP($C31,'[3]6월'!$F$6:$CC$57,2,),)/1000</f>
        <v>3.8</v>
      </c>
      <c r="N31" s="60">
        <f t="shared" si="11"/>
        <v>29.09</v>
      </c>
      <c r="O31" s="54">
        <f>+IFERROR(HLOOKUP($B31,'[1]6월'!$D$6:$BN$259,3,),)/1000</f>
        <v>748.14153061074148</v>
      </c>
      <c r="P31" s="59">
        <f>+IFERROR(HLOOKUP($C31,'[2]6월'!$F$6:$CP$99,3,),)/1000</f>
        <v>596.20299999999997</v>
      </c>
      <c r="Q31" s="48">
        <f t="shared" si="12"/>
        <v>-151.93853061074151</v>
      </c>
      <c r="R31" s="48">
        <f>+IFERROR(HLOOKUP($C31,'[3]6월'!$F$6:$CC$57,3,),)/1000</f>
        <v>67.48</v>
      </c>
      <c r="S31" s="60">
        <f t="shared" si="13"/>
        <v>528.72299999999996</v>
      </c>
      <c r="T31" s="54">
        <f>+IFERROR(HLOOKUP($B31,'[1]6월'!$D$6:$BN$259,21,),)/1000</f>
        <v>49.613709333357825</v>
      </c>
      <c r="U31" s="59">
        <f>+IFERROR(HLOOKUP($C31,'[2]6월'!$F$6:$CP$99,21,),)/1000</f>
        <v>6.644404689999952</v>
      </c>
      <c r="V31" s="48">
        <f t="shared" si="14"/>
        <v>-42.969304643357873</v>
      </c>
      <c r="W31" s="48">
        <f>+IFERROR(HLOOKUP($C31,'[3]6월'!$F$6:$CC$57,16,),)/1000</f>
        <v>-53.819569000000001</v>
      </c>
      <c r="X31" s="60">
        <f t="shared" si="15"/>
        <v>60.463973689999953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787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119.4481987682047</v>
      </c>
      <c r="K32" s="153">
        <f>SUM(K29:K31)</f>
        <v>76.323999999999998</v>
      </c>
      <c r="L32" s="151">
        <f t="shared" si="10"/>
        <v>-43.124198768204707</v>
      </c>
      <c r="M32" s="151">
        <f>SUM(M29:M31)</f>
        <v>64.573000000000008</v>
      </c>
      <c r="N32" s="152">
        <f t="shared" si="11"/>
        <v>11.750999999999991</v>
      </c>
      <c r="O32" s="149">
        <f>SUM(O29:O31)</f>
        <v>2150.6540527820025</v>
      </c>
      <c r="P32" s="153">
        <f>SUM(P29:P31)</f>
        <v>1476.999</v>
      </c>
      <c r="Q32" s="151">
        <f t="shared" si="12"/>
        <v>-673.65505278200249</v>
      </c>
      <c r="R32" s="151">
        <f>SUM(R29:R31)</f>
        <v>1257.309</v>
      </c>
      <c r="S32" s="152">
        <f t="shared" si="13"/>
        <v>219.69000000000005</v>
      </c>
      <c r="T32" s="149">
        <f>SUM(T29:T31)</f>
        <v>211.26678512655664</v>
      </c>
      <c r="U32" s="153">
        <f>SUM(U29:U31)</f>
        <v>-24.058962445367555</v>
      </c>
      <c r="V32" s="151">
        <f t="shared" si="14"/>
        <v>-235.32574757192418</v>
      </c>
      <c r="W32" s="151">
        <f>SUM(W29:W31)</f>
        <v>7.0288269999999642</v>
      </c>
      <c r="X32" s="152">
        <f t="shared" si="15"/>
        <v>-31.08778944536752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198</v>
      </c>
      <c r="C33" s="8" t="s">
        <v>197</v>
      </c>
      <c r="D33" t="s">
        <v>196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(IFERROR(HLOOKUP($B33,'[1]6월'!$D$6:$BN$259,3,),)++IFERROR(HLOOKUP($C33,'[1]6월'!$D$6:$BN$259,3,),)+IFERROR(HLOOKUP($D33,'[1]6월'!$D$6:$BN$259,3,),))/1000</f>
        <v>90.84</v>
      </c>
      <c r="P33" s="47">
        <f>+IFERROR(HLOOKUP($E33,'[2]6월'!$F$6:$CP$99,3,),)/1000</f>
        <v>90.84</v>
      </c>
      <c r="Q33" s="49">
        <f t="shared" si="12"/>
        <v>0</v>
      </c>
      <c r="R33" s="48">
        <f>+IFERROR(HLOOKUP($E33,'[3]6월'!$F$6:$CC$57,3,),)/1000</f>
        <v>84.59</v>
      </c>
      <c r="S33" s="60">
        <f t="shared" si="13"/>
        <v>6.25</v>
      </c>
      <c r="T33" s="46">
        <f>(IFERROR(HLOOKUP($B33,'[1]6월'!$D$6:$BN$259,21,),)++IFERROR(HLOOKUP($C33,'[1]6월'!$D$6:$BN$259,21,),)+IFERROR(HLOOKUP($D33,'[1]6월'!$D$6:$BN$259,21,),))/1000</f>
        <v>13.943841999999998</v>
      </c>
      <c r="U33" s="47">
        <f>+IFERROR(HLOOKUP($E33,'[2]6월'!$F$6:$CP$99,16,),)/1000</f>
        <v>-23.482855000000011</v>
      </c>
      <c r="V33" s="49">
        <f t="shared" ref="V33:V40" si="17">+U33-T33</f>
        <v>-37.426697000000011</v>
      </c>
      <c r="W33" s="48">
        <f>+IFERROR(HLOOKUP($E33,'[3]6월'!$F$6:$CC$57,16,),)/1000</f>
        <v>-3.9420389999999945</v>
      </c>
      <c r="X33" s="60">
        <f t="shared" ref="X33:X39" si="18">+U33-W33</f>
        <v>-19.540816000000017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199</v>
      </c>
      <c r="C34" s="8" t="s">
        <v>200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(+IFERROR(HLOOKUP($B34,'[1]6월'!$D$6:$BN$259,3,),)+IFERROR(HLOOKUP($C34,'[1]6월'!$D$6:$BN$259,3,),))/1000</f>
        <v>72.297500333333332</v>
      </c>
      <c r="P34" s="47">
        <f>+IFERROR(HLOOKUP($E34,'[2]6월'!$F$6:$CP$99,3,),)/1000</f>
        <v>73.635211999999996</v>
      </c>
      <c r="Q34" s="49">
        <f>+P34-O34</f>
        <v>1.3377116666666637</v>
      </c>
      <c r="R34" s="48">
        <f>+IFERROR(HLOOKUP($E34,'[3]6월'!$F$6:$CC$57,3,),)/1000</f>
        <v>95.260091000000003</v>
      </c>
      <c r="S34" s="60">
        <f t="shared" si="13"/>
        <v>-21.624879000000007</v>
      </c>
      <c r="T34" s="46">
        <f>(+IFERROR(HLOOKUP($B34,'[1]6월'!$D$6:$BN$259,21,),)+IFERROR(HLOOKUP($C34,'[1]6월'!$D$6:$BN$259,21,),))/1000</f>
        <v>74.63840133333332</v>
      </c>
      <c r="U34" s="47">
        <f>+IFERROR(HLOOKUP($E34,'[2]6월'!$F$6:$CP$99,16,),)/1000</f>
        <v>76.100836999999999</v>
      </c>
      <c r="V34" s="49">
        <f t="shared" si="17"/>
        <v>1.4624356666666785</v>
      </c>
      <c r="W34" s="48">
        <f>+IFERROR(HLOOKUP($E34,'[3]6월'!$F$6:$CC$57,16,),)/1000</f>
        <v>98.057102999999998</v>
      </c>
      <c r="X34" s="60">
        <f t="shared" si="18"/>
        <v>-21.956265999999999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201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-'[1]6월'!$Z$22/1000</f>
        <v>-2614.3236738164032</v>
      </c>
      <c r="U35" s="47">
        <f>+-'[2]6월'!$Z$22/1000</f>
        <v>-2487.3998435523354</v>
      </c>
      <c r="V35" s="49">
        <f t="shared" si="17"/>
        <v>126.92383026406787</v>
      </c>
      <c r="W35" s="48">
        <f>+-'[3]6월'!$Z$22/1000</f>
        <v>-1613.419975</v>
      </c>
      <c r="X35" s="60">
        <f t="shared" si="18"/>
        <v>-873.97986855233535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+'[1]6월'!$AS$26/1000</f>
        <v>1329.7</v>
      </c>
      <c r="U36" s="47">
        <f>-'[2]6월'!$BD$26/1000</f>
        <v>0</v>
      </c>
      <c r="V36" s="49">
        <f t="shared" si="17"/>
        <v>-1329.7</v>
      </c>
      <c r="W36" s="48">
        <f>-'[3]6월'!$BD$26/1000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'[2]6월'!$BE$26/1000</f>
        <v>620.33483200000001</v>
      </c>
      <c r="V37" s="49">
        <f t="shared" si="17"/>
        <v>620.33483200000001</v>
      </c>
      <c r="W37" s="48">
        <f>'[3]6월'!$BE$26/1000</f>
        <v>-968.71633299999996</v>
      </c>
      <c r="X37" s="60">
        <f t="shared" si="18"/>
        <v>1589.0511649999999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J37" s="97"/>
      <c r="AK37" s="99"/>
      <c r="AL37" s="99"/>
    </row>
    <row r="38" spans="2:38" s="8" customFormat="1" ht="19.5" customHeight="1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+IFERROR(HLOOKUP($I$38,'[3]6월'!$F$6:$BJ$50,3,),)/1000</f>
        <v>0</v>
      </c>
      <c r="S38" s="60">
        <f t="shared" si="22"/>
        <v>0</v>
      </c>
      <c r="T38" s="46">
        <f>SUM('[1]6월'!$AM$26:$AQ$26)/1000</f>
        <v>-50.424538444459643</v>
      </c>
      <c r="U38" s="47">
        <f>+'[2]6월'!$BF$26/1000</f>
        <v>-56.104232999999994</v>
      </c>
      <c r="V38" s="49">
        <f t="shared" si="17"/>
        <v>-5.6796945555403511</v>
      </c>
      <c r="W38" s="48">
        <f>+'[3]6월'!$BF$26/1000</f>
        <v>-9.4564559999999993</v>
      </c>
      <c r="X38" s="60">
        <f>+U38-W38</f>
        <v>-46.647776999999991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IFERROR(HLOOKUP($B39,'[1]6월'!$D$6:$BN$259,3,),)/1000</f>
        <v>1.77</v>
      </c>
      <c r="P39" s="47">
        <f>+('[2]6월'!$F$8-SUM('[2]6월'!$Z$8,'[2]6월'!$AH$8,'[2]6월'!$AN$8,'[2]6월'!$AO$8,'[2]6월'!$BA$8,'[2]6월'!$BD$8,'[2]6월'!$BE$8,'[2]6월'!$BF$8))/1000</f>
        <v>1.704</v>
      </c>
      <c r="Q39" s="55">
        <f t="shared" si="21"/>
        <v>-6.6000000000000059E-2</v>
      </c>
      <c r="R39" s="61">
        <f>+('[3]6월'!$F$8-SUM('[3]6월'!$Z$8,'[3]6월'!$AH$8,'[3]6월'!$AN$8,'[3]6월'!$AO$8,'[3]6월'!$BA$8,'[3]6월'!$BD$8,'[3]6월'!$BE$8,'[3]6월'!$BF$8))/1000</f>
        <v>1.7621000000014901</v>
      </c>
      <c r="S39" s="62">
        <f t="shared" si="22"/>
        <v>-5.8100000001490182E-2</v>
      </c>
      <c r="T39" s="46">
        <f>+('[1]6월'!$E$26-'[1]6월'!$Z$26-'[1]6월'!$AA$26-'[1]6월'!$AE$26-'[1]6월'!$AL$26-'[1]6월'!$AM$26-'[1]6월'!$AN$26-'[1]6월'!$AO$26-'[1]6월'!$AP$26-'[1]6월'!$AQ$26-'[1]6월'!$AS$26)/1000</f>
        <v>-68.088929000000476</v>
      </c>
      <c r="U39" s="47">
        <f>+('[2]6월'!$F$26-SUM('[2]6월'!$Z$26,'[2]6월'!$AH$26,'[2]6월'!$AN$26,'[2]6월'!$AO$26,'[2]6월'!$BA$26,'[2]6월'!$BD$26,'[2]6월'!$BE$26,'[2]6월'!$BF$26))/1000</f>
        <v>-90.356696000000227</v>
      </c>
      <c r="V39" s="49">
        <f t="shared" si="17"/>
        <v>-22.267766999999751</v>
      </c>
      <c r="W39" s="61">
        <f>+('[3]6월'!$F$26-SUM('[3]6월'!$Z$26,'[3]6월'!$AH$26,'[3]6월'!$AN$26,'[3]6월'!$AO$26,'[3]6월'!$BA$26,'[3]6월'!$BD$26,'[3]6월'!$BE$26,'[3]6월'!$BF$26))/1000</f>
        <v>-78.86109000000171</v>
      </c>
      <c r="X39" s="60">
        <f t="shared" si="18"/>
        <v>-11.495605999998517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166.17921200000001</v>
      </c>
      <c r="Q41" s="154">
        <f t="shared" si="12"/>
        <v>1.2717116666666755</v>
      </c>
      <c r="R41" s="155">
        <f>SUM(R33:R40)</f>
        <v>181.6121910000015</v>
      </c>
      <c r="S41" s="156">
        <f>+P41-R41</f>
        <v>-15.432979000001495</v>
      </c>
      <c r="T41" s="149">
        <f>SUM(T33:T40)</f>
        <v>-1314.55489792753</v>
      </c>
      <c r="U41" s="150">
        <f>SUM(U33:U40)</f>
        <v>-1960.9079585523359</v>
      </c>
      <c r="V41" s="154">
        <f>+U41-T41</f>
        <v>-646.35306062480595</v>
      </c>
      <c r="W41" s="155">
        <f>SUM(W33:W40)</f>
        <v>-2576.3387900000016</v>
      </c>
      <c r="X41" s="156">
        <f>+U41-W41</f>
        <v>615.4308314476657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0.98806002348925892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40780.478756448771</v>
      </c>
      <c r="P43" s="643">
        <f>+P27+P32+P28+P41</f>
        <v>40293.560797999999</v>
      </c>
      <c r="Q43" s="644">
        <f t="shared" si="12"/>
        <v>-486.91795844877197</v>
      </c>
      <c r="R43" s="645">
        <f>+R27+R32+R28+R41</f>
        <v>44792.725859999999</v>
      </c>
      <c r="S43" s="646">
        <f>+P43-R43</f>
        <v>-4499.165062</v>
      </c>
      <c r="T43" s="642">
        <f>+T27+T32+T28+T41</f>
        <v>3579.6797033799312</v>
      </c>
      <c r="U43" s="643">
        <f>+U27+U32+U28+U41</f>
        <v>1675.6491670022965</v>
      </c>
      <c r="V43" s="644">
        <f>+U43-T43</f>
        <v>-1904.0305363776347</v>
      </c>
      <c r="W43" s="645">
        <f>+W27+W32+W28+W41</f>
        <v>3848.3450320000002</v>
      </c>
      <c r="X43" s="646">
        <f>+U43-W43</f>
        <v>-2172.6958649977037</v>
      </c>
      <c r="Y43" s="828"/>
      <c r="Z43" s="829"/>
      <c r="AA43" s="829"/>
      <c r="AB43" s="829"/>
      <c r="AC43" s="829"/>
      <c r="AD43" s="829"/>
      <c r="AE43" s="829"/>
      <c r="AF43" s="829"/>
      <c r="AG43" s="830"/>
      <c r="AH43" s="26"/>
    </row>
    <row r="44" spans="2:38" s="34" customFormat="1">
      <c r="G44" s="662">
        <f>+U43/T43</f>
        <v>0.46810030668949226</v>
      </c>
      <c r="P44" s="662">
        <f>+P43/O43</f>
        <v>0.98806002348925892</v>
      </c>
      <c r="T44" s="662">
        <f>+T43/O43</f>
        <v>8.7779246652759393E-2</v>
      </c>
      <c r="U44" s="662">
        <f>+U43/P43</f>
        <v>4.1586028482383929E-2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25" t="s">
        <v>101</v>
      </c>
      <c r="J46" s="139">
        <f>+'[1]6월'!$Z$7/1000</f>
        <v>303.5</v>
      </c>
      <c r="K46" s="140">
        <f>+'[2]6월'!$AI$7/1000</f>
        <v>305.15370000000001</v>
      </c>
      <c r="L46" s="140"/>
      <c r="M46" s="140">
        <f>+'[3]6월'!$Z$7/1000</f>
        <v>350.08199999999999</v>
      </c>
      <c r="N46" s="140"/>
      <c r="O46" s="140">
        <f>+'[1]6월'!$E$8/1000</f>
        <v>40780.478756448771</v>
      </c>
      <c r="P46" s="140">
        <f>+'[2]6월'!$F$8/1000</f>
        <v>40293.560797999999</v>
      </c>
      <c r="Q46" s="140"/>
      <c r="R46" s="140">
        <f>+'[3]6월'!$F$8/1000</f>
        <v>44792.725859999999</v>
      </c>
      <c r="S46" s="140"/>
      <c r="T46" s="145">
        <f>+'[1]6월'!$E$26/1000</f>
        <v>3579.6797033799276</v>
      </c>
      <c r="U46" s="140">
        <f>+'[2]6월'!$F$26/1000</f>
        <v>1675.6491670022967</v>
      </c>
      <c r="V46" s="140"/>
      <c r="W46" s="140">
        <f>+'[3]6월'!$F$26/1000</f>
        <v>3848.3450320000015</v>
      </c>
      <c r="X46" s="141"/>
      <c r="AC46" s="35"/>
      <c r="AF46" s="35"/>
    </row>
    <row r="47" spans="2:38" s="34" customFormat="1" ht="17.25" thickBot="1">
      <c r="I47" s="825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-3.637978807091713E-12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</row>
    <row r="50" spans="10:33">
      <c r="T50" s="659"/>
      <c r="U50" s="659"/>
      <c r="V50" s="659"/>
    </row>
    <row r="51" spans="10:33">
      <c r="T51" s="660"/>
      <c r="U51" s="660"/>
      <c r="V51" s="659"/>
    </row>
    <row r="52" spans="10:33">
      <c r="T52" s="660"/>
      <c r="U52" s="660"/>
      <c r="V52" s="659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M61"/>
  <sheetViews>
    <sheetView showGridLines="0" showZeros="0" view="pageBreakPreview" topLeftCell="F16" zoomScale="85" zoomScaleNormal="85" zoomScaleSheetLayoutView="85" workbookViewId="0">
      <selection activeCell="F1" sqref="F1:G1048576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222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21" t="s">
        <v>11</v>
      </c>
      <c r="I5" s="822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23"/>
      <c r="I6" s="824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F7" s="9">
        <f>+U7/T7</f>
        <v>0.81377097757318162</v>
      </c>
      <c r="G7" s="9">
        <f t="shared" ref="G7:G22" si="0">+K7/J7</f>
        <v>1.0068489795918369</v>
      </c>
      <c r="H7" s="78" t="s">
        <v>53</v>
      </c>
      <c r="I7" s="79" t="s">
        <v>22</v>
      </c>
      <c r="J7" s="36">
        <f>+'사업장별(당월)'!J7+'[4]사업장별(누계)'!J7</f>
        <v>245</v>
      </c>
      <c r="K7" s="37">
        <f>+'사업장별(당월)'!K7+'[4]사업장별(누계)'!K7</f>
        <v>246.67800000000003</v>
      </c>
      <c r="L7" s="38">
        <f t="shared" ref="L7:L32" si="1">+K7-J7</f>
        <v>1.6780000000000257</v>
      </c>
      <c r="M7" s="39">
        <f>+'사업장별(당월)'!M7+'[4]사업장별(누계)'!M7</f>
        <v>273.58500000000004</v>
      </c>
      <c r="N7" s="40">
        <f>+K7-M7</f>
        <v>-26.907000000000011</v>
      </c>
      <c r="O7" s="36">
        <f>+'사업장별(당월)'!O7+'[4]사업장별(누계)'!O7</f>
        <v>24443.855350000002</v>
      </c>
      <c r="P7" s="37">
        <f>+'사업장별(당월)'!P7+'[4]사업장별(누계)'!P7</f>
        <v>24515.111294000002</v>
      </c>
      <c r="Q7" s="38">
        <f>+P7-O7</f>
        <v>71.255944000000454</v>
      </c>
      <c r="R7" s="39">
        <f>+'사업장별(당월)'!R7+'[4]사업장별(누계)'!R7</f>
        <v>25195.483884000001</v>
      </c>
      <c r="S7" s="40">
        <f>+P7-R7</f>
        <v>-680.37258999999904</v>
      </c>
      <c r="T7" s="36">
        <f>+'사업장별(당월)'!T7+'[4]사업장별(누계)'!T7</f>
        <v>3168.0669857363591</v>
      </c>
      <c r="U7" s="37">
        <f>+'사업장별(당월)'!U7+'[4]사업장별(누계)'!U7</f>
        <v>2578.0809679999998</v>
      </c>
      <c r="V7" s="41">
        <f>+U7-T7</f>
        <v>-589.98601773635937</v>
      </c>
      <c r="W7" s="42">
        <f>+'사업장별(당월)'!W7+'[4]사업장별(누계)'!W7</f>
        <v>3600.9308819800008</v>
      </c>
      <c r="X7" s="40">
        <f>+U7-W7</f>
        <v>-1022.849913980001</v>
      </c>
      <c r="Y7" s="36">
        <f>+[11]안양!$Q$85</f>
        <v>99770.838163265304</v>
      </c>
      <c r="Z7" s="37">
        <f>+[11]안양!$R$85</f>
        <v>99374.659735434063</v>
      </c>
      <c r="AA7" s="43">
        <f>+[12]안양!$Q$85</f>
        <v>92071.61116745694</v>
      </c>
      <c r="AB7" s="44">
        <f>+[11]안양!$Q$89</f>
        <v>79220.914753681442</v>
      </c>
      <c r="AC7" s="37">
        <f>+[11]안양!$R$89</f>
        <v>81333.040797537309</v>
      </c>
      <c r="AD7" s="45">
        <f>+[12]안양!$Q$89</f>
        <v>72424.500810538841</v>
      </c>
      <c r="AE7" s="44">
        <f>+Y7-AB7</f>
        <v>20549.923409583862</v>
      </c>
      <c r="AF7" s="37">
        <f>+Z7-AC7</f>
        <v>18041.618937896754</v>
      </c>
      <c r="AG7" s="45">
        <f>+AA7-AD7</f>
        <v>19647.1103569181</v>
      </c>
      <c r="AH7" s="18"/>
      <c r="AI7" s="19">
        <v>22.510941969999994</v>
      </c>
    </row>
    <row r="8" spans="2:36" s="8" customFormat="1" ht="19.5" customHeight="1">
      <c r="B8" s="8" t="s">
        <v>23</v>
      </c>
      <c r="F8" s="9">
        <f t="shared" ref="F8:F27" si="2">+U8/T8</f>
        <v>0.82483389413042107</v>
      </c>
      <c r="G8" s="9">
        <f t="shared" si="0"/>
        <v>0.96042222222222229</v>
      </c>
      <c r="H8" s="80" t="s">
        <v>54</v>
      </c>
      <c r="I8" s="81" t="s">
        <v>23</v>
      </c>
      <c r="J8" s="46">
        <f>+'사업장별(당월)'!J8+'[4]사업장별(누계)'!J8</f>
        <v>180</v>
      </c>
      <c r="K8" s="47">
        <f>+'사업장별(당월)'!K8+'[4]사업장별(누계)'!K8</f>
        <v>172.876</v>
      </c>
      <c r="L8" s="48">
        <f t="shared" si="1"/>
        <v>-7.1239999999999952</v>
      </c>
      <c r="M8" s="49">
        <f>+'사업장별(당월)'!M8+'[4]사업장별(누계)'!M8</f>
        <v>236.40700000000001</v>
      </c>
      <c r="N8" s="50">
        <f t="shared" ref="N8:N32" si="3">+K8-M8</f>
        <v>-63.531000000000006</v>
      </c>
      <c r="O8" s="46">
        <f>+'사업장별(당월)'!O8+'[4]사업장별(누계)'!O8</f>
        <v>18179.5612</v>
      </c>
      <c r="P8" s="47">
        <f>+'사업장별(당월)'!P8+'[4]사업장별(누계)'!P8</f>
        <v>17322.637502999998</v>
      </c>
      <c r="Q8" s="48">
        <f t="shared" ref="Q8:Q43" si="4">+P8-O8</f>
        <v>-856.92369700000199</v>
      </c>
      <c r="R8" s="49">
        <f>+'사업장별(당월)'!R8+'[4]사업장별(누계)'!R8</f>
        <v>22303.781559000003</v>
      </c>
      <c r="S8" s="50">
        <f t="shared" ref="S8:S40" si="5">+P8-R8</f>
        <v>-4981.1440560000046</v>
      </c>
      <c r="T8" s="46">
        <f>+'사업장별(당월)'!T8+'[4]사업장별(누계)'!T8</f>
        <v>1691.7894741354494</v>
      </c>
      <c r="U8" s="47">
        <f>+'사업장별(당월)'!U8+'[4]사업장별(누계)'!U8</f>
        <v>1395.4453000000001</v>
      </c>
      <c r="V8" s="48">
        <f t="shared" ref="V8:V40" si="6">+U8-T8</f>
        <v>-296.34417413544929</v>
      </c>
      <c r="W8" s="49">
        <f>+'사업장별(당월)'!W8+'[4]사업장별(누계)'!W8</f>
        <v>2722.0365119999997</v>
      </c>
      <c r="X8" s="50">
        <f t="shared" ref="X8:X39" si="7">+U8-W8</f>
        <v>-1326.5912119999996</v>
      </c>
      <c r="Y8" s="46">
        <f>+[11]인천!$Q$85</f>
        <v>100997.56222222222</v>
      </c>
      <c r="Z8" s="47">
        <f>+[11]인천!$R$85</f>
        <v>100202.67418843563</v>
      </c>
      <c r="AA8" s="51">
        <f>+[12]인천!$Q$85</f>
        <v>94336.147548901252</v>
      </c>
      <c r="AB8" s="52">
        <f>+[11]인천!$Q$89</f>
        <v>81428.035348269506</v>
      </c>
      <c r="AC8" s="47">
        <f>+[11]인천!$R$89</f>
        <v>82122.859504753535</v>
      </c>
      <c r="AD8" s="53">
        <f>+[12]인천!$Q$89</f>
        <v>75238.594161276531</v>
      </c>
      <c r="AE8" s="52">
        <f t="shared" ref="AE8:AG27" si="8">+Y8-AB8</f>
        <v>19569.526873952709</v>
      </c>
      <c r="AF8" s="47">
        <f t="shared" si="8"/>
        <v>18079.814683682096</v>
      </c>
      <c r="AG8" s="53">
        <f t="shared" si="8"/>
        <v>19097.553387624721</v>
      </c>
      <c r="AH8" s="18"/>
      <c r="AI8" s="19">
        <v>12.217192170000002</v>
      </c>
      <c r="AJ8" s="97"/>
    </row>
    <row r="9" spans="2:36" s="8" customFormat="1" ht="19.5" customHeight="1">
      <c r="B9" s="8" t="s">
        <v>24</v>
      </c>
      <c r="F9" s="9">
        <f t="shared" si="2"/>
        <v>0.6409997034778574</v>
      </c>
      <c r="G9" s="9">
        <f t="shared" si="0"/>
        <v>1.0232463576158941</v>
      </c>
      <c r="H9" s="80"/>
      <c r="I9" s="81" t="s">
        <v>24</v>
      </c>
      <c r="J9" s="46">
        <f>+'사업장별(당월)'!J9+'[4]사업장별(누계)'!J9</f>
        <v>151</v>
      </c>
      <c r="K9" s="47">
        <f>+'사업장별(당월)'!K9+'[4]사업장별(누계)'!K9</f>
        <v>154.51020000000003</v>
      </c>
      <c r="L9" s="48">
        <f t="shared" si="1"/>
        <v>3.510200000000026</v>
      </c>
      <c r="M9" s="49">
        <f>+'사업장별(당월)'!M9+'[4]사업장별(누계)'!M9</f>
        <v>153.66</v>
      </c>
      <c r="N9" s="50">
        <f t="shared" si="3"/>
        <v>0.85020000000002938</v>
      </c>
      <c r="O9" s="46">
        <f>+'사업장별(당월)'!O9+'[4]사업장별(누계)'!O9</f>
        <v>14817.268766841866</v>
      </c>
      <c r="P9" s="47">
        <f>+'사업장별(당월)'!P9+'[4]사업장별(누계)'!P9</f>
        <v>15237.953450999999</v>
      </c>
      <c r="Q9" s="48">
        <f t="shared" si="4"/>
        <v>420.68468415813368</v>
      </c>
      <c r="R9" s="49">
        <f>+'사업장별(당월)'!R9+'[4]사업장별(누계)'!R9</f>
        <v>13915.301921999999</v>
      </c>
      <c r="S9" s="50">
        <f t="shared" si="5"/>
        <v>1322.6515290000007</v>
      </c>
      <c r="T9" s="46">
        <f>+'사업장별(당월)'!T9+'[4]사업장별(누계)'!T9</f>
        <v>1920.45429556509</v>
      </c>
      <c r="U9" s="47">
        <f>+'사업장별(당월)'!U9+'[4]사업장별(누계)'!U9</f>
        <v>1231.0106340000002</v>
      </c>
      <c r="V9" s="48">
        <f t="shared" si="6"/>
        <v>-689.44366156508977</v>
      </c>
      <c r="W9" s="49">
        <f>+'사업장별(당월)'!W9+'[4]사업장별(누계)'!W9</f>
        <v>1418.7954220099998</v>
      </c>
      <c r="X9" s="50">
        <f t="shared" si="7"/>
        <v>-187.7847880099996</v>
      </c>
      <c r="Y9" s="46">
        <f>+[11]파주!$Q$85</f>
        <v>98127.607727429597</v>
      </c>
      <c r="Z9" s="47">
        <f>+[11]파주!$R$85</f>
        <v>98647.485347044363</v>
      </c>
      <c r="AA9" s="51">
        <f>+[12]파주!$Q$85</f>
        <v>90534.843101856881</v>
      </c>
      <c r="AB9" s="52">
        <f>+[11]파주!$Q$89</f>
        <v>76485.866025557218</v>
      </c>
      <c r="AC9" s="47">
        <f>+[11]파주!$R$89</f>
        <v>81669.229388684733</v>
      </c>
      <c r="AD9" s="53">
        <f>+[12]파주!$Q$89</f>
        <v>72706.497238431271</v>
      </c>
      <c r="AE9" s="52">
        <f t="shared" si="8"/>
        <v>21641.741701872379</v>
      </c>
      <c r="AF9" s="47">
        <f t="shared" si="8"/>
        <v>16978.25595835963</v>
      </c>
      <c r="AG9" s="53">
        <f t="shared" si="8"/>
        <v>17828.345863425609</v>
      </c>
      <c r="AH9" s="18"/>
      <c r="AI9" s="19">
        <v>9.748199740000004</v>
      </c>
      <c r="AJ9" s="97"/>
    </row>
    <row r="10" spans="2:36" s="8" customFormat="1" ht="19.5" customHeight="1">
      <c r="B10" s="8" t="s">
        <v>175</v>
      </c>
      <c r="F10" s="9">
        <f t="shared" si="2"/>
        <v>0.76704271642231925</v>
      </c>
      <c r="G10" s="9">
        <f t="shared" si="0"/>
        <v>0.87760119047619034</v>
      </c>
      <c r="H10" s="80"/>
      <c r="I10" s="81" t="s">
        <v>172</v>
      </c>
      <c r="J10" s="46">
        <f>+'사업장별(당월)'!J10+'[4]사업장별(누계)'!J10</f>
        <v>84</v>
      </c>
      <c r="K10" s="47">
        <f>+'사업장별(당월)'!K10+'[4]사업장별(누계)'!K10</f>
        <v>73.718499999999992</v>
      </c>
      <c r="L10" s="48">
        <f t="shared" si="1"/>
        <v>-10.281500000000008</v>
      </c>
      <c r="M10" s="49">
        <f>+'사업장별(당월)'!M10+'[4]사업장별(누계)'!M10</f>
        <v>105.3395</v>
      </c>
      <c r="N10" s="50">
        <f t="shared" si="3"/>
        <v>-31.621000000000009</v>
      </c>
      <c r="O10" s="46">
        <f>+'사업장별(당월)'!O10+'[4]사업장별(누계)'!O10</f>
        <v>7982.8369999999995</v>
      </c>
      <c r="P10" s="47">
        <f>+'사업장별(당월)'!P10+'[4]사업장별(누계)'!P10</f>
        <v>7287.6592220000011</v>
      </c>
      <c r="Q10" s="48">
        <f t="shared" si="4"/>
        <v>-695.1777779999984</v>
      </c>
      <c r="R10" s="49">
        <f>+'사업장별(당월)'!R10+'[4]사업장별(누계)'!R10</f>
        <v>9333.4066180000009</v>
      </c>
      <c r="S10" s="50">
        <f t="shared" si="5"/>
        <v>-2045.7473959999998</v>
      </c>
      <c r="T10" s="46">
        <f>+'사업장별(당월)'!T10+'[4]사업장별(누계)'!T10</f>
        <v>953.13157578759183</v>
      </c>
      <c r="U10" s="47">
        <f>+'사업장별(당월)'!U10+'[4]사업장별(누계)'!U10</f>
        <v>731.09263300000009</v>
      </c>
      <c r="V10" s="48">
        <f t="shared" si="6"/>
        <v>-222.03894278759174</v>
      </c>
      <c r="W10" s="49">
        <f>+'사업장별(당월)'!W10+'[4]사업장별(누계)'!W10</f>
        <v>1255.6415000000002</v>
      </c>
      <c r="X10" s="50">
        <f t="shared" si="7"/>
        <v>-524.54886700000009</v>
      </c>
      <c r="Y10" s="46">
        <f>+[11]김포!$Q$85</f>
        <v>95033.773809523802</v>
      </c>
      <c r="Z10" s="47">
        <f>+[11]김포!$R$85</f>
        <v>98880.550595217763</v>
      </c>
      <c r="AA10" s="51">
        <f>+[12]김포!$Q$85</f>
        <v>88547.824297396059</v>
      </c>
      <c r="AB10" s="52">
        <f>+[11]김포!$Q$89</f>
        <v>71591.50392051808</v>
      </c>
      <c r="AC10" s="47">
        <f>+[11]김포!$R$89</f>
        <v>75884.50340015172</v>
      </c>
      <c r="AD10" s="53">
        <f>+[12]김포!$Q$89</f>
        <v>67223.702640284639</v>
      </c>
      <c r="AE10" s="52">
        <f t="shared" si="8"/>
        <v>23442.269889005722</v>
      </c>
      <c r="AF10" s="47">
        <f t="shared" si="8"/>
        <v>22996.047195066043</v>
      </c>
      <c r="AG10" s="53">
        <f t="shared" si="8"/>
        <v>21324.12165711142</v>
      </c>
      <c r="AH10" s="18"/>
      <c r="AI10" s="19">
        <v>6.2157450200000008</v>
      </c>
      <c r="AJ10" s="97"/>
    </row>
    <row r="11" spans="2:36" s="8" customFormat="1" ht="19.5" customHeight="1">
      <c r="B11" s="8" t="s">
        <v>25</v>
      </c>
      <c r="F11" s="9">
        <f t="shared" si="2"/>
        <v>0.93559674614382904</v>
      </c>
      <c r="G11" s="9">
        <f t="shared" si="0"/>
        <v>1.1670929203539822</v>
      </c>
      <c r="H11" s="80"/>
      <c r="I11" s="82" t="s">
        <v>25</v>
      </c>
      <c r="J11" s="63">
        <f>+'사업장별(당월)'!J11+'[4]사업장별(누계)'!J11</f>
        <v>113</v>
      </c>
      <c r="K11" s="64">
        <f>+'사업장별(당월)'!K11+'[4]사업장별(누계)'!K11</f>
        <v>131.88149999999999</v>
      </c>
      <c r="L11" s="65">
        <f t="shared" si="1"/>
        <v>18.881499999999988</v>
      </c>
      <c r="M11" s="66">
        <f>+'사업장별(당월)'!M11+'[4]사업장별(누계)'!M11</f>
        <v>148.95949999999999</v>
      </c>
      <c r="N11" s="67">
        <f t="shared" si="3"/>
        <v>-17.078000000000003</v>
      </c>
      <c r="O11" s="63">
        <f>+'사업장별(당월)'!O11+'[4]사업장별(누계)'!O11</f>
        <v>12158.808718249998</v>
      </c>
      <c r="P11" s="64">
        <f>+'사업장별(당월)'!P11+'[4]사업장별(누계)'!P11</f>
        <v>14056.406790999999</v>
      </c>
      <c r="Q11" s="65">
        <f t="shared" si="4"/>
        <v>1897.5980727500009</v>
      </c>
      <c r="R11" s="66">
        <f>+'사업장별(당월)'!R11+'[4]사업장별(누계)'!R11</f>
        <v>15134.805849999999</v>
      </c>
      <c r="S11" s="67">
        <f t="shared" si="5"/>
        <v>-1078.3990589999994</v>
      </c>
      <c r="T11" s="63">
        <f>+'사업장별(당월)'!T11+'[4]사업장별(누계)'!T11</f>
        <v>1625.1373631501037</v>
      </c>
      <c r="U11" s="64">
        <f>+'사업장별(당월)'!U11+'[4]사업장별(누계)'!U11</f>
        <v>1520.4732289999993</v>
      </c>
      <c r="V11" s="65">
        <f t="shared" si="6"/>
        <v>-104.66413415010447</v>
      </c>
      <c r="W11" s="66">
        <f>+'사업장별(당월)'!W11+'[4]사업장별(누계)'!W11</f>
        <v>2856.3738729999995</v>
      </c>
      <c r="X11" s="67">
        <f t="shared" si="7"/>
        <v>-1335.9006440000003</v>
      </c>
      <c r="Y11" s="63">
        <f>+[11]부산!$Q$85</f>
        <v>107600.07715265486</v>
      </c>
      <c r="Z11" s="64">
        <f>+[11]부산!$R$85</f>
        <v>106583.61325128999</v>
      </c>
      <c r="AA11" s="68">
        <f>+[12]부산!$Q$85</f>
        <v>101603.49524535191</v>
      </c>
      <c r="AB11" s="69">
        <f>+[11]부산!$Q$89</f>
        <v>78633.325408207471</v>
      </c>
      <c r="AC11" s="64">
        <f>+[11]부산!$R$89</f>
        <v>83433.784101484067</v>
      </c>
      <c r="AD11" s="70">
        <f>+[12]부산!$Q$89</f>
        <v>72669.386624715276</v>
      </c>
      <c r="AE11" s="69">
        <f t="shared" si="8"/>
        <v>28966.751744447392</v>
      </c>
      <c r="AF11" s="64">
        <f t="shared" si="8"/>
        <v>23149.829149805926</v>
      </c>
      <c r="AG11" s="70">
        <f t="shared" si="8"/>
        <v>28934.108620636631</v>
      </c>
      <c r="AH11" s="18"/>
      <c r="AI11" s="19">
        <v>14.018405929999995</v>
      </c>
      <c r="AJ11" s="97"/>
    </row>
    <row r="12" spans="2:36" s="8" customFormat="1" ht="19.5" customHeight="1">
      <c r="B12" s="8" t="s">
        <v>26</v>
      </c>
      <c r="F12" s="9">
        <f t="shared" si="2"/>
        <v>0.67340162420277061</v>
      </c>
      <c r="G12" s="9">
        <f t="shared" si="0"/>
        <v>0.96873758865248238</v>
      </c>
      <c r="H12" s="80"/>
      <c r="I12" s="81" t="s">
        <v>26</v>
      </c>
      <c r="J12" s="46">
        <f>+'사업장별(당월)'!J12+'[4]사업장별(누계)'!J12</f>
        <v>141</v>
      </c>
      <c r="K12" s="47">
        <f>+'사업장별(당월)'!K12+'[4]사업장별(누계)'!K12</f>
        <v>136.59200000000001</v>
      </c>
      <c r="L12" s="48">
        <f t="shared" si="1"/>
        <v>-4.407999999999987</v>
      </c>
      <c r="M12" s="49">
        <f>+'사업장별(당월)'!M12+'[4]사업장별(누계)'!M12</f>
        <v>132.52799999999999</v>
      </c>
      <c r="N12" s="50">
        <f t="shared" si="3"/>
        <v>4.0640000000000214</v>
      </c>
      <c r="O12" s="46">
        <f>+'사업장별(당월)'!O12+'[4]사업장별(누계)'!O12</f>
        <v>14616.969639999999</v>
      </c>
      <c r="P12" s="47">
        <f>+'사업장별(당월)'!P12+'[4]사업장별(누계)'!P12</f>
        <v>13806.265810999999</v>
      </c>
      <c r="Q12" s="48">
        <f t="shared" si="4"/>
        <v>-810.70382900000004</v>
      </c>
      <c r="R12" s="49">
        <f>+'사업장별(당월)'!R12+'[4]사업장별(누계)'!R12</f>
        <v>13173.640300000001</v>
      </c>
      <c r="S12" s="50">
        <f t="shared" si="5"/>
        <v>632.62551099999837</v>
      </c>
      <c r="T12" s="46">
        <f>+'사업장별(당월)'!T12+'[4]사업장별(누계)'!T12</f>
        <v>2466.5262457101826</v>
      </c>
      <c r="U12" s="47">
        <f>+'사업장별(당월)'!U12+'[4]사업장별(누계)'!U12</f>
        <v>1660.9627799999989</v>
      </c>
      <c r="V12" s="48">
        <f t="shared" si="6"/>
        <v>-805.56346571018366</v>
      </c>
      <c r="W12" s="49">
        <f>+'사업장별(당월)'!W12+'[4]사업장별(누계)'!W12</f>
        <v>2269.099471</v>
      </c>
      <c r="X12" s="50">
        <f t="shared" si="7"/>
        <v>-608.13669100000106</v>
      </c>
      <c r="Y12" s="46">
        <f>+[11]서부산!$Q$85</f>
        <v>103666.45134751774</v>
      </c>
      <c r="Z12" s="47">
        <f>+[11]서부산!$R$85</f>
        <v>101076.67953467261</v>
      </c>
      <c r="AA12" s="51">
        <f>+[12]서부산!$Q$85</f>
        <v>99402.694524930586</v>
      </c>
      <c r="AB12" s="52">
        <f>+[11]서부산!$Q$89</f>
        <v>77301.500913008946</v>
      </c>
      <c r="AC12" s="47">
        <f>+[11]서부산!$R$89</f>
        <v>79083.397984371564</v>
      </c>
      <c r="AD12" s="53">
        <f>+[12]서부산!$Q$89</f>
        <v>73086.722511429994</v>
      </c>
      <c r="AE12" s="52">
        <f t="shared" si="8"/>
        <v>26364.950434508792</v>
      </c>
      <c r="AF12" s="47">
        <f t="shared" si="8"/>
        <v>21993.28155030105</v>
      </c>
      <c r="AG12" s="53">
        <f t="shared" si="8"/>
        <v>26315.972013500592</v>
      </c>
      <c r="AH12" s="18"/>
      <c r="AI12" s="19">
        <v>13.822690399999992</v>
      </c>
      <c r="AJ12" s="97"/>
    </row>
    <row r="13" spans="2:36" s="8" customFormat="1" ht="19.5" customHeight="1">
      <c r="B13" s="8" t="s">
        <v>27</v>
      </c>
      <c r="F13" s="9">
        <f t="shared" si="2"/>
        <v>0.67713010809757201</v>
      </c>
      <c r="G13" s="9">
        <f t="shared" si="0"/>
        <v>1.1494057971014493</v>
      </c>
      <c r="H13" s="80"/>
      <c r="I13" s="81" t="s">
        <v>27</v>
      </c>
      <c r="J13" s="46">
        <f>+'사업장별(당월)'!J13+'[4]사업장별(누계)'!J13</f>
        <v>69</v>
      </c>
      <c r="K13" s="47">
        <f>+'사업장별(당월)'!K13+'[4]사업장별(누계)'!K13</f>
        <v>79.308999999999997</v>
      </c>
      <c r="L13" s="48">
        <f t="shared" si="1"/>
        <v>10.308999999999997</v>
      </c>
      <c r="M13" s="49">
        <f>+'사업장별(당월)'!M13+'[4]사업장별(누계)'!M13</f>
        <v>83.628</v>
      </c>
      <c r="N13" s="50">
        <f t="shared" si="3"/>
        <v>-4.3190000000000026</v>
      </c>
      <c r="O13" s="46">
        <f>+'사업장별(당월)'!O13+'[4]사업장별(누계)'!O13</f>
        <v>6969.0011999999988</v>
      </c>
      <c r="P13" s="47">
        <f>+'사업장별(당월)'!P13+'[4]사업장별(누계)'!P13</f>
        <v>7717.5712999999996</v>
      </c>
      <c r="Q13" s="48">
        <f t="shared" si="4"/>
        <v>748.57010000000082</v>
      </c>
      <c r="R13" s="49">
        <f>+'사업장별(당월)'!R13+'[4]사업장별(누계)'!R13</f>
        <v>8103.9855999999991</v>
      </c>
      <c r="S13" s="50">
        <f t="shared" si="5"/>
        <v>-386.41429999999946</v>
      </c>
      <c r="T13" s="46">
        <f>+'사업장별(당월)'!T13+'[4]사업장별(누계)'!T13</f>
        <v>803.15271244981307</v>
      </c>
      <c r="U13" s="47">
        <f>+'사업장별(당월)'!U13+'[4]사업장별(누계)'!U13</f>
        <v>543.83888300000012</v>
      </c>
      <c r="V13" s="48">
        <f t="shared" si="6"/>
        <v>-259.31382944981294</v>
      </c>
      <c r="W13" s="49">
        <f>+'사업장별(당월)'!W13+'[4]사업장별(누계)'!W13</f>
        <v>1161.2079749999998</v>
      </c>
      <c r="X13" s="50">
        <f t="shared" si="7"/>
        <v>-617.36909199999968</v>
      </c>
      <c r="Y13" s="46">
        <f>+[11]김해!$Q$85</f>
        <v>101000.01739130437</v>
      </c>
      <c r="Z13" s="47">
        <f>+[11]김해!$R$85</f>
        <v>97399.068465843739</v>
      </c>
      <c r="AA13" s="51">
        <f>+[12]김해!$Q$85</f>
        <v>96915.451692499351</v>
      </c>
      <c r="AB13" s="52">
        <f>+[11]김해!$Q$89</f>
        <v>76425.281749095593</v>
      </c>
      <c r="AC13" s="47">
        <f>+[11]김해!$R$89</f>
        <v>79402.426972322326</v>
      </c>
      <c r="AD13" s="53">
        <f>+[12]김해!$Q$89</f>
        <v>73033.606185468219</v>
      </c>
      <c r="AE13" s="52">
        <f t="shared" si="8"/>
        <v>24574.735642208776</v>
      </c>
      <c r="AF13" s="47">
        <f t="shared" si="8"/>
        <v>17996.641493521412</v>
      </c>
      <c r="AG13" s="53">
        <f t="shared" si="8"/>
        <v>23881.845507031132</v>
      </c>
      <c r="AH13" s="18"/>
      <c r="AI13" s="19">
        <v>4.8529444599999998</v>
      </c>
      <c r="AJ13" s="97"/>
    </row>
    <row r="14" spans="2:36" s="8" customFormat="1" ht="19.5" customHeight="1">
      <c r="B14" s="8" t="s">
        <v>28</v>
      </c>
      <c r="F14" s="9">
        <f t="shared" si="2"/>
        <v>0.84630083493203712</v>
      </c>
      <c r="G14" s="9">
        <f t="shared" si="0"/>
        <v>1.1651761904761906</v>
      </c>
      <c r="H14" s="80"/>
      <c r="I14" s="81" t="s">
        <v>28</v>
      </c>
      <c r="J14" s="46">
        <f>+'사업장별(당월)'!J14+'[4]사업장별(누계)'!J14</f>
        <v>105</v>
      </c>
      <c r="K14" s="47">
        <f>+'사업장별(당월)'!K14+'[4]사업장별(누계)'!K14</f>
        <v>122.34350000000001</v>
      </c>
      <c r="L14" s="48">
        <f t="shared" si="1"/>
        <v>17.343500000000006</v>
      </c>
      <c r="M14" s="49">
        <f>+'사업장별(당월)'!M14+'[4]사업장별(누계)'!M14</f>
        <v>119.20399999999998</v>
      </c>
      <c r="N14" s="50">
        <f t="shared" si="3"/>
        <v>3.1395000000000266</v>
      </c>
      <c r="O14" s="46">
        <f>+'사업장별(당월)'!O14+'[4]사업장별(누계)'!O14</f>
        <v>10920</v>
      </c>
      <c r="P14" s="47">
        <f>+'사업장별(당월)'!P14+'[4]사업장별(누계)'!P14</f>
        <v>12481.763249999998</v>
      </c>
      <c r="Q14" s="48">
        <f t="shared" si="4"/>
        <v>1561.7632499999982</v>
      </c>
      <c r="R14" s="49">
        <f>+'사업장별(당월)'!R14+'[4]사업장별(누계)'!R14</f>
        <v>11904.13214</v>
      </c>
      <c r="S14" s="50">
        <f t="shared" si="5"/>
        <v>577.63110999999844</v>
      </c>
      <c r="T14" s="46">
        <f>+'사업장별(당월)'!T14+'[4]사업장별(누계)'!T14</f>
        <v>1466.4773196160977</v>
      </c>
      <c r="U14" s="47">
        <f>+'사업장별(당월)'!U14+'[4]사업장별(누계)'!U14</f>
        <v>1241.0809799999993</v>
      </c>
      <c r="V14" s="48">
        <f t="shared" si="6"/>
        <v>-225.39633961609843</v>
      </c>
      <c r="W14" s="49">
        <f>+'사업장별(당월)'!W14+'[4]사업장별(누계)'!W14</f>
        <v>1921.8461030000005</v>
      </c>
      <c r="X14" s="50">
        <f t="shared" si="7"/>
        <v>-680.76512300000127</v>
      </c>
      <c r="Y14" s="46">
        <f>+[11]정관!$Q$85</f>
        <v>104000</v>
      </c>
      <c r="Z14" s="47">
        <f>+[11]정관!$R$85</f>
        <v>102022.28357043897</v>
      </c>
      <c r="AA14" s="51">
        <f>+[12]정관!$Q$85</f>
        <v>99863.529243985118</v>
      </c>
      <c r="AB14" s="52">
        <f>+[11]정관!$Q$89</f>
        <v>78381.366317941924</v>
      </c>
      <c r="AC14" s="47">
        <f>+[11]정관!$R$89</f>
        <v>82011.464148692321</v>
      </c>
      <c r="AD14" s="53">
        <f>+[12]정관!$Q$89</f>
        <v>74208.344161670364</v>
      </c>
      <c r="AE14" s="52">
        <f t="shared" si="8"/>
        <v>25618.633682058076</v>
      </c>
      <c r="AF14" s="47">
        <f t="shared" si="8"/>
        <v>20010.819421746652</v>
      </c>
      <c r="AG14" s="53">
        <f t="shared" si="8"/>
        <v>25655.185082314754</v>
      </c>
      <c r="AH14" s="18"/>
      <c r="AI14" s="19">
        <v>10.986996909999993</v>
      </c>
      <c r="AJ14" s="97"/>
    </row>
    <row r="15" spans="2:36" s="8" customFormat="1" ht="19.5" customHeight="1">
      <c r="B15" s="8" t="s">
        <v>29</v>
      </c>
      <c r="F15" s="9">
        <f t="shared" si="2"/>
        <v>0.96003328416882527</v>
      </c>
      <c r="G15" s="9">
        <f t="shared" si="0"/>
        <v>1.2022834645669294</v>
      </c>
      <c r="H15" s="80"/>
      <c r="I15" s="81" t="s">
        <v>215</v>
      </c>
      <c r="J15" s="46">
        <f>+'사업장별(당월)'!J15+'[4]사업장별(누계)'!J15</f>
        <v>63.5</v>
      </c>
      <c r="K15" s="47">
        <f>+'사업장별(당월)'!K15+'[4]사업장별(누계)'!K15</f>
        <v>76.345000000000013</v>
      </c>
      <c r="L15" s="48">
        <f t="shared" si="1"/>
        <v>12.845000000000013</v>
      </c>
      <c r="M15" s="49">
        <f>+'사업장별(당월)'!M15+'[4]사업장별(누계)'!M15</f>
        <v>89.588000000000008</v>
      </c>
      <c r="N15" s="50">
        <f t="shared" si="3"/>
        <v>-13.242999999999995</v>
      </c>
      <c r="O15" s="46">
        <f>+'사업장별(당월)'!O15+'[4]사업장별(누계)'!O15</f>
        <v>6128.074654</v>
      </c>
      <c r="P15" s="47">
        <f>+'사업장별(당월)'!P15+'[4]사업장별(누계)'!P15</f>
        <v>7154.8031350000001</v>
      </c>
      <c r="Q15" s="48">
        <f t="shared" si="4"/>
        <v>1026.7284810000001</v>
      </c>
      <c r="R15" s="49">
        <f>+'사업장별(당월)'!R15+'[4]사업장별(누계)'!R15</f>
        <v>8388.8042719999994</v>
      </c>
      <c r="S15" s="50">
        <f t="shared" si="5"/>
        <v>-1234.0011369999993</v>
      </c>
      <c r="T15" s="46">
        <f>+'사업장별(당월)'!T15+'[4]사업장별(누계)'!T15</f>
        <v>760.27708000970335</v>
      </c>
      <c r="U15" s="47">
        <f>+'사업장별(당월)'!U15+'[4]사업장별(누계)'!U15</f>
        <v>729.89130200000022</v>
      </c>
      <c r="V15" s="48">
        <f t="shared" si="6"/>
        <v>-30.385778009703131</v>
      </c>
      <c r="W15" s="49">
        <f>+'사업장별(당월)'!W15+'[4]사업장별(누계)'!W15</f>
        <v>1465.8736869999998</v>
      </c>
      <c r="X15" s="50">
        <f t="shared" si="7"/>
        <v>-735.98238499999957</v>
      </c>
      <c r="Y15" s="46">
        <f>+[11]양산!$Q$85</f>
        <v>96505.112661417326</v>
      </c>
      <c r="Z15" s="47">
        <f>+[11]양산!$R$85</f>
        <v>93716.721920230542</v>
      </c>
      <c r="AA15" s="51">
        <f>+[12]양산!$Q$85</f>
        <v>93639.948097774512</v>
      </c>
      <c r="AB15" s="52">
        <f>+[11]양산!$Q$89</f>
        <v>70930.311515157795</v>
      </c>
      <c r="AC15" s="47">
        <f>+[11]양산!$R$89</f>
        <v>73101.325889641244</v>
      </c>
      <c r="AD15" s="53">
        <f>+[12]양산!$Q$89</f>
        <v>67713.663194560737</v>
      </c>
      <c r="AE15" s="52">
        <f t="shared" si="8"/>
        <v>25574.801146259531</v>
      </c>
      <c r="AF15" s="47">
        <f t="shared" si="8"/>
        <v>20615.396030589298</v>
      </c>
      <c r="AG15" s="53">
        <f t="shared" si="8"/>
        <v>25926.284903213775</v>
      </c>
      <c r="AH15" s="18"/>
      <c r="AI15" s="19">
        <v>6.5081402700000011</v>
      </c>
      <c r="AJ15" s="97"/>
    </row>
    <row r="16" spans="2:36" s="8" customFormat="1" ht="19.5" customHeight="1">
      <c r="B16" s="8" t="s">
        <v>30</v>
      </c>
      <c r="F16" s="9">
        <f t="shared" si="2"/>
        <v>1.1217876714590378</v>
      </c>
      <c r="G16" s="9">
        <f t="shared" si="0"/>
        <v>1.1249191919191919</v>
      </c>
      <c r="H16" s="80"/>
      <c r="I16" s="81" t="s">
        <v>30</v>
      </c>
      <c r="J16" s="46">
        <f>+'사업장별(당월)'!J16+'[4]사업장별(누계)'!J16</f>
        <v>99</v>
      </c>
      <c r="K16" s="47">
        <f>+'사업장별(당월)'!K16+'[4]사업장별(누계)'!K16</f>
        <v>111.36699999999999</v>
      </c>
      <c r="L16" s="48">
        <f t="shared" si="1"/>
        <v>12.36699999999999</v>
      </c>
      <c r="M16" s="49">
        <f>+'사업장별(당월)'!M16+'[4]사업장별(누계)'!M16</f>
        <v>122.60100000000001</v>
      </c>
      <c r="N16" s="50">
        <f t="shared" si="3"/>
        <v>-11.234000000000023</v>
      </c>
      <c r="O16" s="46">
        <f>+'사업장별(당월)'!O16+'[4]사업장별(누계)'!O16</f>
        <v>9932.2050000000017</v>
      </c>
      <c r="P16" s="47">
        <f>+'사업장별(당월)'!P16+'[4]사업장별(누계)'!P16</f>
        <v>11303.831749999999</v>
      </c>
      <c r="Q16" s="48">
        <f t="shared" si="4"/>
        <v>1371.6267499999976</v>
      </c>
      <c r="R16" s="49">
        <f>+'사업장별(당월)'!R16+'[4]사업장별(누계)'!R16</f>
        <v>11578.8019</v>
      </c>
      <c r="S16" s="50">
        <f t="shared" si="5"/>
        <v>-274.97015000000101</v>
      </c>
      <c r="T16" s="46">
        <f>+'사업장별(당월)'!T16+'[4]사업장별(누계)'!T16</f>
        <v>1590.2352694603844</v>
      </c>
      <c r="U16" s="47">
        <f>+'사업장별(당월)'!U16+'[4]사업장별(누계)'!U16</f>
        <v>1783.9063200000001</v>
      </c>
      <c r="V16" s="48">
        <f t="shared" si="6"/>
        <v>193.67105053961563</v>
      </c>
      <c r="W16" s="49">
        <f>+'사업장별(당월)'!W16+'[4]사업장별(누계)'!W16</f>
        <v>2308.7129579999992</v>
      </c>
      <c r="X16" s="50">
        <f t="shared" si="7"/>
        <v>-524.80663799999911</v>
      </c>
      <c r="Y16" s="46">
        <f>+[11]창원!$Q$85</f>
        <v>100325.30303030304</v>
      </c>
      <c r="Z16" s="47">
        <f>+[11]창원!$R$85</f>
        <v>101500.72956980075</v>
      </c>
      <c r="AA16" s="51">
        <f>+[12]창원!$Q$85</f>
        <v>94442.964576145387</v>
      </c>
      <c r="AB16" s="52">
        <f>+[11]창원!$Q$89</f>
        <v>72175.034467431673</v>
      </c>
      <c r="AC16" s="47">
        <f>+[11]창원!$R$89</f>
        <v>74971.175752841664</v>
      </c>
      <c r="AD16" s="53">
        <f>+[12]창원!$Q$89</f>
        <v>66571.781097327243</v>
      </c>
      <c r="AE16" s="52">
        <f t="shared" si="8"/>
        <v>28150.268562871366</v>
      </c>
      <c r="AF16" s="47">
        <f t="shared" si="8"/>
        <v>26529.553816959087</v>
      </c>
      <c r="AG16" s="53">
        <f t="shared" si="8"/>
        <v>27871.183478818144</v>
      </c>
      <c r="AH16" s="18"/>
      <c r="AI16" s="19">
        <v>15.024126189999999</v>
      </c>
      <c r="AJ16" s="97"/>
    </row>
    <row r="17" spans="2:38" s="8" customFormat="1" ht="19.5" customHeight="1">
      <c r="B17" s="8" t="s">
        <v>87</v>
      </c>
      <c r="F17" s="9">
        <f t="shared" si="2"/>
        <v>1.0647003010113572</v>
      </c>
      <c r="G17" s="9">
        <f t="shared" si="0"/>
        <v>1.0673999999999999</v>
      </c>
      <c r="H17" s="80"/>
      <c r="I17" s="81" t="s">
        <v>87</v>
      </c>
      <c r="J17" s="46">
        <f>+'사업장별(당월)'!J17+'[4]사업장별(누계)'!J17</f>
        <v>92.5</v>
      </c>
      <c r="K17" s="47">
        <f>+'사업장별(당월)'!K17+'[4]사업장별(누계)'!K17</f>
        <v>98.734499999999997</v>
      </c>
      <c r="L17" s="48">
        <f t="shared" si="1"/>
        <v>6.234499999999997</v>
      </c>
      <c r="M17" s="49">
        <f>+'사업장별(당월)'!M17+'[4]사업장별(누계)'!M17</f>
        <v>123.387</v>
      </c>
      <c r="N17" s="50">
        <f t="shared" si="3"/>
        <v>-24.652500000000003</v>
      </c>
      <c r="O17" s="46">
        <f>+'사업장별(당월)'!O17+'[4]사업장별(누계)'!O17</f>
        <v>9045.18</v>
      </c>
      <c r="P17" s="47">
        <f>+'사업장별(당월)'!P17+'[4]사업장별(누계)'!P17</f>
        <v>10024.104911999999</v>
      </c>
      <c r="Q17" s="48">
        <f t="shared" si="4"/>
        <v>978.92491199999859</v>
      </c>
      <c r="R17" s="49">
        <f>+'사업장별(당월)'!R17+'[4]사업장별(누계)'!R17</f>
        <v>11403.811750000001</v>
      </c>
      <c r="S17" s="50">
        <f t="shared" si="5"/>
        <v>-1379.7068380000019</v>
      </c>
      <c r="T17" s="46">
        <f>+'사업장별(당월)'!T17+'[4]사업장별(누계)'!T17</f>
        <v>1500.2399449711074</v>
      </c>
      <c r="U17" s="47">
        <f>+'사업장별(당월)'!U17+'[4]사업장별(누계)'!U17</f>
        <v>1597.3059209999999</v>
      </c>
      <c r="V17" s="48">
        <f t="shared" si="6"/>
        <v>97.065976028892464</v>
      </c>
      <c r="W17" s="49">
        <f>+'사업장별(당월)'!W17+'[4]사업장별(누계)'!W17</f>
        <v>2213.9872680000003</v>
      </c>
      <c r="X17" s="50">
        <f t="shared" si="7"/>
        <v>-616.68134700000041</v>
      </c>
      <c r="Y17" s="46">
        <f>+[11]대구!$Q$85</f>
        <v>97785.729729729719</v>
      </c>
      <c r="Z17" s="47">
        <f>+[11]대구!$R$85</f>
        <v>101525.85886392294</v>
      </c>
      <c r="AA17" s="51">
        <f>+[12]대구!$Q$85</f>
        <v>92415.54845364175</v>
      </c>
      <c r="AB17" s="52">
        <f>+[11]대구!$Q$89</f>
        <v>70001.229701654665</v>
      </c>
      <c r="AC17" s="47">
        <f>+[11]대구!$R$89</f>
        <v>74888.901365244717</v>
      </c>
      <c r="AD17" s="53">
        <f>+[12]대구!$Q$89</f>
        <v>66116.22744031185</v>
      </c>
      <c r="AE17" s="52">
        <f t="shared" si="8"/>
        <v>27784.500028075054</v>
      </c>
      <c r="AF17" s="47">
        <f t="shared" si="8"/>
        <v>26636.957498678225</v>
      </c>
      <c r="AG17" s="53">
        <f t="shared" si="8"/>
        <v>26299.3210133299</v>
      </c>
      <c r="AH17" s="18"/>
      <c r="AI17" s="19">
        <v>13.115241379999997</v>
      </c>
      <c r="AJ17" s="97"/>
    </row>
    <row r="18" spans="2:38" s="8" customFormat="1" ht="19.5" customHeight="1">
      <c r="B18" s="8" t="s">
        <v>88</v>
      </c>
      <c r="F18" s="9">
        <f t="shared" si="2"/>
        <v>3.9604175159138819</v>
      </c>
      <c r="G18" s="9">
        <f t="shared" si="0"/>
        <v>1.2195</v>
      </c>
      <c r="H18" s="80"/>
      <c r="I18" s="83" t="s">
        <v>88</v>
      </c>
      <c r="J18" s="10">
        <f>+'사업장별(당월)'!J18+'[4]사업장별(누계)'!J18</f>
        <v>45</v>
      </c>
      <c r="K18" s="11">
        <f>+'사업장별(당월)'!K18+'[4]사업장별(누계)'!K18</f>
        <v>54.877500000000005</v>
      </c>
      <c r="L18" s="12">
        <f t="shared" si="1"/>
        <v>9.8775000000000048</v>
      </c>
      <c r="M18" s="13">
        <f>+'사업장별(당월)'!M18+'[4]사업장별(누계)'!M18</f>
        <v>56.587000000000003</v>
      </c>
      <c r="N18" s="14">
        <f t="shared" si="3"/>
        <v>-1.7094999999999985</v>
      </c>
      <c r="O18" s="10">
        <f>+'사업장별(당월)'!O18+'[4]사업장별(누계)'!O18</f>
        <v>4476.2831000000006</v>
      </c>
      <c r="P18" s="11">
        <f>+'사업장별(당월)'!P18+'[4]사업장별(누계)'!P18</f>
        <v>5724.7483920000004</v>
      </c>
      <c r="Q18" s="12">
        <f t="shared" si="4"/>
        <v>1248.4652919999999</v>
      </c>
      <c r="R18" s="13">
        <f>+'사업장별(당월)'!R18+'[4]사업장별(누계)'!R18</f>
        <v>5336.7266</v>
      </c>
      <c r="S18" s="14">
        <f t="shared" si="5"/>
        <v>388.02179200000046</v>
      </c>
      <c r="T18" s="10">
        <f>+'사업장별(당월)'!T18+'[4]사업장별(누계)'!T18</f>
        <v>140.46471660239388</v>
      </c>
      <c r="U18" s="11">
        <f>+'사업장별(당월)'!U18+'[4]사업장별(누계)'!U18</f>
        <v>556.29892400000017</v>
      </c>
      <c r="V18" s="12">
        <f t="shared" si="6"/>
        <v>415.83420739760629</v>
      </c>
      <c r="W18" s="13">
        <f>+'사업장별(당월)'!W18+'[4]사업장별(누계)'!W18</f>
        <v>463.32659300000023</v>
      </c>
      <c r="X18" s="14">
        <f t="shared" si="7"/>
        <v>92.97233099999994</v>
      </c>
      <c r="Y18" s="10">
        <f>+[11]울산!$Q$85</f>
        <v>99472.957777777759</v>
      </c>
      <c r="Z18" s="11">
        <f>+[11]울산!$R$85</f>
        <v>104318.68055213886</v>
      </c>
      <c r="AA18" s="15">
        <f>+[12]울산!$Q$85</f>
        <v>94327.295691464751</v>
      </c>
      <c r="AB18" s="16">
        <f>+[11]울산!$Q$89</f>
        <v>78175.85014408901</v>
      </c>
      <c r="AC18" s="11">
        <f>+[11]울산!$R$89</f>
        <v>80462.832657967345</v>
      </c>
      <c r="AD18" s="17">
        <f>+[12]울산!$Q$89</f>
        <v>72700.856199520713</v>
      </c>
      <c r="AE18" s="16">
        <f t="shared" si="8"/>
        <v>21297.107633688749</v>
      </c>
      <c r="AF18" s="11">
        <f t="shared" si="8"/>
        <v>23855.847894171515</v>
      </c>
      <c r="AG18" s="17">
        <f t="shared" si="8"/>
        <v>21626.439491944038</v>
      </c>
      <c r="AH18" s="18"/>
      <c r="AI18" s="19">
        <v>2.8283414800000033</v>
      </c>
      <c r="AJ18" s="97"/>
    </row>
    <row r="19" spans="2:38" s="8" customFormat="1" ht="19.5" customHeight="1">
      <c r="B19" s="8" t="s">
        <v>93</v>
      </c>
      <c r="F19" s="9">
        <f t="shared" si="2"/>
        <v>1.275320700097474</v>
      </c>
      <c r="G19" s="9">
        <f t="shared" si="0"/>
        <v>1.2726062992125984</v>
      </c>
      <c r="H19" s="80"/>
      <c r="I19" s="81" t="s">
        <v>31</v>
      </c>
      <c r="J19" s="46">
        <f>+'사업장별(당월)'!J19+'[4]사업장별(누계)'!J19</f>
        <v>127</v>
      </c>
      <c r="K19" s="47">
        <f>+'사업장별(당월)'!K19+'[4]사업장별(누계)'!K19</f>
        <v>161.62099999999998</v>
      </c>
      <c r="L19" s="48">
        <f t="shared" si="1"/>
        <v>34.620999999999981</v>
      </c>
      <c r="M19" s="49">
        <f>+'사업장별(당월)'!M19+'[4]사업장별(누계)'!M19</f>
        <v>158.49200000000002</v>
      </c>
      <c r="N19" s="50">
        <f t="shared" si="3"/>
        <v>3.1289999999999623</v>
      </c>
      <c r="O19" s="46">
        <f>+'사업장별(당월)'!O19+'[4]사업장별(누계)'!O19</f>
        <v>12826.9953</v>
      </c>
      <c r="P19" s="47">
        <f>+'사업장별(당월)'!P19+'[4]사업장별(누계)'!P19</f>
        <v>16452.682892000001</v>
      </c>
      <c r="Q19" s="48">
        <f t="shared" si="4"/>
        <v>3625.6875920000002</v>
      </c>
      <c r="R19" s="49">
        <f>+'사업장별(당월)'!R19+'[4]사업장별(누계)'!R19</f>
        <v>15079.707492</v>
      </c>
      <c r="S19" s="50">
        <f t="shared" si="5"/>
        <v>1372.9754000000012</v>
      </c>
      <c r="T19" s="46">
        <f>+'사업장별(당월)'!T19+'[4]사업장별(누계)'!T19</f>
        <v>1817.2575602535617</v>
      </c>
      <c r="U19" s="47">
        <f>+'사업장별(당월)'!U19+'[4]사업장별(누계)'!U19</f>
        <v>2317.5861839999998</v>
      </c>
      <c r="V19" s="48">
        <f t="shared" si="6"/>
        <v>500.3286237464381</v>
      </c>
      <c r="W19" s="49">
        <f>+'사업장별(당월)'!W19+'[4]사업장별(누계)'!W19</f>
        <v>2769.1377440000001</v>
      </c>
      <c r="X19" s="50">
        <f t="shared" si="7"/>
        <v>-451.55156000000034</v>
      </c>
      <c r="Y19" s="46">
        <f>+[11]아산!$Q$85</f>
        <v>100999.96299212598</v>
      </c>
      <c r="Z19" s="47">
        <f>+[11]아산!$R$85</f>
        <v>101738.17882411559</v>
      </c>
      <c r="AA19" s="51">
        <f>+[12]아산!$Q$85</f>
        <v>95253.560526493413</v>
      </c>
      <c r="AB19" s="52">
        <f>+[11]아산!$Q$89</f>
        <v>76426.529383594927</v>
      </c>
      <c r="AC19" s="47">
        <f>+[11]아산!$R$89</f>
        <v>77956.409931700866</v>
      </c>
      <c r="AD19" s="53">
        <f>+[12]아산!$Q$89</f>
        <v>68600.672915232732</v>
      </c>
      <c r="AE19" s="52">
        <f t="shared" si="8"/>
        <v>24573.43360853105</v>
      </c>
      <c r="AF19" s="47">
        <f t="shared" si="8"/>
        <v>23781.768892414722</v>
      </c>
      <c r="AG19" s="53">
        <f t="shared" si="8"/>
        <v>26652.887611260681</v>
      </c>
      <c r="AH19" s="18"/>
      <c r="AI19" s="19">
        <v>18.004353030000001</v>
      </c>
      <c r="AJ19" s="97"/>
    </row>
    <row r="20" spans="2:38" s="8" customFormat="1" ht="19.5" customHeight="1">
      <c r="B20" s="8" t="s">
        <v>89</v>
      </c>
      <c r="F20" s="9">
        <f t="shared" si="2"/>
        <v>0.26065615337715842</v>
      </c>
      <c r="G20" s="9">
        <f t="shared" si="0"/>
        <v>0.69455072463768108</v>
      </c>
      <c r="H20" s="80"/>
      <c r="I20" s="81" t="s">
        <v>89</v>
      </c>
      <c r="J20" s="46">
        <f>+'사업장별(당월)'!J20+'[4]사업장별(누계)'!J20</f>
        <v>69</v>
      </c>
      <c r="K20" s="47">
        <f>+'사업장별(당월)'!K20+'[4]사업장별(누계)'!K20</f>
        <v>47.923999999999992</v>
      </c>
      <c r="L20" s="48">
        <f t="shared" si="1"/>
        <v>-21.076000000000008</v>
      </c>
      <c r="M20" s="49">
        <f>+'사업장별(당월)'!M20+'[4]사업장별(누계)'!M20</f>
        <v>65.25800000000001</v>
      </c>
      <c r="N20" s="50">
        <f t="shared" si="3"/>
        <v>-17.334000000000017</v>
      </c>
      <c r="O20" s="46">
        <f>+'사업장별(당월)'!O20+'[4]사업장별(누계)'!O20</f>
        <v>7099.3363170000002</v>
      </c>
      <c r="P20" s="47">
        <f>+'사업장별(당월)'!P20+'[4]사업장별(누계)'!P20</f>
        <v>4592.3412979999994</v>
      </c>
      <c r="Q20" s="48">
        <f t="shared" si="4"/>
        <v>-2506.9950190000009</v>
      </c>
      <c r="R20" s="49">
        <f>+'사업장별(당월)'!R20+'[4]사업장별(누계)'!R20</f>
        <v>6187.9409880000012</v>
      </c>
      <c r="S20" s="50">
        <f t="shared" si="5"/>
        <v>-1595.5996900000018</v>
      </c>
      <c r="T20" s="46">
        <f>+'사업장별(당월)'!T20+'[4]사업장별(누계)'!T20</f>
        <v>1107.9292441722455</v>
      </c>
      <c r="U20" s="47">
        <f>+'사업장별(당월)'!U20+'[4]사업장별(누계)'!U20</f>
        <v>288.78857500000004</v>
      </c>
      <c r="V20" s="48">
        <f t="shared" si="6"/>
        <v>-819.14066917224545</v>
      </c>
      <c r="W20" s="49">
        <f>+'사업장별(당월)'!W20+'[4]사업장별(누계)'!W20</f>
        <v>913.99055700000031</v>
      </c>
      <c r="X20" s="50">
        <f t="shared" si="7"/>
        <v>-625.20198200000027</v>
      </c>
      <c r="Y20" s="46">
        <f>+[11]전주!$Q$85</f>
        <v>102888.93213043478</v>
      </c>
      <c r="Z20" s="47">
        <f>+[11]전주!$R$85</f>
        <v>95827.775183762104</v>
      </c>
      <c r="AA20" s="51">
        <f>+[12]전주!$Q$85</f>
        <v>94924.95787511651</v>
      </c>
      <c r="AB20" s="52">
        <f>+[11]전주!$Q$89</f>
        <v>73873.669338653257</v>
      </c>
      <c r="AC20" s="47">
        <f>+[11]전주!$R$89</f>
        <v>71176.351106471819</v>
      </c>
      <c r="AD20" s="53">
        <f>+[12]전주!$Q$89</f>
        <v>67588.68535259398</v>
      </c>
      <c r="AE20" s="52">
        <f t="shared" si="8"/>
        <v>29015.262791781526</v>
      </c>
      <c r="AF20" s="47">
        <f t="shared" si="8"/>
        <v>24651.424077290285</v>
      </c>
      <c r="AG20" s="53">
        <f t="shared" si="8"/>
        <v>27336.272522522529</v>
      </c>
      <c r="AH20" s="18"/>
      <c r="AI20" s="19">
        <v>2.6236192800000002</v>
      </c>
      <c r="AJ20" s="97"/>
    </row>
    <row r="21" spans="2:38" s="8" customFormat="1" ht="19.5" customHeight="1">
      <c r="B21" s="8" t="s">
        <v>90</v>
      </c>
      <c r="F21" s="9">
        <f t="shared" si="2"/>
        <v>1.6562889933977636</v>
      </c>
      <c r="G21" s="9">
        <f t="shared" si="0"/>
        <v>1.4225263157894736</v>
      </c>
      <c r="H21" s="80"/>
      <c r="I21" s="81" t="s">
        <v>90</v>
      </c>
      <c r="J21" s="46">
        <f>+'사업장별(당월)'!J21+'[4]사업장별(누계)'!J21</f>
        <v>38</v>
      </c>
      <c r="K21" s="47">
        <f>+'사업장별(당월)'!K21+'[4]사업장별(누계)'!K21</f>
        <v>54.055999999999997</v>
      </c>
      <c r="L21" s="48">
        <f t="shared" si="1"/>
        <v>16.055999999999997</v>
      </c>
      <c r="M21" s="49">
        <f>+'사업장별(당월)'!M21+'[4]사업장별(누계)'!M21</f>
        <v>51.61</v>
      </c>
      <c r="N21" s="50">
        <f t="shared" si="3"/>
        <v>2.445999999999998</v>
      </c>
      <c r="O21" s="46">
        <f>+'사업장별(당월)'!O21+'[4]사업장별(누계)'!O21</f>
        <v>4145.069133</v>
      </c>
      <c r="P21" s="47">
        <f>+'사업장별(당월)'!P21+'[4]사업장별(누계)'!P21</f>
        <v>6033.5480900000002</v>
      </c>
      <c r="Q21" s="48">
        <f t="shared" si="4"/>
        <v>1888.4789570000003</v>
      </c>
      <c r="R21" s="49">
        <f>+'사업장별(당월)'!R21+'[4]사업장별(누계)'!R21</f>
        <v>4988.4201849999999</v>
      </c>
      <c r="S21" s="50">
        <f t="shared" si="5"/>
        <v>1045.1279050000003</v>
      </c>
      <c r="T21" s="46">
        <f>+'사업장별(당월)'!T21+'[4]사업장별(누계)'!T21</f>
        <v>1013.1543581398445</v>
      </c>
      <c r="U21" s="47">
        <f>+'사업장별(당월)'!U21+'[4]사업장별(누계)'!U21</f>
        <v>1678.0764120000003</v>
      </c>
      <c r="V21" s="48">
        <f t="shared" si="6"/>
        <v>664.92205386015587</v>
      </c>
      <c r="W21" s="49">
        <f>+'사업장별(당월)'!W21+'[4]사업장별(누계)'!W21</f>
        <v>1180.9580959999998</v>
      </c>
      <c r="X21" s="50">
        <f t="shared" si="7"/>
        <v>497.1183160000005</v>
      </c>
      <c r="Y21" s="46">
        <f>+[11]군산!$Q$85</f>
        <v>109080.76665789472</v>
      </c>
      <c r="Z21" s="47">
        <f>+[11]군산!$R$85</f>
        <v>111626.93770601091</v>
      </c>
      <c r="AA21" s="51">
        <f>+[12]군산!$Q$85</f>
        <v>96506.220349438838</v>
      </c>
      <c r="AB21" s="52">
        <f>+[11]군산!$Q$89</f>
        <v>69641.488666437668</v>
      </c>
      <c r="AC21" s="47">
        <f>+[11]군산!$R$89</f>
        <v>71723.876222041188</v>
      </c>
      <c r="AD21" s="53">
        <f>+[12]군산!$Q$89</f>
        <v>63577.452675552013</v>
      </c>
      <c r="AE21" s="52">
        <f t="shared" si="8"/>
        <v>39439.277991457056</v>
      </c>
      <c r="AF21" s="47">
        <f t="shared" si="8"/>
        <v>39903.061483969723</v>
      </c>
      <c r="AG21" s="53">
        <f t="shared" si="8"/>
        <v>32928.767673886825</v>
      </c>
      <c r="AH21" s="18"/>
      <c r="AI21" s="19">
        <v>13.184206500000002</v>
      </c>
      <c r="AJ21" s="97"/>
    </row>
    <row r="22" spans="2:38" s="8" customFormat="1" ht="19.5" customHeight="1">
      <c r="B22" s="8" t="s">
        <v>91</v>
      </c>
      <c r="F22" s="9">
        <f t="shared" si="2"/>
        <v>1.5335708733024636</v>
      </c>
      <c r="G22" s="9">
        <f t="shared" si="0"/>
        <v>1.1341166666666667</v>
      </c>
      <c r="H22" s="80"/>
      <c r="I22" s="81" t="s">
        <v>91</v>
      </c>
      <c r="J22" s="46">
        <f>+'사업장별(당월)'!J22+'[4]사업장별(누계)'!J22</f>
        <v>30</v>
      </c>
      <c r="K22" s="47">
        <f>+'사업장별(당월)'!K22+'[4]사업장별(누계)'!K22</f>
        <v>34.023499999999999</v>
      </c>
      <c r="L22" s="48">
        <f t="shared" si="1"/>
        <v>4.0234999999999985</v>
      </c>
      <c r="M22" s="49">
        <f>+'사업장별(당월)'!M22+'[4]사업장별(누계)'!M22</f>
        <v>26.490499999999997</v>
      </c>
      <c r="N22" s="50">
        <f t="shared" si="3"/>
        <v>7.5330000000000013</v>
      </c>
      <c r="O22" s="46">
        <f>+'사업장별(당월)'!O22+'[4]사업장별(누계)'!O22</f>
        <v>3237</v>
      </c>
      <c r="P22" s="47">
        <f>+'사업장별(당월)'!P22+'[4]사업장별(누계)'!P22</f>
        <v>3813.959445</v>
      </c>
      <c r="Q22" s="48">
        <f t="shared" si="4"/>
        <v>576.95944499999996</v>
      </c>
      <c r="R22" s="49">
        <f>+'사업장별(당월)'!R22+'[4]사업장별(누계)'!R22</f>
        <v>2674.335118</v>
      </c>
      <c r="S22" s="50">
        <f t="shared" si="5"/>
        <v>1139.624327</v>
      </c>
      <c r="T22" s="46">
        <f>+'사업장별(당월)'!T22+'[4]사업장별(누계)'!T22</f>
        <v>505.17107913747145</v>
      </c>
      <c r="U22" s="47">
        <f>+'사업장별(당월)'!U22+'[4]사업장별(누계)'!U22</f>
        <v>774.71565299999997</v>
      </c>
      <c r="V22" s="48">
        <f t="shared" si="6"/>
        <v>269.54457386252852</v>
      </c>
      <c r="W22" s="49">
        <f>+'사업장별(당월)'!W22+'[4]사업장별(누계)'!W22</f>
        <v>423.90053400000005</v>
      </c>
      <c r="X22" s="50">
        <f t="shared" si="7"/>
        <v>350.81511899999992</v>
      </c>
      <c r="Y22" s="46">
        <f>+[11]원주!$Q$85</f>
        <v>107900</v>
      </c>
      <c r="Z22" s="47">
        <f>+[11]원주!$R$85</f>
        <v>112106.46342360364</v>
      </c>
      <c r="AA22" s="51">
        <f>+[12]원주!$Q$85</f>
        <v>100955.18705924842</v>
      </c>
      <c r="AB22" s="52">
        <f>+[11]원주!$Q$89</f>
        <v>73596.746825706316</v>
      </c>
      <c r="AC22" s="47">
        <f>+[11]원주!$R$89</f>
        <v>73510.954825613051</v>
      </c>
      <c r="AD22" s="53">
        <f>+[12]원주!$Q$89</f>
        <v>66608.01672336139</v>
      </c>
      <c r="AE22" s="52">
        <f t="shared" si="8"/>
        <v>34303.253174293684</v>
      </c>
      <c r="AF22" s="47">
        <f t="shared" si="8"/>
        <v>38595.508597990585</v>
      </c>
      <c r="AG22" s="53">
        <f t="shared" si="8"/>
        <v>34347.170335887029</v>
      </c>
      <c r="AH22" s="18"/>
      <c r="AI22" s="19">
        <v>6.1718805099999994</v>
      </c>
      <c r="AJ22" s="97"/>
    </row>
    <row r="23" spans="2:38" s="8" customFormat="1" ht="19.5" customHeight="1">
      <c r="B23" s="8" t="s">
        <v>92</v>
      </c>
      <c r="F23" s="9">
        <f t="shared" si="2"/>
        <v>0.56622986763307626</v>
      </c>
      <c r="G23" s="9">
        <f>+K23/J23</f>
        <v>0.71305000000000007</v>
      </c>
      <c r="H23" s="80"/>
      <c r="I23" s="81" t="s">
        <v>92</v>
      </c>
      <c r="J23" s="46">
        <f>+'사업장별(당월)'!J23+'[4]사업장별(누계)'!J23</f>
        <v>30</v>
      </c>
      <c r="K23" s="47">
        <f>+'사업장별(당월)'!K23+'[4]사업장별(누계)'!K23</f>
        <v>21.391500000000001</v>
      </c>
      <c r="L23" s="48">
        <f t="shared" si="1"/>
        <v>-8.6084999999999994</v>
      </c>
      <c r="M23" s="49">
        <f>+'사업장별(당월)'!M23+'[4]사업장별(누계)'!M23</f>
        <v>46.8065</v>
      </c>
      <c r="N23" s="50">
        <f t="shared" si="3"/>
        <v>-25.414999999999999</v>
      </c>
      <c r="O23" s="46">
        <f>+'사업장별(당월)'!O23+'[4]사업장별(누계)'!O23</f>
        <v>3802.2000000000007</v>
      </c>
      <c r="P23" s="47">
        <f>+'사업장별(당월)'!P23+'[4]사업장별(누계)'!P23</f>
        <v>2713.4730369999997</v>
      </c>
      <c r="Q23" s="48">
        <f t="shared" si="4"/>
        <v>-1088.726963000001</v>
      </c>
      <c r="R23" s="49">
        <f>+'사업장별(당월)'!R23+'[4]사업장별(누계)'!R23</f>
        <v>5561.8996459999998</v>
      </c>
      <c r="S23" s="50">
        <f t="shared" si="5"/>
        <v>-2848.4266090000001</v>
      </c>
      <c r="T23" s="46">
        <f>+'사업장별(당월)'!T23+'[4]사업장별(누계)'!T23</f>
        <v>518.00057850368762</v>
      </c>
      <c r="U23" s="47">
        <f>+'사업장별(당월)'!U23+'[4]사업장별(누계)'!U23</f>
        <v>293.30739899999998</v>
      </c>
      <c r="V23" s="48">
        <f t="shared" si="6"/>
        <v>-224.69317950368765</v>
      </c>
      <c r="W23" s="49">
        <f>+'사업장별(당월)'!W23+'[4]사업장별(누계)'!W23</f>
        <v>1223.3181380000001</v>
      </c>
      <c r="X23" s="50">
        <f t="shared" si="7"/>
        <v>-930.01073900000006</v>
      </c>
      <c r="Y23" s="46">
        <f>+[11]제주!$Q$85</f>
        <v>126740</v>
      </c>
      <c r="Z23" s="47">
        <f>+[11]제주!$R$85</f>
        <v>126848.18909379894</v>
      </c>
      <c r="AA23" s="51">
        <f>+[12]제주!$Q$85</f>
        <v>118870.68725551642</v>
      </c>
      <c r="AB23" s="52">
        <f>+[11]제주!$Q$89</f>
        <v>90313.494040689067</v>
      </c>
      <c r="AC23" s="47">
        <f>+[11]제주!$R$89</f>
        <v>89031.394280923996</v>
      </c>
      <c r="AD23" s="53">
        <f>+[12]제주!$Q$89</f>
        <v>82153.285738983846</v>
      </c>
      <c r="AE23" s="52">
        <f t="shared" si="8"/>
        <v>36426.505959310933</v>
      </c>
      <c r="AF23" s="47">
        <f t="shared" si="8"/>
        <v>37816.794812874941</v>
      </c>
      <c r="AG23" s="53">
        <f t="shared" si="8"/>
        <v>36717.401516532569</v>
      </c>
      <c r="AH23" s="18"/>
      <c r="AI23" s="19">
        <v>2.2811332500000003</v>
      </c>
      <c r="AJ23" s="97"/>
    </row>
    <row r="24" spans="2:38" s="8" customFormat="1" ht="19.5" customHeight="1">
      <c r="F24" s="9">
        <f t="shared" si="2"/>
        <v>0.76752748398140191</v>
      </c>
      <c r="G24" s="9">
        <f t="shared" ref="G24:G26" si="9">+K24/J24</f>
        <v>0.98148893939393933</v>
      </c>
      <c r="H24" s="80"/>
      <c r="I24" s="84" t="s">
        <v>55</v>
      </c>
      <c r="J24" s="23">
        <f>SUM(J7:J10)</f>
        <v>660</v>
      </c>
      <c r="K24" s="20">
        <f>SUM(K7:K10)</f>
        <v>647.78269999999998</v>
      </c>
      <c r="L24" s="21">
        <f t="shared" si="1"/>
        <v>-12.217300000000023</v>
      </c>
      <c r="M24" s="25">
        <f>SUM(M7:M10)</f>
        <v>768.99150000000009</v>
      </c>
      <c r="N24" s="22">
        <f t="shared" si="3"/>
        <v>-121.20880000000011</v>
      </c>
      <c r="O24" s="23">
        <f>SUM(O7:O10)</f>
        <v>65423.522316841867</v>
      </c>
      <c r="P24" s="20">
        <f>SUM(P7:P10)</f>
        <v>64363.361470000003</v>
      </c>
      <c r="Q24" s="21">
        <f t="shared" si="4"/>
        <v>-1060.1608468418635</v>
      </c>
      <c r="R24" s="25">
        <f>SUM(R7:R10)</f>
        <v>70747.973983000003</v>
      </c>
      <c r="S24" s="22">
        <f t="shared" si="5"/>
        <v>-6384.612513</v>
      </c>
      <c r="T24" s="23">
        <f>SUM(T7:T10)</f>
        <v>7733.4423312244899</v>
      </c>
      <c r="U24" s="20">
        <f>SUM(U7:U10)</f>
        <v>5935.629535</v>
      </c>
      <c r="V24" s="21">
        <f t="shared" si="6"/>
        <v>-1797.8127962244898</v>
      </c>
      <c r="W24" s="25">
        <f>SUM(W7:W10)</f>
        <v>8997.4043159900011</v>
      </c>
      <c r="X24" s="22">
        <f t="shared" si="7"/>
        <v>-3061.7747809900011</v>
      </c>
      <c r="Y24" s="23">
        <f>+[11]수도권!$Q$85</f>
        <v>99126.548964911912</v>
      </c>
      <c r="Z24" s="20">
        <f>+[11]수도권!$R$85</f>
        <v>99368.533022112199</v>
      </c>
      <c r="AA24" s="24">
        <f>+[12]수도권!$Q$85</f>
        <v>91994.236965185934</v>
      </c>
      <c r="AB24" s="29">
        <f>+[11]수도권!$Q$89</f>
        <v>78226.094812913812</v>
      </c>
      <c r="AC24" s="20">
        <f>+[11]수도권!$R$89</f>
        <v>81006.471969992737</v>
      </c>
      <c r="AD24" s="30">
        <f>+[12]수도권!$Q$89</f>
        <v>72640.458794236343</v>
      </c>
      <c r="AE24" s="29">
        <f t="shared" si="8"/>
        <v>20900.454151998099</v>
      </c>
      <c r="AF24" s="20">
        <f t="shared" si="8"/>
        <v>18362.061052119461</v>
      </c>
      <c r="AG24" s="30">
        <f t="shared" si="8"/>
        <v>19353.77817094959</v>
      </c>
      <c r="AH24" s="18"/>
      <c r="AI24" s="19">
        <v>50.692078900000006</v>
      </c>
      <c r="AJ24" s="97"/>
    </row>
    <row r="25" spans="2:38" s="8" customFormat="1" ht="19.5" customHeight="1">
      <c r="F25" s="9">
        <f t="shared" si="2"/>
        <v>0.93057217354004551</v>
      </c>
      <c r="G25" s="9">
        <f t="shared" si="9"/>
        <v>1.114629120879121</v>
      </c>
      <c r="H25" s="80"/>
      <c r="I25" s="84" t="s">
        <v>56</v>
      </c>
      <c r="J25" s="23">
        <f>SUM(J11:J18)</f>
        <v>728</v>
      </c>
      <c r="K25" s="20">
        <f>SUM(K11:K18)</f>
        <v>811.45</v>
      </c>
      <c r="L25" s="21">
        <f t="shared" si="1"/>
        <v>83.450000000000045</v>
      </c>
      <c r="M25" s="25">
        <f>SUM(M11:M18)</f>
        <v>876.48249999999985</v>
      </c>
      <c r="N25" s="22">
        <f t="shared" si="3"/>
        <v>-65.0324999999998</v>
      </c>
      <c r="O25" s="23">
        <f>SUM(O11:O18)</f>
        <v>74246.522312249988</v>
      </c>
      <c r="P25" s="20">
        <f>SUM(P11:P18)</f>
        <v>82269.495340999987</v>
      </c>
      <c r="Q25" s="21">
        <f t="shared" si="4"/>
        <v>8022.9730287499988</v>
      </c>
      <c r="R25" s="25">
        <f>SUM(R11:R18)</f>
        <v>85024.708412000007</v>
      </c>
      <c r="S25" s="22">
        <f t="shared" si="5"/>
        <v>-2755.2130710000201</v>
      </c>
      <c r="T25" s="23">
        <f>SUM(T11:T18)</f>
        <v>10352.510651969787</v>
      </c>
      <c r="U25" s="20">
        <f>SUM(U11:U18)</f>
        <v>9633.7583389999982</v>
      </c>
      <c r="V25" s="21">
        <f t="shared" si="6"/>
        <v>-718.75231296978927</v>
      </c>
      <c r="W25" s="25">
        <f>SUM(W11:W18)</f>
        <v>14660.427927999999</v>
      </c>
      <c r="X25" s="22">
        <f t="shared" si="7"/>
        <v>-5026.669589000001</v>
      </c>
      <c r="Y25" s="23">
        <f>+[11]영남권!$Q$85</f>
        <v>101986.98119814559</v>
      </c>
      <c r="Z25" s="20">
        <f>+[11]영남권!$R$85</f>
        <v>101399.65663950722</v>
      </c>
      <c r="AA25" s="24">
        <f>+[12]영남권!$Q$85</f>
        <v>97010.653071036184</v>
      </c>
      <c r="AB25" s="29">
        <f>+[11]영남권!$Q$89</f>
        <v>75454.526787511684</v>
      </c>
      <c r="AC25" s="20">
        <f>+[11]영남권!$R$89</f>
        <v>78722.808314329624</v>
      </c>
      <c r="AD25" s="30">
        <f>+[12]영남권!$Q$89</f>
        <v>70705.276903004269</v>
      </c>
      <c r="AE25" s="29">
        <f t="shared" si="8"/>
        <v>26532.454410633902</v>
      </c>
      <c r="AF25" s="20">
        <f t="shared" si="8"/>
        <v>22676.848325177591</v>
      </c>
      <c r="AG25" s="30">
        <f t="shared" si="8"/>
        <v>26305.376168031915</v>
      </c>
      <c r="AH25" s="18"/>
      <c r="AI25" s="19">
        <v>81.156887019999971</v>
      </c>
      <c r="AJ25" s="97"/>
    </row>
    <row r="26" spans="2:38" s="8" customFormat="1" ht="19.5" customHeight="1">
      <c r="F26" s="9">
        <f t="shared" si="2"/>
        <v>1.0787988295023481</v>
      </c>
      <c r="G26" s="9">
        <f t="shared" si="9"/>
        <v>1.0850884353741495</v>
      </c>
      <c r="H26" s="80"/>
      <c r="I26" s="84" t="s">
        <v>170</v>
      </c>
      <c r="J26" s="23">
        <f>SUM(J19:J23)</f>
        <v>294</v>
      </c>
      <c r="K26" s="20">
        <f>SUM(K19:K23)</f>
        <v>319.01599999999996</v>
      </c>
      <c r="L26" s="21">
        <f t="shared" si="1"/>
        <v>25.015999999999963</v>
      </c>
      <c r="M26" s="25">
        <f>SUM(M19:M23)</f>
        <v>348.65700000000004</v>
      </c>
      <c r="N26" s="22">
        <f t="shared" si="3"/>
        <v>-29.641000000000076</v>
      </c>
      <c r="O26" s="23">
        <f>SUM(O19:O23)</f>
        <v>31110.600750000001</v>
      </c>
      <c r="P26" s="20">
        <f>SUM(P19:P23)</f>
        <v>33606.004761999997</v>
      </c>
      <c r="Q26" s="21">
        <f t="shared" si="4"/>
        <v>2495.4040119999954</v>
      </c>
      <c r="R26" s="25">
        <f>SUM(R19:R23)</f>
        <v>34492.303429</v>
      </c>
      <c r="S26" s="22">
        <f t="shared" si="5"/>
        <v>-886.29866700000275</v>
      </c>
      <c r="T26" s="23">
        <f>SUM(T19:T23)</f>
        <v>4961.5128202068108</v>
      </c>
      <c r="U26" s="20">
        <f>SUM(U19:U23)</f>
        <v>5352.4742230000011</v>
      </c>
      <c r="V26" s="21">
        <f t="shared" si="6"/>
        <v>390.96140279319025</v>
      </c>
      <c r="W26" s="25">
        <f>SUM(W19:W23)</f>
        <v>6511.3050690000018</v>
      </c>
      <c r="X26" s="22">
        <f t="shared" si="7"/>
        <v>-1158.8308460000007</v>
      </c>
      <c r="Y26" s="23">
        <f>+[11]중부권!$Q$85</f>
        <v>105818.36989795919</v>
      </c>
      <c r="Z26" s="20">
        <f>+[11]중부권!$R$85</f>
        <v>105326.67623776084</v>
      </c>
      <c r="AA26" s="24">
        <f>+[12]중부권!$Q$85</f>
        <v>99083.979493525563</v>
      </c>
      <c r="AB26" s="29">
        <f>+[11]중부권!$Q$89</f>
        <v>76078.69459659906</v>
      </c>
      <c r="AC26" s="20">
        <f>+[11]중부권!$R$89</f>
        <v>76149.192112897523</v>
      </c>
      <c r="AD26" s="30">
        <f>+[12]중부권!$Q$89</f>
        <v>69366.928609013878</v>
      </c>
      <c r="AE26" s="29">
        <f t="shared" si="8"/>
        <v>29739.675301360126</v>
      </c>
      <c r="AF26" s="20">
        <f t="shared" si="8"/>
        <v>29177.484124863317</v>
      </c>
      <c r="AG26" s="30">
        <f t="shared" si="8"/>
        <v>29717.050884511686</v>
      </c>
      <c r="AH26" s="18"/>
      <c r="AI26" s="19">
        <v>42.265192570000011</v>
      </c>
      <c r="AJ26" s="97"/>
    </row>
    <row r="27" spans="2:38" s="3" customFormat="1" ht="19.5" customHeight="1">
      <c r="B27" s="26"/>
      <c r="F27" s="9">
        <f t="shared" si="2"/>
        <v>0.90777277968290038</v>
      </c>
      <c r="G27" s="9">
        <f>+K27/J27</f>
        <v>1.0572227705112962</v>
      </c>
      <c r="H27" s="630" t="s">
        <v>115</v>
      </c>
      <c r="I27" s="631"/>
      <c r="J27" s="632">
        <f>SUM(J24:J26)</f>
        <v>1682</v>
      </c>
      <c r="K27" s="633">
        <f>SUM(K24:K26)</f>
        <v>1778.2487000000001</v>
      </c>
      <c r="L27" s="634">
        <f t="shared" si="1"/>
        <v>96.248700000000099</v>
      </c>
      <c r="M27" s="635">
        <f>SUM(M24:M26)</f>
        <v>1994.1309999999999</v>
      </c>
      <c r="N27" s="636">
        <f t="shared" si="3"/>
        <v>-215.88229999999976</v>
      </c>
      <c r="O27" s="632">
        <f>SUM(O24:O26)</f>
        <v>170780.64537909187</v>
      </c>
      <c r="P27" s="633">
        <f>SUM(P24:P26)</f>
        <v>180238.86157299997</v>
      </c>
      <c r="Q27" s="634">
        <f t="shared" si="4"/>
        <v>9458.2161939080979</v>
      </c>
      <c r="R27" s="635">
        <f>SUM(R24:R26)</f>
        <v>190264.985824</v>
      </c>
      <c r="S27" s="636">
        <f t="shared" si="5"/>
        <v>-10026.12425100003</v>
      </c>
      <c r="T27" s="632">
        <f>SUM(T24:T26)</f>
        <v>23047.46580340109</v>
      </c>
      <c r="U27" s="633">
        <f>SUM(U24:U26)</f>
        <v>20921.862096999997</v>
      </c>
      <c r="V27" s="634">
        <f t="shared" si="6"/>
        <v>-2125.6037064010925</v>
      </c>
      <c r="W27" s="635">
        <f>SUM(W24:W26)</f>
        <v>30169.137312990002</v>
      </c>
      <c r="X27" s="636">
        <f t="shared" si="7"/>
        <v>-9247.2752159900047</v>
      </c>
      <c r="Y27" s="632">
        <f>+[11]합계!$Q$85</f>
        <v>101534.27192573833</v>
      </c>
      <c r="Z27" s="633">
        <f>+[11]합계!$R$85</f>
        <v>101364.59567528202</v>
      </c>
      <c r="AA27" s="637">
        <f>+[12]합계!$Q$85</f>
        <v>95428.069148926719</v>
      </c>
      <c r="AB27" s="638">
        <f>+[11]합계!$Q$89</f>
        <v>76651.161884204368</v>
      </c>
      <c r="AC27" s="633">
        <f>+[11]합계!$R$89</f>
        <v>79091.934153693743</v>
      </c>
      <c r="AD27" s="639">
        <f>+[12]합계!$Q$89</f>
        <v>71223.298120681007</v>
      </c>
      <c r="AE27" s="638">
        <f t="shared" si="8"/>
        <v>24883.110041533961</v>
      </c>
      <c r="AF27" s="633">
        <f t="shared" si="8"/>
        <v>22272.661521588278</v>
      </c>
      <c r="AG27" s="639">
        <f t="shared" si="8"/>
        <v>24204.771028245712</v>
      </c>
      <c r="AH27" s="27"/>
      <c r="AI27" s="19">
        <v>174.11415848999997</v>
      </c>
      <c r="AJ27" s="97"/>
      <c r="AL27" s="26"/>
    </row>
    <row r="28" spans="2:38" s="8" customFormat="1" ht="19.5" customHeight="1">
      <c r="B28" s="8" t="s">
        <v>3</v>
      </c>
      <c r="E28" s="8" t="s">
        <v>202</v>
      </c>
      <c r="G28" s="9">
        <f>+K28/J28</f>
        <v>1.1557703846153846</v>
      </c>
      <c r="H28" s="826" t="s">
        <v>3</v>
      </c>
      <c r="I28" s="827"/>
      <c r="J28" s="168">
        <f>+'사업장별(당월)'!J28+'[4]사업장별(누계)'!J28</f>
        <v>41600</v>
      </c>
      <c r="K28" s="169">
        <f>+'사업장별(당월)'!K28+'[4]사업장별(누계)'!K28</f>
        <v>48080.048000000003</v>
      </c>
      <c r="L28" s="170">
        <f>+K28-J28</f>
        <v>6480.0480000000025</v>
      </c>
      <c r="M28" s="171">
        <f>+'사업장별(당월)'!M28+'[4]사업장별(누계)'!M28</f>
        <v>48940.798000000003</v>
      </c>
      <c r="N28" s="172">
        <f>+K28-M28</f>
        <v>-860.75</v>
      </c>
      <c r="O28" s="168">
        <f>+'사업장별(당월)'!O28+'[4]사업장별(누계)'!O28</f>
        <v>50866.286315789483</v>
      </c>
      <c r="P28" s="169">
        <f>+'사업장별(당월)'!P28+'[4]사업장별(누계)'!P28</f>
        <v>49403.738082999997</v>
      </c>
      <c r="Q28" s="170">
        <f>+P28-O28</f>
        <v>-1462.5482327894861</v>
      </c>
      <c r="R28" s="171">
        <f>+'사업장별(당월)'!R28+'[4]사업장별(누계)'!R28</f>
        <v>59347.902576</v>
      </c>
      <c r="S28" s="172">
        <f t="shared" si="5"/>
        <v>-9944.1644930000039</v>
      </c>
      <c r="T28" s="168">
        <f>+'사업장별(당월)'!T28+'[4]사업장별(누계)'!T28</f>
        <v>546.71992806316621</v>
      </c>
      <c r="U28" s="169">
        <f>+'사업장별(당월)'!U28+'[4]사업장별(누계)'!U28</f>
        <v>415.12243500000136</v>
      </c>
      <c r="V28" s="170">
        <f t="shared" si="6"/>
        <v>-131.59749306316485</v>
      </c>
      <c r="W28" s="171">
        <f>+'사업장별(당월)'!W28+'[4]사업장별(누계)'!W28</f>
        <v>493.89410700000218</v>
      </c>
      <c r="X28" s="172">
        <f t="shared" si="7"/>
        <v>-78.771672000000819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194</v>
      </c>
      <c r="C29" s="79" t="s">
        <v>61</v>
      </c>
      <c r="G29" s="9">
        <f>+P28/O28</f>
        <v>0.97124719851357633</v>
      </c>
      <c r="H29" s="86" t="s">
        <v>1</v>
      </c>
      <c r="I29" s="79" t="s">
        <v>245</v>
      </c>
      <c r="J29" s="56">
        <f>+'사업장별(당월)'!J29+'[4]사업장별(누계)'!J29</f>
        <v>130.31244781683998</v>
      </c>
      <c r="K29" s="57">
        <f>+'사업장별(당월)'!K29+'[4]사업장별(누계)'!K29</f>
        <v>131.08799999999999</v>
      </c>
      <c r="L29" s="38">
        <f t="shared" si="1"/>
        <v>0.77555218316001628</v>
      </c>
      <c r="M29" s="38">
        <f>+'사업장별(당월)'!M29+'[4]사업장별(누계)'!M29</f>
        <v>154.82299999999998</v>
      </c>
      <c r="N29" s="58">
        <f t="shared" si="3"/>
        <v>-23.734999999999985</v>
      </c>
      <c r="O29" s="56">
        <f>+'사업장별(당월)'!O29+'[4]사업장별(누계)'!O29</f>
        <v>3895.6724506610435</v>
      </c>
      <c r="P29" s="57">
        <f>+'사업장별(당월)'!P29+'[4]사업장별(누계)'!P29</f>
        <v>3921.28008</v>
      </c>
      <c r="Q29" s="38">
        <f t="shared" si="4"/>
        <v>25.607629338956485</v>
      </c>
      <c r="R29" s="38">
        <f>+'사업장별(당월)'!R29+'[4]사업장별(누계)'!R29</f>
        <v>4585.1399000000001</v>
      </c>
      <c r="S29" s="58">
        <f t="shared" si="5"/>
        <v>-663.85982000000013</v>
      </c>
      <c r="T29" s="56">
        <f>+'사업장별(당월)'!T29+'[4]사업장별(누계)'!T29</f>
        <v>154.66300094735612</v>
      </c>
      <c r="U29" s="57">
        <f>+'사업장별(당월)'!U29+'[4]사업장별(누계)'!U29</f>
        <v>183.33354121302619</v>
      </c>
      <c r="V29" s="38">
        <f t="shared" si="6"/>
        <v>28.67054026567007</v>
      </c>
      <c r="W29" s="38">
        <f>+'사업장별(당월)'!W29+'[4]사업장별(누계)'!W29</f>
        <v>224.29726701999988</v>
      </c>
      <c r="X29" s="58">
        <f t="shared" si="7"/>
        <v>-40.963725806973684</v>
      </c>
      <c r="Y29" s="629" t="s">
        <v>239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785">
        <f>+T29/100</f>
        <v>1.5466300094735612</v>
      </c>
      <c r="AJ29" s="785">
        <f t="shared" ref="AJ29:AJ31" si="10">+U29/100</f>
        <v>1.8333354121302619</v>
      </c>
      <c r="AK29" s="785">
        <f t="shared" ref="AK29:AK31" si="11">+V29/100</f>
        <v>0.28670540265670069</v>
      </c>
    </row>
    <row r="30" spans="2:38" s="8" customFormat="1" ht="19.5" customHeight="1">
      <c r="B30" s="8" t="s">
        <v>195</v>
      </c>
      <c r="C30" s="81" t="s">
        <v>62</v>
      </c>
      <c r="H30" s="85"/>
      <c r="I30" s="81" t="s">
        <v>241</v>
      </c>
      <c r="J30" s="54">
        <f>+'사업장별(당월)'!J30+'[4]사업장별(누계)'!J30</f>
        <v>124.97330272000001</v>
      </c>
      <c r="K30" s="59">
        <f>+'사업장별(당월)'!K30+'[4]사업장별(누계)'!K30</f>
        <v>151.232</v>
      </c>
      <c r="L30" s="48">
        <f t="shared" si="1"/>
        <v>26.258697279999993</v>
      </c>
      <c r="M30" s="48">
        <f>+'사업장별(당월)'!M30+'[4]사업장별(누계)'!M30</f>
        <v>218.83999999999997</v>
      </c>
      <c r="N30" s="60">
        <f t="shared" si="3"/>
        <v>-67.607999999999976</v>
      </c>
      <c r="O30" s="54">
        <f>+'사업장별(당월)'!O30+'[4]사업장별(누계)'!O30</f>
        <v>1621.6944741333334</v>
      </c>
      <c r="P30" s="59">
        <f>+'사업장별(당월)'!P30+'[4]사업장별(누계)'!P30</f>
        <v>2098.7440000000001</v>
      </c>
      <c r="Q30" s="48">
        <f t="shared" si="4"/>
        <v>477.04952586666673</v>
      </c>
      <c r="R30" s="48">
        <f>+'사업장별(당월)'!R30+'[4]사업장별(누계)'!R30</f>
        <v>2570.444</v>
      </c>
      <c r="S30" s="60">
        <f t="shared" si="5"/>
        <v>-471.69999999999982</v>
      </c>
      <c r="T30" s="54">
        <f>+'사업장별(당월)'!T30+'[4]사업장별(누계)'!T30</f>
        <v>289.82973806529128</v>
      </c>
      <c r="U30" s="59">
        <f>+'사업장별(당월)'!U30+'[4]사업장별(누계)'!U30</f>
        <v>269.85781962864752</v>
      </c>
      <c r="V30" s="48">
        <f t="shared" si="6"/>
        <v>-19.971918436643762</v>
      </c>
      <c r="W30" s="48">
        <f>+'사업장별(당월)'!W30+'[4]사업장별(누계)'!W30</f>
        <v>509.11536000000012</v>
      </c>
      <c r="X30" s="60">
        <f t="shared" si="7"/>
        <v>-239.2575403713526</v>
      </c>
      <c r="Y30" s="629" t="s">
        <v>236</v>
      </c>
      <c r="Z30" s="588"/>
      <c r="AA30" s="588"/>
      <c r="AB30" s="588"/>
      <c r="AC30" s="588"/>
      <c r="AD30" s="588"/>
      <c r="AE30" s="588"/>
      <c r="AF30" s="588"/>
      <c r="AG30" s="51"/>
      <c r="AH30" s="18"/>
      <c r="AI30" s="785">
        <f t="shared" ref="AI30:AI31" si="12">+T30/100</f>
        <v>2.8982973806529126</v>
      </c>
      <c r="AJ30" s="785">
        <f t="shared" si="10"/>
        <v>2.698578196286475</v>
      </c>
      <c r="AK30" s="785">
        <f t="shared" si="11"/>
        <v>-0.19971918436643762</v>
      </c>
      <c r="AL30" s="99"/>
    </row>
    <row r="31" spans="2:38" s="8" customFormat="1" ht="19.5" customHeight="1">
      <c r="B31" s="8" t="s">
        <v>176</v>
      </c>
      <c r="C31" s="83" t="s">
        <v>176</v>
      </c>
      <c r="H31" s="85"/>
      <c r="I31" s="83" t="s">
        <v>243</v>
      </c>
      <c r="J31" s="54">
        <f>+'사업장별(당월)'!J31+'[4]사업장별(누계)'!J31</f>
        <v>244.38622335353671</v>
      </c>
      <c r="K31" s="59">
        <f>+'사업장별(당월)'!K31+'[4]사업장별(누계)'!K31</f>
        <v>214.37900000000002</v>
      </c>
      <c r="L31" s="48">
        <f t="shared" si="1"/>
        <v>-30.007223353536688</v>
      </c>
      <c r="M31" s="48">
        <f>+'사업장별(당월)'!M31+'[4]사업장별(누계)'!M31</f>
        <v>3.8</v>
      </c>
      <c r="N31" s="60">
        <f t="shared" si="3"/>
        <v>210.57900000000001</v>
      </c>
      <c r="O31" s="54">
        <f>+'사업장별(당월)'!O31+'[4]사업장별(누계)'!O31</f>
        <v>4379.5962326463214</v>
      </c>
      <c r="P31" s="59">
        <f>+'사업장별(당월)'!P31+'[4]사업장별(누계)'!P31</f>
        <v>3961.1824999999999</v>
      </c>
      <c r="Q31" s="48">
        <f t="shared" si="4"/>
        <v>-418.41373264632148</v>
      </c>
      <c r="R31" s="48">
        <f>+'사업장별(당월)'!R31+'[4]사업장별(누계)'!R31</f>
        <v>67.48</v>
      </c>
      <c r="S31" s="60">
        <f t="shared" si="5"/>
        <v>3893.7024999999999</v>
      </c>
      <c r="T31" s="54">
        <f>+'사업장별(당월)'!T31+'[4]사업장별(누계)'!T31</f>
        <v>97.924023896172997</v>
      </c>
      <c r="U31" s="59">
        <f>+'사업장별(당월)'!U31+'[4]사업장별(누계)'!U31</f>
        <v>267.32689220000015</v>
      </c>
      <c r="V31" s="48">
        <f t="shared" si="6"/>
        <v>169.40286830382715</v>
      </c>
      <c r="W31" s="48">
        <f>+'사업장별(당월)'!W31+'[4]사업장별(누계)'!W31</f>
        <v>-197.58134200000001</v>
      </c>
      <c r="X31" s="60">
        <f t="shared" si="7"/>
        <v>464.90823420000015</v>
      </c>
      <c r="Y31" s="587" t="s">
        <v>238</v>
      </c>
      <c r="Z31" s="588"/>
      <c r="AA31" s="588"/>
      <c r="AB31" s="588"/>
      <c r="AC31" s="588"/>
      <c r="AD31" s="588"/>
      <c r="AE31" s="588"/>
      <c r="AF31" s="588"/>
      <c r="AG31" s="51"/>
      <c r="AH31" s="18"/>
      <c r="AI31" s="785">
        <f t="shared" si="12"/>
        <v>0.97924023896172996</v>
      </c>
      <c r="AJ31" s="785">
        <f t="shared" si="10"/>
        <v>2.6732689220000014</v>
      </c>
      <c r="AK31" s="785">
        <f t="shared" si="11"/>
        <v>1.6940286830382716</v>
      </c>
      <c r="AL31" s="99"/>
    </row>
    <row r="32" spans="2:38" s="3" customFormat="1" ht="19.5" customHeight="1">
      <c r="G32" s="9">
        <f>+K32/J32</f>
        <v>0.99405014880616671</v>
      </c>
      <c r="H32" s="147" t="s">
        <v>42</v>
      </c>
      <c r="I32" s="148"/>
      <c r="J32" s="149">
        <f>SUM(J29:J31)</f>
        <v>499.67197389037671</v>
      </c>
      <c r="K32" s="153">
        <f>SUM(K29:K31)</f>
        <v>496.69900000000001</v>
      </c>
      <c r="L32" s="151">
        <f t="shared" si="1"/>
        <v>-2.9729738903766929</v>
      </c>
      <c r="M32" s="151">
        <f>SUM(M29:M31)</f>
        <v>377.46299999999997</v>
      </c>
      <c r="N32" s="152">
        <f t="shared" si="3"/>
        <v>119.23600000000005</v>
      </c>
      <c r="O32" s="149">
        <f>SUM(O29:O31)</f>
        <v>9896.9631574406994</v>
      </c>
      <c r="P32" s="153">
        <f>SUM(P29:P31)</f>
        <v>9981.20658</v>
      </c>
      <c r="Q32" s="151">
        <f t="shared" si="4"/>
        <v>84.243422559300598</v>
      </c>
      <c r="R32" s="151">
        <f>SUM(R29:R31)</f>
        <v>7223.0638999999992</v>
      </c>
      <c r="S32" s="152">
        <f t="shared" si="5"/>
        <v>2758.1426800000008</v>
      </c>
      <c r="T32" s="149">
        <f>SUM(T29:T31)</f>
        <v>542.41676290882037</v>
      </c>
      <c r="U32" s="153">
        <f>SUM(U29:U31)</f>
        <v>720.51825304167392</v>
      </c>
      <c r="V32" s="151">
        <f t="shared" si="6"/>
        <v>178.10149013285354</v>
      </c>
      <c r="W32" s="151">
        <f>SUM(W29:W31)</f>
        <v>535.83128502</v>
      </c>
      <c r="X32" s="152">
        <f t="shared" si="7"/>
        <v>184.68696802167392</v>
      </c>
      <c r="Y32" s="587" t="s">
        <v>237</v>
      </c>
      <c r="Z32" s="588"/>
      <c r="AA32" s="588"/>
      <c r="AB32" s="588"/>
      <c r="AC32" s="588"/>
      <c r="AD32" s="588"/>
      <c r="AE32" s="588"/>
      <c r="AF32" s="588"/>
      <c r="AG32" s="51"/>
      <c r="AH32" s="27"/>
      <c r="AI32" s="786">
        <f>SUM(AI29:AI31)</f>
        <v>5.4241676290882044</v>
      </c>
      <c r="AJ32" s="786">
        <f t="shared" ref="AJ32:AK32" si="13">SUM(AJ29:AJ31)</f>
        <v>7.2051825304167387</v>
      </c>
      <c r="AK32" s="786">
        <f t="shared" si="13"/>
        <v>1.7810149013285346</v>
      </c>
    </row>
    <row r="33" spans="2:39" s="8" customFormat="1" ht="19.5" customHeight="1">
      <c r="B33" s="8" t="s">
        <v>198</v>
      </c>
      <c r="C33" s="8" t="s">
        <v>197</v>
      </c>
      <c r="D33" t="s">
        <v>196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545.04000000000008</v>
      </c>
      <c r="P33" s="47">
        <f>+'사업장별(당월)'!P33+'[4]사업장별(누계)'!P33</f>
        <v>545.04000000000008</v>
      </c>
      <c r="Q33" s="49">
        <f t="shared" si="4"/>
        <v>0</v>
      </c>
      <c r="R33" s="48">
        <f>+'사업장별(당월)'!R33+'[4]사업장별(누계)'!R33</f>
        <v>476.29000000000008</v>
      </c>
      <c r="S33" s="60">
        <f t="shared" si="5"/>
        <v>68.75</v>
      </c>
      <c r="T33" s="46">
        <f>+'사업장별(당월)'!T33+'[4]사업장별(누계)'!T33</f>
        <v>378.101652</v>
      </c>
      <c r="U33" s="47">
        <f>+'사업장별(당월)'!U33+'[4]사업장별(누계)'!U33</f>
        <v>336.29001199999999</v>
      </c>
      <c r="V33" s="49">
        <f t="shared" si="6"/>
        <v>-41.811640000000011</v>
      </c>
      <c r="W33" s="48">
        <f>+'사업장별(당월)'!W33+'[4]사업장별(누계)'!W33</f>
        <v>303.24134199999997</v>
      </c>
      <c r="X33" s="60">
        <f t="shared" si="7"/>
        <v>33.048670000000016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9" s="8" customFormat="1" ht="19.5" customHeight="1">
      <c r="B34" s="8" t="s">
        <v>199</v>
      </c>
      <c r="C34" s="8" t="s">
        <v>200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4">+K34-M34</f>
        <v>0</v>
      </c>
      <c r="O34" s="46">
        <f>+'사업장별(당월)'!O34+'[4]사업장별(누계)'!O34</f>
        <v>433.78500200000002</v>
      </c>
      <c r="P34" s="47">
        <f>+'사업장별(당월)'!P34+'[4]사업장별(누계)'!P34</f>
        <v>436.50238000000002</v>
      </c>
      <c r="Q34" s="49">
        <f>+P34-O34</f>
        <v>2.7173779999999965</v>
      </c>
      <c r="R34" s="48">
        <f>+'사업장별(당월)'!R34+'[4]사업장별(누계)'!R34</f>
        <v>567.93109100000004</v>
      </c>
      <c r="S34" s="60">
        <f t="shared" si="5"/>
        <v>-131.42871100000002</v>
      </c>
      <c r="T34" s="46">
        <f>+'사업장별(당월)'!T34+'[4]사업장별(누계)'!T34</f>
        <v>397.42866499999997</v>
      </c>
      <c r="U34" s="47">
        <f>+'사업장별(당월)'!U34+'[4]사업장별(누계)'!U34</f>
        <v>401.04650800000002</v>
      </c>
      <c r="V34" s="49">
        <f t="shared" si="6"/>
        <v>3.6178430000000503</v>
      </c>
      <c r="W34" s="48">
        <f>+'사업장별(당월)'!W34+'[4]사업장별(누계)'!W34</f>
        <v>373.06082600000002</v>
      </c>
      <c r="X34" s="60">
        <f t="shared" si="7"/>
        <v>27.985681999999997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  <c r="AM34" s="8">
        <v>16</v>
      </c>
    </row>
    <row r="35" spans="2:39" s="8" customFormat="1" ht="19.5" customHeight="1">
      <c r="B35" s="8" t="s">
        <v>201</v>
      </c>
      <c r="D35"/>
      <c r="E35"/>
      <c r="F35"/>
      <c r="G35" t="s">
        <v>246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4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5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-8992.3453405481232</v>
      </c>
      <c r="U35" s="47">
        <f>+'사업장별(당월)'!U35+'[4]사업장별(누계)'!U35</f>
        <v>-9052.3438580476759</v>
      </c>
      <c r="V35" s="49">
        <f t="shared" si="6"/>
        <v>-59.99851749955269</v>
      </c>
      <c r="W35" s="48">
        <f>+'사업장별(당월)'!W35+'[4]사업장별(누계)'!W35</f>
        <v>-6984.9840919999997</v>
      </c>
      <c r="X35" s="60">
        <f t="shared" si="7"/>
        <v>-2067.3597660476762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K35" s="597"/>
      <c r="AL35" s="99"/>
      <c r="AM35" s="8">
        <v>1</v>
      </c>
    </row>
    <row r="36" spans="2:39" s="8" customFormat="1" ht="19.5" customHeight="1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14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5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0</v>
      </c>
      <c r="V36" s="49">
        <f t="shared" si="6"/>
        <v>-1329.7</v>
      </c>
      <c r="W36" s="48">
        <f>+'사업장별(당월)'!W36+'[4]사업장별(누계)'!W36</f>
        <v>0</v>
      </c>
      <c r="X36" s="60">
        <f t="shared" si="7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  <c r="AM36" s="8">
        <f>SUM(AM34:AM35)</f>
        <v>17</v>
      </c>
    </row>
    <row r="37" spans="2:39" s="8" customFormat="1" ht="19.5" customHeight="1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14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5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-975.50771499999996</v>
      </c>
      <c r="V37" s="49">
        <f t="shared" si="6"/>
        <v>-975.50771499999996</v>
      </c>
      <c r="W37" s="48">
        <f>+'사업장별(당월)'!W37+'[4]사업장별(누계)'!W37</f>
        <v>-1247.069137</v>
      </c>
      <c r="X37" s="60">
        <f t="shared" si="7"/>
        <v>271.56142199999999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9" s="8" customFormat="1" ht="19.5" customHeight="1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14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5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-196.74349766675783</v>
      </c>
      <c r="U38" s="47">
        <f>+'사업장별(당월)'!U38+'[4]사업장별(누계)'!U38</f>
        <v>-260.987571</v>
      </c>
      <c r="V38" s="49">
        <f t="shared" si="6"/>
        <v>-64.24407333324217</v>
      </c>
      <c r="W38" s="48">
        <f>+'사업장별(당월)'!W38+'[4]사업장별(누계)'!W38</f>
        <v>-55.277708000000004</v>
      </c>
      <c r="X38" s="60">
        <f>+U38-W38</f>
        <v>-205.70986299999998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9" s="8" customFormat="1" ht="19.5" customHeight="1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4"/>
        <v>0</v>
      </c>
      <c r="O39" s="46">
        <f>+'사업장별(당월)'!O39+'[4]사업장별(누계)'!O39</f>
        <v>10.62</v>
      </c>
      <c r="P39" s="47">
        <f>+'사업장별(당월)'!P39+'[4]사업장별(누계)'!P39</f>
        <v>10.217599999994041</v>
      </c>
      <c r="Q39" s="55">
        <f t="shared" si="15"/>
        <v>-0.40240000000595799</v>
      </c>
      <c r="R39" s="61">
        <f>+'사업장별(당월)'!R39+'[4]사업장별(누계)'!R39</f>
        <v>-23.580199999995532</v>
      </c>
      <c r="S39" s="62">
        <f t="shared" si="5"/>
        <v>33.797799999989572</v>
      </c>
      <c r="T39" s="46">
        <f>+'사업장별(당월)'!T39+'[4]사업장별(누계)'!T39</f>
        <v>-326.71229000000375</v>
      </c>
      <c r="U39" s="47">
        <f>+'사업장별(당월)'!U39+'[4]사업장별(누계)'!U39</f>
        <v>-159.66431700001775</v>
      </c>
      <c r="V39" s="49">
        <f t="shared" si="6"/>
        <v>167.047972999986</v>
      </c>
      <c r="W39" s="61">
        <f>+'사업장별(당월)'!W39+'[4]사업장별(누계)'!W39</f>
        <v>-160.73732199999785</v>
      </c>
      <c r="X39" s="60">
        <f t="shared" si="7"/>
        <v>1.0730049999800997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>
        <v>118774940</v>
      </c>
      <c r="AJ39" s="8">
        <v>-63907430</v>
      </c>
    </row>
    <row r="40" spans="2:39" s="8" customFormat="1" ht="19.5" customHeight="1">
      <c r="H40" s="87"/>
      <c r="I40" s="88"/>
      <c r="J40" s="46"/>
      <c r="K40" s="47"/>
      <c r="L40" s="55"/>
      <c r="M40" s="61"/>
      <c r="N40" s="62">
        <f t="shared" si="14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5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9"/>
      <c r="Z40" s="588"/>
      <c r="AA40" s="588"/>
      <c r="AB40" s="588"/>
      <c r="AC40" s="588"/>
      <c r="AD40" s="588"/>
      <c r="AE40" s="588"/>
      <c r="AF40" s="588"/>
      <c r="AG40" s="51"/>
      <c r="AH40" s="31"/>
      <c r="AI40" s="8">
        <v>173503008</v>
      </c>
      <c r="AJ40" s="8">
        <v>-310726527</v>
      </c>
    </row>
    <row r="41" spans="2:39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14"/>
        <v>0</v>
      </c>
      <c r="O41" s="149">
        <f>SUM(O33:O40)</f>
        <v>989.44500200000004</v>
      </c>
      <c r="P41" s="150">
        <f>SUM(P33:P40)</f>
        <v>991.75997999999413</v>
      </c>
      <c r="Q41" s="154">
        <f t="shared" si="4"/>
        <v>2.3149779999940847</v>
      </c>
      <c r="R41" s="155">
        <f>SUM(R33:R40)</f>
        <v>1209.2668910000045</v>
      </c>
      <c r="S41" s="156">
        <f>+P41-R41</f>
        <v>-217.5069110000104</v>
      </c>
      <c r="T41" s="149">
        <f>SUM(T33:T40)</f>
        <v>-7410.570811214885</v>
      </c>
      <c r="U41" s="150">
        <f>SUM(U33:U40)</f>
        <v>-9711.1669410476916</v>
      </c>
      <c r="V41" s="154">
        <f>+U41-T41</f>
        <v>-2300.5961298328066</v>
      </c>
      <c r="W41" s="155">
        <f>SUM(W33:W40)</f>
        <v>-7771.7660909999968</v>
      </c>
      <c r="X41" s="156">
        <f>+U41-W41</f>
        <v>-1939.4008500476948</v>
      </c>
      <c r="Y41" s="790"/>
      <c r="Z41" s="590"/>
      <c r="AA41" s="590"/>
      <c r="AB41" s="590"/>
      <c r="AC41" s="590"/>
      <c r="AD41" s="590"/>
      <c r="AE41" s="590"/>
      <c r="AF41" s="590"/>
      <c r="AG41" s="591"/>
      <c r="AH41" s="26"/>
      <c r="AI41" s="3">
        <v>786272300</v>
      </c>
    </row>
    <row r="42" spans="2:39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>
      <c r="G43" s="665">
        <f>+P43/O43</f>
        <v>1.0347572798237934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232533.33985432205</v>
      </c>
      <c r="P43" s="643">
        <f>+P27+P32+P28+P41</f>
        <v>240615.56621599998</v>
      </c>
      <c r="Q43" s="644">
        <f t="shared" si="4"/>
        <v>8082.2263616779237</v>
      </c>
      <c r="R43" s="645">
        <f>+R27+R32+R28+R41</f>
        <v>258045.21919100001</v>
      </c>
      <c r="S43" s="646">
        <f>+P43-R43</f>
        <v>-17429.652975000034</v>
      </c>
      <c r="T43" s="642">
        <f>+T27+T32+T28+T41</f>
        <v>16726.031683158188</v>
      </c>
      <c r="U43" s="643">
        <f>+U27+U32+U28+U41</f>
        <v>12346.335843993982</v>
      </c>
      <c r="V43" s="644">
        <f>+U43-T43</f>
        <v>-4379.6958391642056</v>
      </c>
      <c r="W43" s="645">
        <f>+W27+W32+W28+W41</f>
        <v>23427.09661401001</v>
      </c>
      <c r="X43" s="646">
        <f>+U43-W43</f>
        <v>-11080.760770016028</v>
      </c>
      <c r="Y43" s="828"/>
      <c r="Z43" s="829"/>
      <c r="AA43" s="829"/>
      <c r="AB43" s="829"/>
      <c r="AC43" s="829"/>
      <c r="AD43" s="829"/>
      <c r="AE43" s="829"/>
      <c r="AF43" s="829"/>
      <c r="AG43" s="830"/>
      <c r="AH43" s="26"/>
      <c r="AI43" s="788">
        <f>SUM(AI39:AI42)</f>
        <v>1173607738</v>
      </c>
      <c r="AJ43" s="3">
        <f>SUM(AJ39:AJ42)</f>
        <v>-374633957</v>
      </c>
      <c r="AK43" s="788">
        <f>SUM(AI43:AJ43)</f>
        <v>798973781</v>
      </c>
    </row>
    <row r="44" spans="2:39" s="34" customFormat="1">
      <c r="G44" s="662">
        <f>+U43/T43</f>
        <v>0.73815093011128163</v>
      </c>
      <c r="P44" s="662">
        <f>+P43/O43</f>
        <v>1.0347572798237934</v>
      </c>
      <c r="T44" s="791">
        <f>+T43/O43</f>
        <v>7.192960671203856E-2</v>
      </c>
      <c r="U44" s="791">
        <f>+U43/P43</f>
        <v>5.1311459346361277E-2</v>
      </c>
      <c r="AC44" s="35"/>
      <c r="AF44" s="35"/>
    </row>
    <row r="45" spans="2:39" s="34" customFormat="1" ht="17.25" thickBot="1">
      <c r="AC45" s="35"/>
      <c r="AF45" s="35"/>
    </row>
    <row r="46" spans="2:39" s="34" customFormat="1">
      <c r="I46" s="825" t="s">
        <v>101</v>
      </c>
      <c r="J46" s="139">
        <f>+'사업장별(당월)'!J46+'[4]사업장별(누계)'!J46</f>
        <v>1682</v>
      </c>
      <c r="K46" s="140">
        <f>+'사업장별(당월)'!K46+'[4]사업장별(누계)'!K46</f>
        <v>1778.2486999999999</v>
      </c>
      <c r="L46" s="140"/>
      <c r="M46" s="140">
        <f>+'사업장별(당월)'!M46+'[4]사업장별(누계)'!M46</f>
        <v>1994.1309999999999</v>
      </c>
      <c r="N46" s="140"/>
      <c r="O46" s="140">
        <f>+'사업장별(당월)'!O46+'[4]사업장별(누계)'!O46</f>
        <v>232533.33985432202</v>
      </c>
      <c r="P46" s="140">
        <f>+'사업장별(당월)'!P46+'[4]사업장별(누계)'!P46</f>
        <v>240615.56621599998</v>
      </c>
      <c r="Q46" s="140"/>
      <c r="R46" s="140">
        <f>+'사업장별(당월)'!R46+'[4]사업장별(누계)'!R46</f>
        <v>258045.21919100004</v>
      </c>
      <c r="S46" s="140"/>
      <c r="T46" s="145">
        <f>+'사업장별(당월)'!T46+'[4]사업장별(누계)'!T46</f>
        <v>16726.031683158177</v>
      </c>
      <c r="U46" s="140">
        <f>+'사업장별(당월)'!U46+'[4]사업장별(누계)'!U46</f>
        <v>12346.335843993977</v>
      </c>
      <c r="V46" s="140"/>
      <c r="W46" s="140">
        <f>+'사업장별(당월)'!W46+'[4]사업장별(누계)'!W46</f>
        <v>23427.096614010006</v>
      </c>
      <c r="X46" s="141"/>
      <c r="AC46" s="35"/>
      <c r="AF46" s="35"/>
    </row>
    <row r="47" spans="2:39" s="34" customFormat="1" ht="17.25" thickBot="1">
      <c r="I47" s="825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Z47" s="34" t="s">
        <v>233</v>
      </c>
      <c r="AC47" s="35"/>
      <c r="AF47" s="35"/>
      <c r="AG47" s="34" t="s">
        <v>102</v>
      </c>
    </row>
    <row r="48" spans="2:39">
      <c r="T48" s="659"/>
      <c r="U48" s="659"/>
      <c r="V48" s="659"/>
      <c r="Z48" t="s">
        <v>234</v>
      </c>
    </row>
    <row r="49" spans="10:33">
      <c r="T49" s="659"/>
      <c r="U49" s="659"/>
      <c r="V49" s="659"/>
      <c r="Z49" t="s">
        <v>235</v>
      </c>
    </row>
    <row r="50" spans="10:33">
      <c r="T50" s="599">
        <f>(+T27+T35)/100</f>
        <v>140.55120462852966</v>
      </c>
      <c r="U50" s="599">
        <f>(+U27+U35)/100</f>
        <v>118.69518238952321</v>
      </c>
      <c r="V50" s="599">
        <f>+U50-T50</f>
        <v>-21.85602223900645</v>
      </c>
    </row>
    <row r="51" spans="10:33">
      <c r="T51" s="6">
        <f>+T28/100</f>
        <v>5.4671992806316618</v>
      </c>
      <c r="U51" s="6">
        <f>+U28/100</f>
        <v>4.1512243500000139</v>
      </c>
      <c r="V51" s="599">
        <f t="shared" ref="V51:V54" si="16">+U51-T51</f>
        <v>-1.3159749306316479</v>
      </c>
    </row>
    <row r="52" spans="10:33">
      <c r="T52" s="6">
        <f>+T32/100</f>
        <v>5.4241676290882035</v>
      </c>
      <c r="U52" s="6">
        <f>+U32/100</f>
        <v>7.2051825304167387</v>
      </c>
      <c r="V52" s="599">
        <f t="shared" si="16"/>
        <v>1.7810149013285352</v>
      </c>
    </row>
    <row r="53" spans="10:33">
      <c r="T53" s="6">
        <f>(T33+T34)/100</f>
        <v>7.7553031699999995</v>
      </c>
      <c r="U53" s="6">
        <f>(U33+U34)/100</f>
        <v>7.3733652000000003</v>
      </c>
      <c r="V53" s="599">
        <f t="shared" si="16"/>
        <v>-0.38193796999999918</v>
      </c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>
        <f>(T46/100)-T50-T51-T52-T53</f>
        <v>8.0624421233322519</v>
      </c>
      <c r="U54" s="599">
        <f>(U46/100)-U50-U51-U52-U53</f>
        <v>-13.961596030000196</v>
      </c>
      <c r="V54" s="599">
        <f t="shared" si="16"/>
        <v>-22.024038153332448</v>
      </c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 t="s">
        <v>231</v>
      </c>
      <c r="T56" s="659">
        <f>+(T33+T34)/100</f>
        <v>7.7553031699999995</v>
      </c>
      <c r="U56" s="659">
        <f>+(U33+U34)/100</f>
        <v>7.3733652000000003</v>
      </c>
      <c r="V56" s="599">
        <f>+U56-T56</f>
        <v>-0.38193796999999918</v>
      </c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 t="str">
        <f>+I36</f>
        <v>OPC 소급분</v>
      </c>
      <c r="T57" s="599">
        <f>+T36/100</f>
        <v>13.297000000000001</v>
      </c>
      <c r="U57" s="599">
        <f>+U36/100</f>
        <v>0</v>
      </c>
      <c r="V57" s="599">
        <f>+U57-T57</f>
        <v>-13.297000000000001</v>
      </c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  <row r="58" spans="10:33">
      <c r="S58" s="599" t="str">
        <f t="shared" ref="S58:S60" si="17">+I37</f>
        <v>대손</v>
      </c>
      <c r="T58" s="599">
        <f t="shared" ref="T58:U58" si="18">+T37/100</f>
        <v>0</v>
      </c>
      <c r="U58" s="599">
        <f t="shared" si="18"/>
        <v>-9.75507715</v>
      </c>
      <c r="V58" s="599">
        <f t="shared" ref="V58:V60" si="19">+U58-T58</f>
        <v>-9.75507715</v>
      </c>
    </row>
    <row r="59" spans="10:33">
      <c r="S59" s="599" t="str">
        <f t="shared" si="17"/>
        <v>미운영 공장</v>
      </c>
      <c r="T59" s="599">
        <f t="shared" ref="T59:U59" si="20">+T38/100</f>
        <v>-1.9674349766675783</v>
      </c>
      <c r="U59" s="599">
        <f t="shared" si="20"/>
        <v>-2.6098757099999998</v>
      </c>
      <c r="V59" s="599">
        <f t="shared" si="19"/>
        <v>-0.64244073333242158</v>
      </c>
    </row>
    <row r="60" spans="10:33">
      <c r="S60" s="599" t="str">
        <f t="shared" si="17"/>
        <v>기타</v>
      </c>
      <c r="T60" s="599">
        <f t="shared" ref="T60:U60" si="21">+T39/100</f>
        <v>-3.2671229000000377</v>
      </c>
      <c r="U60" s="599">
        <f t="shared" si="21"/>
        <v>-1.5966431700001775</v>
      </c>
      <c r="V60" s="599">
        <f t="shared" si="19"/>
        <v>1.6704797299998602</v>
      </c>
    </row>
    <row r="61" spans="10:33">
      <c r="T61" s="6">
        <f>SUM(T56:T60)</f>
        <v>15.817745293332385</v>
      </c>
      <c r="U61" s="6">
        <f t="shared" ref="U61:V61" si="22">SUM(U56:U60)</f>
        <v>-6.5882308300001773</v>
      </c>
      <c r="V61" s="6">
        <f t="shared" si="22"/>
        <v>-22.405976123332557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K27" sqref="K27"/>
      <selection pane="topRight" activeCell="K27" sqref="K27"/>
      <selection pane="bottomLeft" activeCell="K27" sqref="K27"/>
      <selection pane="bottomRight" activeCell="E8" sqref="E8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/>
    <row r="2" spans="4:26" ht="9.9499999999999993" hidden="1" customHeight="1"/>
    <row r="3" spans="4:26" ht="9.9499999999999993" customHeight="1"/>
    <row r="4" spans="4:26" ht="31.5">
      <c r="D4" s="184" t="s">
        <v>226</v>
      </c>
      <c r="F4" s="184"/>
      <c r="I4" s="184"/>
      <c r="J4" s="184"/>
    </row>
    <row r="5" spans="4:26" ht="21.95" customHeight="1">
      <c r="W5" s="186" t="s">
        <v>149</v>
      </c>
    </row>
    <row r="6" spans="4:26" ht="24" customHeight="1" thickBot="1">
      <c r="D6" s="831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>
      <c r="D7" s="832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>
      <c r="D8" s="470" t="s">
        <v>41</v>
      </c>
      <c r="E8" s="460">
        <f>+[5]합계!$H$86/1000</f>
        <v>4617.5047135282675</v>
      </c>
      <c r="F8" s="462">
        <f>+[5]합계!$I$86/1000</f>
        <v>3510.4462479999997</v>
      </c>
      <c r="G8" s="461">
        <f>+F8-E8</f>
        <v>-1107.0584655282678</v>
      </c>
      <c r="H8" s="460">
        <f>+[5]합계!$T$5/1000</f>
        <v>303.5</v>
      </c>
      <c r="I8" s="462">
        <f>+[5]합계!$U$5/1000</f>
        <v>305.15370000000001</v>
      </c>
      <c r="J8" s="461">
        <f>+I8-H8</f>
        <v>1.6537000000000148</v>
      </c>
      <c r="K8" s="464">
        <f>+[5]합계!$M$86/1000</f>
        <v>24.293411075179872</v>
      </c>
      <c r="L8" s="460">
        <f>+[5]합계!$Q$85</f>
        <v>102211.17607965581</v>
      </c>
      <c r="M8" s="462">
        <f>+[5]합계!$R$85</f>
        <v>100861.45397837207</v>
      </c>
      <c r="N8" s="461">
        <f>+M8-L8</f>
        <v>-1349.7221012837399</v>
      </c>
      <c r="O8" s="464">
        <f>+[5]합계!$K$86/1000</f>
        <v>-411.37059655683044</v>
      </c>
      <c r="P8" s="460">
        <f>+[5]합계!$Q$50</f>
        <v>83865.141847636114</v>
      </c>
      <c r="Q8" s="462">
        <f>+[5]합계!$R$50</f>
        <v>86234.835955252114</v>
      </c>
      <c r="R8" s="461">
        <f>+Q8-P8</f>
        <v>2369.6941076160001</v>
      </c>
      <c r="S8" s="464">
        <f>+[5]합계!$L$56/1000</f>
        <v>-668.37749908632634</v>
      </c>
      <c r="T8" s="460">
        <f>+([5]합계!$H$80+[5]합계!$H$85)/1000</f>
        <v>950.51667588971281</v>
      </c>
      <c r="U8" s="462">
        <f>+([5]합계!$I$80+[5]합계!$I$85)/1000</f>
        <v>1002.12045685</v>
      </c>
      <c r="V8" s="461">
        <f>+U8-T8</f>
        <v>51.603780960287168</v>
      </c>
      <c r="W8" s="469">
        <f>+([5]합계!$L$80+[5]합계!$L$85)/1000</f>
        <v>-51.603780960287345</v>
      </c>
      <c r="Y8" s="6">
        <f>+G8-K8-O8-S8-W8</f>
        <v>-3.5740299608733039E-12</v>
      </c>
      <c r="Z8" s="6">
        <f>+Y8*1000000</f>
        <v>-3.5740299608733039E-6</v>
      </c>
    </row>
    <row r="9" spans="4:26" ht="24" customHeight="1">
      <c r="D9" s="471" t="s">
        <v>19</v>
      </c>
      <c r="E9" s="465">
        <f>+[5]수도권!$H$86/1000</f>
        <v>1626.9269826088812</v>
      </c>
      <c r="F9" s="479">
        <f>+[5]수도권!$I$86/1000</f>
        <v>866.42164500000058</v>
      </c>
      <c r="G9" s="466">
        <f t="shared" ref="G9:G28" si="0">+F9-E9</f>
        <v>-760.50533760888061</v>
      </c>
      <c r="H9" s="465">
        <f>+[5]수도권!$T$5/1000</f>
        <v>119.5</v>
      </c>
      <c r="I9" s="479">
        <f>+[5]수도권!$U$5/1000</f>
        <v>107.2852</v>
      </c>
      <c r="J9" s="466">
        <f t="shared" ref="J9:J28" si="1">+I9-H9</f>
        <v>-12.214799999999997</v>
      </c>
      <c r="K9" s="482">
        <f>+[5]수도권!$M$86/1000</f>
        <v>-203.27896259037078</v>
      </c>
      <c r="L9" s="465">
        <f>+[5]수도권!$Q$85</f>
        <v>100194.01396799617</v>
      </c>
      <c r="M9" s="479">
        <f>+[5]수도권!$R$85</f>
        <v>97972.58561150539</v>
      </c>
      <c r="N9" s="466">
        <f t="shared" ref="N9:N28" si="2">+M9-L9</f>
        <v>-2221.4283564907819</v>
      </c>
      <c r="O9" s="482">
        <f>+[5]수도권!$K$86/1000</f>
        <v>-237.50001416317025</v>
      </c>
      <c r="P9" s="465">
        <f>+[5]수도권!$Q$50</f>
        <v>83981.929753551594</v>
      </c>
      <c r="Q9" s="479">
        <f>+[5]수도권!$R$50</f>
        <v>87001.720587080039</v>
      </c>
      <c r="R9" s="466">
        <f t="shared" ref="R9:R28" si="3">+Q9-P9</f>
        <v>3019.7908335284446</v>
      </c>
      <c r="S9" s="482">
        <f>+[5]수도권!$L$56/1000</f>
        <v>-322.83268298258525</v>
      </c>
      <c r="T9" s="465">
        <f>+([5]수도권!$H$80+[5]수도권!$H$85)/1000</f>
        <v>310.41708101724447</v>
      </c>
      <c r="U9" s="479">
        <f>+([5]수도권!$I$80+[5]수도권!$I$85)/1000</f>
        <v>307.31075889000005</v>
      </c>
      <c r="V9" s="466">
        <f t="shared" ref="V9:V28" si="4">+U9-T9</f>
        <v>-3.1063221272444252</v>
      </c>
      <c r="W9" s="482">
        <f>+([5]수도권!$L$80+[5]수도권!$L$85)/1000</f>
        <v>3.1063221272444088</v>
      </c>
      <c r="Y9" s="6">
        <f t="shared" ref="Y9:Y28" si="5">+G9-K9-O9-S9-W9</f>
        <v>1.3238299345630367E-12</v>
      </c>
      <c r="Z9" s="6">
        <f t="shared" ref="Z9:Z28" si="6">+Y9*1000000</f>
        <v>1.3238299345630367E-6</v>
      </c>
    </row>
    <row r="10" spans="4:26" ht="24" customHeight="1">
      <c r="D10" s="472" t="s">
        <v>20</v>
      </c>
      <c r="E10" s="467">
        <f>+[5]영남권!$H$86/1000</f>
        <v>1925.4948517798382</v>
      </c>
      <c r="F10" s="480">
        <f>+[5]영남권!$I$86/1000</f>
        <v>1518.0696369999996</v>
      </c>
      <c r="G10" s="477">
        <f t="shared" si="0"/>
        <v>-407.4252147798386</v>
      </c>
      <c r="H10" s="467">
        <f>+[5]영남권!$T$5/1000</f>
        <v>128.5</v>
      </c>
      <c r="I10" s="480">
        <f>+[5]영남권!$U$5/1000</f>
        <v>137.792</v>
      </c>
      <c r="J10" s="477">
        <f t="shared" si="1"/>
        <v>9.2920000000000016</v>
      </c>
      <c r="K10" s="483">
        <f>+[5]영남권!$M$86/1000</f>
        <v>172.93592972055382</v>
      </c>
      <c r="L10" s="467">
        <f>+[5]영남권!$Q$85</f>
        <v>102400.98092607004</v>
      </c>
      <c r="M10" s="480">
        <f>+[5]영남권!$R$85</f>
        <v>100840.35619629588</v>
      </c>
      <c r="N10" s="477">
        <f t="shared" si="2"/>
        <v>-1560.6247297741647</v>
      </c>
      <c r="O10" s="483">
        <f>+[5]영남권!$K$86/1000</f>
        <v>-215.04160276504169</v>
      </c>
      <c r="P10" s="467">
        <f>+[5]영남권!$Q$50</f>
        <v>83789.709970349664</v>
      </c>
      <c r="Q10" s="480">
        <f>+[5]영남권!$R$50</f>
        <v>86501.831674700108</v>
      </c>
      <c r="R10" s="477">
        <f t="shared" si="3"/>
        <v>2712.1217043504439</v>
      </c>
      <c r="S10" s="483">
        <f>+[5]영남권!$L$56/1000</f>
        <v>-321.02837335557939</v>
      </c>
      <c r="T10" s="467">
        <f>+([5]영남권!$H$80+[5]영남권!$H$85)/1000</f>
        <v>466.05346603023185</v>
      </c>
      <c r="U10" s="480">
        <f>+([5]영남권!$I$80+[5]영남권!$I$85)/1000</f>
        <v>510.34463441000003</v>
      </c>
      <c r="V10" s="477">
        <f t="shared" si="4"/>
        <v>44.29116837976818</v>
      </c>
      <c r="W10" s="483">
        <f>+([5]영남권!$L$80+[5]영남권!$L$85)/1000</f>
        <v>-44.291168379768138</v>
      </c>
      <c r="Y10" s="6">
        <f t="shared" si="5"/>
        <v>-3.1121771826292388E-12</v>
      </c>
      <c r="Z10" s="6">
        <f t="shared" si="6"/>
        <v>-3.1121771826292388E-6</v>
      </c>
    </row>
    <row r="11" spans="4:26" ht="24" customHeight="1">
      <c r="D11" s="473" t="s">
        <v>57</v>
      </c>
      <c r="E11" s="468">
        <f>+[5]중부권!$H$86/1000</f>
        <v>1065.0828791395502</v>
      </c>
      <c r="F11" s="481">
        <f>+[5]중부권!$I$86/1000</f>
        <v>1125.9549659999993</v>
      </c>
      <c r="G11" s="478">
        <f t="shared" si="0"/>
        <v>60.872086860449144</v>
      </c>
      <c r="H11" s="468">
        <f>+[5]중부권!$T$5/1000</f>
        <v>55.5</v>
      </c>
      <c r="I11" s="481">
        <f>+[5]중부권!$U$5/1000</f>
        <v>60.076500000000003</v>
      </c>
      <c r="J11" s="478">
        <f t="shared" si="1"/>
        <v>4.5765000000000029</v>
      </c>
      <c r="K11" s="484">
        <f>+[5]중부권!$M$86/1000</f>
        <v>102.17790819871443</v>
      </c>
      <c r="L11" s="468">
        <f>+[5]중부권!$Q$85</f>
        <v>106114.97697297296</v>
      </c>
      <c r="M11" s="481">
        <f>+[5]중부권!$R$85</f>
        <v>106050.92518705317</v>
      </c>
      <c r="N11" s="478">
        <f t="shared" si="2"/>
        <v>-64.051785919786198</v>
      </c>
      <c r="O11" s="484">
        <f>+[5]중부권!$K$86/1000</f>
        <v>-3.8480071168100354</v>
      </c>
      <c r="P11" s="468">
        <f>+[5]중부권!$Q$50</f>
        <v>83788.328180508339</v>
      </c>
      <c r="Q11" s="481">
        <f>+[5]중부권!$R$50</f>
        <v>84259.95561279601</v>
      </c>
      <c r="R11" s="478">
        <f t="shared" si="3"/>
        <v>471.62743228767067</v>
      </c>
      <c r="S11" s="484">
        <f>+[5]중부권!$L$56/1000</f>
        <v>-27.038879513692464</v>
      </c>
      <c r="T11" s="468">
        <f>+([5]중부권!$H$80+[5]중부권!$H$85)/1000</f>
        <v>174.04612884223633</v>
      </c>
      <c r="U11" s="481">
        <f>+([5]중부권!$I$80+[5]중부권!$I$85)/1000</f>
        <v>184.46506355000002</v>
      </c>
      <c r="V11" s="478">
        <f t="shared" si="4"/>
        <v>10.418934707763697</v>
      </c>
      <c r="W11" s="484">
        <f>+([5]중부권!$L$80+[5]중부권!$L$85)/1000</f>
        <v>-10.41893470776369</v>
      </c>
      <c r="Y11" s="6">
        <f t="shared" si="5"/>
        <v>9.0238927441532724E-13</v>
      </c>
      <c r="Z11" s="6">
        <f t="shared" si="6"/>
        <v>9.0238927441532724E-7</v>
      </c>
    </row>
    <row r="12" spans="4:26" ht="24" customHeight="1">
      <c r="D12" s="474" t="s">
        <v>22</v>
      </c>
      <c r="E12" s="447">
        <f>+[5]안양!$H$86/1000</f>
        <v>613.08991770953344</v>
      </c>
      <c r="F12" s="448">
        <f>+[5]안양!$I$86/1000</f>
        <v>326.9867710000002</v>
      </c>
      <c r="G12" s="449">
        <f t="shared" si="0"/>
        <v>-286.10314670953323</v>
      </c>
      <c r="H12" s="447">
        <f>+[5]안양!$T$5/1000</f>
        <v>43</v>
      </c>
      <c r="I12" s="448">
        <f>+[5]안양!$U$5/1000</f>
        <v>35.374000000000002</v>
      </c>
      <c r="J12" s="450">
        <f t="shared" si="1"/>
        <v>-7.6259999999999977</v>
      </c>
      <c r="K12" s="74">
        <f>+[5]안양!$M$86/1000</f>
        <v>-126.99069487788074</v>
      </c>
      <c r="L12" s="447">
        <f>+[5]안양!$Q$85</f>
        <v>101280.96395348838</v>
      </c>
      <c r="M12" s="448">
        <f>+[5]안양!$R$85</f>
        <v>100399.69886959231</v>
      </c>
      <c r="N12" s="450">
        <f t="shared" si="2"/>
        <v>-881.26508389606897</v>
      </c>
      <c r="O12" s="74">
        <f>+[5]안양!$K$86/1000</f>
        <v>-31.106013666279548</v>
      </c>
      <c r="P12" s="447">
        <f>+[5]안양!$Q$50</f>
        <v>84717.119363344173</v>
      </c>
      <c r="Q12" s="448">
        <f>+[5]안양!$R$50</f>
        <v>88420.599382488756</v>
      </c>
      <c r="R12" s="450">
        <f t="shared" si="3"/>
        <v>3703.4800191445829</v>
      </c>
      <c r="S12" s="74">
        <f>+[5]안양!$L$56/1000</f>
        <v>-130.71497787204021</v>
      </c>
      <c r="T12" s="447">
        <f>+([5]안양!$H$80+[5]안양!$H$85)/1000</f>
        <v>99.155399666666654</v>
      </c>
      <c r="U12" s="448">
        <f>+([5]안양!$I$80+[5]안양!$I$85)/1000</f>
        <v>96.446859959999998</v>
      </c>
      <c r="V12" s="450">
        <f t="shared" si="4"/>
        <v>-2.7085397066666559</v>
      </c>
      <c r="W12" s="74">
        <f>+([5]안양!$L$80+[5]안양!$L$85)/1000</f>
        <v>2.7085397066666572</v>
      </c>
      <c r="Y12" s="6">
        <f t="shared" si="5"/>
        <v>6.0973448512413597E-13</v>
      </c>
      <c r="Z12" s="6">
        <f t="shared" si="6"/>
        <v>6.0973448512413597E-7</v>
      </c>
    </row>
    <row r="13" spans="4:26" ht="24" customHeight="1">
      <c r="D13" s="475" t="s">
        <v>23</v>
      </c>
      <c r="E13" s="452">
        <f>+[5]인천!$H$86/1000</f>
        <v>286.79226413103868</v>
      </c>
      <c r="F13" s="453">
        <f>+[5]인천!$I$86/1000</f>
        <v>173.72608299999987</v>
      </c>
      <c r="G13" s="189">
        <f t="shared" si="0"/>
        <v>-113.0661811310388</v>
      </c>
      <c r="H13" s="452">
        <f>+[5]인천!$T$5/1000</f>
        <v>30</v>
      </c>
      <c r="I13" s="453">
        <f>+[5]인천!$U$5/1000</f>
        <v>28.969000000000001</v>
      </c>
      <c r="J13" s="165">
        <f t="shared" si="1"/>
        <v>-1.0309999999999988</v>
      </c>
      <c r="K13" s="454">
        <f>+[5]인천!$M$86/1000</f>
        <v>-13.123443022433028</v>
      </c>
      <c r="L13" s="452">
        <f>+[5]인천!$Q$85</f>
        <v>101383.64833333335</v>
      </c>
      <c r="M13" s="453">
        <f>+[5]인천!$R$85</f>
        <v>98667.487797300564</v>
      </c>
      <c r="N13" s="165">
        <f t="shared" si="2"/>
        <v>-2716.1605360327812</v>
      </c>
      <c r="O13" s="454">
        <f>+[5]인천!$K$86/1000</f>
        <v>-78.684454568333649</v>
      </c>
      <c r="P13" s="452">
        <f>+[5]인천!$Q$50</f>
        <v>88654.799620983162</v>
      </c>
      <c r="Q13" s="453">
        <f>+[5]인천!$R$50</f>
        <v>89427.595064710957</v>
      </c>
      <c r="R13" s="165">
        <f t="shared" si="3"/>
        <v>772.79544372779492</v>
      </c>
      <c r="S13" s="454">
        <f>+[5]인천!$L$56/1000</f>
        <v>-22.394473959738558</v>
      </c>
      <c r="T13" s="452">
        <f>+([5]인천!$H$80+[5]인천!$H$85)/1000</f>
        <v>95.07319723946668</v>
      </c>
      <c r="U13" s="453">
        <f>+([5]인천!$I$80+[5]인천!$I$85)/1000</f>
        <v>93.937006820000008</v>
      </c>
      <c r="V13" s="165">
        <f t="shared" si="4"/>
        <v>-1.1361904194666721</v>
      </c>
      <c r="W13" s="454">
        <f>+([5]인천!$L$80+[5]인천!$L$85)/1000</f>
        <v>1.1361904194666765</v>
      </c>
      <c r="Y13" s="6">
        <f t="shared" si="5"/>
        <v>-2.4957813593573519E-13</v>
      </c>
      <c r="Z13" s="6">
        <f t="shared" si="6"/>
        <v>-2.4957813593573519E-7</v>
      </c>
    </row>
    <row r="14" spans="4:26" ht="24" customHeight="1">
      <c r="D14" s="475" t="s">
        <v>24</v>
      </c>
      <c r="E14" s="452">
        <f>+[5]파주!$H$86/1000</f>
        <v>451.71048306913775</v>
      </c>
      <c r="F14" s="453">
        <f>+[5]파주!$I$86/1000</f>
        <v>256.19065999999998</v>
      </c>
      <c r="G14" s="189">
        <f t="shared" si="0"/>
        <v>-195.51982306913777</v>
      </c>
      <c r="H14" s="452">
        <f>+[5]파주!$T$5/1000</f>
        <v>28</v>
      </c>
      <c r="I14" s="453">
        <f>+[5]파주!$U$5/1000</f>
        <v>31.124200000000002</v>
      </c>
      <c r="J14" s="165">
        <f t="shared" si="1"/>
        <v>3.1242000000000019</v>
      </c>
      <c r="K14" s="454">
        <f>+[5]파주!$M$86/1000</f>
        <v>52.728891676190138</v>
      </c>
      <c r="L14" s="452">
        <f>+[5]파주!$Q$85</f>
        <v>99754.402470555084</v>
      </c>
      <c r="M14" s="453">
        <f>+[5]파주!$R$85</f>
        <v>94837.487556385124</v>
      </c>
      <c r="N14" s="165">
        <f t="shared" si="2"/>
        <v>-4916.91491416996</v>
      </c>
      <c r="O14" s="454">
        <f>+[5]파주!$K$86/1000</f>
        <v>-151.73206071935365</v>
      </c>
      <c r="P14" s="452">
        <f>+[5]파주!$Q$50</f>
        <v>81366.674198244596</v>
      </c>
      <c r="Q14" s="453">
        <f>+[5]파주!$R$50</f>
        <v>84491.723894332972</v>
      </c>
      <c r="R14" s="165">
        <f t="shared" si="3"/>
        <v>3125.0496960883756</v>
      </c>
      <c r="S14" s="454">
        <f>+[5]파주!$L$56/1000</f>
        <v>-96.436537951529971</v>
      </c>
      <c r="T14" s="452">
        <f>+([5]파주!$H$80+[5]파주!$H$85)/1000</f>
        <v>63.145908555555557</v>
      </c>
      <c r="U14" s="453">
        <f>+([5]파주!$I$80+[5]파주!$I$85)/1000</f>
        <v>63.226024629999998</v>
      </c>
      <c r="V14" s="165">
        <f t="shared" si="4"/>
        <v>8.0116074444440244E-2</v>
      </c>
      <c r="W14" s="454">
        <f>+([5]파주!$L$80+[5]파주!$L$85)/1000</f>
        <v>-8.0116074444445989E-2</v>
      </c>
      <c r="Y14" s="6">
        <f t="shared" si="5"/>
        <v>1.6917023337725823E-13</v>
      </c>
      <c r="Z14" s="6">
        <f t="shared" si="6"/>
        <v>1.6917023337725823E-7</v>
      </c>
    </row>
    <row r="15" spans="4:26" ht="24" customHeight="1">
      <c r="D15" s="475" t="s">
        <v>178</v>
      </c>
      <c r="E15" s="452">
        <f>+[5]김포!$H$86/1000</f>
        <v>275.334317699172</v>
      </c>
      <c r="F15" s="453">
        <f>+[5]김포!$I$86/1000</f>
        <v>109.51813100000008</v>
      </c>
      <c r="G15" s="189">
        <f t="shared" si="0"/>
        <v>-165.81618669917191</v>
      </c>
      <c r="H15" s="452">
        <f>+[5]김포!$T$5/1000</f>
        <v>18.5</v>
      </c>
      <c r="I15" s="453">
        <f>+[5]김포!$U$5/1000</f>
        <v>11.818</v>
      </c>
      <c r="J15" s="165">
        <f t="shared" si="1"/>
        <v>-6.6820000000000004</v>
      </c>
      <c r="K15" s="454">
        <f>+[5]김포!$M$86/1000</f>
        <v>-119.11468689328281</v>
      </c>
      <c r="L15" s="452">
        <f>+[5]김포!$Q$85</f>
        <v>96403.810810810814</v>
      </c>
      <c r="M15" s="453">
        <f>+[5]김포!$R$85</f>
        <v>97204.531642348156</v>
      </c>
      <c r="N15" s="165">
        <f t="shared" si="2"/>
        <v>800.72083153734275</v>
      </c>
      <c r="O15" s="454">
        <f>+[5]김포!$K$86/1000</f>
        <v>9.4388971621621973</v>
      </c>
      <c r="P15" s="452">
        <f>+[5]김포!$Q$50</f>
        <v>78653.708472717437</v>
      </c>
      <c r="Q15" s="463">
        <f>+[5]김포!$R$50</f>
        <v>83361.633989145193</v>
      </c>
      <c r="R15" s="165">
        <f t="shared" si="3"/>
        <v>4707.9255164277565</v>
      </c>
      <c r="S15" s="454">
        <f>+[5]김포!$L$56/1000</f>
        <v>-55.482105043607007</v>
      </c>
      <c r="T15" s="452">
        <f>+([5]김포!$H$80+[5]김포!$H$85)/1000</f>
        <v>53.042575555555551</v>
      </c>
      <c r="U15" s="453">
        <f>+([5]김포!$I$80+[5]김포!$I$85)/1000</f>
        <v>53.700867479999999</v>
      </c>
      <c r="V15" s="165">
        <f t="shared" si="4"/>
        <v>0.65829192444444828</v>
      </c>
      <c r="W15" s="454">
        <f>+([5]김포!$L$80+[5]김포!$L$85)/1000</f>
        <v>-0.65829192444444562</v>
      </c>
      <c r="Y15" s="6">
        <f t="shared" si="5"/>
        <v>1.5365486660812167E-13</v>
      </c>
      <c r="Z15" s="6">
        <f t="shared" si="6"/>
        <v>1.5365486660812167E-7</v>
      </c>
    </row>
    <row r="16" spans="4:26" ht="24" customHeight="1">
      <c r="D16" s="476" t="s">
        <v>25</v>
      </c>
      <c r="E16" s="455">
        <f>+[5]부산!$H$86/1000</f>
        <v>274.00642876329357</v>
      </c>
      <c r="F16" s="456">
        <f>+[5]부산!$I$86/1000</f>
        <v>118.63263599999986</v>
      </c>
      <c r="G16" s="457">
        <f t="shared" si="0"/>
        <v>-155.37379276329369</v>
      </c>
      <c r="H16" s="455">
        <f>+[5]부산!$T$5/1000</f>
        <v>20</v>
      </c>
      <c r="I16" s="456">
        <f>+[5]부산!$U$5/1000</f>
        <v>18.738</v>
      </c>
      <c r="J16" s="458">
        <f t="shared" si="1"/>
        <v>-1.2620000000000005</v>
      </c>
      <c r="K16" s="459">
        <f>+[5]부산!$M$86/1000</f>
        <v>-23.592824102697151</v>
      </c>
      <c r="L16" s="455">
        <f>+[5]부산!$Q$85</f>
        <v>107599.94745000001</v>
      </c>
      <c r="M16" s="456">
        <f>+[5]부산!$R$85</f>
        <v>106112.66677340164</v>
      </c>
      <c r="N16" s="458">
        <f t="shared" si="2"/>
        <v>-1487.2806765983696</v>
      </c>
      <c r="O16" s="459">
        <f>+[5]부산!$K$86/1000</f>
        <v>-27.868665318100252</v>
      </c>
      <c r="P16" s="455">
        <f>+[5]부산!$Q$50</f>
        <v>88905.158145168651</v>
      </c>
      <c r="Q16" s="456">
        <f>+[5]부산!$R$50</f>
        <v>94790.296584845259</v>
      </c>
      <c r="R16" s="458">
        <f t="shared" si="3"/>
        <v>5885.138439676608</v>
      </c>
      <c r="S16" s="459">
        <f>+[5]부산!$L$56/1000</f>
        <v>-81.076923495829632</v>
      </c>
      <c r="T16" s="455">
        <f>+([5]부산!$H$80+[5]부산!$H$85)/1000</f>
        <v>99.889357333333336</v>
      </c>
      <c r="U16" s="456">
        <f>+([5]부산!$I$80+[5]부산!$I$85)/1000</f>
        <v>122.72473717999999</v>
      </c>
      <c r="V16" s="458">
        <f t="shared" si="4"/>
        <v>22.835379846666655</v>
      </c>
      <c r="W16" s="459">
        <f>+([5]부산!$L$80+[5]부산!$L$85)/1000</f>
        <v>-22.835379846666676</v>
      </c>
      <c r="Y16" s="6">
        <f t="shared" si="5"/>
        <v>0</v>
      </c>
      <c r="Z16" s="6">
        <f t="shared" si="6"/>
        <v>0</v>
      </c>
    </row>
    <row r="17" spans="4:26" ht="24" customHeight="1">
      <c r="D17" s="475" t="s">
        <v>26</v>
      </c>
      <c r="E17" s="452">
        <f>+[5]서부산!$H$86/1000</f>
        <v>466.85723800825201</v>
      </c>
      <c r="F17" s="453">
        <f>+[5]서부산!$I$86/1000</f>
        <v>278.69373999999976</v>
      </c>
      <c r="G17" s="189">
        <f t="shared" si="0"/>
        <v>-188.16349800825225</v>
      </c>
      <c r="H17" s="452">
        <f>+[5]서부산!$T$5/1000</f>
        <v>25</v>
      </c>
      <c r="I17" s="453">
        <f>+[5]서부산!$U$5/1000</f>
        <v>23.640999999999998</v>
      </c>
      <c r="J17" s="165">
        <f t="shared" si="1"/>
        <v>-1.3590000000000018</v>
      </c>
      <c r="K17" s="454">
        <f>+[5]서부산!$M$86/1000</f>
        <v>-28.140672256368575</v>
      </c>
      <c r="L17" s="452">
        <f>+[5]서부산!$Q$85</f>
        <v>104325.31199999999</v>
      </c>
      <c r="M17" s="453">
        <f>+[5]서부산!$R$85</f>
        <v>99811.027071612873</v>
      </c>
      <c r="N17" s="165">
        <f t="shared" si="2"/>
        <v>-4514.2849283871183</v>
      </c>
      <c r="O17" s="454">
        <f>+[5]서부산!$K$86/1000</f>
        <v>-106.72220999199986</v>
      </c>
      <c r="P17" s="452">
        <f>+[5]서부산!$Q$50</f>
        <v>83618.415564114359</v>
      </c>
      <c r="Q17" s="453">
        <f>+[5]서부산!$R$50</f>
        <v>85910.097901509725</v>
      </c>
      <c r="R17" s="165">
        <f t="shared" si="3"/>
        <v>2291.6823373953666</v>
      </c>
      <c r="S17" s="454">
        <f>+[5]서부산!$L$56/1000</f>
        <v>-41.062869098772637</v>
      </c>
      <c r="T17" s="452">
        <f>+([5]서부산!$H$80+[5]서부산!$H$85)/1000</f>
        <v>50.815172888888888</v>
      </c>
      <c r="U17" s="453">
        <f>+([5]서부산!$I$80+[5]서부산!$I$85)/1000</f>
        <v>63.052919549999999</v>
      </c>
      <c r="V17" s="165">
        <f t="shared" si="4"/>
        <v>12.23774666111111</v>
      </c>
      <c r="W17" s="454">
        <f>+([5]서부산!$L$80+[5]서부산!$L$85)/1000</f>
        <v>-12.237746661111107</v>
      </c>
      <c r="Y17" s="6">
        <f t="shared" si="5"/>
        <v>-5.3290705182007514E-14</v>
      </c>
      <c r="Z17" s="6">
        <f t="shared" si="6"/>
        <v>-5.3290705182007514E-8</v>
      </c>
    </row>
    <row r="18" spans="4:26" ht="24" customHeight="1">
      <c r="D18" s="475" t="s">
        <v>27</v>
      </c>
      <c r="E18" s="452">
        <f>+[5]김해!$H$86/1000</f>
        <v>149.29424007559044</v>
      </c>
      <c r="F18" s="453">
        <f>+[5]김해!$I$86/1000</f>
        <v>58.544437000000123</v>
      </c>
      <c r="G18" s="189">
        <f t="shared" si="0"/>
        <v>-90.749803075590307</v>
      </c>
      <c r="H18" s="452">
        <f>+[5]김해!$T$5/1000</f>
        <v>12</v>
      </c>
      <c r="I18" s="453">
        <f>+[5]김해!$U$5/1000</f>
        <v>12.699</v>
      </c>
      <c r="J18" s="165">
        <f t="shared" si="1"/>
        <v>0.69899999999999984</v>
      </c>
      <c r="K18" s="454">
        <f>+[5]김해!$M$86/1000</f>
        <v>11.352353332430924</v>
      </c>
      <c r="L18" s="452">
        <f>+[5]김해!$Q$85</f>
        <v>101000.2</v>
      </c>
      <c r="M18" s="453">
        <f>+[5]김해!$R$85</f>
        <v>93546.074494054657</v>
      </c>
      <c r="N18" s="165">
        <f t="shared" si="2"/>
        <v>-7454.1255059453397</v>
      </c>
      <c r="O18" s="454">
        <f>+[5]김해!$K$86/1000</f>
        <v>-94.659939799999862</v>
      </c>
      <c r="P18" s="452">
        <f>+[5]김해!$Q$50</f>
        <v>84759.351169626709</v>
      </c>
      <c r="Q18" s="453">
        <f>+[5]김해!$R$50</f>
        <v>85183.682967162778</v>
      </c>
      <c r="R18" s="165">
        <f t="shared" si="3"/>
        <v>424.33179753606964</v>
      </c>
      <c r="S18" s="454">
        <f>+[5]김해!$L$56/1000</f>
        <v>-2.4034155569103475</v>
      </c>
      <c r="T18" s="452">
        <f>+([5]김해!$H$80+[5]김해!$H$85)/1000</f>
        <v>45.595945888888892</v>
      </c>
      <c r="U18" s="453">
        <f>+([5]김해!$I$80+[5]김해!$I$85)/1000</f>
        <v>50.634746940000007</v>
      </c>
      <c r="V18" s="165">
        <f t="shared" si="4"/>
        <v>5.0388010511111148</v>
      </c>
      <c r="W18" s="454">
        <f>+([5]김해!$L$80+[5]김해!$L$85)/1000</f>
        <v>-5.0388010511111103</v>
      </c>
      <c r="Y18" s="6">
        <f t="shared" si="5"/>
        <v>8.9706020389712648E-14</v>
      </c>
      <c r="Z18" s="6">
        <f t="shared" si="6"/>
        <v>8.9706020389712648E-8</v>
      </c>
    </row>
    <row r="19" spans="4:26" ht="24" customHeight="1">
      <c r="D19" s="475" t="s">
        <v>28</v>
      </c>
      <c r="E19" s="452">
        <f>+[5]정관!$H$86/1000</f>
        <v>230.21569508006667</v>
      </c>
      <c r="F19" s="453">
        <f>+[5]정관!$I$86/1000</f>
        <v>142.38128899999984</v>
      </c>
      <c r="G19" s="189">
        <f t="shared" si="0"/>
        <v>-87.834406080066827</v>
      </c>
      <c r="H19" s="452">
        <f>+[5]정관!$T$5/1000</f>
        <v>17</v>
      </c>
      <c r="I19" s="453">
        <f>+[5]정관!$U$5/1000</f>
        <v>19.584</v>
      </c>
      <c r="J19" s="165">
        <f t="shared" si="1"/>
        <v>2.5839999999999996</v>
      </c>
      <c r="K19" s="454">
        <f>+[5]정관!$M$86/1000</f>
        <v>45.235993773059043</v>
      </c>
      <c r="L19" s="452">
        <f>+[5]정관!$Q$85</f>
        <v>104000</v>
      </c>
      <c r="M19" s="453">
        <f>+[5]정관!$R$85</f>
        <v>99712.724673202611</v>
      </c>
      <c r="N19" s="165">
        <f t="shared" si="2"/>
        <v>-4287.2753267973894</v>
      </c>
      <c r="O19" s="454">
        <f>+[5]정관!$K$86/1000</f>
        <v>-83.962000000000074</v>
      </c>
      <c r="P19" s="452">
        <f>+[5]정관!$Q$50</f>
        <v>86493.81045934248</v>
      </c>
      <c r="Q19" s="453">
        <f>+[5]정관!$R$50</f>
        <v>88984.479779411762</v>
      </c>
      <c r="R19" s="165">
        <f t="shared" si="3"/>
        <v>2490.6693200692825</v>
      </c>
      <c r="S19" s="454">
        <f>+[5]정관!$L$56/1000</f>
        <v>-41.759804874236863</v>
      </c>
      <c r="T19" s="452">
        <f>+([5]정관!$H$80+[5]정관!$H$85)/1000</f>
        <v>67.389527111111121</v>
      </c>
      <c r="U19" s="453">
        <f>+([5]정관!$I$80+[5]정관!$I$85)/1000</f>
        <v>74.73812208999999</v>
      </c>
      <c r="V19" s="165">
        <f t="shared" si="4"/>
        <v>7.3485949788888689</v>
      </c>
      <c r="W19" s="454">
        <f>+([5]정관!$L$80+[5]정관!$L$85)/1000</f>
        <v>-7.3485949788888894</v>
      </c>
      <c r="Y19" s="6">
        <f t="shared" si="5"/>
        <v>-5.0626169922907138E-14</v>
      </c>
      <c r="Z19" s="6">
        <f t="shared" si="6"/>
        <v>-5.0626169922907138E-8</v>
      </c>
    </row>
    <row r="20" spans="4:26" ht="24" customHeight="1">
      <c r="D20" s="475" t="s">
        <v>29</v>
      </c>
      <c r="E20" s="452">
        <f>+[5]양산!$H$86/1000</f>
        <v>112.78896949579067</v>
      </c>
      <c r="F20" s="453">
        <f>+[5]양산!$I$86/1000</f>
        <v>79.077275000000043</v>
      </c>
      <c r="G20" s="189">
        <f t="shared" si="0"/>
        <v>-33.711694495790624</v>
      </c>
      <c r="H20" s="452">
        <f>+[5]양산!$T$5/1000</f>
        <v>10</v>
      </c>
      <c r="I20" s="453">
        <f>+[5]양산!$U$5/1000</f>
        <v>12.081</v>
      </c>
      <c r="J20" s="165">
        <f t="shared" si="1"/>
        <v>2.0809999999999995</v>
      </c>
      <c r="K20" s="454">
        <f>+[5]양산!$M$86/1000</f>
        <v>32.841505356196258</v>
      </c>
      <c r="L20" s="452">
        <f>+[5]양산!$Q$85</f>
        <v>96385.316000000021</v>
      </c>
      <c r="M20" s="453">
        <f>+[5]양산!$R$85</f>
        <v>93310.47098750103</v>
      </c>
      <c r="N20" s="165">
        <f t="shared" si="2"/>
        <v>-3074.8450124989904</v>
      </c>
      <c r="O20" s="454">
        <f>+[5]양산!$K$86/1000</f>
        <v>-37.147202596000305</v>
      </c>
      <c r="P20" s="452">
        <f>+[5]양산!$Q$50</f>
        <v>80603.718039309839</v>
      </c>
      <c r="Q20" s="453">
        <f>+[5]양산!$R$50</f>
        <v>83578.552437712118</v>
      </c>
      <c r="R20" s="165">
        <f t="shared" si="3"/>
        <v>2974.8343984022795</v>
      </c>
      <c r="S20" s="454">
        <f>+[5]양산!$L$56/1000</f>
        <v>-35.881341987097962</v>
      </c>
      <c r="T20" s="452">
        <f>+([5]양산!$H$80+[5]양산!$H$85)/1000</f>
        <v>45.027010111111117</v>
      </c>
      <c r="U20" s="453">
        <f>+([5]양산!$I$80+[5]양산!$I$85)/1000</f>
        <v>38.551665379999996</v>
      </c>
      <c r="V20" s="165">
        <f t="shared" si="4"/>
        <v>-6.4753447311111216</v>
      </c>
      <c r="W20" s="454">
        <f>+([5]양산!$L$80+[5]양산!$L$85)/1000</f>
        <v>6.4753447311111101</v>
      </c>
      <c r="Y20" s="6">
        <f t="shared" si="5"/>
        <v>2.815525590449397E-13</v>
      </c>
      <c r="Z20" s="6">
        <f t="shared" si="6"/>
        <v>2.815525590449397E-7</v>
      </c>
    </row>
    <row r="21" spans="4:26" ht="24" customHeight="1">
      <c r="D21" s="475" t="s">
        <v>30</v>
      </c>
      <c r="E21" s="452">
        <f>+[5]창원!$H$86/1000</f>
        <v>264.21304626682723</v>
      </c>
      <c r="F21" s="453">
        <f>+[5]창원!$I$86/1000</f>
        <v>281.49370100000021</v>
      </c>
      <c r="G21" s="189">
        <f t="shared" si="0"/>
        <v>17.28065473317298</v>
      </c>
      <c r="H21" s="452">
        <f>+[5]창원!$T$5/1000</f>
        <v>17</v>
      </c>
      <c r="I21" s="453">
        <f>+[5]창원!$U$5/1000</f>
        <v>20.596</v>
      </c>
      <c r="J21" s="165">
        <f t="shared" si="1"/>
        <v>3.5960000000000001</v>
      </c>
      <c r="K21" s="454">
        <f>+[5]창원!$M$86/1000</f>
        <v>71.069805791056126</v>
      </c>
      <c r="L21" s="452">
        <f>+[5]창원!$Q$85</f>
        <v>101651</v>
      </c>
      <c r="M21" s="453">
        <f>+[5]창원!$R$85</f>
        <v>99143.406486696447</v>
      </c>
      <c r="N21" s="165">
        <f t="shared" si="2"/>
        <v>-2507.5935133035528</v>
      </c>
      <c r="O21" s="454">
        <f>+[5]창원!$K$86/1000</f>
        <v>-51.646395999999974</v>
      </c>
      <c r="P21" s="452">
        <f>+[5]창원!$Q$50</f>
        <v>81887.427755546101</v>
      </c>
      <c r="Q21" s="453">
        <f>+[5]창원!$R$50</f>
        <v>81948.441590600123</v>
      </c>
      <c r="R21" s="165">
        <f t="shared" si="3"/>
        <v>61.013835054021911</v>
      </c>
      <c r="S21" s="454">
        <f>+[5]창원!$L$56/1000</f>
        <v>-0.9732867667721965</v>
      </c>
      <c r="T21" s="452">
        <f>+([5]창원!$H$80+[5]창원!$H$85)/1000</f>
        <v>71.767681888888887</v>
      </c>
      <c r="U21" s="453">
        <f>+([5]창원!$I$80+[5]창원!$I$85)/1000</f>
        <v>72.937150180000003</v>
      </c>
      <c r="V21" s="165">
        <f t="shared" si="4"/>
        <v>1.1694682911111158</v>
      </c>
      <c r="W21" s="454">
        <f>+([5]창원!$L$80+[5]창원!$L$85)/1000</f>
        <v>-1.1694682911111121</v>
      </c>
      <c r="Y21" s="6">
        <f t="shared" si="5"/>
        <v>1.3722356584366935E-13</v>
      </c>
      <c r="Z21" s="6">
        <f t="shared" si="6"/>
        <v>1.3722356584366935E-7</v>
      </c>
    </row>
    <row r="22" spans="4:26" ht="24" customHeight="1">
      <c r="D22" s="475" t="s">
        <v>95</v>
      </c>
      <c r="E22" s="452">
        <f>+[5]대구!$H$86/1000</f>
        <v>306.08988449514527</v>
      </c>
      <c r="F22" s="453">
        <f>+[5]대구!$I$86/1000</f>
        <v>285.78178300000008</v>
      </c>
      <c r="G22" s="189">
        <f t="shared" si="0"/>
        <v>-20.308101495145195</v>
      </c>
      <c r="H22" s="452">
        <f>+[5]대구!$T$5/1000</f>
        <v>16.5</v>
      </c>
      <c r="I22" s="453">
        <f>+[5]대구!$U$5/1000</f>
        <v>15.957000000000001</v>
      </c>
      <c r="J22" s="165">
        <f t="shared" si="1"/>
        <v>-0.54299999999999926</v>
      </c>
      <c r="K22" s="454">
        <f>+[5]대구!$M$86/1000</f>
        <v>-11.654514209370493</v>
      </c>
      <c r="L22" s="452">
        <f>+[5]대구!$Q$85</f>
        <v>97760</v>
      </c>
      <c r="M22" s="453">
        <f>+[5]대구!$R$85</f>
        <v>105888.73660462494</v>
      </c>
      <c r="N22" s="165">
        <f t="shared" si="2"/>
        <v>8128.7366046249372</v>
      </c>
      <c r="O22" s="454">
        <f>+[5]대구!$K$86/1000</f>
        <v>129.71025000000012</v>
      </c>
      <c r="P22" s="452">
        <f>+[5]대구!$Q$50</f>
        <v>76296.806244253225</v>
      </c>
      <c r="Q22" s="453">
        <f>+[5]대구!$R$50</f>
        <v>84883.638961851146</v>
      </c>
      <c r="R22" s="165">
        <f t="shared" si="3"/>
        <v>8586.8327175979211</v>
      </c>
      <c r="S22" s="454">
        <f>+[5]대구!$L$56/1000</f>
        <v>-136.87852060045111</v>
      </c>
      <c r="T22" s="452">
        <f>+([5]대구!$H$80+[5]대구!$H$85)/1000</f>
        <v>48.052812474676308</v>
      </c>
      <c r="U22" s="453">
        <f>+([5]대구!$I$80+[5]대구!$I$85)/1000</f>
        <v>49.538129160000004</v>
      </c>
      <c r="V22" s="165">
        <f t="shared" si="4"/>
        <v>1.4853166853236957</v>
      </c>
      <c r="W22" s="454">
        <f>+([5]대구!$L$80+[5]대구!$L$85)/1000</f>
        <v>-1.4853166853236959</v>
      </c>
      <c r="Y22" s="6">
        <f t="shared" si="5"/>
        <v>-1.3988810110276972E-14</v>
      </c>
      <c r="Z22" s="6">
        <f t="shared" si="6"/>
        <v>-1.3988810110276972E-8</v>
      </c>
    </row>
    <row r="23" spans="4:26" ht="24" customHeight="1">
      <c r="D23" s="475" t="s">
        <v>97</v>
      </c>
      <c r="E23" s="452">
        <f>+[5]울산!$H$86/1000</f>
        <v>122.02934959487177</v>
      </c>
      <c r="F23" s="453">
        <f>+[5]울산!$I$86/1000</f>
        <v>273.46477599999986</v>
      </c>
      <c r="G23" s="189">
        <f t="shared" si="0"/>
        <v>151.43542640512808</v>
      </c>
      <c r="H23" s="452">
        <f>+[5]울산!$T$5/1000</f>
        <v>11</v>
      </c>
      <c r="I23" s="453">
        <f>+[5]울산!$U$5/1000</f>
        <v>14.496</v>
      </c>
      <c r="J23" s="165">
        <f t="shared" si="1"/>
        <v>3.4960000000000004</v>
      </c>
      <c r="K23" s="454">
        <f>+[5]울산!$M$86/1000</f>
        <v>50.706399683364026</v>
      </c>
      <c r="L23" s="452">
        <f>+[5]울산!$Q$85</f>
        <v>101221.06727272726</v>
      </c>
      <c r="M23" s="453">
        <f>+[5]울산!$R$85</f>
        <v>106746.63010485651</v>
      </c>
      <c r="N23" s="165">
        <f t="shared" si="2"/>
        <v>5525.5628321292461</v>
      </c>
      <c r="O23" s="454">
        <f>+[5]울산!$K$86/1000</f>
        <v>80.098558814545555</v>
      </c>
      <c r="P23" s="452">
        <f>+[5]울산!$Q$50</f>
        <v>86716.948370163183</v>
      </c>
      <c r="Q23" s="453">
        <f>+[5]울산!$R$50</f>
        <v>85248.841542494483</v>
      </c>
      <c r="R23" s="165">
        <f t="shared" si="3"/>
        <v>-1468.1068276687001</v>
      </c>
      <c r="S23" s="454">
        <f>+[5]울산!$L$56/1000</f>
        <v>21.281673503885425</v>
      </c>
      <c r="T23" s="452">
        <f>+([5]울산!$H$80+[5]울산!$H$85)/1000</f>
        <v>37.515958333333337</v>
      </c>
      <c r="U23" s="453">
        <f>+([5]울산!$I$80+[5]울산!$I$85)/1000</f>
        <v>38.167163930000001</v>
      </c>
      <c r="V23" s="165">
        <f t="shared" si="4"/>
        <v>0.65120559666666367</v>
      </c>
      <c r="W23" s="454">
        <f>+([5]울산!$L$80+[5]울산!$L$85)/1000</f>
        <v>-0.651205596666666</v>
      </c>
      <c r="Y23" s="6">
        <f t="shared" si="5"/>
        <v>-2.5701663020072374E-13</v>
      </c>
      <c r="Z23" s="6">
        <f t="shared" si="6"/>
        <v>-2.5701663020072374E-7</v>
      </c>
    </row>
    <row r="24" spans="4:26" ht="24" customHeight="1">
      <c r="D24" s="476" t="s">
        <v>31</v>
      </c>
      <c r="E24" s="455">
        <f>+[5]아산!$H$86/1000</f>
        <v>387.74728389918107</v>
      </c>
      <c r="F24" s="456">
        <f>+[5]아산!$I$86/1000</f>
        <v>517.15088099999969</v>
      </c>
      <c r="G24" s="457">
        <f t="shared" si="0"/>
        <v>129.40359710081862</v>
      </c>
      <c r="H24" s="455">
        <f>+[5]아산!$T$5/1000</f>
        <v>24</v>
      </c>
      <c r="I24" s="456">
        <f>+[5]아산!$U$5/1000</f>
        <v>30.672999999999998</v>
      </c>
      <c r="J24" s="458">
        <f t="shared" si="1"/>
        <v>6.6729999999999983</v>
      </c>
      <c r="K24" s="459">
        <f>+[5]아산!$M$86/1000</f>
        <v>125.26534744071797</v>
      </c>
      <c r="L24" s="455">
        <f>+[5]아산!$Q$85</f>
        <v>101000.15</v>
      </c>
      <c r="M24" s="456">
        <f>+[5]아산!$R$85</f>
        <v>100900.77462263228</v>
      </c>
      <c r="N24" s="458">
        <f t="shared" si="2"/>
        <v>-99.375377367716283</v>
      </c>
      <c r="O24" s="459">
        <f>+[5]아산!$K$86/1000</f>
        <v>-3.0481409499999614</v>
      </c>
      <c r="P24" s="455">
        <f>+[5]아산!$Q$50</f>
        <v>82228.181254200783</v>
      </c>
      <c r="Q24" s="456">
        <f>+[5]아산!$R$50</f>
        <v>81902.217384224583</v>
      </c>
      <c r="R24" s="458">
        <f t="shared" si="3"/>
        <v>-325.96386997619993</v>
      </c>
      <c r="S24" s="459">
        <f>+[5]아산!$L$56/1000</f>
        <v>10.039708440099991</v>
      </c>
      <c r="T24" s="455">
        <f>+([5]아산!$H$80+[5]아산!$H$85)/1000</f>
        <v>62.779965999999995</v>
      </c>
      <c r="U24" s="456">
        <f>+([5]아산!$I$80+[5]아산!$I$85)/1000</f>
        <v>65.633283829999996</v>
      </c>
      <c r="V24" s="458">
        <f t="shared" si="4"/>
        <v>2.8533178300000017</v>
      </c>
      <c r="W24" s="459">
        <f>+([5]아산!$L$80+[5]아산!$L$85)/1000</f>
        <v>-2.8533178300000048</v>
      </c>
      <c r="Y24" s="6">
        <f t="shared" si="5"/>
        <v>6.1595173406203685E-13</v>
      </c>
      <c r="Z24" s="6">
        <f t="shared" si="6"/>
        <v>6.1595173406203685E-7</v>
      </c>
    </row>
    <row r="25" spans="4:26" ht="24" customHeight="1">
      <c r="D25" s="475" t="s">
        <v>34</v>
      </c>
      <c r="E25" s="452">
        <f>+[5]전주!$H$86/1000</f>
        <v>249.37978769230506</v>
      </c>
      <c r="F25" s="453">
        <f>+[5]전주!$I$86/1000</f>
        <v>26.426646999999996</v>
      </c>
      <c r="G25" s="189">
        <f t="shared" si="0"/>
        <v>-222.95314069230506</v>
      </c>
      <c r="H25" s="452">
        <f>+[5]전주!$T$5/1000</f>
        <v>13</v>
      </c>
      <c r="I25" s="453">
        <f>+[5]전주!$U$5/1000</f>
        <v>7.9935</v>
      </c>
      <c r="J25" s="165">
        <f t="shared" si="1"/>
        <v>-5.0065</v>
      </c>
      <c r="K25" s="454">
        <f>+[5]전주!$M$86/1000</f>
        <v>-115.86347325209168</v>
      </c>
      <c r="L25" s="452">
        <f>+[5]전주!$Q$85</f>
        <v>103684.06846153847</v>
      </c>
      <c r="M25" s="453">
        <f>+[5]전주!$R$85</f>
        <v>93306.136235691491</v>
      </c>
      <c r="N25" s="165">
        <f t="shared" si="2"/>
        <v>-10377.932225846977</v>
      </c>
      <c r="O25" s="454">
        <f>+[5]전주!$K$86/1000</f>
        <v>-82.95600124730781</v>
      </c>
      <c r="P25" s="452">
        <f>+[5]전주!$Q$50</f>
        <v>80541.459203156031</v>
      </c>
      <c r="Q25" s="453">
        <f>+[5]전주!$R$50</f>
        <v>83520.222888930555</v>
      </c>
      <c r="R25" s="165">
        <f t="shared" si="3"/>
        <v>2978.7636857745238</v>
      </c>
      <c r="S25" s="454">
        <f>+[5]전주!$L$56/1000</f>
        <v>-23.806667529572305</v>
      </c>
      <c r="T25" s="452">
        <f>+([5]전주!$H$80+[5]전주!$H$85)/1000</f>
        <v>51.474132666666669</v>
      </c>
      <c r="U25" s="453">
        <f>+([5]전주!$I$80+[5]전주!$I$85)/1000</f>
        <v>51.801131330000004</v>
      </c>
      <c r="V25" s="165">
        <f t="shared" si="4"/>
        <v>0.3269986633333346</v>
      </c>
      <c r="W25" s="454">
        <f>+([5]전주!$L$80+[5]전주!$L$85)/1000</f>
        <v>-0.32699866333333283</v>
      </c>
      <c r="Y25" s="6">
        <f t="shared" si="5"/>
        <v>7.2830630415410269E-14</v>
      </c>
      <c r="Z25" s="6">
        <f t="shared" si="6"/>
        <v>7.2830630415410269E-8</v>
      </c>
    </row>
    <row r="26" spans="4:26" ht="24" customHeight="1">
      <c r="D26" s="451" t="s">
        <v>33</v>
      </c>
      <c r="E26" s="452">
        <f>+[5]군산!$H$86/1000</f>
        <v>217.12346149631171</v>
      </c>
      <c r="F26" s="453">
        <f>+[5]군산!$I$86/1000</f>
        <v>359.6557620000001</v>
      </c>
      <c r="G26" s="189">
        <f t="shared" si="0"/>
        <v>142.53230050368839</v>
      </c>
      <c r="H26" s="452">
        <f>+[5]군산!$T$5/1000</f>
        <v>7.5</v>
      </c>
      <c r="I26" s="453">
        <f>+[5]군산!$U$5/1000</f>
        <v>10.45</v>
      </c>
      <c r="J26" s="165">
        <f t="shared" si="1"/>
        <v>2.9499999999999993</v>
      </c>
      <c r="K26" s="454">
        <f>+[5]군산!$M$86/1000</f>
        <v>93.307705880401102</v>
      </c>
      <c r="L26" s="452">
        <f>+[5]군산!$Q$85</f>
        <v>108957.96426666666</v>
      </c>
      <c r="M26" s="453">
        <f>+[5]군산!$R$85</f>
        <v>117840.63157894737</v>
      </c>
      <c r="N26" s="165">
        <f t="shared" si="2"/>
        <v>8882.6673122807115</v>
      </c>
      <c r="O26" s="454">
        <f>+[5]군산!$K$86/1000</f>
        <v>92.82387341333343</v>
      </c>
      <c r="P26" s="452">
        <f>+[5]군산!$Q$50</f>
        <v>77328.23345975102</v>
      </c>
      <c r="Q26" s="453">
        <f>+[5]군산!$R$50</f>
        <v>81165.226889952159</v>
      </c>
      <c r="R26" s="165">
        <f t="shared" si="3"/>
        <v>3836.9934302011388</v>
      </c>
      <c r="S26" s="454">
        <f>+[5]군산!$L$56/1000</f>
        <v>-40.096609985601681</v>
      </c>
      <c r="T26" s="452">
        <f>+([5]군산!$H$80+[5]군산!$H$85)/1000</f>
        <v>20.099519555555556</v>
      </c>
      <c r="U26" s="453">
        <f>+([5]군산!$I$80+[5]군산!$I$85)/1000</f>
        <v>23.60218836</v>
      </c>
      <c r="V26" s="165">
        <f t="shared" si="4"/>
        <v>3.5026688044444434</v>
      </c>
      <c r="W26" s="454">
        <f>+([5]군산!$L$80+[5]군산!$L$85)/1000</f>
        <v>-3.5026688044444461</v>
      </c>
      <c r="Y26" s="6">
        <f t="shared" si="5"/>
        <v>-1.5099033134902129E-14</v>
      </c>
      <c r="Z26" s="6">
        <f t="shared" si="6"/>
        <v>-1.5099033134902129E-8</v>
      </c>
    </row>
    <row r="27" spans="4:26" ht="24" customHeight="1">
      <c r="D27" s="451" t="s">
        <v>32</v>
      </c>
      <c r="E27" s="452">
        <f>+[5]원주!$H$86/1000</f>
        <v>88.524752009758899</v>
      </c>
      <c r="F27" s="453">
        <f>+[5]원주!$I$86/1000</f>
        <v>157.52760199999997</v>
      </c>
      <c r="G27" s="189">
        <f t="shared" si="0"/>
        <v>69.002849990241074</v>
      </c>
      <c r="H27" s="452">
        <f>+[5]원주!$T$5/1000</f>
        <v>5</v>
      </c>
      <c r="I27" s="453">
        <f>+[5]원주!$U$5/1000</f>
        <v>6.3490000000000002</v>
      </c>
      <c r="J27" s="165">
        <f t="shared" si="1"/>
        <v>1.3490000000000002</v>
      </c>
      <c r="K27" s="454">
        <f>+[5]원주!$M$86/1000</f>
        <v>27.986455117677412</v>
      </c>
      <c r="L27" s="452">
        <f>+[5]원주!$Q$85</f>
        <v>107900</v>
      </c>
      <c r="M27" s="453">
        <f>+[5]원주!$R$85</f>
        <v>115059.83619467633</v>
      </c>
      <c r="N27" s="165">
        <f t="shared" si="2"/>
        <v>7159.8361946763325</v>
      </c>
      <c r="O27" s="454">
        <f>+[5]원주!$K$86/1000</f>
        <v>45.457800000000042</v>
      </c>
      <c r="P27" s="452">
        <f>+[5]원주!$Q$50</f>
        <v>87153.925042492658</v>
      </c>
      <c r="Q27" s="453">
        <f>+[5]원주!$R$50</f>
        <v>87330.517719325886</v>
      </c>
      <c r="R27" s="165">
        <f t="shared" si="3"/>
        <v>176.59267683322832</v>
      </c>
      <c r="S27" s="454">
        <f>+[5]원주!$L$56/1000</f>
        <v>-1.1211896552141918</v>
      </c>
      <c r="T27" s="452">
        <f>+([5]원주!$H$80+[5]원주!$H$85)/1000</f>
        <v>15.205622777777778</v>
      </c>
      <c r="U27" s="453">
        <f>+([5]원주!$I$80+[5]원주!$I$85)/1000</f>
        <v>18.52583825</v>
      </c>
      <c r="V27" s="165">
        <f t="shared" si="4"/>
        <v>3.3202154722222215</v>
      </c>
      <c r="W27" s="454">
        <f>+([5]원주!$L$80+[5]원주!$L$85)/1000</f>
        <v>-3.3202154722222215</v>
      </c>
      <c r="Y27" s="6">
        <f t="shared" si="5"/>
        <v>3.730349362740526E-14</v>
      </c>
      <c r="Z27" s="6">
        <f t="shared" si="6"/>
        <v>3.730349362740526E-8</v>
      </c>
    </row>
    <row r="28" spans="4:26" ht="24" customHeight="1" thickBot="1">
      <c r="D28" s="500" t="s">
        <v>35</v>
      </c>
      <c r="E28" s="523">
        <f>+[5]제주!$H$86/1000</f>
        <v>122.30759404199407</v>
      </c>
      <c r="F28" s="656">
        <f>+[5]제주!$I$86/1000</f>
        <v>65.194073999999944</v>
      </c>
      <c r="G28" s="198">
        <f t="shared" si="0"/>
        <v>-57.113520041994121</v>
      </c>
      <c r="H28" s="523">
        <f>+[5]제주!$T$5/1000</f>
        <v>6</v>
      </c>
      <c r="I28" s="656">
        <f>+[5]제주!$U$5/1000</f>
        <v>4.6109999999999998</v>
      </c>
      <c r="J28" s="199">
        <f t="shared" si="1"/>
        <v>-1.3890000000000002</v>
      </c>
      <c r="K28" s="657">
        <f>+[5]제주!$M$86/1000</f>
        <v>-33.98292255619937</v>
      </c>
      <c r="L28" s="523">
        <f>+[5]제주!$Q$85</f>
        <v>126800</v>
      </c>
      <c r="M28" s="656">
        <f>+[5]제주!$R$85</f>
        <v>123280.60008674907</v>
      </c>
      <c r="N28" s="199">
        <f t="shared" si="2"/>
        <v>-3519.3999132509343</v>
      </c>
      <c r="O28" s="657">
        <f>+[5]제주!$K$86/1000</f>
        <v>-16.227953000000056</v>
      </c>
      <c r="P28" s="523">
        <f>+[5]제주!$Q$50</f>
        <v>102334.25301929493</v>
      </c>
      <c r="Q28" s="656">
        <f>+[5]제주!$R$50</f>
        <v>103778.01969810513</v>
      </c>
      <c r="R28" s="199">
        <f t="shared" si="3"/>
        <v>1443.7666788101924</v>
      </c>
      <c r="S28" s="657">
        <f>+[5]제주!$L$56/1000</f>
        <v>-6.4869105480310791</v>
      </c>
      <c r="T28" s="523">
        <f>+([5]제주!$H$80+[5]제주!$H$85)/1000</f>
        <v>24.486887842236321</v>
      </c>
      <c r="U28" s="656">
        <f>+([5]제주!$I$80+[5]제주!$I$85)/1000</f>
        <v>24.90262178</v>
      </c>
      <c r="V28" s="199">
        <f t="shared" si="4"/>
        <v>0.41573393776367951</v>
      </c>
      <c r="W28" s="657">
        <f>+([5]제주!$L$80+[5]제주!$L$85)/1000</f>
        <v>-0.41573393776368334</v>
      </c>
      <c r="Y28" s="6">
        <f t="shared" si="5"/>
        <v>6.6890937233665682E-14</v>
      </c>
      <c r="Z28" s="6">
        <f t="shared" si="6"/>
        <v>6.6890937233665682E-8</v>
      </c>
    </row>
    <row r="29" spans="4:26" ht="24" customHeight="1"/>
    <row r="30" spans="4:26" ht="24" customHeight="1"/>
    <row r="31" spans="4:26" ht="24" customHeight="1"/>
    <row r="32" spans="4:26" ht="21.95" customHeight="1">
      <c r="F32" s="592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K27" sqref="K27"/>
      <selection pane="topRight" activeCell="K27" sqref="K27"/>
      <selection pane="bottomLeft" activeCell="K27" sqref="K27"/>
      <selection pane="bottomRight" activeCell="E8" sqref="E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225</v>
      </c>
      <c r="F4" s="184"/>
      <c r="I4" s="184"/>
    </row>
    <row r="5" spans="4:22" ht="21.95" customHeight="1">
      <c r="V5" s="186" t="s">
        <v>150</v>
      </c>
    </row>
    <row r="6" spans="4:22" ht="24" customHeight="1" thickBot="1">
      <c r="D6" s="831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>
      <c r="D7" s="832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+[5]합계!$Q$85</f>
        <v>102211.17607965581</v>
      </c>
      <c r="F8" s="462">
        <f>+[5]합계!$R$85</f>
        <v>100861.45397837207</v>
      </c>
      <c r="G8" s="487">
        <f>+F8-E8</f>
        <v>-1349.7221012837399</v>
      </c>
      <c r="H8" s="460">
        <f>+[5]합계!$Q$20</f>
        <v>58095.375368701323</v>
      </c>
      <c r="I8" s="462">
        <f>+[5]합계!$R$20</f>
        <v>60612.838975550461</v>
      </c>
      <c r="J8" s="487">
        <f>+I8-H8</f>
        <v>2517.4636068491382</v>
      </c>
      <c r="K8" s="460">
        <f>+[5]합계!$Q$21</f>
        <v>17669.012452570361</v>
      </c>
      <c r="L8" s="462">
        <f>+[5]합계!$R$21</f>
        <v>17594.230800749472</v>
      </c>
      <c r="M8" s="487">
        <f>+L8-K8</f>
        <v>-74.781651820889238</v>
      </c>
      <c r="N8" s="460">
        <f>+[5]합계!$Q$22</f>
        <v>192.66062602965403</v>
      </c>
      <c r="O8" s="462">
        <f>+[5]합계!$R$22</f>
        <v>177.62384731070853</v>
      </c>
      <c r="P8" s="487">
        <f>+O8-N8</f>
        <v>-15.036778718945499</v>
      </c>
      <c r="Q8" s="460">
        <f>H8+K8+N8</f>
        <v>75957.048447301335</v>
      </c>
      <c r="R8" s="462">
        <f>I8+L8+O8</f>
        <v>78384.693623610641</v>
      </c>
      <c r="S8" s="487">
        <f>+R8-Q8</f>
        <v>2427.6451763093064</v>
      </c>
      <c r="T8" s="460">
        <f>+E8-Q8</f>
        <v>26254.127632354473</v>
      </c>
      <c r="U8" s="462">
        <f>+F8-R8</f>
        <v>22476.760354761427</v>
      </c>
      <c r="V8" s="487">
        <f>+U8-T8</f>
        <v>-3777.3672775930463</v>
      </c>
    </row>
    <row r="9" spans="4:22" ht="24" customHeight="1">
      <c r="D9" s="471" t="s">
        <v>19</v>
      </c>
      <c r="E9" s="465">
        <f>+[5]수도권!$Q$85</f>
        <v>100194.01396799617</v>
      </c>
      <c r="F9" s="479">
        <f>+[5]수도권!$R$85</f>
        <v>97972.58561150539</v>
      </c>
      <c r="G9" s="488">
        <f t="shared" ref="G9:G28" si="0">+F9-E9</f>
        <v>-2221.4283564907819</v>
      </c>
      <c r="H9" s="465">
        <f>+[5]수도권!$Q$20</f>
        <v>59577.16288713571</v>
      </c>
      <c r="I9" s="479">
        <f>+[5]수도권!$R$20</f>
        <v>62012.859555668612</v>
      </c>
      <c r="J9" s="488">
        <f t="shared" ref="J9:J28" si="1">+I9-H9</f>
        <v>2435.6966685329025</v>
      </c>
      <c r="K9" s="465">
        <f>+[5]수도권!$Q$21</f>
        <v>17540.998611043633</v>
      </c>
      <c r="L9" s="479">
        <f>+[5]수도권!$R$21</f>
        <v>17820.851367072792</v>
      </c>
      <c r="M9" s="488">
        <f t="shared" ref="M9:M28" si="2">+L9-K9</f>
        <v>279.85275602915863</v>
      </c>
      <c r="N9" s="465">
        <f>+[5]수도권!$Q$22</f>
        <v>224.37238493723848</v>
      </c>
      <c r="O9" s="479">
        <f>+[5]수도권!$R$22</f>
        <v>193.79096635904881</v>
      </c>
      <c r="P9" s="488">
        <f t="shared" ref="P9:P28" si="3">+O9-N9</f>
        <v>-30.58141857818967</v>
      </c>
      <c r="Q9" s="465">
        <f t="shared" ref="Q9:Q28" si="4">H9+K9+N9</f>
        <v>77342.533883116572</v>
      </c>
      <c r="R9" s="479">
        <f t="shared" ref="R9:R28" si="5">I9+L9+O9</f>
        <v>80027.501889100458</v>
      </c>
      <c r="S9" s="488">
        <f t="shared" ref="S9:S28" si="6">+R9-Q9</f>
        <v>2684.9680059838865</v>
      </c>
      <c r="T9" s="465">
        <f t="shared" ref="T9:T28" si="7">+E9-Q9</f>
        <v>22851.4800848796</v>
      </c>
      <c r="U9" s="479">
        <f t="shared" ref="U9:U28" si="8">+F9-R9</f>
        <v>17945.083722404932</v>
      </c>
      <c r="V9" s="488">
        <f t="shared" ref="V9:V28" si="9">+U9-T9</f>
        <v>-4906.3963624746684</v>
      </c>
    </row>
    <row r="10" spans="4:22" ht="24" customHeight="1">
      <c r="D10" s="472" t="s">
        <v>20</v>
      </c>
      <c r="E10" s="467">
        <f>+[5]영남권!$Q$85</f>
        <v>102400.98092607004</v>
      </c>
      <c r="F10" s="480">
        <f>+[5]영남권!$R$85</f>
        <v>100840.35619629588</v>
      </c>
      <c r="G10" s="489">
        <f t="shared" si="0"/>
        <v>-1560.6247297741647</v>
      </c>
      <c r="H10" s="467">
        <f>+[5]영남권!$Q$20</f>
        <v>56777.946042888972</v>
      </c>
      <c r="I10" s="480">
        <f>+[5]영남권!$R$20</f>
        <v>59647.826716920958</v>
      </c>
      <c r="J10" s="489">
        <f t="shared" si="1"/>
        <v>2869.8806740319851</v>
      </c>
      <c r="K10" s="467">
        <f>+[5]영남권!$Q$21</f>
        <v>17865.694762002735</v>
      </c>
      <c r="L10" s="480">
        <f>+[5]영남권!$R$21</f>
        <v>18319.327430870151</v>
      </c>
      <c r="M10" s="489">
        <f t="shared" si="2"/>
        <v>453.63266886741621</v>
      </c>
      <c r="N10" s="467">
        <f>+[5]영남권!$Q$22</f>
        <v>176.73151750972764</v>
      </c>
      <c r="O10" s="480">
        <f>+[5]영남권!$R$22</f>
        <v>164.82961620700902</v>
      </c>
      <c r="P10" s="489">
        <f t="shared" si="3"/>
        <v>-11.901901302718613</v>
      </c>
      <c r="Q10" s="467">
        <f t="shared" si="4"/>
        <v>74820.372322401439</v>
      </c>
      <c r="R10" s="480">
        <f t="shared" si="5"/>
        <v>78131.983763998112</v>
      </c>
      <c r="S10" s="489">
        <f t="shared" si="6"/>
        <v>3311.6114415966731</v>
      </c>
      <c r="T10" s="467">
        <f t="shared" si="7"/>
        <v>27580.608603668603</v>
      </c>
      <c r="U10" s="480">
        <f t="shared" si="8"/>
        <v>22708.372432297765</v>
      </c>
      <c r="V10" s="489">
        <f t="shared" si="9"/>
        <v>-4872.2361713708378</v>
      </c>
    </row>
    <row r="11" spans="4:22" ht="24" customHeight="1">
      <c r="D11" s="473" t="s">
        <v>57</v>
      </c>
      <c r="E11" s="468">
        <f>+[5]중부권!$Q$85</f>
        <v>106114.97697297296</v>
      </c>
      <c r="F11" s="481">
        <f>+[5]중부권!$R$85</f>
        <v>106050.92518705317</v>
      </c>
      <c r="G11" s="490">
        <f t="shared" si="0"/>
        <v>-64.051785919786198</v>
      </c>
      <c r="H11" s="468">
        <f>+[5]중부권!$Q$20</f>
        <v>57955.124195980185</v>
      </c>
      <c r="I11" s="481">
        <f>+[5]중부권!$R$20</f>
        <v>60337.555812214378</v>
      </c>
      <c r="J11" s="490">
        <f t="shared" si="1"/>
        <v>2382.4316162341929</v>
      </c>
      <c r="K11" s="468">
        <f>+[5]중부권!$Q$21</f>
        <v>17489.264295820503</v>
      </c>
      <c r="L11" s="481">
        <f>+[5]중부권!$R$21</f>
        <v>15529.082276692978</v>
      </c>
      <c r="M11" s="490">
        <f t="shared" si="2"/>
        <v>-1960.1820191275256</v>
      </c>
      <c r="N11" s="468">
        <f>+[5]중부권!$Q$22</f>
        <v>161.26126126126124</v>
      </c>
      <c r="O11" s="481">
        <f>+[5]중부권!$R$22</f>
        <v>178.22906522642296</v>
      </c>
      <c r="P11" s="490">
        <f t="shared" si="3"/>
        <v>16.967803965161721</v>
      </c>
      <c r="Q11" s="468">
        <f t="shared" si="4"/>
        <v>75605.649753061953</v>
      </c>
      <c r="R11" s="481">
        <f t="shared" si="5"/>
        <v>76044.867154133768</v>
      </c>
      <c r="S11" s="490">
        <f t="shared" si="6"/>
        <v>439.2174010718154</v>
      </c>
      <c r="T11" s="468">
        <f t="shared" si="7"/>
        <v>30509.327219911007</v>
      </c>
      <c r="U11" s="481">
        <f t="shared" si="8"/>
        <v>30006.058032919405</v>
      </c>
      <c r="V11" s="490">
        <f t="shared" si="9"/>
        <v>-503.2691869916016</v>
      </c>
    </row>
    <row r="12" spans="4:22" ht="24" customHeight="1">
      <c r="D12" s="485" t="s">
        <v>22</v>
      </c>
      <c r="E12" s="491">
        <f>+[5]안양!$Q$85</f>
        <v>101280.96395348838</v>
      </c>
      <c r="F12" s="492">
        <f>+[5]안양!$R$85</f>
        <v>100399.69886959231</v>
      </c>
      <c r="G12" s="493">
        <f t="shared" si="0"/>
        <v>-881.26508389606897</v>
      </c>
      <c r="H12" s="491">
        <f>+[5]안양!$Q$20</f>
        <v>61813.997150537638</v>
      </c>
      <c r="I12" s="492">
        <f>+[5]안양!$R$20</f>
        <v>64537.132538311191</v>
      </c>
      <c r="J12" s="493">
        <f t="shared" si="1"/>
        <v>2723.1353877735528</v>
      </c>
      <c r="K12" s="491">
        <f>+[5]안양!$Q$21</f>
        <v>16656.429320685438</v>
      </c>
      <c r="L12" s="492">
        <f>+[5]안양!$R$21</f>
        <v>16559.934424836418</v>
      </c>
      <c r="M12" s="493">
        <f t="shared" si="2"/>
        <v>-96.494895849020395</v>
      </c>
      <c r="N12" s="491">
        <f>+[5]안양!$Q$22</f>
        <v>190.69767441860466</v>
      </c>
      <c r="O12" s="492">
        <f>+[5]안양!$R$22</f>
        <v>196.22372036370848</v>
      </c>
      <c r="P12" s="493">
        <f t="shared" si="3"/>
        <v>5.5260459451038173</v>
      </c>
      <c r="Q12" s="491">
        <f t="shared" si="4"/>
        <v>78661.12414564169</v>
      </c>
      <c r="R12" s="492">
        <f t="shared" si="5"/>
        <v>81293.29068351131</v>
      </c>
      <c r="S12" s="493">
        <f t="shared" si="6"/>
        <v>2632.1665378696198</v>
      </c>
      <c r="T12" s="491">
        <f t="shared" si="7"/>
        <v>22619.839807846685</v>
      </c>
      <c r="U12" s="492">
        <f t="shared" si="8"/>
        <v>19106.408186080997</v>
      </c>
      <c r="V12" s="493">
        <f t="shared" si="9"/>
        <v>-3513.4316217656888</v>
      </c>
    </row>
    <row r="13" spans="4:22" ht="24" customHeight="1">
      <c r="D13" s="451" t="s">
        <v>23</v>
      </c>
      <c r="E13" s="494">
        <f>+[5]인천!$Q$85</f>
        <v>101383.64833333335</v>
      </c>
      <c r="F13" s="495">
        <f>+[5]인천!$R$85</f>
        <v>98667.487797300564</v>
      </c>
      <c r="G13" s="496">
        <f t="shared" si="0"/>
        <v>-2716.1605360327812</v>
      </c>
      <c r="H13" s="494">
        <f>+[5]인천!$Q$20</f>
        <v>62596.653781423804</v>
      </c>
      <c r="I13" s="495">
        <f>+[5]인천!$R$20</f>
        <v>63918.035064710959</v>
      </c>
      <c r="J13" s="496">
        <f t="shared" si="1"/>
        <v>1321.3812832871554</v>
      </c>
      <c r="K13" s="494">
        <f>+[5]인천!$Q$21</f>
        <v>17611.738996563574</v>
      </c>
      <c r="L13" s="495">
        <f>+[5]인천!$R$21</f>
        <v>17460.536911130283</v>
      </c>
      <c r="M13" s="496">
        <f t="shared" si="2"/>
        <v>-151.20208543329136</v>
      </c>
      <c r="N13" s="494">
        <f>+[5]인천!$Q$22</f>
        <v>366.66666666666663</v>
      </c>
      <c r="O13" s="495">
        <f>+[5]인천!$R$22</f>
        <v>306.79537532355482</v>
      </c>
      <c r="P13" s="496">
        <f t="shared" si="3"/>
        <v>-59.871291343111807</v>
      </c>
      <c r="Q13" s="494">
        <f t="shared" si="4"/>
        <v>80575.059444654049</v>
      </c>
      <c r="R13" s="495">
        <f t="shared" si="5"/>
        <v>81685.367351164794</v>
      </c>
      <c r="S13" s="496">
        <f t="shared" si="6"/>
        <v>1110.3079065107449</v>
      </c>
      <c r="T13" s="494">
        <f t="shared" si="7"/>
        <v>20808.588888679296</v>
      </c>
      <c r="U13" s="495">
        <f t="shared" si="8"/>
        <v>16982.12044613577</v>
      </c>
      <c r="V13" s="496">
        <f t="shared" si="9"/>
        <v>-3826.4684425435262</v>
      </c>
    </row>
    <row r="14" spans="4:22" ht="24" customHeight="1">
      <c r="D14" s="451" t="s">
        <v>24</v>
      </c>
      <c r="E14" s="494">
        <f>+[5]파주!$Q$85</f>
        <v>99754.402470555084</v>
      </c>
      <c r="F14" s="495">
        <f>+[5]파주!$R$85</f>
        <v>94837.487556385124</v>
      </c>
      <c r="G14" s="496">
        <f t="shared" si="0"/>
        <v>-4916.91491416996</v>
      </c>
      <c r="H14" s="494">
        <f>+[5]파주!$Q$20</f>
        <v>56754.468572081416</v>
      </c>
      <c r="I14" s="495">
        <f>+[5]파주!$R$20</f>
        <v>59644.373541763882</v>
      </c>
      <c r="J14" s="496">
        <f t="shared" si="1"/>
        <v>2889.9049696824659</v>
      </c>
      <c r="K14" s="494">
        <f>+[5]파주!$Q$21</f>
        <v>18613.020357142857</v>
      </c>
      <c r="L14" s="495">
        <f>+[5]파주!$R$21</f>
        <v>19780.488962772852</v>
      </c>
      <c r="M14" s="496">
        <f t="shared" si="2"/>
        <v>1167.4686056299943</v>
      </c>
      <c r="N14" s="494">
        <f>+[5]파주!$Q$22</f>
        <v>202.5</v>
      </c>
      <c r="O14" s="495">
        <f>+[5]파주!$R$22</f>
        <v>124.11731347539794</v>
      </c>
      <c r="P14" s="496">
        <f t="shared" si="3"/>
        <v>-78.382686524602065</v>
      </c>
      <c r="Q14" s="494">
        <f t="shared" si="4"/>
        <v>75569.988929224273</v>
      </c>
      <c r="R14" s="495">
        <f t="shared" si="5"/>
        <v>79548.979818012129</v>
      </c>
      <c r="S14" s="496">
        <f t="shared" si="6"/>
        <v>3978.9908887878555</v>
      </c>
      <c r="T14" s="494">
        <f t="shared" si="7"/>
        <v>24184.41354133081</v>
      </c>
      <c r="U14" s="495">
        <f t="shared" si="8"/>
        <v>15288.507738372995</v>
      </c>
      <c r="V14" s="496">
        <f t="shared" si="9"/>
        <v>-8895.9058029578155</v>
      </c>
    </row>
    <row r="15" spans="4:22" ht="24" customHeight="1">
      <c r="D15" s="451" t="s">
        <v>178</v>
      </c>
      <c r="E15" s="494">
        <f>+[5]김포!$Q$85</f>
        <v>96403.810810810814</v>
      </c>
      <c r="F15" s="495">
        <f>+[5]김포!$R$85</f>
        <v>97204.531642348156</v>
      </c>
      <c r="G15" s="496">
        <f t="shared" si="0"/>
        <v>800.72083153734275</v>
      </c>
      <c r="H15" s="494">
        <f>+[5]김포!$Q$20</f>
        <v>53753.748869113828</v>
      </c>
      <c r="I15" s="495">
        <f>+[5]김포!$R$20</f>
        <v>55972.553765264594</v>
      </c>
      <c r="J15" s="496">
        <f t="shared" si="1"/>
        <v>2218.8048961507666</v>
      </c>
      <c r="K15" s="494">
        <f>+[5]김포!$Q$21</f>
        <v>17859.79099099099</v>
      </c>
      <c r="L15" s="495">
        <f>+[5]김포!$R$21</f>
        <v>17352.857276119405</v>
      </c>
      <c r="M15" s="496">
        <f t="shared" si="2"/>
        <v>-506.93371487158583</v>
      </c>
      <c r="N15" s="494">
        <f>+[5]김포!$Q$22</f>
        <v>105</v>
      </c>
      <c r="O15" s="495">
        <f>+[5]김포!$R$22</f>
        <v>91.1694369063772</v>
      </c>
      <c r="P15" s="496">
        <f t="shared" si="3"/>
        <v>-13.8305630936228</v>
      </c>
      <c r="Q15" s="494">
        <f t="shared" si="4"/>
        <v>71718.539860104822</v>
      </c>
      <c r="R15" s="495">
        <f t="shared" si="5"/>
        <v>73416.580478290372</v>
      </c>
      <c r="S15" s="496">
        <f t="shared" si="6"/>
        <v>1698.0406181855506</v>
      </c>
      <c r="T15" s="494">
        <f t="shared" si="7"/>
        <v>24685.270950705992</v>
      </c>
      <c r="U15" s="495">
        <f t="shared" si="8"/>
        <v>23787.951164057784</v>
      </c>
      <c r="V15" s="496">
        <f t="shared" si="9"/>
        <v>-897.31978664820781</v>
      </c>
    </row>
    <row r="16" spans="4:22" ht="24" customHeight="1">
      <c r="D16" s="486" t="s">
        <v>25</v>
      </c>
      <c r="E16" s="497">
        <f>+[5]부산!$Q$85</f>
        <v>107599.94745000001</v>
      </c>
      <c r="F16" s="498">
        <f>+[5]부산!$R$85</f>
        <v>106112.66677340164</v>
      </c>
      <c r="G16" s="499">
        <f t="shared" si="0"/>
        <v>-1487.2806765983696</v>
      </c>
      <c r="H16" s="497">
        <f>+[5]부산!$Q$20</f>
        <v>58434.673913916733</v>
      </c>
      <c r="I16" s="498">
        <f>+[5]부산!$R$20</f>
        <v>62875.948345784418</v>
      </c>
      <c r="J16" s="499">
        <f t="shared" si="1"/>
        <v>4441.2744318676851</v>
      </c>
      <c r="K16" s="497">
        <f>+[5]부산!$Q$21</f>
        <v>19641.118055555558</v>
      </c>
      <c r="L16" s="498">
        <f>+[5]부산!$R$21</f>
        <v>19899.977534685167</v>
      </c>
      <c r="M16" s="499">
        <f t="shared" si="2"/>
        <v>258.8594791296091</v>
      </c>
      <c r="N16" s="497">
        <f>+[5]부산!$Q$22</f>
        <v>50</v>
      </c>
      <c r="O16" s="498">
        <f>+[5]부산!$R$22</f>
        <v>0</v>
      </c>
      <c r="P16" s="499">
        <f t="shared" si="3"/>
        <v>-50</v>
      </c>
      <c r="Q16" s="497">
        <f t="shared" si="4"/>
        <v>78125.791969472295</v>
      </c>
      <c r="R16" s="498">
        <f t="shared" si="5"/>
        <v>82775.925880469586</v>
      </c>
      <c r="S16" s="499">
        <f t="shared" si="6"/>
        <v>4650.1339109972905</v>
      </c>
      <c r="T16" s="497">
        <f t="shared" si="7"/>
        <v>29474.155480527712</v>
      </c>
      <c r="U16" s="498">
        <f t="shared" si="8"/>
        <v>23336.740892932052</v>
      </c>
      <c r="V16" s="499">
        <f t="shared" si="9"/>
        <v>-6137.4145875956601</v>
      </c>
    </row>
    <row r="17" spans="4:22" ht="24" customHeight="1">
      <c r="D17" s="451" t="s">
        <v>26</v>
      </c>
      <c r="E17" s="494">
        <f>+[5]서부산!$Q$85</f>
        <v>104325.31199999999</v>
      </c>
      <c r="F17" s="495">
        <f>+[5]서부산!$R$85</f>
        <v>99811.027071612873</v>
      </c>
      <c r="G17" s="496">
        <f t="shared" si="0"/>
        <v>-4514.2849283871183</v>
      </c>
      <c r="H17" s="494">
        <f>+[5]서부산!$Q$20</f>
        <v>60014.545193805083</v>
      </c>
      <c r="I17" s="495">
        <f>+[5]서부산!$R$20</f>
        <v>60306.886328272842</v>
      </c>
      <c r="J17" s="496">
        <f t="shared" si="1"/>
        <v>292.34113446775882</v>
      </c>
      <c r="K17" s="494">
        <f>+[5]서부산!$Q$21</f>
        <v>16267.667010309278</v>
      </c>
      <c r="L17" s="495">
        <f>+[5]서부산!$R$21</f>
        <v>17308.913032507677</v>
      </c>
      <c r="M17" s="496">
        <f t="shared" si="2"/>
        <v>1041.2460221983984</v>
      </c>
      <c r="N17" s="494">
        <f>+[5]서부산!$Q$22</f>
        <v>80</v>
      </c>
      <c r="O17" s="495">
        <f>+[5]서부산!$R$22</f>
        <v>236.0908364523319</v>
      </c>
      <c r="P17" s="496">
        <f t="shared" si="3"/>
        <v>156.0908364523319</v>
      </c>
      <c r="Q17" s="494">
        <f t="shared" si="4"/>
        <v>76362.212204114359</v>
      </c>
      <c r="R17" s="495">
        <f t="shared" si="5"/>
        <v>77851.890197232846</v>
      </c>
      <c r="S17" s="496">
        <f t="shared" si="6"/>
        <v>1489.6779931184865</v>
      </c>
      <c r="T17" s="494">
        <f t="shared" si="7"/>
        <v>27963.099795885631</v>
      </c>
      <c r="U17" s="495">
        <f t="shared" si="8"/>
        <v>21959.136874380027</v>
      </c>
      <c r="V17" s="496">
        <f t="shared" si="9"/>
        <v>-6003.9629215056048</v>
      </c>
    </row>
    <row r="18" spans="4:22" ht="24" customHeight="1">
      <c r="D18" s="451" t="s">
        <v>27</v>
      </c>
      <c r="E18" s="494">
        <f>+[5]김해!$Q$85</f>
        <v>101000.2</v>
      </c>
      <c r="F18" s="495">
        <f>+[5]김해!$R$85</f>
        <v>93546.074494054657</v>
      </c>
      <c r="G18" s="496">
        <f t="shared" si="0"/>
        <v>-7454.1255059453397</v>
      </c>
      <c r="H18" s="494">
        <f>+[5]김해!$Q$20</f>
        <v>57614.511658620941</v>
      </c>
      <c r="I18" s="495">
        <f>+[5]김해!$R$20</f>
        <v>58123.157886447749</v>
      </c>
      <c r="J18" s="496">
        <f t="shared" si="1"/>
        <v>508.64622782680817</v>
      </c>
      <c r="K18" s="494">
        <f>+[5]김해!$Q$21</f>
        <v>18115.390073099417</v>
      </c>
      <c r="L18" s="495">
        <f>+[5]김해!$R$21</f>
        <v>19056.375777620284</v>
      </c>
      <c r="M18" s="496">
        <f t="shared" si="2"/>
        <v>940.98570452086642</v>
      </c>
      <c r="N18" s="494">
        <f>+[5]김해!$Q$22</f>
        <v>408.33333333333331</v>
      </c>
      <c r="O18" s="495">
        <f>+[5]김해!$R$22</f>
        <v>423.27498228206946</v>
      </c>
      <c r="P18" s="496">
        <f t="shared" si="3"/>
        <v>14.941648948736145</v>
      </c>
      <c r="Q18" s="494">
        <f t="shared" si="4"/>
        <v>76138.235065053683</v>
      </c>
      <c r="R18" s="495">
        <f t="shared" si="5"/>
        <v>77602.808646350095</v>
      </c>
      <c r="S18" s="496">
        <f t="shared" si="6"/>
        <v>1464.5735812964122</v>
      </c>
      <c r="T18" s="494">
        <f t="shared" si="7"/>
        <v>24861.964934946314</v>
      </c>
      <c r="U18" s="495">
        <f t="shared" si="8"/>
        <v>15943.265847704562</v>
      </c>
      <c r="V18" s="496">
        <f t="shared" si="9"/>
        <v>-8918.6990872417518</v>
      </c>
    </row>
    <row r="19" spans="4:22" ht="24" customHeight="1">
      <c r="D19" s="451" t="s">
        <v>28</v>
      </c>
      <c r="E19" s="494">
        <f>+[5]정관!$Q$85</f>
        <v>104000</v>
      </c>
      <c r="F19" s="495">
        <f>+[5]정관!$R$85</f>
        <v>99712.724673202611</v>
      </c>
      <c r="G19" s="496">
        <f t="shared" si="0"/>
        <v>-4287.2753267973894</v>
      </c>
      <c r="H19" s="494">
        <f>+[5]정관!$Q$20</f>
        <v>58551.054132545098</v>
      </c>
      <c r="I19" s="495">
        <f>+[5]정관!$R$20</f>
        <v>61375.134140114373</v>
      </c>
      <c r="J19" s="496">
        <f t="shared" si="1"/>
        <v>2824.080007569275</v>
      </c>
      <c r="K19" s="494">
        <f>+[5]정관!$Q$21</f>
        <v>19052.270915032677</v>
      </c>
      <c r="L19" s="495">
        <f>+[5]정관!$R$21</f>
        <v>19304.753421160134</v>
      </c>
      <c r="M19" s="496">
        <f t="shared" si="2"/>
        <v>252.48250612745687</v>
      </c>
      <c r="N19" s="494">
        <f>+[5]정관!$Q$22</f>
        <v>264.70588235294116</v>
      </c>
      <c r="O19" s="495">
        <f>+[5]정관!$R$22</f>
        <v>164.78135212418303</v>
      </c>
      <c r="P19" s="496">
        <f t="shared" si="3"/>
        <v>-99.92453022875813</v>
      </c>
      <c r="Q19" s="494">
        <f t="shared" si="4"/>
        <v>77868.030929930712</v>
      </c>
      <c r="R19" s="495">
        <f t="shared" si="5"/>
        <v>80844.66891339868</v>
      </c>
      <c r="S19" s="496">
        <f t="shared" si="6"/>
        <v>2976.6379834679683</v>
      </c>
      <c r="T19" s="494">
        <f t="shared" si="7"/>
        <v>26131.969070069288</v>
      </c>
      <c r="U19" s="495">
        <f t="shared" si="8"/>
        <v>18868.05575980393</v>
      </c>
      <c r="V19" s="496">
        <f t="shared" si="9"/>
        <v>-7263.9133102653577</v>
      </c>
    </row>
    <row r="20" spans="4:22" ht="24" customHeight="1">
      <c r="D20" s="451" t="s">
        <v>29</v>
      </c>
      <c r="E20" s="494">
        <f>+[5]양산!$Q$85</f>
        <v>96385.316000000021</v>
      </c>
      <c r="F20" s="495">
        <f>+[5]양산!$R$85</f>
        <v>93310.47098750103</v>
      </c>
      <c r="G20" s="496">
        <f t="shared" si="0"/>
        <v>-3074.8450124989904</v>
      </c>
      <c r="H20" s="494">
        <f>+[5]양산!$Q$20</f>
        <v>52148.830111239666</v>
      </c>
      <c r="I20" s="495">
        <f>+[5]양산!$R$20</f>
        <v>57321.565267775848</v>
      </c>
      <c r="J20" s="496">
        <f t="shared" si="1"/>
        <v>5172.7351565361823</v>
      </c>
      <c r="K20" s="494">
        <f>+[5]양산!$Q$21</f>
        <v>17353.761228070176</v>
      </c>
      <c r="L20" s="495">
        <f>+[5]양산!$R$21</f>
        <v>17054.165466434897</v>
      </c>
      <c r="M20" s="496">
        <f t="shared" si="2"/>
        <v>-299.5957616352789</v>
      </c>
      <c r="N20" s="494">
        <f>+[5]양산!$Q$22</f>
        <v>95</v>
      </c>
      <c r="O20" s="495">
        <f>+[5]양산!$R$22</f>
        <v>18.109014154457412</v>
      </c>
      <c r="P20" s="496">
        <f t="shared" si="3"/>
        <v>-76.890985845542588</v>
      </c>
      <c r="Q20" s="494">
        <f t="shared" si="4"/>
        <v>69597.591339309845</v>
      </c>
      <c r="R20" s="495">
        <f t="shared" si="5"/>
        <v>74393.839748365208</v>
      </c>
      <c r="S20" s="496">
        <f t="shared" si="6"/>
        <v>4796.2484090553626</v>
      </c>
      <c r="T20" s="494">
        <f t="shared" si="7"/>
        <v>26787.724660690175</v>
      </c>
      <c r="U20" s="495">
        <f t="shared" si="8"/>
        <v>18916.631239135822</v>
      </c>
      <c r="V20" s="496">
        <f t="shared" si="9"/>
        <v>-7871.093421554353</v>
      </c>
    </row>
    <row r="21" spans="4:22" ht="24" customHeight="1">
      <c r="D21" s="451" t="s">
        <v>30</v>
      </c>
      <c r="E21" s="494">
        <f>+[5]창원!$Q$85</f>
        <v>101651</v>
      </c>
      <c r="F21" s="495">
        <f>+[5]창원!$R$85</f>
        <v>99143.406486696447</v>
      </c>
      <c r="G21" s="496">
        <f t="shared" si="0"/>
        <v>-2507.5935133035528</v>
      </c>
      <c r="H21" s="494">
        <f>+[5]창원!$Q$20</f>
        <v>55737.794304783092</v>
      </c>
      <c r="I21" s="495">
        <f>+[5]창원!$R$20</f>
        <v>58671.529034764033</v>
      </c>
      <c r="J21" s="496">
        <f t="shared" si="1"/>
        <v>2933.7347299809408</v>
      </c>
      <c r="K21" s="494">
        <f>+[5]창원!$Q$21</f>
        <v>16492.246558197745</v>
      </c>
      <c r="L21" s="495">
        <f>+[5]창원!$R$21</f>
        <v>16016.312876286658</v>
      </c>
      <c r="M21" s="496">
        <f t="shared" si="2"/>
        <v>-475.93368191108675</v>
      </c>
      <c r="N21" s="494">
        <f>+[5]창원!$Q$22</f>
        <v>70.588235294117652</v>
      </c>
      <c r="O21" s="495">
        <f>+[5]창원!$R$22</f>
        <v>71.476257525733146</v>
      </c>
      <c r="P21" s="496">
        <f t="shared" si="3"/>
        <v>0.88802223161549421</v>
      </c>
      <c r="Q21" s="494">
        <f t="shared" si="4"/>
        <v>72300.629098274949</v>
      </c>
      <c r="R21" s="495">
        <f t="shared" si="5"/>
        <v>74759.318168576428</v>
      </c>
      <c r="S21" s="496">
        <f t="shared" si="6"/>
        <v>2458.6890703014797</v>
      </c>
      <c r="T21" s="494">
        <f t="shared" si="7"/>
        <v>29350.370901725051</v>
      </c>
      <c r="U21" s="495">
        <f t="shared" si="8"/>
        <v>24384.088318120019</v>
      </c>
      <c r="V21" s="496">
        <f t="shared" si="9"/>
        <v>-4966.2825836050324</v>
      </c>
    </row>
    <row r="22" spans="4:22" ht="24" customHeight="1">
      <c r="D22" s="451" t="s">
        <v>95</v>
      </c>
      <c r="E22" s="494">
        <f>+[5]대구!$Q$85</f>
        <v>97760</v>
      </c>
      <c r="F22" s="495">
        <f>+[5]대구!$R$85</f>
        <v>105888.73660462494</v>
      </c>
      <c r="G22" s="496">
        <f t="shared" si="0"/>
        <v>8128.7366046249372</v>
      </c>
      <c r="H22" s="494">
        <f>+[5]대구!$Q$20</f>
        <v>51286.244645768376</v>
      </c>
      <c r="I22" s="495">
        <f>+[5]대구!$R$20</f>
        <v>56839.957223264537</v>
      </c>
      <c r="J22" s="496">
        <f t="shared" si="1"/>
        <v>5553.7125774961605</v>
      </c>
      <c r="K22" s="494">
        <f>+[5]대구!$Q$21</f>
        <v>16751.031174242424</v>
      </c>
      <c r="L22" s="495">
        <f>+[5]대구!$R$21</f>
        <v>19418.015822388992</v>
      </c>
      <c r="M22" s="496">
        <f t="shared" si="2"/>
        <v>2666.9846481465684</v>
      </c>
      <c r="N22" s="494">
        <f>+[5]대구!$Q$22</f>
        <v>321.21212121212125</v>
      </c>
      <c r="O22" s="495">
        <f>+[5]대구!$R$22</f>
        <v>237.70237648530332</v>
      </c>
      <c r="P22" s="496">
        <f t="shared" si="3"/>
        <v>-83.509744726817928</v>
      </c>
      <c r="Q22" s="494">
        <f t="shared" si="4"/>
        <v>68358.487941222935</v>
      </c>
      <c r="R22" s="495">
        <f t="shared" si="5"/>
        <v>76495.67542213884</v>
      </c>
      <c r="S22" s="496">
        <f t="shared" si="6"/>
        <v>8137.1874809159053</v>
      </c>
      <c r="T22" s="494">
        <f t="shared" si="7"/>
        <v>29401.512058777065</v>
      </c>
      <c r="U22" s="495">
        <f t="shared" si="8"/>
        <v>29393.061182486097</v>
      </c>
      <c r="V22" s="496">
        <f t="shared" si="9"/>
        <v>-8.4508762909681536</v>
      </c>
    </row>
    <row r="23" spans="4:22" ht="24" customHeight="1">
      <c r="D23" s="451" t="s">
        <v>97</v>
      </c>
      <c r="E23" s="494">
        <f>+[5]울산!$Q$85</f>
        <v>101221.06727272726</v>
      </c>
      <c r="F23" s="495">
        <f>+[5]울산!$R$85</f>
        <v>106746.63010485651</v>
      </c>
      <c r="G23" s="496">
        <f t="shared" si="0"/>
        <v>5525.5628321292461</v>
      </c>
      <c r="H23" s="494">
        <f>+[5]울산!$Q$20</f>
        <v>56810.277934742313</v>
      </c>
      <c r="I23" s="495">
        <f>+[5]울산!$R$20</f>
        <v>59818.675772626935</v>
      </c>
      <c r="J23" s="496">
        <f t="shared" si="1"/>
        <v>3008.3978378846223</v>
      </c>
      <c r="K23" s="494">
        <f>+[5]울산!$Q$21</f>
        <v>20423.330542790543</v>
      </c>
      <c r="L23" s="495">
        <f>+[5]울산!$R$21</f>
        <v>19070.995722958058</v>
      </c>
      <c r="M23" s="496">
        <f t="shared" si="2"/>
        <v>-1352.3348198324857</v>
      </c>
      <c r="N23" s="494">
        <f>+[5]울산!$Q$22</f>
        <v>260</v>
      </c>
      <c r="O23" s="495">
        <f>+[5]울산!$R$22</f>
        <v>209.2098509933775</v>
      </c>
      <c r="P23" s="496">
        <f t="shared" si="3"/>
        <v>-50.790149006622499</v>
      </c>
      <c r="Q23" s="494">
        <f t="shared" si="4"/>
        <v>77493.608477532864</v>
      </c>
      <c r="R23" s="495">
        <f t="shared" si="5"/>
        <v>79098.881346578361</v>
      </c>
      <c r="S23" s="496">
        <f t="shared" si="6"/>
        <v>1605.2728690454969</v>
      </c>
      <c r="T23" s="494">
        <f t="shared" si="7"/>
        <v>23727.458795194398</v>
      </c>
      <c r="U23" s="495">
        <f t="shared" si="8"/>
        <v>27647.748758278147</v>
      </c>
      <c r="V23" s="496">
        <f t="shared" si="9"/>
        <v>3920.2899630837492</v>
      </c>
    </row>
    <row r="24" spans="4:22" ht="24" customHeight="1">
      <c r="D24" s="486" t="s">
        <v>31</v>
      </c>
      <c r="E24" s="497">
        <f>+[5]아산!$Q$85</f>
        <v>101000.15</v>
      </c>
      <c r="F24" s="498">
        <f>+[5]아산!$R$85</f>
        <v>100900.77462263228</v>
      </c>
      <c r="G24" s="499">
        <f t="shared" si="0"/>
        <v>-99.375377367716283</v>
      </c>
      <c r="H24" s="497">
        <f>+[5]아산!$Q$20</f>
        <v>55812.421152453346</v>
      </c>
      <c r="I24" s="498">
        <f>+[5]아산!$R$20</f>
        <v>58932.597831042789</v>
      </c>
      <c r="J24" s="499">
        <f t="shared" si="1"/>
        <v>3120.1766785894433</v>
      </c>
      <c r="K24" s="497">
        <f>+[5]아산!$Q$21</f>
        <v>19763.523670212766</v>
      </c>
      <c r="L24" s="498">
        <f>+[5]아산!$R$21</f>
        <v>16713.825766951086</v>
      </c>
      <c r="M24" s="499">
        <f t="shared" si="2"/>
        <v>-3049.69790326168</v>
      </c>
      <c r="N24" s="497">
        <f>+[5]아산!$Q$22</f>
        <v>166.66666666666666</v>
      </c>
      <c r="O24" s="498">
        <f>+[5]아산!$R$22</f>
        <v>179.94437569204715</v>
      </c>
      <c r="P24" s="499">
        <f t="shared" si="3"/>
        <v>13.277709025380489</v>
      </c>
      <c r="Q24" s="497">
        <f t="shared" si="4"/>
        <v>75742.61148933279</v>
      </c>
      <c r="R24" s="498">
        <f t="shared" si="5"/>
        <v>75826.367973685934</v>
      </c>
      <c r="S24" s="499">
        <f t="shared" si="6"/>
        <v>83.756484353143605</v>
      </c>
      <c r="T24" s="497">
        <f t="shared" si="7"/>
        <v>25257.538510667204</v>
      </c>
      <c r="U24" s="498">
        <f t="shared" si="8"/>
        <v>25074.406648946344</v>
      </c>
      <c r="V24" s="499">
        <f t="shared" si="9"/>
        <v>-183.13186172085989</v>
      </c>
    </row>
    <row r="25" spans="4:22" ht="24" customHeight="1">
      <c r="D25" s="451" t="s">
        <v>34</v>
      </c>
      <c r="E25" s="494">
        <f>+[5]전주!$Q$85</f>
        <v>103684.06846153847</v>
      </c>
      <c r="F25" s="495">
        <f>+[5]전주!$R$85</f>
        <v>93306.136235691491</v>
      </c>
      <c r="G25" s="496">
        <f t="shared" si="0"/>
        <v>-10377.932225846977</v>
      </c>
      <c r="H25" s="494">
        <f>+[5]전주!$Q$20</f>
        <v>55672.904841675932</v>
      </c>
      <c r="I25" s="495">
        <f>+[5]전주!$R$20</f>
        <v>53499.444340271257</v>
      </c>
      <c r="J25" s="496">
        <f t="shared" si="1"/>
        <v>-2173.4605014046756</v>
      </c>
      <c r="K25" s="494">
        <f>+[5]전주!$Q$21</f>
        <v>17127.598606286188</v>
      </c>
      <c r="L25" s="495">
        <f>+[5]전주!$R$21</f>
        <v>15715.04831551972</v>
      </c>
      <c r="M25" s="496">
        <f t="shared" si="2"/>
        <v>-1412.5502907664686</v>
      </c>
      <c r="N25" s="494">
        <f>+[5]전주!$Q$22</f>
        <v>230.76923076923077</v>
      </c>
      <c r="O25" s="495">
        <f>+[5]전주!$R$22</f>
        <v>185.25945371585723</v>
      </c>
      <c r="P25" s="496">
        <f t="shared" si="3"/>
        <v>-45.50977705337354</v>
      </c>
      <c r="Q25" s="494">
        <f t="shared" si="4"/>
        <v>73031.272678731359</v>
      </c>
      <c r="R25" s="495">
        <f t="shared" si="5"/>
        <v>69399.752109506837</v>
      </c>
      <c r="S25" s="496">
        <f t="shared" si="6"/>
        <v>-3631.5205692245218</v>
      </c>
      <c r="T25" s="494">
        <f t="shared" si="7"/>
        <v>30652.795782807108</v>
      </c>
      <c r="U25" s="495">
        <f t="shared" si="8"/>
        <v>23906.384126184654</v>
      </c>
      <c r="V25" s="496">
        <f t="shared" si="9"/>
        <v>-6746.4116566224548</v>
      </c>
    </row>
    <row r="26" spans="4:22" ht="24" customHeight="1">
      <c r="D26" s="451" t="s">
        <v>33</v>
      </c>
      <c r="E26" s="494">
        <f>+[5]군산!$Q$85</f>
        <v>108957.96426666666</v>
      </c>
      <c r="F26" s="495">
        <f>+[5]군산!$R$85</f>
        <v>117840.63157894737</v>
      </c>
      <c r="G26" s="496">
        <f t="shared" si="0"/>
        <v>8882.6673122807115</v>
      </c>
      <c r="H26" s="494">
        <f>+[5]군산!$Q$20</f>
        <v>56594.986559139783</v>
      </c>
      <c r="I26" s="495">
        <f>+[5]군산!$R$20</f>
        <v>62479.875502392351</v>
      </c>
      <c r="J26" s="496">
        <f t="shared" si="1"/>
        <v>5884.8889432525684</v>
      </c>
      <c r="K26" s="494">
        <f>+[5]군산!$Q$21</f>
        <v>12670.57211340206</v>
      </c>
      <c r="L26" s="495">
        <f>+[5]군산!$R$21</f>
        <v>13213.551004784689</v>
      </c>
      <c r="M26" s="496">
        <f t="shared" si="2"/>
        <v>542.97889138262872</v>
      </c>
      <c r="N26" s="494">
        <f>+[5]군산!$Q$22</f>
        <v>60</v>
      </c>
      <c r="O26" s="495">
        <f>+[5]군산!$R$22</f>
        <v>43.295789473684209</v>
      </c>
      <c r="P26" s="496">
        <f t="shared" si="3"/>
        <v>-16.704210526315791</v>
      </c>
      <c r="Q26" s="494">
        <f t="shared" si="4"/>
        <v>69325.55867254184</v>
      </c>
      <c r="R26" s="495">
        <f t="shared" si="5"/>
        <v>75736.722296650725</v>
      </c>
      <c r="S26" s="496">
        <f t="shared" si="6"/>
        <v>6411.1636241088854</v>
      </c>
      <c r="T26" s="494">
        <f t="shared" si="7"/>
        <v>39632.405594124823</v>
      </c>
      <c r="U26" s="495">
        <f t="shared" si="8"/>
        <v>42103.909282296649</v>
      </c>
      <c r="V26" s="496">
        <f t="shared" si="9"/>
        <v>2471.5036881718261</v>
      </c>
    </row>
    <row r="27" spans="4:22" ht="24" customHeight="1">
      <c r="D27" s="451" t="s">
        <v>32</v>
      </c>
      <c r="E27" s="494">
        <f>+[5]원주!$Q$85</f>
        <v>107900</v>
      </c>
      <c r="F27" s="495">
        <f>+[5]원주!$R$85</f>
        <v>115059.83619467633</v>
      </c>
      <c r="G27" s="496">
        <f t="shared" si="0"/>
        <v>7159.8361946763325</v>
      </c>
      <c r="H27" s="494">
        <f>+[5]원주!$Q$20</f>
        <v>56418.304301075266</v>
      </c>
      <c r="I27" s="495">
        <f>+[5]원주!$R$20</f>
        <v>61624.110096078119</v>
      </c>
      <c r="J27" s="496">
        <f t="shared" si="1"/>
        <v>5205.8057950028524</v>
      </c>
      <c r="K27" s="494">
        <f>+[5]원주!$Q$21</f>
        <v>15776.613212446833</v>
      </c>
      <c r="L27" s="495">
        <f>+[5]원주!$R$21</f>
        <v>13685.398645455978</v>
      </c>
      <c r="M27" s="496">
        <f t="shared" si="2"/>
        <v>-2091.214566990855</v>
      </c>
      <c r="N27" s="494">
        <f>+[5]원주!$Q$22</f>
        <v>300</v>
      </c>
      <c r="O27" s="495">
        <f>+[5]원주!$R$22</f>
        <v>300.19089620412666</v>
      </c>
      <c r="P27" s="496">
        <f t="shared" si="3"/>
        <v>0.19089620412665909</v>
      </c>
      <c r="Q27" s="494">
        <f t="shared" si="4"/>
        <v>72494.917513522101</v>
      </c>
      <c r="R27" s="495">
        <f t="shared" si="5"/>
        <v>75609.699637738217</v>
      </c>
      <c r="S27" s="496">
        <f t="shared" si="6"/>
        <v>3114.7821242161153</v>
      </c>
      <c r="T27" s="494">
        <f t="shared" si="7"/>
        <v>35405.082486477899</v>
      </c>
      <c r="U27" s="495">
        <f t="shared" si="8"/>
        <v>39450.136556938116</v>
      </c>
      <c r="V27" s="496">
        <f t="shared" si="9"/>
        <v>4045.0540704602172</v>
      </c>
    </row>
    <row r="28" spans="4:22" ht="24" customHeight="1">
      <c r="D28" s="500" t="s">
        <v>35</v>
      </c>
      <c r="E28" s="501">
        <f>+[5]제주!$Q$85</f>
        <v>126800</v>
      </c>
      <c r="F28" s="502">
        <f>+[5]제주!$R$85</f>
        <v>123280.60008674907</v>
      </c>
      <c r="G28" s="503">
        <f t="shared" si="0"/>
        <v>-3519.3999132509343</v>
      </c>
      <c r="H28" s="501">
        <f>+[5]제주!$Q$20</f>
        <v>74451.600262884676</v>
      </c>
      <c r="I28" s="502">
        <f>+[5]제주!$R$20</f>
        <v>74744.265710309381</v>
      </c>
      <c r="J28" s="503">
        <f t="shared" si="1"/>
        <v>292.66544742470433</v>
      </c>
      <c r="K28" s="501">
        <f>+[5]제주!$Q$21</f>
        <v>16626.410256410258</v>
      </c>
      <c r="L28" s="502">
        <f>+[5]제주!$R$21</f>
        <v>15108.673375441602</v>
      </c>
      <c r="M28" s="503">
        <f t="shared" si="2"/>
        <v>-1517.7368809686559</v>
      </c>
      <c r="N28" s="501">
        <f>+[5]제주!$Q$22</f>
        <v>0</v>
      </c>
      <c r="O28" s="502">
        <f>+[5]제주!$R$22</f>
        <v>291.02365913713743</v>
      </c>
      <c r="P28" s="503">
        <f t="shared" si="3"/>
        <v>291.02365913713743</v>
      </c>
      <c r="Q28" s="501">
        <f t="shared" si="4"/>
        <v>91078.010519294941</v>
      </c>
      <c r="R28" s="502">
        <f t="shared" si="5"/>
        <v>90143.962744888122</v>
      </c>
      <c r="S28" s="503">
        <f t="shared" si="6"/>
        <v>-934.04777440681937</v>
      </c>
      <c r="T28" s="501">
        <f t="shared" si="7"/>
        <v>35721.989480705059</v>
      </c>
      <c r="U28" s="502">
        <f t="shared" si="8"/>
        <v>33136.637341860944</v>
      </c>
      <c r="V28" s="503">
        <f t="shared" si="9"/>
        <v>-2585.352138844115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K27" sqref="K27"/>
      <selection pane="topRight" activeCell="K27" sqref="K27"/>
      <selection pane="bottomLeft" activeCell="K27" sqref="K27"/>
      <selection pane="bottomRight" activeCell="E8" sqref="E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224</v>
      </c>
      <c r="F4" s="184"/>
      <c r="I4" s="184"/>
    </row>
    <row r="5" spans="4:22" ht="21.95" customHeight="1"/>
    <row r="6" spans="4:22" ht="24" customHeight="1" thickBot="1">
      <c r="D6" s="831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>
      <c r="D7" s="832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544">
        <f>+[5]합계!$G$9</f>
        <v>100499.14781452966</v>
      </c>
      <c r="F8" s="545">
        <f>+[5]합계!$H$9</f>
        <v>100386.41358822385</v>
      </c>
      <c r="G8" s="546">
        <f>+F8-E8</f>
        <v>-112.73422630580899</v>
      </c>
      <c r="H8" s="544">
        <f>+[5]합계!$G$10</f>
        <v>91637.730957956388</v>
      </c>
      <c r="I8" s="545">
        <f>+[5]합계!$H$10</f>
        <v>93307.733217576388</v>
      </c>
      <c r="J8" s="546">
        <f>+I8-H8</f>
        <v>1670.0022596199997</v>
      </c>
      <c r="K8" s="544">
        <f>+[5]합계!$G$12</f>
        <v>64091.863517634265</v>
      </c>
      <c r="L8" s="545">
        <f>+[5]합계!$H$12</f>
        <v>63905.786009470801</v>
      </c>
      <c r="M8" s="546">
        <f>+L8-K8</f>
        <v>-186.07750816346379</v>
      </c>
      <c r="N8" s="544">
        <f>+[5]합계!$G$13</f>
        <v>40434.957373990808</v>
      </c>
      <c r="O8" s="545">
        <f>+[5]합계!$H$13</f>
        <v>41577.969205773297</v>
      </c>
      <c r="P8" s="546">
        <f>+O8-N8</f>
        <v>1143.011831782489</v>
      </c>
      <c r="Q8" s="544">
        <f>+[5]합계!$G$16</f>
        <v>12784.408459262142</v>
      </c>
      <c r="R8" s="545">
        <f>+[5]합계!$H$16</f>
        <v>13289.766834206788</v>
      </c>
      <c r="S8" s="546">
        <f>+R8-Q8</f>
        <v>505.35837494464613</v>
      </c>
      <c r="T8" s="544">
        <f>+[5]합계!$G$17</f>
        <v>15811.660122398876</v>
      </c>
      <c r="U8" s="545">
        <f>+[5]합계!$H$17</f>
        <v>16014.927602426698</v>
      </c>
      <c r="V8" s="546">
        <f>+U8-T8</f>
        <v>203.26748002782188</v>
      </c>
    </row>
    <row r="9" spans="4:22" ht="24" customHeight="1">
      <c r="D9" s="471" t="s">
        <v>19</v>
      </c>
      <c r="E9" s="547">
        <f>+[5]수도권!$G$9</f>
        <v>100000</v>
      </c>
      <c r="F9" s="548">
        <f>+[5]수도권!$H$9</f>
        <v>100000.00711859435</v>
      </c>
      <c r="G9" s="549">
        <f t="shared" ref="G9:G28" si="0">+F9-E9</f>
        <v>7.1185943525051698E-3</v>
      </c>
      <c r="H9" s="547">
        <f>+[5]수도권!$G$10</f>
        <v>91922.907488986777</v>
      </c>
      <c r="I9" s="548">
        <f>+[5]수도권!$H$10</f>
        <v>96938.671903767259</v>
      </c>
      <c r="J9" s="549">
        <f t="shared" ref="J9:J28" si="1">+I9-H9</f>
        <v>5015.7644147804822</v>
      </c>
      <c r="K9" s="547">
        <f>+[5]수도권!$G$12</f>
        <v>64321.140815091101</v>
      </c>
      <c r="L9" s="548">
        <f>+[5]수도권!$H$12</f>
        <v>64262.043629030915</v>
      </c>
      <c r="M9" s="549">
        <f t="shared" ref="M9:M28" si="2">+L9-K9</f>
        <v>-59.097186060185777</v>
      </c>
      <c r="N9" s="547">
        <f>+[5]수도권!$G$13</f>
        <v>45170.113278422323</v>
      </c>
      <c r="O9" s="548">
        <f>+[5]수도권!$H$13</f>
        <v>48356.750837034597</v>
      </c>
      <c r="P9" s="549">
        <f t="shared" ref="P9:P28" si="3">+O9-N9</f>
        <v>3186.637558612274</v>
      </c>
      <c r="Q9" s="547">
        <f>+[5]수도권!$G$16</f>
        <v>15331.113443444836</v>
      </c>
      <c r="R9" s="548">
        <f>+[5]수도권!$H$16</f>
        <v>16241.335989549099</v>
      </c>
      <c r="S9" s="549">
        <f t="shared" ref="S9:S28" si="4">+R9-Q9</f>
        <v>910.22254610426353</v>
      </c>
      <c r="T9" s="547">
        <f>+[5]수도권!$G$17</f>
        <v>14701.406413196995</v>
      </c>
      <c r="U9" s="548">
        <f>+[5]수도권!$H$17</f>
        <v>14665.679107704782</v>
      </c>
      <c r="V9" s="549">
        <f t="shared" ref="V9:V28" si="5">+U9-T9</f>
        <v>-35.727305492213418</v>
      </c>
    </row>
    <row r="10" spans="4:22" ht="24" customHeight="1">
      <c r="D10" s="472" t="s">
        <v>20</v>
      </c>
      <c r="E10" s="550">
        <f>+[5]영남권!$G$9</f>
        <v>99999.999999999985</v>
      </c>
      <c r="F10" s="551">
        <f>+[5]영남권!$H$9</f>
        <v>100003.52078452351</v>
      </c>
      <c r="G10" s="552">
        <f t="shared" si="0"/>
        <v>3.5207845235272544</v>
      </c>
      <c r="H10" s="550">
        <f>+[5]영남권!$G$10</f>
        <v>92100.000000000015</v>
      </c>
      <c r="I10" s="551">
        <f>+[5]영남권!$H$10</f>
        <v>92349.958242128007</v>
      </c>
      <c r="J10" s="552">
        <f t="shared" si="1"/>
        <v>249.95824212799198</v>
      </c>
      <c r="K10" s="550">
        <f>+[5]영남권!$G$12</f>
        <v>63691.182023294823</v>
      </c>
      <c r="L10" s="551">
        <f>+[5]영남권!$H$12</f>
        <v>63398.815528260136</v>
      </c>
      <c r="M10" s="552">
        <f t="shared" si="2"/>
        <v>-292.36649503468652</v>
      </c>
      <c r="N10" s="550">
        <f>+[5]영남권!$G$13</f>
        <v>35450.350602055478</v>
      </c>
      <c r="O10" s="551">
        <f>+[5]영남권!$H$13</f>
        <v>35426.914296780356</v>
      </c>
      <c r="P10" s="552">
        <f t="shared" si="3"/>
        <v>-23.436305275121413</v>
      </c>
      <c r="Q10" s="550">
        <f>+[5]영남권!$G$16</f>
        <v>10374.893200812825</v>
      </c>
      <c r="R10" s="551">
        <f>+[5]영남권!$H$16</f>
        <v>11062.926824511011</v>
      </c>
      <c r="S10" s="552">
        <f t="shared" si="4"/>
        <v>688.03362369818569</v>
      </c>
      <c r="T10" s="550">
        <f>+[5]영남권!$G$17</f>
        <v>17354.449438688393</v>
      </c>
      <c r="U10" s="551">
        <f>+[5]영남권!$H$17</f>
        <v>17666.741729708319</v>
      </c>
      <c r="V10" s="552">
        <f t="shared" si="5"/>
        <v>312.29229101992678</v>
      </c>
    </row>
    <row r="11" spans="4:22" ht="24" customHeight="1">
      <c r="D11" s="473" t="s">
        <v>57</v>
      </c>
      <c r="E11" s="553">
        <f>+[5]중부권!$G$9</f>
        <v>102504.17835878795</v>
      </c>
      <c r="F11" s="554">
        <f>+[5]중부권!$H$9</f>
        <v>101722.77752997776</v>
      </c>
      <c r="G11" s="555">
        <f t="shared" si="0"/>
        <v>-781.40082881019043</v>
      </c>
      <c r="H11" s="553">
        <f>+[5]중부권!$G$10</f>
        <v>88768.563669979208</v>
      </c>
      <c r="I11" s="554">
        <f>+[5]중부권!$H$10</f>
        <v>95057.966653668103</v>
      </c>
      <c r="J11" s="555">
        <f t="shared" si="1"/>
        <v>6289.4029836888949</v>
      </c>
      <c r="K11" s="553">
        <f>+[5]중부권!$G$12</f>
        <v>64690.478337472072</v>
      </c>
      <c r="L11" s="554">
        <f>+[5]중부권!$H$12</f>
        <v>64602.945530255536</v>
      </c>
      <c r="M11" s="555">
        <f t="shared" si="2"/>
        <v>-87.53280721653573</v>
      </c>
      <c r="N11" s="553">
        <f>+[5]중부권!$G$13</f>
        <v>40847.796790265842</v>
      </c>
      <c r="O11" s="554">
        <f>+[5]중부권!$H$13</f>
        <v>42657.312848918278</v>
      </c>
      <c r="P11" s="555">
        <f t="shared" si="3"/>
        <v>1809.5160586524362</v>
      </c>
      <c r="Q11" s="553">
        <f>+[5]중부권!$G$16</f>
        <v>12586.035952494569</v>
      </c>
      <c r="R11" s="554">
        <f>+[5]중부권!$H$16</f>
        <v>12779.904516271723</v>
      </c>
      <c r="S11" s="555">
        <f t="shared" si="4"/>
        <v>193.86856377715412</v>
      </c>
      <c r="T11" s="553">
        <f>+[5]중부권!$G$17</f>
        <v>14591.705267690701</v>
      </c>
      <c r="U11" s="554">
        <f>+[5]중부권!$H$17</f>
        <v>14569.026271585046</v>
      </c>
      <c r="V11" s="555">
        <f t="shared" si="5"/>
        <v>-22.678996105654733</v>
      </c>
    </row>
    <row r="12" spans="4:22" ht="24" customHeight="1">
      <c r="D12" s="485" t="s">
        <v>22</v>
      </c>
      <c r="E12" s="556">
        <f>+[5]안양!$G$9</f>
        <v>100000</v>
      </c>
      <c r="F12" s="557">
        <f>+[5]안양!$H$9</f>
        <v>100000.02048475679</v>
      </c>
      <c r="G12" s="558">
        <f t="shared" si="0"/>
        <v>2.0484756794758141E-2</v>
      </c>
      <c r="H12" s="556">
        <f>+[5]안양!$G$10</f>
        <v>87100</v>
      </c>
      <c r="I12" s="557">
        <f>+[5]안양!$H$10</f>
        <v>0</v>
      </c>
      <c r="J12" s="558">
        <f t="shared" si="1"/>
        <v>-87100</v>
      </c>
      <c r="K12" s="556">
        <f>+[5]안양!$G$12</f>
        <v>64000</v>
      </c>
      <c r="L12" s="557">
        <f>+[5]안양!$H$12</f>
        <v>64203.427444032044</v>
      </c>
      <c r="M12" s="558">
        <f t="shared" si="2"/>
        <v>203.42744403204415</v>
      </c>
      <c r="N12" s="556">
        <f>+[5]안양!$G$13</f>
        <v>45000</v>
      </c>
      <c r="O12" s="557">
        <f>+[5]안양!$H$13</f>
        <v>46724.011805035916</v>
      </c>
      <c r="P12" s="558">
        <f t="shared" si="3"/>
        <v>1724.011805035916</v>
      </c>
      <c r="Q12" s="556">
        <f>+[5]안양!$G$16</f>
        <v>15333.333333333336</v>
      </c>
      <c r="R12" s="557">
        <f>+[5]안양!$H$16</f>
        <v>16715.655103586545</v>
      </c>
      <c r="S12" s="558">
        <f t="shared" si="4"/>
        <v>1382.3217702532093</v>
      </c>
      <c r="T12" s="556">
        <f>+[5]안양!$G$17</f>
        <v>15161.290322580646</v>
      </c>
      <c r="U12" s="557">
        <f>+[5]안양!$H$17</f>
        <v>15851.357496985987</v>
      </c>
      <c r="V12" s="558">
        <f t="shared" si="5"/>
        <v>690.06717440534158</v>
      </c>
    </row>
    <row r="13" spans="4:22" ht="24" customHeight="1">
      <c r="D13" s="451" t="s">
        <v>23</v>
      </c>
      <c r="E13" s="559">
        <f>+[5]인천!$G$9</f>
        <v>100000</v>
      </c>
      <c r="F13" s="560">
        <f>+[5]인천!$H$9</f>
        <v>99999.999746696703</v>
      </c>
      <c r="G13" s="561">
        <f t="shared" si="0"/>
        <v>-2.533032966312021E-4</v>
      </c>
      <c r="H13" s="559">
        <f>+[5]인천!$G$10</f>
        <v>99500</v>
      </c>
      <c r="I13" s="560">
        <f>+[5]인천!$H$10</f>
        <v>98401.346086366029</v>
      </c>
      <c r="J13" s="561">
        <f t="shared" si="1"/>
        <v>-1098.6539136339707</v>
      </c>
      <c r="K13" s="559">
        <f>+[5]인천!$G$12</f>
        <v>64500</v>
      </c>
      <c r="L13" s="560">
        <f>+[5]인천!$H$12</f>
        <v>64500.819031174076</v>
      </c>
      <c r="M13" s="561">
        <f t="shared" si="2"/>
        <v>0.81903117407637183</v>
      </c>
      <c r="N13" s="559">
        <f>+[5]인천!$G$13</f>
        <v>45000</v>
      </c>
      <c r="O13" s="560">
        <f>+[5]인천!$H$13</f>
        <v>50511.533019880619</v>
      </c>
      <c r="P13" s="561">
        <f t="shared" si="3"/>
        <v>5511.5330198806187</v>
      </c>
      <c r="Q13" s="559">
        <f>+[5]인천!$G$16</f>
        <v>15733.333333333334</v>
      </c>
      <c r="R13" s="560">
        <f>+[5]인천!$H$16</f>
        <v>16000.978283786615</v>
      </c>
      <c r="S13" s="561">
        <f t="shared" si="4"/>
        <v>267.64495045328113</v>
      </c>
      <c r="T13" s="559">
        <f>+[5]인천!$G$17</f>
        <v>15504.296280171253</v>
      </c>
      <c r="U13" s="560">
        <f>+[5]인천!$H$17</f>
        <v>15089.646965161277</v>
      </c>
      <c r="V13" s="561">
        <f t="shared" si="5"/>
        <v>-414.64931500997591</v>
      </c>
    </row>
    <row r="14" spans="4:22" ht="24" customHeight="1">
      <c r="D14" s="451" t="s">
        <v>24</v>
      </c>
      <c r="E14" s="559">
        <f>+[5]파주!$G$9</f>
        <v>100000</v>
      </c>
      <c r="F14" s="560">
        <f>+[5]파주!$H$9</f>
        <v>99999.999870693806</v>
      </c>
      <c r="G14" s="561">
        <f t="shared" si="0"/>
        <v>-1.293061941396445E-4</v>
      </c>
      <c r="H14" s="559">
        <f>+[5]파주!$G$10</f>
        <v>0</v>
      </c>
      <c r="I14" s="560">
        <f>+[5]파주!$H$10</f>
        <v>95617.559874153347</v>
      </c>
      <c r="J14" s="561">
        <f t="shared" si="1"/>
        <v>95617.559874153347</v>
      </c>
      <c r="K14" s="559">
        <f>+[5]파주!$G$12</f>
        <v>64500</v>
      </c>
      <c r="L14" s="560">
        <f>+[5]파주!$H$12</f>
        <v>64481.481320376079</v>
      </c>
      <c r="M14" s="561">
        <f t="shared" si="2"/>
        <v>-18.518679623921344</v>
      </c>
      <c r="N14" s="559">
        <f>+[5]파주!$G$13</f>
        <v>45000</v>
      </c>
      <c r="O14" s="560">
        <f>+[5]파주!$H$13</f>
        <v>48097.672660181051</v>
      </c>
      <c r="P14" s="561">
        <f t="shared" si="3"/>
        <v>3097.6726601810515</v>
      </c>
      <c r="Q14" s="559">
        <f>+[5]파주!$G$16</f>
        <v>15266.666666666668</v>
      </c>
      <c r="R14" s="560">
        <f>+[5]파주!$H$16</f>
        <v>16513.059831548144</v>
      </c>
      <c r="S14" s="561">
        <f t="shared" si="4"/>
        <v>1246.393164881476</v>
      </c>
      <c r="T14" s="559">
        <f>+[5]파주!$G$17</f>
        <v>13419.354838709676</v>
      </c>
      <c r="U14" s="560">
        <f>+[5]파주!$H$17</f>
        <v>13030.618535333049</v>
      </c>
      <c r="V14" s="561">
        <f t="shared" si="5"/>
        <v>-388.73630337662689</v>
      </c>
    </row>
    <row r="15" spans="4:22" ht="24" customHeight="1">
      <c r="D15" s="451" t="s">
        <v>178</v>
      </c>
      <c r="E15" s="559">
        <f>+[5]김포!$G$9</f>
        <v>100000</v>
      </c>
      <c r="F15" s="560">
        <f>+[5]김포!$H$9</f>
        <v>99999.999999999956</v>
      </c>
      <c r="G15" s="561">
        <f t="shared" si="0"/>
        <v>0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63662.032015669924</v>
      </c>
      <c r="M15" s="561">
        <f t="shared" si="2"/>
        <v>-637.96798433007643</v>
      </c>
      <c r="N15" s="559">
        <f>+[5]김포!$G$13</f>
        <v>46000</v>
      </c>
      <c r="O15" s="560">
        <f>+[5]김포!$H$13</f>
        <v>50951.195118001924</v>
      </c>
      <c r="P15" s="561">
        <f t="shared" si="3"/>
        <v>4951.1951180019241</v>
      </c>
      <c r="Q15" s="559">
        <f>+[5]김포!$G$16</f>
        <v>14666.666666666666</v>
      </c>
      <c r="R15" s="560">
        <f>+[5]김포!$H$16</f>
        <v>14600.000672126966</v>
      </c>
      <c r="S15" s="561">
        <f t="shared" si="4"/>
        <v>-66.665994539700478</v>
      </c>
      <c r="T15" s="559">
        <f>+[5]김포!$G$17</f>
        <v>14363.982202447165</v>
      </c>
      <c r="U15" s="560">
        <f>+[5]김포!$H$17</f>
        <v>14574.805840906474</v>
      </c>
      <c r="V15" s="561">
        <f t="shared" si="5"/>
        <v>210.82363845930922</v>
      </c>
    </row>
    <row r="16" spans="4:22" ht="24" customHeight="1">
      <c r="D16" s="486" t="s">
        <v>25</v>
      </c>
      <c r="E16" s="562">
        <f>+[5]부산!$G$9</f>
        <v>100000</v>
      </c>
      <c r="F16" s="563">
        <f>+[5]부산!$H$9</f>
        <v>100001.25686429134</v>
      </c>
      <c r="G16" s="564">
        <f t="shared" si="0"/>
        <v>1.2568642913392978</v>
      </c>
      <c r="H16" s="562">
        <f>+[5]부산!$G$10</f>
        <v>92100</v>
      </c>
      <c r="I16" s="563">
        <f>+[5]부산!$H$10</f>
        <v>92697.990047817046</v>
      </c>
      <c r="J16" s="564">
        <f t="shared" si="1"/>
        <v>597.99004781704571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36500.002823514573</v>
      </c>
      <c r="P16" s="564">
        <f t="shared" si="3"/>
        <v>2.8235145728103817E-3</v>
      </c>
      <c r="Q16" s="562">
        <f>+[5]부산!$G$16</f>
        <v>10738.686167990412</v>
      </c>
      <c r="R16" s="563">
        <f>+[5]부산!$H$16</f>
        <v>11708.573323685845</v>
      </c>
      <c r="S16" s="564">
        <f t="shared" si="4"/>
        <v>969.88715569543274</v>
      </c>
      <c r="T16" s="562">
        <f>+[5]부산!$G$17</f>
        <v>17417.838446495472</v>
      </c>
      <c r="U16" s="563">
        <f>+[5]부산!$H$17</f>
        <v>18521.273790208346</v>
      </c>
      <c r="V16" s="564">
        <f t="shared" si="5"/>
        <v>1103.4353437128739</v>
      </c>
    </row>
    <row r="17" spans="4:25" ht="24" customHeight="1">
      <c r="D17" s="451" t="s">
        <v>26</v>
      </c>
      <c r="E17" s="559">
        <f>+[5]서부산!$G$9</f>
        <v>100000</v>
      </c>
      <c r="F17" s="560">
        <f>+[5]서부산!$H$9</f>
        <v>100019.09933074366</v>
      </c>
      <c r="G17" s="561">
        <f t="shared" si="0"/>
        <v>19.099330743658356</v>
      </c>
      <c r="H17" s="559">
        <f>+[5]서부산!$G$10</f>
        <v>92100</v>
      </c>
      <c r="I17" s="560">
        <f>+[5]서부산!$H$10</f>
        <v>92100.350824714071</v>
      </c>
      <c r="J17" s="561">
        <f t="shared" si="1"/>
        <v>0.3508247140707681</v>
      </c>
      <c r="K17" s="559">
        <f>+[5]서부산!$G$12</f>
        <v>65000</v>
      </c>
      <c r="L17" s="560">
        <f>+[5]서부산!$H$12</f>
        <v>65290.211166863839</v>
      </c>
      <c r="M17" s="561">
        <f t="shared" si="2"/>
        <v>290.21116686383903</v>
      </c>
      <c r="N17" s="559">
        <f>+[5]서부산!$G$13</f>
        <v>35200</v>
      </c>
      <c r="O17" s="560">
        <f>+[5]서부산!$H$13</f>
        <v>35351.119611308393</v>
      </c>
      <c r="P17" s="561">
        <f t="shared" si="3"/>
        <v>151.11961130839336</v>
      </c>
      <c r="Q17" s="559">
        <f>+[5]서부산!$G$16</f>
        <v>10666.666666666666</v>
      </c>
      <c r="R17" s="560">
        <f>+[5]서부산!$H$16</f>
        <v>11200.2205775125</v>
      </c>
      <c r="S17" s="561">
        <f t="shared" si="4"/>
        <v>533.55391084583425</v>
      </c>
      <c r="T17" s="559">
        <f>+[5]서부산!$G$17</f>
        <v>17805.900356103688</v>
      </c>
      <c r="U17" s="560">
        <f>+[5]서부산!$H$17</f>
        <v>18844.805360589547</v>
      </c>
      <c r="V17" s="561">
        <f t="shared" si="5"/>
        <v>1038.9050044858595</v>
      </c>
    </row>
    <row r="18" spans="4:25" ht="24" customHeight="1">
      <c r="D18" s="451" t="s">
        <v>27</v>
      </c>
      <c r="E18" s="559">
        <f>+[5]김해!$G$9</f>
        <v>100000</v>
      </c>
      <c r="F18" s="560">
        <f>+[5]김해!$H$9</f>
        <v>100000.03314309388</v>
      </c>
      <c r="G18" s="561">
        <f t="shared" si="0"/>
        <v>3.3143093882245012E-2</v>
      </c>
      <c r="H18" s="559">
        <f>+[5]김해!$G$10</f>
        <v>92100.000000000015</v>
      </c>
      <c r="I18" s="560">
        <f>+[5]김해!$H$10</f>
        <v>92099.997521004101</v>
      </c>
      <c r="J18" s="561">
        <f t="shared" si="1"/>
        <v>-2.478995913406834E-3</v>
      </c>
      <c r="K18" s="559">
        <f>+[5]김해!$G$12</f>
        <v>64000</v>
      </c>
      <c r="L18" s="560">
        <f>+[5]김해!$H$12</f>
        <v>63176.231616648212</v>
      </c>
      <c r="M18" s="561">
        <f t="shared" si="2"/>
        <v>-823.76838335178763</v>
      </c>
      <c r="N18" s="559">
        <f>+[5]김해!$G$13</f>
        <v>35000</v>
      </c>
      <c r="O18" s="560">
        <f>+[5]김해!$H$13</f>
        <v>34999.966686276042</v>
      </c>
      <c r="P18" s="561">
        <f t="shared" si="3"/>
        <v>-3.3313723957689945E-2</v>
      </c>
      <c r="Q18" s="559">
        <f>+[5]김해!$G$16</f>
        <v>9426.6666666666679</v>
      </c>
      <c r="R18" s="560">
        <f>+[5]김해!$H$16</f>
        <v>9734.4537440365075</v>
      </c>
      <c r="S18" s="561">
        <f t="shared" si="4"/>
        <v>307.78707736983961</v>
      </c>
      <c r="T18" s="559">
        <f>+[5]김해!$G$17</f>
        <v>17730.479017177091</v>
      </c>
      <c r="U18" s="560">
        <f>+[5]김해!$H$17</f>
        <v>15187.897685789056</v>
      </c>
      <c r="V18" s="561">
        <f t="shared" si="5"/>
        <v>-2542.5813313880353</v>
      </c>
    </row>
    <row r="19" spans="4:25" ht="24" customHeight="1">
      <c r="D19" s="451" t="s">
        <v>28</v>
      </c>
      <c r="E19" s="559">
        <f>+[5]정관!$G$9</f>
        <v>100000</v>
      </c>
      <c r="F19" s="560">
        <f>+[5]정관!$H$9</f>
        <v>100030.38905963651</v>
      </c>
      <c r="G19" s="561">
        <f t="shared" si="0"/>
        <v>30.389059636509046</v>
      </c>
      <c r="H19" s="559">
        <f>+[5]정관!$G$10</f>
        <v>92100</v>
      </c>
      <c r="I19" s="560">
        <f>+[5]정관!$H$10</f>
        <v>92099.921461275502</v>
      </c>
      <c r="J19" s="561">
        <f t="shared" si="1"/>
        <v>-7.8538724497775547E-2</v>
      </c>
      <c r="K19" s="559">
        <f>+[5]정관!$G$12</f>
        <v>63500.000000000007</v>
      </c>
      <c r="L19" s="560">
        <f>+[5]정관!$H$12</f>
        <v>63674.316565119196</v>
      </c>
      <c r="M19" s="561">
        <f t="shared" si="2"/>
        <v>174.31656511918845</v>
      </c>
      <c r="N19" s="559">
        <f>+[5]정관!$G$13</f>
        <v>35500</v>
      </c>
      <c r="O19" s="560">
        <f>+[5]정관!$H$13</f>
        <v>35500.002011728197</v>
      </c>
      <c r="P19" s="561">
        <f t="shared" si="3"/>
        <v>2.0117281965212896E-3</v>
      </c>
      <c r="Q19" s="559">
        <f>+[5]정관!$G$16</f>
        <v>10733.333333333332</v>
      </c>
      <c r="R19" s="560">
        <f>+[5]정관!$H$16</f>
        <v>11680.332226252278</v>
      </c>
      <c r="S19" s="561">
        <f t="shared" si="4"/>
        <v>946.99889291894578</v>
      </c>
      <c r="T19" s="559">
        <f>+[5]정관!$G$17</f>
        <v>18315.171013635976</v>
      </c>
      <c r="U19" s="560">
        <f>+[5]정관!$H$17</f>
        <v>19018.532408149636</v>
      </c>
      <c r="V19" s="561">
        <f t="shared" si="5"/>
        <v>703.36139451366034</v>
      </c>
    </row>
    <row r="20" spans="4:25" ht="24" customHeight="1">
      <c r="D20" s="451" t="s">
        <v>29</v>
      </c>
      <c r="E20" s="559">
        <f>+[5]양산!$G$9</f>
        <v>100000</v>
      </c>
      <c r="F20" s="560">
        <f>+[5]양산!$H$9</f>
        <v>99933.183063467222</v>
      </c>
      <c r="G20" s="561">
        <f t="shared" si="0"/>
        <v>-66.816936532777618</v>
      </c>
      <c r="H20" s="559">
        <f>+[5]양산!$G$10</f>
        <v>92100.000000000015</v>
      </c>
      <c r="I20" s="560">
        <f>+[5]양산!$H$10</f>
        <v>0</v>
      </c>
      <c r="J20" s="561">
        <f t="shared" si="1"/>
        <v>-92100.000000000015</v>
      </c>
      <c r="K20" s="559">
        <f>+[5]양산!$G$12</f>
        <v>63000</v>
      </c>
      <c r="L20" s="560">
        <f>+[5]양산!$H$12</f>
        <v>63246.333481290349</v>
      </c>
      <c r="M20" s="561">
        <f t="shared" si="2"/>
        <v>246.33348129034857</v>
      </c>
      <c r="N20" s="559">
        <f>+[5]양산!$G$13</f>
        <v>36000</v>
      </c>
      <c r="O20" s="560">
        <f>+[5]양산!$H$13</f>
        <v>35999.996824689144</v>
      </c>
      <c r="P20" s="561">
        <f t="shared" si="3"/>
        <v>-3.1753108560224064E-3</v>
      </c>
      <c r="Q20" s="559">
        <f>+[5]양산!$G$16</f>
        <v>9066.6666666666661</v>
      </c>
      <c r="R20" s="560">
        <f>+[5]양산!$H$16</f>
        <v>9563.8407303064796</v>
      </c>
      <c r="S20" s="561">
        <f t="shared" si="4"/>
        <v>497.17406363981354</v>
      </c>
      <c r="T20" s="559">
        <f>+[5]양산!$G$17</f>
        <v>17512.617316064228</v>
      </c>
      <c r="U20" s="560">
        <f>+[5]양산!$H$17</f>
        <v>16527.957772510807</v>
      </c>
      <c r="V20" s="561">
        <f t="shared" si="5"/>
        <v>-984.65954355342183</v>
      </c>
    </row>
    <row r="21" spans="4:25" ht="24" customHeight="1">
      <c r="D21" s="451" t="s">
        <v>30</v>
      </c>
      <c r="E21" s="559">
        <f>+[5]창원!$G$9</f>
        <v>100000</v>
      </c>
      <c r="F21" s="560">
        <f>+[5]창원!$H$9</f>
        <v>100000.84858895882</v>
      </c>
      <c r="G21" s="561">
        <f t="shared" si="0"/>
        <v>0.84858895881916396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65009.875003062974</v>
      </c>
      <c r="M21" s="561">
        <f t="shared" si="2"/>
        <v>9.8750030629744288</v>
      </c>
      <c r="N21" s="559">
        <f>+[5]창원!$G$13</f>
        <v>33000.000000000007</v>
      </c>
      <c r="O21" s="560">
        <f>+[5]창원!$H$13</f>
        <v>33000.006450895948</v>
      </c>
      <c r="P21" s="561">
        <f t="shared" si="3"/>
        <v>6.4508959403610788E-3</v>
      </c>
      <c r="Q21" s="559">
        <f>+[5]창원!$G$16</f>
        <v>10400</v>
      </c>
      <c r="R21" s="560">
        <f>+[5]창원!$H$16</f>
        <v>11189.06827190295</v>
      </c>
      <c r="S21" s="561">
        <f t="shared" si="4"/>
        <v>789.06827190295007</v>
      </c>
      <c r="T21" s="559">
        <f>+[5]창원!$G$17</f>
        <v>17019.616516901082</v>
      </c>
      <c r="U21" s="560">
        <f>+[5]창원!$H$17</f>
        <v>17522.646996149862</v>
      </c>
      <c r="V21" s="561">
        <f t="shared" si="5"/>
        <v>503.03047924878047</v>
      </c>
      <c r="Y21" s="543"/>
    </row>
    <row r="22" spans="4:25" ht="24" customHeight="1">
      <c r="D22" s="451" t="s">
        <v>95</v>
      </c>
      <c r="E22" s="559">
        <f>+[5]대구!$G$9</f>
        <v>100000</v>
      </c>
      <c r="F22" s="560">
        <f>+[5]대구!$H$9</f>
        <v>99999.999999999956</v>
      </c>
      <c r="G22" s="561">
        <f t="shared" si="0"/>
        <v>0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62500</v>
      </c>
      <c r="L22" s="560">
        <f>+[5]대구!$H$12</f>
        <v>62061.93637015015</v>
      </c>
      <c r="M22" s="561">
        <f t="shared" si="2"/>
        <v>-438.06362984985026</v>
      </c>
      <c r="N22" s="559">
        <f>+[5]대구!$G$13</f>
        <v>35500.000000000007</v>
      </c>
      <c r="O22" s="560">
        <f>+[5]대구!$H$13</f>
        <v>35372.770336707879</v>
      </c>
      <c r="P22" s="561">
        <f t="shared" si="3"/>
        <v>-127.22966329212795</v>
      </c>
      <c r="Q22" s="559">
        <f>+[5]대구!$G$16</f>
        <v>10466.666666666666</v>
      </c>
      <c r="R22" s="560">
        <f>+[5]대구!$H$16</f>
        <v>10497.060597565025</v>
      </c>
      <c r="S22" s="561">
        <f t="shared" si="4"/>
        <v>30.393930898359031</v>
      </c>
      <c r="T22" s="559">
        <f>+[5]대구!$G$17</f>
        <v>14718.131256952165</v>
      </c>
      <c r="U22" s="560">
        <f>+[5]대구!$H$17</f>
        <v>14705.381820132674</v>
      </c>
      <c r="V22" s="561">
        <f t="shared" si="5"/>
        <v>-12.749436819491166</v>
      </c>
    </row>
    <row r="23" spans="4:25" ht="24" customHeight="1">
      <c r="D23" s="451" t="s">
        <v>97</v>
      </c>
      <c r="E23" s="559">
        <f>+[5]울산!$G$9</f>
        <v>100000</v>
      </c>
      <c r="F23" s="560">
        <f>+[5]울산!$H$9</f>
        <v>100026.04878734318</v>
      </c>
      <c r="G23" s="561">
        <f t="shared" si="0"/>
        <v>26.048787343184813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61300.000000000007</v>
      </c>
      <c r="L23" s="560">
        <f>+[5]울산!$H$12</f>
        <v>61298.570810560384</v>
      </c>
      <c r="M23" s="561">
        <f t="shared" si="2"/>
        <v>-1.4291894396228599</v>
      </c>
      <c r="N23" s="559">
        <f>+[5]울산!$G$13</f>
        <v>37000</v>
      </c>
      <c r="O23" s="560">
        <f>+[5]울산!$H$13</f>
        <v>37000.002904976194</v>
      </c>
      <c r="P23" s="561">
        <f t="shared" si="3"/>
        <v>2.9049761942587793E-3</v>
      </c>
      <c r="Q23" s="559">
        <f>+[5]울산!$G$16</f>
        <v>10546.666666666666</v>
      </c>
      <c r="R23" s="560">
        <f>+[5]울산!$H$16</f>
        <v>11814.41499054371</v>
      </c>
      <c r="S23" s="561">
        <f t="shared" si="4"/>
        <v>1267.7483238770437</v>
      </c>
      <c r="T23" s="559">
        <f>+[5]울산!$G$17</f>
        <v>18681.860814127729</v>
      </c>
      <c r="U23" s="560">
        <f>+[5]울산!$H$17</f>
        <v>19734.875634198674</v>
      </c>
      <c r="V23" s="561">
        <f t="shared" si="5"/>
        <v>1053.0148200709446</v>
      </c>
    </row>
    <row r="24" spans="4:25" ht="24" customHeight="1">
      <c r="D24" s="486" t="s">
        <v>31</v>
      </c>
      <c r="E24" s="562">
        <f>+[5]아산!$G$9</f>
        <v>100000</v>
      </c>
      <c r="F24" s="563">
        <f>+[5]아산!$H$9</f>
        <v>100401.71723716641</v>
      </c>
      <c r="G24" s="564">
        <f t="shared" si="0"/>
        <v>401.71723716640554</v>
      </c>
      <c r="H24" s="562">
        <f>+[5]아산!$G$10</f>
        <v>87100.000000000015</v>
      </c>
      <c r="I24" s="563">
        <f>+[5]아산!$H$10</f>
        <v>0</v>
      </c>
      <c r="J24" s="564">
        <f t="shared" si="1"/>
        <v>-87100.000000000015</v>
      </c>
      <c r="K24" s="562">
        <f>+[5]아산!$G$12</f>
        <v>64500</v>
      </c>
      <c r="L24" s="563">
        <f>+[5]아산!$H$12</f>
        <v>64439.050256394781</v>
      </c>
      <c r="M24" s="564">
        <f t="shared" si="2"/>
        <v>-60.949743605218828</v>
      </c>
      <c r="N24" s="562">
        <f>+[5]아산!$G$13</f>
        <v>42000</v>
      </c>
      <c r="O24" s="563">
        <f>+[5]아산!$H$13</f>
        <v>43182.74057974929</v>
      </c>
      <c r="P24" s="564">
        <f t="shared" si="3"/>
        <v>1182.7405797492902</v>
      </c>
      <c r="Q24" s="562">
        <f>+[5]아산!$G$16</f>
        <v>10933.333333333334</v>
      </c>
      <c r="R24" s="563">
        <f>+[5]아산!$H$16</f>
        <v>11443.064830233285</v>
      </c>
      <c r="S24" s="564">
        <f t="shared" si="4"/>
        <v>509.7314968999508</v>
      </c>
      <c r="T24" s="562">
        <f>+[5]아산!$G$17</f>
        <v>13742.253874325719</v>
      </c>
      <c r="U24" s="563">
        <f>+[5]아산!$H$17</f>
        <v>13214.831865720053</v>
      </c>
      <c r="V24" s="564">
        <f t="shared" si="5"/>
        <v>-527.42200860566663</v>
      </c>
    </row>
    <row r="25" spans="4:25" ht="24" customHeight="1">
      <c r="D25" s="451" t="s">
        <v>34</v>
      </c>
      <c r="E25" s="559">
        <f>+[5]전주!$G$9</f>
        <v>100000</v>
      </c>
      <c r="F25" s="560">
        <f>+[5]전주!$H$9</f>
        <v>99912.681683742048</v>
      </c>
      <c r="G25" s="561">
        <f t="shared" si="0"/>
        <v>-87.318316257951665</v>
      </c>
      <c r="H25" s="559">
        <f>+[5]전주!$G$10</f>
        <v>93100</v>
      </c>
      <c r="I25" s="560">
        <f>+[5]전주!$H$10</f>
        <v>94440.574369113427</v>
      </c>
      <c r="J25" s="561">
        <f t="shared" si="1"/>
        <v>1340.5743691134267</v>
      </c>
      <c r="K25" s="559">
        <f>+[5]전주!$G$12</f>
        <v>65000</v>
      </c>
      <c r="L25" s="560">
        <f>+[5]전주!$H$12</f>
        <v>64999.320028646551</v>
      </c>
      <c r="M25" s="561">
        <f t="shared" si="2"/>
        <v>-0.67997135344921844</v>
      </c>
      <c r="N25" s="559">
        <f>+[5]전주!$G$13</f>
        <v>36000</v>
      </c>
      <c r="O25" s="560">
        <f>+[5]전주!$H$13</f>
        <v>36000.032771678714</v>
      </c>
      <c r="P25" s="561">
        <f t="shared" si="3"/>
        <v>3.277167871419806E-2</v>
      </c>
      <c r="Q25" s="559">
        <f>+[5]전주!$G$16</f>
        <v>12533.333333333336</v>
      </c>
      <c r="R25" s="560">
        <f>+[5]전주!$H$16</f>
        <v>12939.826010266839</v>
      </c>
      <c r="S25" s="561">
        <f t="shared" si="4"/>
        <v>406.49267693350339</v>
      </c>
      <c r="T25" s="559">
        <f>+[5]전주!$G$17</f>
        <v>14400.148632599852</v>
      </c>
      <c r="U25" s="560">
        <f>+[5]전주!$H$17</f>
        <v>14908.290440975774</v>
      </c>
      <c r="V25" s="561">
        <f t="shared" si="5"/>
        <v>508.14180837592176</v>
      </c>
    </row>
    <row r="26" spans="4:25" ht="24" customHeight="1">
      <c r="D26" s="451" t="s">
        <v>33</v>
      </c>
      <c r="E26" s="559">
        <f>+[5]군산!$G$9</f>
        <v>100000</v>
      </c>
      <c r="F26" s="560">
        <f>+[5]군산!$H$9</f>
        <v>100000.00000000001</v>
      </c>
      <c r="G26" s="561">
        <f t="shared" si="0"/>
        <v>0</v>
      </c>
      <c r="H26" s="559">
        <f>+[5]군산!$G$10</f>
        <v>95000</v>
      </c>
      <c r="I26" s="560">
        <f>+[5]군산!$H$10</f>
        <v>95059.134045611383</v>
      </c>
      <c r="J26" s="561">
        <f t="shared" si="1"/>
        <v>59.134045611383044</v>
      </c>
      <c r="K26" s="559">
        <f>+[5]군산!$G$12</f>
        <v>64900.000000000007</v>
      </c>
      <c r="L26" s="560">
        <f>+[5]군산!$H$12</f>
        <v>64885.682297085637</v>
      </c>
      <c r="M26" s="561">
        <f t="shared" si="2"/>
        <v>-14.317702914369875</v>
      </c>
      <c r="N26" s="559">
        <f>+[5]군산!$G$13</f>
        <v>37500</v>
      </c>
      <c r="O26" s="560">
        <f>+[5]군산!$H$13</f>
        <v>39535.757002960323</v>
      </c>
      <c r="P26" s="561">
        <f t="shared" si="3"/>
        <v>2035.757002960323</v>
      </c>
      <c r="Q26" s="559">
        <f>+[5]군산!$G$16</f>
        <v>13666.666666666666</v>
      </c>
      <c r="R26" s="560">
        <f>+[5]군산!$H$16</f>
        <v>14143.221160214449</v>
      </c>
      <c r="S26" s="561">
        <f t="shared" si="4"/>
        <v>476.55449354778284</v>
      </c>
      <c r="T26" s="559">
        <f>+[5]군산!$G$17</f>
        <v>14837.329653268933</v>
      </c>
      <c r="U26" s="560">
        <f>+[5]군산!$H$17</f>
        <v>15363.438700621091</v>
      </c>
      <c r="V26" s="561">
        <f t="shared" si="5"/>
        <v>526.10904735215809</v>
      </c>
    </row>
    <row r="27" spans="4:25" ht="24" customHeight="1">
      <c r="D27" s="451" t="s">
        <v>32</v>
      </c>
      <c r="E27" s="559">
        <f>+[5]원주!$G$9</f>
        <v>100000</v>
      </c>
      <c r="F27" s="560">
        <f>+[5]원주!$H$9</f>
        <v>100000.2544787449</v>
      </c>
      <c r="G27" s="561">
        <f t="shared" si="0"/>
        <v>0.25447874490055256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63973.527569863705</v>
      </c>
      <c r="M27" s="561">
        <f t="shared" si="2"/>
        <v>-26.472430136294861</v>
      </c>
      <c r="N27" s="559">
        <f>+[5]원주!$G$13</f>
        <v>49000</v>
      </c>
      <c r="O27" s="560">
        <f>+[5]원주!$H$13</f>
        <v>49000.000156706643</v>
      </c>
      <c r="P27" s="561">
        <f t="shared" si="3"/>
        <v>1.5670664288336411E-4</v>
      </c>
      <c r="Q27" s="559">
        <f>+[5]원주!$G$16</f>
        <v>13666.666666666666</v>
      </c>
      <c r="R27" s="560">
        <f>+[5]원주!$H$16</f>
        <v>14159.056511241888</v>
      </c>
      <c r="S27" s="561">
        <f t="shared" si="4"/>
        <v>492.38984457522201</v>
      </c>
      <c r="T27" s="559">
        <f>+[5]원주!$G$17</f>
        <v>13419.354838709678</v>
      </c>
      <c r="U27" s="560">
        <f>+[5]원주!$H$17</f>
        <v>13999.91184052541</v>
      </c>
      <c r="V27" s="561">
        <f t="shared" si="5"/>
        <v>580.55700181573229</v>
      </c>
    </row>
    <row r="28" spans="4:25" ht="24" customHeight="1">
      <c r="D28" s="500" t="s">
        <v>35</v>
      </c>
      <c r="E28" s="565">
        <f>+[5]제주!$G$9</f>
        <v>117000</v>
      </c>
      <c r="F28" s="566">
        <f>+[5]제주!$H$9</f>
        <v>116999.96532836519</v>
      </c>
      <c r="G28" s="567">
        <f t="shared" si="0"/>
        <v>-3.4671634814003482E-2</v>
      </c>
      <c r="H28" s="565">
        <f>+[5]제주!$G$10</f>
        <v>0</v>
      </c>
      <c r="I28" s="566">
        <f>+[5]제주!$H$10</f>
        <v>0</v>
      </c>
      <c r="J28" s="567">
        <f t="shared" si="1"/>
        <v>0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17942.304447811955</v>
      </c>
      <c r="S28" s="567">
        <f t="shared" si="4"/>
        <v>-201.02888552138029</v>
      </c>
      <c r="T28" s="565">
        <f>+[5]제주!$G$17</f>
        <v>18433.378210746429</v>
      </c>
      <c r="U28" s="566">
        <f>+[5]제주!$H$17</f>
        <v>20315.447368258872</v>
      </c>
      <c r="V28" s="567">
        <f t="shared" si="5"/>
        <v>1882.0691575124438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K27" sqref="K27"/>
      <selection pane="topRight" activeCell="K27" sqref="K27"/>
      <selection pane="bottomLeft" activeCell="K27" sqref="K27"/>
      <selection pane="bottomRight" activeCell="E8" sqref="E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223</v>
      </c>
      <c r="F4" s="184"/>
      <c r="I4" s="184"/>
    </row>
    <row r="5" spans="4:22" ht="21.95" customHeight="1">
      <c r="V5" s="186" t="s">
        <v>157</v>
      </c>
    </row>
    <row r="6" spans="4:22" ht="24" customHeight="1" thickBot="1">
      <c r="D6" s="831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>
      <c r="D7" s="832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+[5]합계!$E$9</f>
        <v>230.74186940752909</v>
      </c>
      <c r="F8" s="462">
        <f>+[5]합계!$F$9</f>
        <v>252.01156380257322</v>
      </c>
      <c r="G8" s="487">
        <f>+F8-E8</f>
        <v>21.269694395044127</v>
      </c>
      <c r="H8" s="460">
        <f>+[5]합계!$E$15</f>
        <v>351.66618781142228</v>
      </c>
      <c r="I8" s="462">
        <f>+[5]합계!$F$15</f>
        <v>366.80807511869426</v>
      </c>
      <c r="J8" s="487">
        <f>+I8-H8</f>
        <v>15.141887307271986</v>
      </c>
      <c r="K8" s="531">
        <f>+([5]합계!$E$10*0.4+[5]합계!$E$11+[5]합계!$E$12+[5]합계!$E$13+[5]합계!$E$14)/[5]합계!$E$15</f>
        <v>0.29997014225377527</v>
      </c>
      <c r="L8" s="532">
        <f>+([5]합계!$F$10*0.4+[5]합계!$F$11+[5]합계!$F$12+[5]합계!$F$13+[5]합계!$F$14)/[5]합계!$F$15</f>
        <v>0.26395903329495773</v>
      </c>
      <c r="M8" s="533">
        <f>+L8-K8</f>
        <v>-3.6011108958817539E-2</v>
      </c>
      <c r="N8" s="460">
        <f>+[5]합계!$E$16</f>
        <v>820.18904706222929</v>
      </c>
      <c r="O8" s="462">
        <f>+[5]합계!$F$16</f>
        <v>830.80817380450094</v>
      </c>
      <c r="P8" s="487">
        <f>+O8-N8</f>
        <v>10.619126742271646</v>
      </c>
      <c r="Q8" s="460">
        <f>+[5]합계!$E$17</f>
        <v>906.99013836742506</v>
      </c>
      <c r="R8" s="462">
        <f>+[5]합계!$F$17</f>
        <v>887.50153875579701</v>
      </c>
      <c r="S8" s="487">
        <f>+R8-Q8</f>
        <v>-19.488599611628047</v>
      </c>
      <c r="T8" s="460">
        <f>+[5]합계!$E$19</f>
        <v>3.1912577010994259</v>
      </c>
      <c r="U8" s="462">
        <f>+[5]합계!$F$19</f>
        <v>3.0876599079815334</v>
      </c>
      <c r="V8" s="487">
        <f>+U8-T8</f>
        <v>-0.10359779311789241</v>
      </c>
    </row>
    <row r="9" spans="4:22" ht="24" customHeight="1">
      <c r="D9" s="471" t="s">
        <v>19</v>
      </c>
      <c r="E9" s="465">
        <f>+[5]수도권!$E$9</f>
        <v>250.90493723849372</v>
      </c>
      <c r="F9" s="479">
        <f>+[5]수도권!$F$9</f>
        <v>265.37548751884424</v>
      </c>
      <c r="G9" s="488">
        <f t="shared" ref="G9:G28" si="0">+F9-E9</f>
        <v>14.470550280350523</v>
      </c>
      <c r="H9" s="465">
        <f>+[5]수도권!$E$15</f>
        <v>354.30966527196654</v>
      </c>
      <c r="I9" s="479">
        <f>+[5]수도권!$F$15</f>
        <v>363.79772120244053</v>
      </c>
      <c r="J9" s="488">
        <f t="shared" ref="J9:J28" si="1">+I9-H9</f>
        <v>9.4880559304739904</v>
      </c>
      <c r="K9" s="537">
        <f>+([5]수도권!$E$10*0.4+[5]수도권!$E$11+[5]수도권!$E$12+[5]수도권!$E$13+[5]수도권!$E$14)/[5]수도권!$E$15</f>
        <v>0.27988189892750365</v>
      </c>
      <c r="L9" s="538">
        <f>+([5]수도권!$F$10*0.4+[5]수도권!$F$11+[5]수도권!$F$12+[5]수도권!$F$13+[5]수도권!$F$14)/[5]수도권!$F$15</f>
        <v>0.24326591900173275</v>
      </c>
      <c r="M9" s="534">
        <f t="shared" ref="M9:M28" si="2">+L9-K9</f>
        <v>-3.6615979925770897E-2</v>
      </c>
      <c r="N9" s="465">
        <f>+[5]수도권!$E$16</f>
        <v>845.82958158995814</v>
      </c>
      <c r="O9" s="479">
        <f>+[5]수도권!$F$16</f>
        <v>864.28630400302279</v>
      </c>
      <c r="P9" s="488">
        <f t="shared" ref="P9:P28" si="3">+O9-N9</f>
        <v>18.456722413064654</v>
      </c>
      <c r="Q9" s="465">
        <f>+[5]수도권!$E$17</f>
        <v>890.85008368200852</v>
      </c>
      <c r="R9" s="479">
        <f>+[5]수도권!$F$17</f>
        <v>867.58444986028144</v>
      </c>
      <c r="S9" s="488">
        <f t="shared" ref="S9:S28" si="4">+R9-Q9</f>
        <v>-23.265633821727079</v>
      </c>
      <c r="T9" s="465">
        <f>+[5]수도권!$E$19</f>
        <v>3.0358805020920498</v>
      </c>
      <c r="U9" s="479">
        <f>+[5]수도권!$F$19</f>
        <v>3.1296379192961337</v>
      </c>
      <c r="V9" s="488">
        <f t="shared" ref="V9:V28" si="5">+U9-T9</f>
        <v>9.3757417204083815E-2</v>
      </c>
    </row>
    <row r="10" spans="4:22" ht="24" customHeight="1">
      <c r="D10" s="472" t="s">
        <v>20</v>
      </c>
      <c r="E10" s="467">
        <f>+[5]영남권!$E$9</f>
        <v>203.0209133477438</v>
      </c>
      <c r="F10" s="480">
        <f>+[5]영남권!$F$9</f>
        <v>227.04709600260938</v>
      </c>
      <c r="G10" s="489">
        <f t="shared" si="0"/>
        <v>24.026182654865579</v>
      </c>
      <c r="H10" s="467">
        <f>+[5]영남권!$E$15</f>
        <v>349.93480934448763</v>
      </c>
      <c r="I10" s="480">
        <f>+[5]영남권!$F$15</f>
        <v>367.30660529844522</v>
      </c>
      <c r="J10" s="489">
        <f t="shared" si="1"/>
        <v>17.371795953957587</v>
      </c>
      <c r="K10" s="539">
        <f>+([5]영남권!$E$10*0.4+[5]영남권!$E$11+[5]영남권!$E$12+[5]영남권!$E$13+[5]영남권!$E$14)/[5]영남권!$E$15</f>
        <v>0.3407789075504295</v>
      </c>
      <c r="L10" s="540">
        <f>+([5]영남권!$F$10*0.4+[5]영남권!$F$11+[5]영남권!$F$12+[5]영남권!$F$13+[5]영남권!$F$14)/[5]영남권!$F$15</f>
        <v>0.29738309992665118</v>
      </c>
      <c r="M10" s="535">
        <f t="shared" si="2"/>
        <v>-4.3395807623778315E-2</v>
      </c>
      <c r="N10" s="467">
        <f>+[5]영남권!$E$16</f>
        <v>802.73595940378675</v>
      </c>
      <c r="O10" s="480">
        <f>+[5]영남권!$F$16</f>
        <v>804.91275813430957</v>
      </c>
      <c r="P10" s="489">
        <f t="shared" si="3"/>
        <v>2.1767987305228189</v>
      </c>
      <c r="Q10" s="467">
        <f>+[5]영남권!$E$17</f>
        <v>913.03908166936549</v>
      </c>
      <c r="R10" s="480">
        <f>+[5]영남권!$F$17</f>
        <v>895.02012423440738</v>
      </c>
      <c r="S10" s="489">
        <f t="shared" si="4"/>
        <v>-18.018957434958111</v>
      </c>
      <c r="T10" s="467">
        <f>+[5]영남권!$E$19</f>
        <v>3.4385804846978663</v>
      </c>
      <c r="U10" s="480">
        <f>+[5]영남권!$F$19</f>
        <v>3.1150553546189248</v>
      </c>
      <c r="V10" s="489">
        <f t="shared" si="5"/>
        <v>-0.32352513007894146</v>
      </c>
    </row>
    <row r="11" spans="4:22" ht="24" customHeight="1">
      <c r="D11" s="473" t="s">
        <v>57</v>
      </c>
      <c r="E11" s="468">
        <f>+[5]중부권!$E$9</f>
        <v>251.51045045045041</v>
      </c>
      <c r="F11" s="481">
        <f>+[5]중부권!$F$9</f>
        <v>285.50103830494385</v>
      </c>
      <c r="G11" s="490">
        <f t="shared" si="0"/>
        <v>33.990587854493441</v>
      </c>
      <c r="H11" s="468">
        <f>+[5]중부권!$E$15</f>
        <v>349.98306306306301</v>
      </c>
      <c r="I11" s="481">
        <f>+[5]중부권!$F$15</f>
        <v>371.01439036144569</v>
      </c>
      <c r="J11" s="490">
        <f t="shared" si="1"/>
        <v>21.031327298382678</v>
      </c>
      <c r="K11" s="541">
        <f>+([5]중부권!$E$10*0.4+[5]중부권!$E$11+[5]중부권!$E$12+[5]중부권!$E$13+[5]중부권!$E$14)/[5]중부권!$E$15</f>
        <v>0.24928578268394974</v>
      </c>
      <c r="L11" s="542">
        <f>+([5]중부권!$F$10*0.4+[5]중부권!$F$11+[5]중부권!$F$12+[5]중부권!$F$13+[5]중부권!$F$14)/[5]중부권!$F$15</f>
        <v>0.22414833783263946</v>
      </c>
      <c r="M11" s="536">
        <f t="shared" si="2"/>
        <v>-2.5137444851310281E-2</v>
      </c>
      <c r="N11" s="468">
        <f>+[5]중부권!$E$16</f>
        <v>805.39045045045043</v>
      </c>
      <c r="O11" s="481">
        <f>+[5]중부권!$F$16</f>
        <v>830.68970838388054</v>
      </c>
      <c r="P11" s="490">
        <f t="shared" si="3"/>
        <v>25.299257933430113</v>
      </c>
      <c r="Q11" s="468">
        <f>+[5]중부권!$E$17</f>
        <v>927.7369369369369</v>
      </c>
      <c r="R11" s="481">
        <f>+[5]중부권!$F$17</f>
        <v>905.65553520565038</v>
      </c>
      <c r="S11" s="490">
        <f t="shared" si="4"/>
        <v>-22.081401731286519</v>
      </c>
      <c r="T11" s="468">
        <f>+[5]중부권!$E$19</f>
        <v>2.9531783783783783</v>
      </c>
      <c r="U11" s="481">
        <f>+[5]중부권!$F$19</f>
        <v>2.9502558703780646</v>
      </c>
      <c r="V11" s="490">
        <f t="shared" si="5"/>
        <v>-2.9225080003136839E-3</v>
      </c>
    </row>
    <row r="12" spans="4:22" ht="24" customHeight="1">
      <c r="D12" s="485" t="s">
        <v>22</v>
      </c>
      <c r="E12" s="447">
        <f>+[5]안양!$E$9</f>
        <v>270</v>
      </c>
      <c r="F12" s="448">
        <f>+[5]안양!$F$9</f>
        <v>283.47282865478837</v>
      </c>
      <c r="G12" s="449">
        <f t="shared" si="0"/>
        <v>13.472828654788373</v>
      </c>
      <c r="H12" s="447">
        <f>+[5]안양!$E$15</f>
        <v>369.3</v>
      </c>
      <c r="I12" s="448">
        <f>+[5]안양!$F$15</f>
        <v>379.66905107214671</v>
      </c>
      <c r="J12" s="449">
        <f t="shared" si="1"/>
        <v>10.369051072146704</v>
      </c>
      <c r="K12" s="505">
        <f>+([5]안양!$E$10*0.4+[5]안양!$E$11+[5]안양!$E$12+[5]안양!$E$13+[5]안양!$E$14)/[5]안양!$E$15</f>
        <v>0.24939073923639316</v>
      </c>
      <c r="L12" s="506">
        <f>+([5]안양!$F$10*0.4+[5]안양!$F$11+[5]안양!$F$12+[5]안양!$F$13+[5]안양!$F$14)/[5]안양!$F$15</f>
        <v>0.25336861707771546</v>
      </c>
      <c r="M12" s="507">
        <f t="shared" si="2"/>
        <v>3.9778778413223082E-3</v>
      </c>
      <c r="N12" s="447">
        <f>+[5]안양!$E$16</f>
        <v>845</v>
      </c>
      <c r="O12" s="448">
        <f>+[5]안양!$F$16</f>
        <v>854.75724442681883</v>
      </c>
      <c r="P12" s="449">
        <f t="shared" si="3"/>
        <v>9.7572444268188292</v>
      </c>
      <c r="Q12" s="447">
        <f>+[5]안양!$E$17</f>
        <v>880</v>
      </c>
      <c r="R12" s="448">
        <f>+[5]안양!$F$17</f>
        <v>867.33152989830853</v>
      </c>
      <c r="S12" s="449">
        <f t="shared" si="4"/>
        <v>-12.668470101691469</v>
      </c>
      <c r="T12" s="508">
        <f>+[5]안양!$E$19</f>
        <v>3.29</v>
      </c>
      <c r="U12" s="509">
        <f>+[5]안양!$F$19</f>
        <v>3.2336090417245007</v>
      </c>
      <c r="V12" s="510">
        <f t="shared" si="5"/>
        <v>-5.6390958275499337E-2</v>
      </c>
    </row>
    <row r="13" spans="4:22" ht="24" customHeight="1">
      <c r="D13" s="451" t="s">
        <v>23</v>
      </c>
      <c r="E13" s="452">
        <f>+[5]인천!$E$9</f>
        <v>264.52800000000002</v>
      </c>
      <c r="F13" s="453">
        <f>+[5]인천!$F$9</f>
        <v>272.49953684210539</v>
      </c>
      <c r="G13" s="189">
        <f t="shared" si="0"/>
        <v>7.9715368421053654</v>
      </c>
      <c r="H13" s="452">
        <f>+[5]인천!$E$15</f>
        <v>367.613</v>
      </c>
      <c r="I13" s="453">
        <f>+[5]인천!$F$15</f>
        <v>375.28589818809331</v>
      </c>
      <c r="J13" s="189">
        <f t="shared" si="1"/>
        <v>7.6728981880933134</v>
      </c>
      <c r="K13" s="511">
        <f>+([5]인천!$E$10*0.4+[5]인천!$E$11+[5]인천!$E$12+[5]인천!$E$13+[5]인천!$E$14)/[5]인천!$E$15</f>
        <v>0.26254838648252371</v>
      </c>
      <c r="L13" s="512">
        <f>+([5]인천!$F$10*0.4+[5]인천!$F$11+[5]인천!$F$12+[5]인천!$F$13+[5]인천!$F$14)/[5]인천!$F$15</f>
        <v>0.22758165612367778</v>
      </c>
      <c r="M13" s="513">
        <f t="shared" si="2"/>
        <v>-3.4966730358845927E-2</v>
      </c>
      <c r="N13" s="452">
        <f>+[5]인천!$E$16</f>
        <v>882.94499999999994</v>
      </c>
      <c r="O13" s="453">
        <f>+[5]인천!$F$16</f>
        <v>953.51078515962138</v>
      </c>
      <c r="P13" s="189">
        <f t="shared" si="3"/>
        <v>70.565785159621441</v>
      </c>
      <c r="Q13" s="452">
        <f>+[5]인천!$E$17</f>
        <v>848.82299999999998</v>
      </c>
      <c r="R13" s="453">
        <f>+[5]인천!$F$17</f>
        <v>791.5782571182059</v>
      </c>
      <c r="S13" s="189">
        <f t="shared" si="4"/>
        <v>-57.244742881794082</v>
      </c>
      <c r="T13" s="514">
        <f>+[5]인천!$E$19</f>
        <v>3.3090000000000002</v>
      </c>
      <c r="U13" s="515">
        <f>+[5]인천!$F$19</f>
        <v>3.0577939603106148</v>
      </c>
      <c r="V13" s="516">
        <f t="shared" si="5"/>
        <v>-0.25120603968938537</v>
      </c>
    </row>
    <row r="14" spans="4:22" ht="24" customHeight="1">
      <c r="D14" s="451" t="s">
        <v>24</v>
      </c>
      <c r="E14" s="452">
        <f>+[5]파주!$E$9</f>
        <v>241.93928571428572</v>
      </c>
      <c r="F14" s="453">
        <f>+[5]파주!$F$9</f>
        <v>250.60857216000409</v>
      </c>
      <c r="G14" s="189">
        <f t="shared" si="0"/>
        <v>8.6692864457183703</v>
      </c>
      <c r="H14" s="452">
        <f>+[5]파주!$E$15</f>
        <v>338.38267857142858</v>
      </c>
      <c r="I14" s="453">
        <f>+[5]파주!$F$15</f>
        <v>352.35218346554672</v>
      </c>
      <c r="J14" s="189">
        <f t="shared" si="1"/>
        <v>13.969504894118131</v>
      </c>
      <c r="K14" s="511">
        <f>+([5]파주!$E$10*0.4+[5]파주!$E$11+[5]파주!$E$12+[5]파주!$E$13+[5]파주!$E$14)/[5]파주!$E$15</f>
        <v>0.28501279458010087</v>
      </c>
      <c r="L14" s="512">
        <f>+([5]파주!$F$10*0.4+[5]파주!$F$11+[5]파주!$F$12+[5]파주!$F$13+[5]파주!$F$14)/[5]파주!$F$15</f>
        <v>0.23748419121635178</v>
      </c>
      <c r="M14" s="513">
        <f t="shared" si="2"/>
        <v>-4.7528603363749089E-2</v>
      </c>
      <c r="N14" s="452">
        <f>+[5]파주!$E$16</f>
        <v>873.95660714285714</v>
      </c>
      <c r="O14" s="453">
        <f>+[5]파주!$F$16</f>
        <v>832.3964347099087</v>
      </c>
      <c r="P14" s="189">
        <f t="shared" si="3"/>
        <v>-41.560172432948434</v>
      </c>
      <c r="Q14" s="452">
        <f>+[5]파주!$E$17</f>
        <v>880.42482142857148</v>
      </c>
      <c r="R14" s="453">
        <f>+[5]파주!$F$17</f>
        <v>891.14773409550446</v>
      </c>
      <c r="S14" s="189">
        <f t="shared" si="4"/>
        <v>10.722912666932984</v>
      </c>
      <c r="T14" s="514">
        <f>+[5]파주!$E$19</f>
        <v>2.7070614285714281</v>
      </c>
      <c r="U14" s="515">
        <f>+[5]파주!$F$19</f>
        <v>3.2771669064654949</v>
      </c>
      <c r="V14" s="516">
        <f t="shared" si="5"/>
        <v>0.57010547789406685</v>
      </c>
    </row>
    <row r="15" spans="4:22" ht="24" customHeight="1">
      <c r="D15" s="451" t="s">
        <v>178</v>
      </c>
      <c r="E15" s="452">
        <f>+[5]김포!$E$9</f>
        <v>198</v>
      </c>
      <c r="F15" s="453">
        <f>+[5]김포!$F$9</f>
        <v>232.33490332428778</v>
      </c>
      <c r="G15" s="189">
        <f t="shared" si="0"/>
        <v>34.334903324287779</v>
      </c>
      <c r="H15" s="452">
        <f>+[5]김포!$E$15</f>
        <v>322</v>
      </c>
      <c r="I15" s="453">
        <f>+[5]김포!$F$15</f>
        <v>318.00605325644511</v>
      </c>
      <c r="J15" s="189">
        <f t="shared" si="1"/>
        <v>-3.9939467435548863</v>
      </c>
      <c r="K15" s="511">
        <f>+([5]김포!$E$10*0.4+[5]김포!$E$11+[5]김포!$E$12+[5]김포!$E$13+[5]김포!$E$14)/[5]김포!$E$15</f>
        <v>0.38509316770186336</v>
      </c>
      <c r="L15" s="512">
        <f>+([5]김포!$F$10*0.4+[5]김포!$F$11+[5]김포!$F$12+[5]김포!$F$13+[5]김포!$F$14)/[5]김포!$F$15</f>
        <v>0.26940100370690356</v>
      </c>
      <c r="M15" s="513">
        <f t="shared" si="2"/>
        <v>-0.1156921639949598</v>
      </c>
      <c r="N15" s="452">
        <f>+[5]김포!$E$16</f>
        <v>745</v>
      </c>
      <c r="O15" s="453">
        <f>+[5]김포!$F$16</f>
        <v>757.02891791044703</v>
      </c>
      <c r="P15" s="189">
        <f t="shared" si="3"/>
        <v>12.028917910447035</v>
      </c>
      <c r="Q15" s="452">
        <f>+[5]김포!$E$17</f>
        <v>1000</v>
      </c>
      <c r="R15" s="453">
        <f>+[5]김포!$F$17</f>
        <v>993.43792401628343</v>
      </c>
      <c r="S15" s="189">
        <f t="shared" si="4"/>
        <v>-6.5620759837165679</v>
      </c>
      <c r="T15" s="514">
        <f>+[5]김포!$E$19</f>
        <v>2.5</v>
      </c>
      <c r="U15" s="515">
        <f>+[5]김포!$F$19</f>
        <v>2.6088237788331079</v>
      </c>
      <c r="V15" s="516">
        <f t="shared" si="5"/>
        <v>0.1088237788331079</v>
      </c>
    </row>
    <row r="16" spans="4:22" ht="24" customHeight="1">
      <c r="D16" s="486" t="s">
        <v>25</v>
      </c>
      <c r="E16" s="455">
        <f>+[5]부산!$E$9</f>
        <v>205.28586825925396</v>
      </c>
      <c r="F16" s="456">
        <f>+[5]부산!$F$9</f>
        <v>181.58554589114215</v>
      </c>
      <c r="G16" s="457">
        <f t="shared" si="0"/>
        <v>-23.700322368111813</v>
      </c>
      <c r="H16" s="455">
        <f>+[5]부산!$E$15</f>
        <v>357.80115003833293</v>
      </c>
      <c r="I16" s="456">
        <f>+[5]부산!$F$15</f>
        <v>373.59623959445048</v>
      </c>
      <c r="J16" s="457">
        <f t="shared" si="1"/>
        <v>15.795089556117546</v>
      </c>
      <c r="K16" s="517">
        <f>+([5]부산!$E$10*0.4+[5]부산!$E$11+[5]부산!$E$12+[5]부산!$E$13+[5]부산!$E$14)/[5]부산!$E$15</f>
        <v>0.34078267526138667</v>
      </c>
      <c r="L16" s="518">
        <f>+([5]부산!$F$10*0.4+[5]부산!$F$11+[5]부산!$F$12+[5]부산!$F$13+[5]부산!$F$14)/[5]부산!$F$15</f>
        <v>0.25839367191439411</v>
      </c>
      <c r="M16" s="519">
        <f t="shared" si="2"/>
        <v>-8.2389003346992562E-2</v>
      </c>
      <c r="N16" s="455">
        <f>+[5]부산!$E$16</f>
        <v>822.85329161249149</v>
      </c>
      <c r="O16" s="456">
        <f>+[5]부산!$F$16</f>
        <v>889.77881536819598</v>
      </c>
      <c r="P16" s="457">
        <f t="shared" si="3"/>
        <v>66.925523755704489</v>
      </c>
      <c r="Q16" s="455">
        <f>+[5]부산!$E$17</f>
        <v>899.91219871176179</v>
      </c>
      <c r="R16" s="456">
        <f>+[5]부산!$F$17</f>
        <v>828.79402347918904</v>
      </c>
      <c r="S16" s="457">
        <f t="shared" si="4"/>
        <v>-71.118175232572753</v>
      </c>
      <c r="T16" s="520">
        <f>+[5]부산!$E$19</f>
        <v>3.5823051141837894</v>
      </c>
      <c r="U16" s="521">
        <f>+[5]부산!$F$19</f>
        <v>3.2561216648879401</v>
      </c>
      <c r="V16" s="522">
        <f t="shared" si="5"/>
        <v>-0.3261834492958493</v>
      </c>
    </row>
    <row r="17" spans="4:22" ht="24" customHeight="1">
      <c r="D17" s="451" t="s">
        <v>26</v>
      </c>
      <c r="E17" s="452">
        <f>+[5]서부산!$E$9</f>
        <v>211.79999999999998</v>
      </c>
      <c r="F17" s="453">
        <f>+[5]서부산!$F$9</f>
        <v>234.6052041717482</v>
      </c>
      <c r="G17" s="189">
        <f t="shared" si="0"/>
        <v>22.805204171748215</v>
      </c>
      <c r="H17" s="452">
        <f>+[5]서부산!$E$15</f>
        <v>359</v>
      </c>
      <c r="I17" s="453">
        <f>+[5]서부산!$F$15</f>
        <v>352.7523062365953</v>
      </c>
      <c r="J17" s="189">
        <f t="shared" si="1"/>
        <v>-6.2476937634046976</v>
      </c>
      <c r="K17" s="511">
        <f>+([5]서부산!$E$10*0.4+[5]서부산!$E$11+[5]서부산!$E$12+[5]서부산!$E$13+[5]서부산!$E$14)/[5]서부산!$E$15</f>
        <v>0.32779944289693597</v>
      </c>
      <c r="L17" s="512">
        <f>+([5]서부산!$F$10*0.4+[5]서부산!$F$11+[5]서부산!$F$12+[5]서부산!$F$13+[5]서부산!$F$14)/[5]서부산!$F$15</f>
        <v>0.26877739299033299</v>
      </c>
      <c r="M17" s="513">
        <f t="shared" si="2"/>
        <v>-5.902204990660298E-2</v>
      </c>
      <c r="N17" s="452">
        <f>+[5]서부산!$E$16</f>
        <v>818.4</v>
      </c>
      <c r="O17" s="453">
        <f>+[5]서부산!$F$16</f>
        <v>814.66314815593614</v>
      </c>
      <c r="P17" s="189">
        <f t="shared" si="3"/>
        <v>-3.7368518440638354</v>
      </c>
      <c r="Q17" s="452">
        <f>+[5]서부산!$E$17</f>
        <v>909.3</v>
      </c>
      <c r="R17" s="453">
        <f>+[5]서부산!$F$17</f>
        <v>911.71643046385475</v>
      </c>
      <c r="S17" s="189">
        <f t="shared" si="4"/>
        <v>2.4164304638547947</v>
      </c>
      <c r="T17" s="514">
        <f>+[5]서부산!$E$19</f>
        <v>4.867</v>
      </c>
      <c r="U17" s="515">
        <f>+[5]서부산!$F$19</f>
        <v>2.9847546154169642</v>
      </c>
      <c r="V17" s="516">
        <f t="shared" si="5"/>
        <v>-1.8822453845830358</v>
      </c>
    </row>
    <row r="18" spans="4:22" ht="24" customHeight="1">
      <c r="D18" s="451" t="s">
        <v>27</v>
      </c>
      <c r="E18" s="452">
        <f>+[5]김해!$E$9</f>
        <v>158.38</v>
      </c>
      <c r="F18" s="453">
        <f>+[5]김해!$F$9</f>
        <v>216.21151586739117</v>
      </c>
      <c r="G18" s="189">
        <f t="shared" si="0"/>
        <v>57.831515867391175</v>
      </c>
      <c r="H18" s="452">
        <f>+[5]김해!$E$15</f>
        <v>343</v>
      </c>
      <c r="I18" s="453">
        <f>+[5]김해!$F$15</f>
        <v>351.71424915347671</v>
      </c>
      <c r="J18" s="189">
        <f t="shared" si="1"/>
        <v>8.7142491534767146</v>
      </c>
      <c r="K18" s="511">
        <f>+([5]김해!$E$10*0.4+[5]김해!$E$11+[5]김해!$E$12+[5]김해!$E$13+[5]김해!$E$14)/[5]김해!$E$15</f>
        <v>0.27180174927113704</v>
      </c>
      <c r="L18" s="512">
        <f>+([5]김해!$F$10*0.4+[5]김해!$F$11+[5]김해!$F$12+[5]김해!$F$13+[5]김해!$F$14)/[5]김해!$F$15</f>
        <v>0.1941911686861908</v>
      </c>
      <c r="M18" s="513">
        <f t="shared" si="2"/>
        <v>-7.7610580584946243E-2</v>
      </c>
      <c r="N18" s="452">
        <f>+[5]김해!$E$16</f>
        <v>830</v>
      </c>
      <c r="O18" s="453">
        <f>+[5]김해!$F$16</f>
        <v>759.27238365225594</v>
      </c>
      <c r="P18" s="189">
        <f t="shared" si="3"/>
        <v>-70.72761634774406</v>
      </c>
      <c r="Q18" s="452">
        <f>+[5]김해!$E$17</f>
        <v>890</v>
      </c>
      <c r="R18" s="453">
        <f>+[5]김해!$F$17</f>
        <v>959.91022915190172</v>
      </c>
      <c r="S18" s="189">
        <f t="shared" si="4"/>
        <v>69.910229151901717</v>
      </c>
      <c r="T18" s="514">
        <f>+[5]김해!$E$19</f>
        <v>3.3</v>
      </c>
      <c r="U18" s="515">
        <f>+[5]김해!$F$19</f>
        <v>2.8347932908103002</v>
      </c>
      <c r="V18" s="516">
        <f t="shared" si="5"/>
        <v>-0.46520670918969964</v>
      </c>
    </row>
    <row r="19" spans="4:22" ht="24" customHeight="1">
      <c r="D19" s="451" t="s">
        <v>28</v>
      </c>
      <c r="E19" s="452">
        <f>+[5]정관!$E$9</f>
        <v>172.4</v>
      </c>
      <c r="F19" s="453">
        <f>+[5]정관!$F$9</f>
        <v>189.32036866830055</v>
      </c>
      <c r="G19" s="189">
        <f t="shared" si="0"/>
        <v>16.92036866830054</v>
      </c>
      <c r="H19" s="452">
        <f>+[5]정관!$E$15</f>
        <v>358.09999999999997</v>
      </c>
      <c r="I19" s="453">
        <f>+[5]정관!$F$15</f>
        <v>365.47846456290841</v>
      </c>
      <c r="J19" s="189">
        <f t="shared" si="1"/>
        <v>7.378464562908448</v>
      </c>
      <c r="K19" s="511">
        <f>+([5]정관!$E$10*0.4+[5]정관!$E$11+[5]정관!$E$12+[5]정관!$E$13+[5]정관!$E$14)/[5]정관!$E$15</f>
        <v>0.34683049427534207</v>
      </c>
      <c r="L19" s="512">
        <f>+([5]정관!$F$10*0.4+[5]정관!$F$11+[5]정관!$F$12+[5]정관!$F$13+[5]정관!$F$14)/[5]정관!$F$15</f>
        <v>0.33063311049226807</v>
      </c>
      <c r="M19" s="513">
        <f t="shared" si="2"/>
        <v>-1.6197383783074004E-2</v>
      </c>
      <c r="N19" s="452">
        <f>+[5]정관!$E$16</f>
        <v>795</v>
      </c>
      <c r="O19" s="453">
        <f>+[5]정관!$F$16</f>
        <v>801.46701388888926</v>
      </c>
      <c r="P19" s="189">
        <f t="shared" si="3"/>
        <v>6.4670138888892552</v>
      </c>
      <c r="Q19" s="452">
        <f>+[5]정관!$E$17</f>
        <v>920</v>
      </c>
      <c r="R19" s="453">
        <f>+[5]정관!$F$17</f>
        <v>925.2637357026133</v>
      </c>
      <c r="S19" s="189">
        <f t="shared" si="4"/>
        <v>5.2637357026133031</v>
      </c>
      <c r="T19" s="514">
        <f>+[5]정관!$E$19</f>
        <v>3.0551550000000001</v>
      </c>
      <c r="U19" s="515">
        <f>+[5]정관!$F$19</f>
        <v>2.9131433823529416</v>
      </c>
      <c r="V19" s="516">
        <f t="shared" si="5"/>
        <v>-0.1420116176470585</v>
      </c>
    </row>
    <row r="20" spans="4:22" ht="24" customHeight="1">
      <c r="D20" s="451" t="s">
        <v>29</v>
      </c>
      <c r="E20" s="452">
        <f>+[5]양산!$E$9</f>
        <v>201.90100000000001</v>
      </c>
      <c r="F20" s="453">
        <f>+[5]양산!$F$9</f>
        <v>256.54366525949848</v>
      </c>
      <c r="G20" s="189">
        <f t="shared" si="0"/>
        <v>54.642665259498472</v>
      </c>
      <c r="H20" s="452">
        <f>+[5]양산!$E$15</f>
        <v>331.21000000000004</v>
      </c>
      <c r="I20" s="453">
        <f>+[5]양산!$F$15</f>
        <v>369.89095604668501</v>
      </c>
      <c r="J20" s="189">
        <f t="shared" si="1"/>
        <v>38.680956046684969</v>
      </c>
      <c r="K20" s="511">
        <f>+([5]양산!$E$10*0.4+[5]양산!$E$11+[5]양산!$E$12+[5]양산!$E$13+[5]양산!$E$14)/[5]양산!$E$15</f>
        <v>0.3714235681289817</v>
      </c>
      <c r="L20" s="512">
        <f>+([5]양산!$F$10*0.4+[5]양산!$F$11+[5]양산!$F$12+[5]양산!$F$13+[5]양산!$F$14)/[5]양산!$F$15</f>
        <v>0.30643433945673609</v>
      </c>
      <c r="M20" s="513">
        <f t="shared" si="2"/>
        <v>-6.4989228672245603E-2</v>
      </c>
      <c r="N20" s="452">
        <f>+[5]양산!$E$16</f>
        <v>783.5</v>
      </c>
      <c r="O20" s="453">
        <f>+[5]양산!$F$16</f>
        <v>775.07987749358506</v>
      </c>
      <c r="P20" s="189">
        <f t="shared" si="3"/>
        <v>-8.4201225064149412</v>
      </c>
      <c r="Q20" s="452">
        <f>+[5]양산!$E$17</f>
        <v>910.20830800000022</v>
      </c>
      <c r="R20" s="453">
        <f>+[5]양산!$F$17</f>
        <v>913.61311149739311</v>
      </c>
      <c r="S20" s="189">
        <f t="shared" si="4"/>
        <v>3.4048034973928907</v>
      </c>
      <c r="T20" s="514">
        <f>+[5]양산!$E$19</f>
        <v>2.4558854999999995</v>
      </c>
      <c r="U20" s="515">
        <f>+[5]양산!$F$19</f>
        <v>3.3582716662527923</v>
      </c>
      <c r="V20" s="516">
        <f t="shared" si="5"/>
        <v>0.90238616625279278</v>
      </c>
    </row>
    <row r="21" spans="4:22" ht="24" customHeight="1">
      <c r="D21" s="451" t="s">
        <v>30</v>
      </c>
      <c r="E21" s="452">
        <f>+[5]창원!$E$9</f>
        <v>239.4</v>
      </c>
      <c r="F21" s="453">
        <f>+[5]창원!$F$9</f>
        <v>254.4408686152652</v>
      </c>
      <c r="G21" s="189">
        <f t="shared" si="0"/>
        <v>15.040868615265197</v>
      </c>
      <c r="H21" s="452">
        <f>+[5]창원!$E$15</f>
        <v>343.4</v>
      </c>
      <c r="I21" s="453">
        <f>+[5]창원!$F$15</f>
        <v>363.4078389007575</v>
      </c>
      <c r="J21" s="189">
        <f t="shared" si="1"/>
        <v>20.00783890075752</v>
      </c>
      <c r="K21" s="511">
        <f>+([5]창원!$E$10*0.4+[5]창원!$E$11+[5]창원!$E$12+[5]창원!$E$13+[5]창원!$E$14)/[5]창원!$E$15</f>
        <v>0.30285381479324402</v>
      </c>
      <c r="L21" s="512">
        <f>+([5]창원!$F$10*0.4+[5]창원!$F$11+[5]창원!$F$12+[5]창원!$F$13+[5]창원!$F$14)/[5]창원!$F$15</f>
        <v>0.29984760542066868</v>
      </c>
      <c r="M21" s="513">
        <f t="shared" si="2"/>
        <v>-3.0062093725753414E-3</v>
      </c>
      <c r="N21" s="452">
        <f>+[5]창원!$E$16</f>
        <v>837.30000000000007</v>
      </c>
      <c r="O21" s="453">
        <f>+[5]창원!$F$16</f>
        <v>844.28651194406655</v>
      </c>
      <c r="P21" s="189">
        <f t="shared" si="3"/>
        <v>6.9865119440664785</v>
      </c>
      <c r="Q21" s="452">
        <f>+[5]창원!$E$17</f>
        <v>880.6</v>
      </c>
      <c r="R21" s="453">
        <f>+[5]창원!$F$17</f>
        <v>870.39522237327651</v>
      </c>
      <c r="S21" s="189">
        <f t="shared" si="4"/>
        <v>-10.204777626723512</v>
      </c>
      <c r="T21" s="514">
        <f>+[5]창원!$E$19</f>
        <v>3.08</v>
      </c>
      <c r="U21" s="515">
        <f>+[5]창원!$F$19</f>
        <v>3.0371965430180605</v>
      </c>
      <c r="V21" s="516">
        <f t="shared" si="5"/>
        <v>-4.2803456981939547E-2</v>
      </c>
    </row>
    <row r="22" spans="4:22" ht="24" customHeight="1">
      <c r="D22" s="451" t="s">
        <v>95</v>
      </c>
      <c r="E22" s="452">
        <f>+[5]대구!$E$9</f>
        <v>204</v>
      </c>
      <c r="F22" s="453">
        <f>+[5]대구!$F$9</f>
        <v>257.67798624140096</v>
      </c>
      <c r="G22" s="189">
        <f t="shared" si="0"/>
        <v>53.677986241400959</v>
      </c>
      <c r="H22" s="452">
        <f>+[5]대구!$E$15</f>
        <v>340</v>
      </c>
      <c r="I22" s="453">
        <f>+[5]대구!$F$15</f>
        <v>384.89528330206377</v>
      </c>
      <c r="J22" s="189">
        <f t="shared" si="1"/>
        <v>44.895283302063774</v>
      </c>
      <c r="K22" s="511">
        <f>+([5]대구!$E$10*0.4+[5]대구!$E$11+[5]대구!$E$12+[5]대구!$E$13+[5]대구!$E$14)/[5]대구!$E$15</f>
        <v>0.40000000000000008</v>
      </c>
      <c r="L22" s="512">
        <f>+([5]대구!$F$10*0.4+[5]대구!$F$11+[5]대구!$F$12+[5]대구!$F$13+[5]대구!$F$14)/[5]대구!$F$15</f>
        <v>0.33052443763210088</v>
      </c>
      <c r="M22" s="513">
        <f t="shared" si="2"/>
        <v>-6.9475562367899202E-2</v>
      </c>
      <c r="N22" s="452">
        <f>+[5]대구!$E$16</f>
        <v>771.29726976586358</v>
      </c>
      <c r="O22" s="453">
        <f>+[5]대구!$F$16</f>
        <v>744.48553320825511</v>
      </c>
      <c r="P22" s="189">
        <f t="shared" si="3"/>
        <v>-26.811736557608469</v>
      </c>
      <c r="Q22" s="452">
        <f>+[5]대구!$E$17</f>
        <v>942.69666304716668</v>
      </c>
      <c r="R22" s="453">
        <f>+[5]대구!$F$17</f>
        <v>917.28026516572868</v>
      </c>
      <c r="S22" s="189">
        <f t="shared" si="4"/>
        <v>-25.416397881438002</v>
      </c>
      <c r="T22" s="514">
        <f>+[5]대구!$E$19</f>
        <v>2.72</v>
      </c>
      <c r="U22" s="515">
        <f>+[5]대구!$F$19</f>
        <v>3.422591744840525</v>
      </c>
      <c r="V22" s="516">
        <f t="shared" si="5"/>
        <v>0.70259174484052478</v>
      </c>
    </row>
    <row r="23" spans="4:22" ht="24" customHeight="1">
      <c r="D23" s="451" t="s">
        <v>97</v>
      </c>
      <c r="E23" s="452">
        <f>+[5]울산!$E$9</f>
        <v>218.3</v>
      </c>
      <c r="F23" s="453">
        <f>+[5]울산!$F$9</f>
        <v>236.58961299668874</v>
      </c>
      <c r="G23" s="189">
        <f t="shared" si="0"/>
        <v>18.289612996688732</v>
      </c>
      <c r="H23" s="452">
        <f>+[5]울산!$E$15</f>
        <v>352</v>
      </c>
      <c r="I23" s="453">
        <f>+[5]울산!$F$15</f>
        <v>383.16360444260488</v>
      </c>
      <c r="J23" s="189">
        <f t="shared" si="1"/>
        <v>31.163604442604878</v>
      </c>
      <c r="K23" s="511">
        <f>+([5]울산!$E$10*0.4+[5]울산!$E$11+[5]울산!$E$12+[5]울산!$E$13+[5]울산!$E$14)/[5]울산!$E$15</f>
        <v>0.37982954545454545</v>
      </c>
      <c r="L23" s="512">
        <f>+([5]울산!$F$10*0.4+[5]울산!$F$11+[5]울산!$F$12+[5]울산!$F$13+[5]울산!$F$14)/[5]울산!$F$15</f>
        <v>0.38253631019872042</v>
      </c>
      <c r="M23" s="513">
        <f t="shared" si="2"/>
        <v>2.706764744174972E-3</v>
      </c>
      <c r="N23" s="452">
        <f>+[5]울산!$E$16</f>
        <v>724</v>
      </c>
      <c r="O23" s="453">
        <f>+[5]울산!$F$16</f>
        <v>759.41915011037497</v>
      </c>
      <c r="P23" s="189">
        <f t="shared" si="3"/>
        <v>35.419150110374972</v>
      </c>
      <c r="Q23" s="452">
        <f>+[5]울산!$E$17</f>
        <v>968</v>
      </c>
      <c r="R23" s="453">
        <f>+[5]울산!$F$17</f>
        <v>850.47944260485644</v>
      </c>
      <c r="S23" s="189">
        <f t="shared" si="4"/>
        <v>-117.52055739514356</v>
      </c>
      <c r="T23" s="514">
        <f>+[5]울산!$E$19</f>
        <v>3.2</v>
      </c>
      <c r="U23" s="515">
        <f>+[5]울산!$F$19</f>
        <v>3.2334264624724067</v>
      </c>
      <c r="V23" s="516">
        <f t="shared" si="5"/>
        <v>3.3426462472406548E-2</v>
      </c>
    </row>
    <row r="24" spans="4:22" ht="24" customHeight="1">
      <c r="D24" s="486" t="s">
        <v>31</v>
      </c>
      <c r="E24" s="455">
        <f>+[5]아산!$E$9</f>
        <v>245.70416666666665</v>
      </c>
      <c r="F24" s="456">
        <f>+[5]아산!$F$9</f>
        <v>297.17142447730072</v>
      </c>
      <c r="G24" s="457">
        <f t="shared" si="0"/>
        <v>51.467257810634067</v>
      </c>
      <c r="H24" s="455">
        <f>+[5]아산!$E$15</f>
        <v>361.30916666666661</v>
      </c>
      <c r="I24" s="456">
        <f>+[5]아산!$F$15</f>
        <v>383.42685566338815</v>
      </c>
      <c r="J24" s="457">
        <f t="shared" si="1"/>
        <v>22.11768899672154</v>
      </c>
      <c r="K24" s="517">
        <f>+([5]아산!$E$10*0.4+[5]아산!$E$11+[5]아산!$E$12+[5]아산!$E$13+[5]아산!$E$14)/[5]아산!$E$15</f>
        <v>0.26595228924443748</v>
      </c>
      <c r="L24" s="518">
        <f>+([5]아산!$F$10*0.4+[5]아산!$F$11+[5]아산!$F$12+[5]아산!$F$13+[5]아산!$F$14)/[5]아산!$F$15</f>
        <v>0.2249592847033422</v>
      </c>
      <c r="M24" s="519">
        <f t="shared" si="2"/>
        <v>-4.0993004541095279E-2</v>
      </c>
      <c r="N24" s="455">
        <f>+[5]아산!$E$16</f>
        <v>854.9133333333333</v>
      </c>
      <c r="O24" s="456">
        <f>+[5]아산!$F$16</f>
        <v>897.98062925812621</v>
      </c>
      <c r="P24" s="457">
        <f t="shared" si="3"/>
        <v>43.067295924792916</v>
      </c>
      <c r="Q24" s="455">
        <f>+[5]아산!$E$17</f>
        <v>864.74416666666662</v>
      </c>
      <c r="R24" s="456">
        <f>+[5]아산!$F$17</f>
        <v>838.94192766885953</v>
      </c>
      <c r="S24" s="457">
        <f t="shared" si="4"/>
        <v>-25.802238997807081</v>
      </c>
      <c r="T24" s="520">
        <f>+[5]아산!$E$19</f>
        <v>3.0019333333333331</v>
      </c>
      <c r="U24" s="521">
        <f>+[5]아산!$F$19</f>
        <v>3.1603656288673219</v>
      </c>
      <c r="V24" s="522">
        <f t="shared" si="5"/>
        <v>0.15843229553398874</v>
      </c>
    </row>
    <row r="25" spans="4:22" ht="24" customHeight="1">
      <c r="D25" s="451" t="s">
        <v>34</v>
      </c>
      <c r="E25" s="452">
        <f>+[5]전주!$E$9</f>
        <v>235.96</v>
      </c>
      <c r="F25" s="453">
        <f>+[5]전주!$F$9</f>
        <v>212.64479529970617</v>
      </c>
      <c r="G25" s="189">
        <f t="shared" si="0"/>
        <v>-23.315204700293833</v>
      </c>
      <c r="H25" s="452">
        <f>+[5]전주!$E$15</f>
        <v>341.38</v>
      </c>
      <c r="I25" s="453">
        <f>+[5]전주!$F$15</f>
        <v>316.6524307769235</v>
      </c>
      <c r="J25" s="189">
        <f t="shared" si="1"/>
        <v>-24.7275692230765</v>
      </c>
      <c r="K25" s="511">
        <f>+([5]전주!$E$10*0.4+[5]전주!$E$11+[5]전주!$E$12+[5]전주!$E$13+[5]전주!$E$14)/[5]전주!$E$15</f>
        <v>0.28711699572324095</v>
      </c>
      <c r="L25" s="512">
        <f>+([5]전주!$F$10*0.4+[5]전주!$F$11+[5]전주!$F$12+[5]전주!$F$13+[5]전주!$F$14)/[5]전주!$F$15</f>
        <v>0.32835452229435352</v>
      </c>
      <c r="M25" s="513">
        <f t="shared" si="2"/>
        <v>4.123752657111257E-2</v>
      </c>
      <c r="N25" s="452">
        <f>+[5]전주!$E$16</f>
        <v>765.84999999999991</v>
      </c>
      <c r="O25" s="453">
        <f>+[5]전주!$F$16</f>
        <v>652.01887617976081</v>
      </c>
      <c r="P25" s="189">
        <f t="shared" si="3"/>
        <v>-113.8311238202391</v>
      </c>
      <c r="Q25" s="452">
        <f>+[5]전주!$E$17</f>
        <v>978.98</v>
      </c>
      <c r="R25" s="453">
        <f>+[5]전주!$F$17</f>
        <v>1087.6986061628847</v>
      </c>
      <c r="S25" s="189">
        <f t="shared" si="4"/>
        <v>108.71860616288473</v>
      </c>
      <c r="T25" s="514">
        <f>+[5]전주!$E$19</f>
        <v>2.92</v>
      </c>
      <c r="U25" s="515">
        <f>+[5]전주!$F$19</f>
        <v>1.9535220951309462</v>
      </c>
      <c r="V25" s="516">
        <f t="shared" si="5"/>
        <v>-0.96647790486905372</v>
      </c>
    </row>
    <row r="26" spans="4:22" ht="24" customHeight="1">
      <c r="D26" s="451" t="s">
        <v>33</v>
      </c>
      <c r="E26" s="452">
        <f>+[5]군산!$E$9</f>
        <v>218.5</v>
      </c>
      <c r="F26" s="453">
        <f>+[5]군산!$F$9</f>
        <v>281.11398086124393</v>
      </c>
      <c r="G26" s="189">
        <f t="shared" si="0"/>
        <v>62.613980861243931</v>
      </c>
      <c r="H26" s="452">
        <f>+[5]군산!$E$15</f>
        <v>338.8</v>
      </c>
      <c r="I26" s="453">
        <f>+[5]군산!$F$15</f>
        <v>387.5340325358851</v>
      </c>
      <c r="J26" s="189">
        <f t="shared" si="1"/>
        <v>48.734032535885092</v>
      </c>
      <c r="K26" s="511">
        <f>+([5]군산!$E$10*0.4+[5]군산!$E$11+[5]군산!$E$12+[5]군산!$E$13+[5]군산!$E$14)/[5]군산!$E$15</f>
        <v>0.33205430932703661</v>
      </c>
      <c r="L26" s="512">
        <f>+([5]군산!$F$10*0.4+[5]군산!$F$11+[5]군산!$F$12+[5]군산!$F$13+[5]군산!$F$14)/[5]군산!$F$15</f>
        <v>0.23973928201802586</v>
      </c>
      <c r="M26" s="513">
        <f t="shared" si="2"/>
        <v>-9.2315027309010755E-2</v>
      </c>
      <c r="N26" s="452">
        <f>+[5]군산!$E$16</f>
        <v>785</v>
      </c>
      <c r="O26" s="453">
        <f>+[5]군산!$F$16</f>
        <v>823.57320574162668</v>
      </c>
      <c r="P26" s="189">
        <f t="shared" si="3"/>
        <v>38.57320574162668</v>
      </c>
      <c r="Q26" s="452">
        <f>+[5]군산!$E$17</f>
        <v>935</v>
      </c>
      <c r="R26" s="453">
        <f>+[5]군산!$F$17</f>
        <v>883.83779904306243</v>
      </c>
      <c r="S26" s="189">
        <f t="shared" si="4"/>
        <v>-51.162200956937568</v>
      </c>
      <c r="T26" s="514">
        <f>+[5]군산!$E$19</f>
        <v>2.84</v>
      </c>
      <c r="U26" s="515">
        <f>+[5]군산!$F$19</f>
        <v>2.9516985645933023</v>
      </c>
      <c r="V26" s="516">
        <f t="shared" si="5"/>
        <v>0.11169856459330241</v>
      </c>
    </row>
    <row r="27" spans="4:22" ht="24" customHeight="1">
      <c r="D27" s="451" t="s">
        <v>32</v>
      </c>
      <c r="E27" s="452">
        <f>+[5]원주!$E$9</f>
        <v>259.90000000000003</v>
      </c>
      <c r="F27" s="453">
        <f>+[5]원주!$F$9</f>
        <v>296.46857930382731</v>
      </c>
      <c r="G27" s="189">
        <f t="shared" si="0"/>
        <v>36.568579303827278</v>
      </c>
      <c r="H27" s="452">
        <f>+[5]원주!$E$15</f>
        <v>343.5</v>
      </c>
      <c r="I27" s="453">
        <f>+[5]원주!$F$15</f>
        <v>383.58593164277829</v>
      </c>
      <c r="J27" s="189">
        <f t="shared" si="1"/>
        <v>40.085931642778291</v>
      </c>
      <c r="K27" s="511">
        <f>+([5]원주!$E$10*0.4+[5]원주!$E$11+[5]원주!$E$12+[5]원주!$E$13+[5]원주!$E$14)/[5]원주!$E$15</f>
        <v>0.24337700145560406</v>
      </c>
      <c r="L27" s="512">
        <f>+([5]원주!$F$10*0.4+[5]원주!$F$11+[5]원주!$F$12+[5]원주!$F$13+[5]원주!$F$14)/[5]원주!$F$15</f>
        <v>0.22711300168349416</v>
      </c>
      <c r="M27" s="513">
        <f t="shared" si="2"/>
        <v>-1.6263999772109905E-2</v>
      </c>
      <c r="N27" s="452">
        <f>+[5]원주!$E$16</f>
        <v>815.9</v>
      </c>
      <c r="O27" s="453">
        <f>+[5]원주!$F$16</f>
        <v>835.02913844699958</v>
      </c>
      <c r="P27" s="189">
        <f t="shared" si="3"/>
        <v>19.129138446999605</v>
      </c>
      <c r="Q27" s="452">
        <f>+[5]원주!$E$17</f>
        <v>953.30000000000007</v>
      </c>
      <c r="R27" s="453">
        <f>+[5]원주!$F$17</f>
        <v>934.38825011812878</v>
      </c>
      <c r="S27" s="189">
        <f t="shared" si="4"/>
        <v>-18.911749881871287</v>
      </c>
      <c r="T27" s="514">
        <f>+[5]원주!$E$19</f>
        <v>2.871</v>
      </c>
      <c r="U27" s="515">
        <f>+[5]원주!$F$19</f>
        <v>3.014844857457867</v>
      </c>
      <c r="V27" s="516">
        <f t="shared" si="5"/>
        <v>0.14384485745786701</v>
      </c>
    </row>
    <row r="28" spans="4:22" ht="24" customHeight="1">
      <c r="D28" s="500" t="s">
        <v>35</v>
      </c>
      <c r="E28" s="523">
        <f>+[5]제주!$E$9</f>
        <v>342.69999999999993</v>
      </c>
      <c r="F28" s="524">
        <f>+[5]제주!$F$9</f>
        <v>328.46741676480053</v>
      </c>
      <c r="G28" s="198">
        <f t="shared" si="0"/>
        <v>-14.232583235199399</v>
      </c>
      <c r="H28" s="523">
        <f>+[5]제주!$E$15</f>
        <v>342.69999999999993</v>
      </c>
      <c r="I28" s="524">
        <f>+[5]제주!$F$15</f>
        <v>328.46741676480053</v>
      </c>
      <c r="J28" s="198">
        <f t="shared" si="1"/>
        <v>-14.232583235199399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0</v>
      </c>
      <c r="M28" s="527">
        <f t="shared" si="2"/>
        <v>0</v>
      </c>
      <c r="N28" s="523">
        <f>+[5]제주!$E$16</f>
        <v>709.7</v>
      </c>
      <c r="O28" s="524">
        <f>+[5]제주!$F$16</f>
        <v>704.33465367733686</v>
      </c>
      <c r="P28" s="198">
        <f t="shared" si="3"/>
        <v>-5.3653463226631857</v>
      </c>
      <c r="Q28" s="523">
        <f>+[5]제주!$E$17</f>
        <v>1038.3</v>
      </c>
      <c r="R28" s="524">
        <f>+[5]제주!$F$17</f>
        <v>1042.2203190236587</v>
      </c>
      <c r="S28" s="198">
        <f t="shared" si="4"/>
        <v>3.9203190236587488</v>
      </c>
      <c r="T28" s="528">
        <f>+[5]제주!$E$19</f>
        <v>3.04</v>
      </c>
      <c r="U28" s="529">
        <f>+[5]제주!$F$19</f>
        <v>3.1850465688898404</v>
      </c>
      <c r="V28" s="530">
        <f t="shared" si="5"/>
        <v>0.14504656888984035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J55"/>
  <sheetViews>
    <sheetView showGridLines="0" view="pageBreakPreview" topLeftCell="A4" zoomScale="60" zoomScaleNormal="70" workbookViewId="0">
      <pane ySplit="6" topLeftCell="A10" activePane="bottomLeft" state="frozenSplit"/>
      <selection activeCell="K27" sqref="K27"/>
      <selection pane="bottomLeft" activeCell="A10" sqref="A10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1" width="10.25" style="6" hidden="1" customWidth="1"/>
    <col min="22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184" t="s">
        <v>228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>
      <c r="D7" s="185"/>
      <c r="O7" s="186" t="s">
        <v>76</v>
      </c>
    </row>
    <row r="8" spans="4:17" ht="25.5" customHeight="1" thickTop="1">
      <c r="D8" s="833" t="s">
        <v>11</v>
      </c>
      <c r="E8" s="834"/>
      <c r="F8" s="843" t="s">
        <v>182</v>
      </c>
      <c r="G8" s="844"/>
      <c r="H8" s="844"/>
      <c r="I8" s="844"/>
      <c r="J8" s="845"/>
      <c r="K8" s="810" t="s">
        <v>227</v>
      </c>
      <c r="L8" s="810"/>
      <c r="M8" s="810"/>
      <c r="N8" s="810"/>
      <c r="O8" s="813"/>
      <c r="P8" s="187"/>
      <c r="Q8" s="187"/>
    </row>
    <row r="9" spans="4:17" ht="25.5" customHeight="1">
      <c r="D9" s="835"/>
      <c r="E9" s="836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>
      <c r="D10" s="71" t="s">
        <v>110</v>
      </c>
      <c r="E10" s="90" t="s">
        <v>86</v>
      </c>
      <c r="F10" s="571">
        <f>+IFERROR(HLOOKUP($F$8,[13]손익!$G$5:$AI$63,2,),)</f>
        <v>6100</v>
      </c>
      <c r="G10" s="359">
        <f>+'[7]6월'!$G$8</f>
        <v>7982.0609999999997</v>
      </c>
      <c r="H10" s="204">
        <f>+G10-F10</f>
        <v>1882.0609999999997</v>
      </c>
      <c r="I10" s="359">
        <f>+IFERROR(HLOOKUP($F$8,[8]월별!$E$2:$T$53,2,),)</f>
        <v>7070.5</v>
      </c>
      <c r="J10" s="572">
        <f>+G10-I10</f>
        <v>911.56099999999969</v>
      </c>
      <c r="K10" s="204">
        <f>+F10+[4]건자재!K10</f>
        <v>41600</v>
      </c>
      <c r="L10" s="359">
        <f>+G10+[4]건자재!L10</f>
        <v>48080.048000000003</v>
      </c>
      <c r="M10" s="204">
        <f>+L10-K10</f>
        <v>6480.0480000000025</v>
      </c>
      <c r="N10" s="359">
        <f>+I10+[4]건자재!N10</f>
        <v>48940.798000000003</v>
      </c>
      <c r="O10" s="352">
        <f>+L10-N10</f>
        <v>-860.75</v>
      </c>
      <c r="P10" s="77"/>
      <c r="Q10" s="77"/>
    </row>
    <row r="11" spans="4:17" ht="25.5" customHeight="1">
      <c r="D11" s="72" t="s">
        <v>21</v>
      </c>
      <c r="E11" s="357" t="s">
        <v>122</v>
      </c>
      <c r="F11" s="573">
        <f>+F12/F10*1000</f>
        <v>974590.16393442615</v>
      </c>
      <c r="G11" s="360">
        <f t="shared" ref="G11" si="0">+G12/G10*1000</f>
        <v>785072.67759542307</v>
      </c>
      <c r="H11" s="214">
        <f t="shared" ref="H11:H28" si="1">+G11-F11</f>
        <v>-189517.48633900308</v>
      </c>
      <c r="I11" s="360">
        <f>+I12/I10*1000</f>
        <v>1043902.0889611768</v>
      </c>
      <c r="J11" s="574">
        <f t="shared" ref="J11:J28" si="2">+G11-I11</f>
        <v>-258829.41136575374</v>
      </c>
      <c r="K11" s="214">
        <f>+K12/K10*1000</f>
        <v>977403.84615384624</v>
      </c>
      <c r="L11" s="360">
        <f>+L12/L10*1000</f>
        <v>850590.45951867616</v>
      </c>
      <c r="M11" s="214">
        <f t="shared" ref="M11:M28" si="3">+L11-K11</f>
        <v>-126813.38663517009</v>
      </c>
      <c r="N11" s="360">
        <f>+N12/N10*1000</f>
        <v>1050266.1992556802</v>
      </c>
      <c r="O11" s="212">
        <f t="shared" ref="O11:O28" si="4">+L11-N11</f>
        <v>-199675.73973700404</v>
      </c>
      <c r="P11" s="77"/>
      <c r="Q11" s="77"/>
    </row>
    <row r="12" spans="4:17" ht="25.5" customHeight="1">
      <c r="D12" s="188" t="s">
        <v>77</v>
      </c>
      <c r="E12" s="91" t="s">
        <v>122</v>
      </c>
      <c r="F12" s="418">
        <f>+IFERROR(HLOOKUP($F$8,[13]손익!$G$5:$AI$63,22,),)</f>
        <v>5945000</v>
      </c>
      <c r="G12" s="361">
        <f>+'[7]6월'!$G$9</f>
        <v>6266498.0020000003</v>
      </c>
      <c r="H12" s="196">
        <f t="shared" si="1"/>
        <v>321498.00200000033</v>
      </c>
      <c r="I12" s="361">
        <f>+IFERROR(HLOOKUP($F$8,[8]월별!$E$2:$T$53,5,),)</f>
        <v>7380909.7199999997</v>
      </c>
      <c r="J12" s="419">
        <f t="shared" si="2"/>
        <v>-1114411.7179999994</v>
      </c>
      <c r="K12" s="196">
        <f>+F12+[4]건자재!K12</f>
        <v>40660000</v>
      </c>
      <c r="L12" s="361">
        <f>+G12+[4]건자재!L12</f>
        <v>40896430.122000009</v>
      </c>
      <c r="M12" s="196">
        <f t="shared" si="3"/>
        <v>236430.12200000882</v>
      </c>
      <c r="N12" s="361">
        <f>+I12+[4]건자재!N12</f>
        <v>51400865.903999999</v>
      </c>
      <c r="O12" s="219">
        <f t="shared" si="4"/>
        <v>-10504435.78199999</v>
      </c>
      <c r="P12" s="77"/>
      <c r="Q12" s="77"/>
    </row>
    <row r="13" spans="4:17" ht="25.5" customHeight="1">
      <c r="D13" s="188"/>
      <c r="E13" s="92" t="s">
        <v>123</v>
      </c>
      <c r="F13" s="575">
        <f>+IFERROR(HLOOKUP($F$8,[13]손익!$G$5:$AI$63,23,),)</f>
        <v>1498825.2631578958</v>
      </c>
      <c r="G13" s="362">
        <f>+'[7]6월'!$J$9</f>
        <v>1606846.7759999996</v>
      </c>
      <c r="H13" s="206">
        <f t="shared" si="1"/>
        <v>108021.51284210384</v>
      </c>
      <c r="I13" s="362">
        <f>+IFERROR(HLOOKUP($F$8,[8]월별!$E$2:$T$53,6,),)</f>
        <v>1566179.6950000012</v>
      </c>
      <c r="J13" s="576">
        <f t="shared" si="2"/>
        <v>40667.080999998376</v>
      </c>
      <c r="K13" s="206">
        <f>+F13+[4]건자재!K13</f>
        <v>10206286.31578948</v>
      </c>
      <c r="L13" s="362">
        <f>+G13+[4]건자재!L13</f>
        <v>8507307.9609999992</v>
      </c>
      <c r="M13" s="206">
        <f t="shared" si="3"/>
        <v>-1698978.3547894806</v>
      </c>
      <c r="N13" s="362">
        <f>+I13+[4]건자재!N13</f>
        <v>7947036.6720000003</v>
      </c>
      <c r="O13" s="353">
        <f t="shared" si="4"/>
        <v>560271.28899999894</v>
      </c>
      <c r="P13" s="77"/>
      <c r="Q13" s="77"/>
    </row>
    <row r="14" spans="4:17" ht="25.5" customHeight="1">
      <c r="D14" s="188"/>
      <c r="E14" s="94" t="s">
        <v>58</v>
      </c>
      <c r="F14" s="416">
        <f>SUM(F12:F13)</f>
        <v>7443825.2631578958</v>
      </c>
      <c r="G14" s="363">
        <f>SUM(G12:G13)</f>
        <v>7873344.7779999999</v>
      </c>
      <c r="H14" s="205">
        <f t="shared" si="1"/>
        <v>429519.51484210417</v>
      </c>
      <c r="I14" s="363">
        <f>SUM(I12:I13)</f>
        <v>8947089.415000001</v>
      </c>
      <c r="J14" s="417">
        <f t="shared" si="2"/>
        <v>-1073744.637000001</v>
      </c>
      <c r="K14" s="205">
        <f>SUM(K12:K13)</f>
        <v>50866286.315789476</v>
      </c>
      <c r="L14" s="363">
        <f>SUM(L12:L13)</f>
        <v>49403738.083000004</v>
      </c>
      <c r="M14" s="205">
        <f t="shared" si="3"/>
        <v>-1462548.2327894717</v>
      </c>
      <c r="N14" s="363">
        <f>SUM(N12:N13)</f>
        <v>59347902.575999998</v>
      </c>
      <c r="O14" s="222">
        <f t="shared" si="4"/>
        <v>-9944164.4929999933</v>
      </c>
      <c r="P14" s="77"/>
      <c r="Q14" s="77"/>
    </row>
    <row r="15" spans="4:17" ht="25.5" customHeight="1">
      <c r="D15" s="71" t="s">
        <v>5</v>
      </c>
      <c r="E15" s="90" t="s">
        <v>122</v>
      </c>
      <c r="F15" s="571">
        <f>+IFERROR(HLOOKUP($F$8,[13]손익!$G$5:$AI$63,25,),)</f>
        <v>5807335</v>
      </c>
      <c r="G15" s="359">
        <f>+'[7]6월'!$G$11</f>
        <v>6034261.7359999996</v>
      </c>
      <c r="H15" s="204">
        <f t="shared" si="1"/>
        <v>226926.73599999957</v>
      </c>
      <c r="I15" s="359">
        <f>+IFERROR(HLOOKUP($F$8,[8]월별!$E$2:$T$53,8,),)</f>
        <v>7205136.1809999999</v>
      </c>
      <c r="J15" s="572">
        <f t="shared" si="2"/>
        <v>-1170874.4450000003</v>
      </c>
      <c r="K15" s="204">
        <f>+F15+[4]건자재!K15</f>
        <v>39713230</v>
      </c>
      <c r="L15" s="359">
        <f>+G15+[4]건자재!L15</f>
        <v>39860886.372000001</v>
      </c>
      <c r="M15" s="204">
        <f t="shared" si="3"/>
        <v>147656.37200000137</v>
      </c>
      <c r="N15" s="359">
        <f>+I15+[4]건자재!N15</f>
        <v>50375712.228</v>
      </c>
      <c r="O15" s="352">
        <f t="shared" si="4"/>
        <v>-10514825.855999999</v>
      </c>
      <c r="P15" s="77"/>
      <c r="Q15" s="77"/>
    </row>
    <row r="16" spans="4:17" ht="25.5" customHeight="1">
      <c r="D16" s="188"/>
      <c r="E16" s="92" t="s">
        <v>123</v>
      </c>
      <c r="F16" s="575">
        <f>+IFERROR(HLOOKUP($F$8,[13]손익!$G$5:$AI$63,26,),)</f>
        <v>1446696.1205052622</v>
      </c>
      <c r="G16" s="362">
        <f>+'[7]6월'!$J$11</f>
        <v>1558085.8430000003</v>
      </c>
      <c r="H16" s="206">
        <f t="shared" si="1"/>
        <v>111389.72249473818</v>
      </c>
      <c r="I16" s="362">
        <f>+IFERROR(HLOOKUP($F$8,[8]월별!$E$2:$T$53,9,),)</f>
        <v>1532762.3289999999</v>
      </c>
      <c r="J16" s="576">
        <f t="shared" si="2"/>
        <v>25323.514000000432</v>
      </c>
      <c r="K16" s="206">
        <f>+F16+[4]건자재!K16</f>
        <v>9851311.6777263135</v>
      </c>
      <c r="L16" s="362">
        <f>+G16+[4]건자재!L16</f>
        <v>8310169.8109999998</v>
      </c>
      <c r="M16" s="206">
        <f t="shared" si="3"/>
        <v>-1541141.8667263137</v>
      </c>
      <c r="N16" s="362">
        <f>+I16+[4]건자재!N16</f>
        <v>7783503.845999998</v>
      </c>
      <c r="O16" s="353">
        <f t="shared" si="4"/>
        <v>526665.96500000171</v>
      </c>
      <c r="P16" s="77"/>
      <c r="Q16" s="77"/>
    </row>
    <row r="17" spans="4:17" ht="25.5" customHeight="1">
      <c r="D17" s="72"/>
      <c r="E17" s="369" t="s">
        <v>43</v>
      </c>
      <c r="F17" s="577">
        <f>SUM(F15:F16)</f>
        <v>7254031.1205052622</v>
      </c>
      <c r="G17" s="370">
        <f>SUM(G15:G16)</f>
        <v>7592347.5789999999</v>
      </c>
      <c r="H17" s="371">
        <f t="shared" si="1"/>
        <v>338316.45849473774</v>
      </c>
      <c r="I17" s="370">
        <f>SUM(I15:I16)</f>
        <v>8737898.5099999998</v>
      </c>
      <c r="J17" s="578">
        <f t="shared" si="2"/>
        <v>-1145550.9309999999</v>
      </c>
      <c r="K17" s="371">
        <f>SUM(K15:K16)</f>
        <v>49564541.677726313</v>
      </c>
      <c r="L17" s="370">
        <f>SUM(L15:L16)</f>
        <v>48171056.182999998</v>
      </c>
      <c r="M17" s="371">
        <f t="shared" si="3"/>
        <v>-1393485.4947263151</v>
      </c>
      <c r="N17" s="370">
        <f>SUM(N15:N16)</f>
        <v>58159216.074000001</v>
      </c>
      <c r="O17" s="372">
        <f t="shared" si="4"/>
        <v>-9988159.8910000026</v>
      </c>
      <c r="P17" s="77"/>
      <c r="Q17" s="77"/>
    </row>
    <row r="18" spans="4:17" ht="25.5" customHeight="1">
      <c r="D18" s="188" t="s">
        <v>18</v>
      </c>
      <c r="E18" s="91" t="s">
        <v>122</v>
      </c>
      <c r="F18" s="418">
        <f>+F12-F15</f>
        <v>137665</v>
      </c>
      <c r="G18" s="361">
        <f>+G12-G15</f>
        <v>232236.26600000076</v>
      </c>
      <c r="H18" s="196">
        <f t="shared" si="1"/>
        <v>94571.26600000076</v>
      </c>
      <c r="I18" s="361">
        <f>+I12-I15</f>
        <v>175773.53899999987</v>
      </c>
      <c r="J18" s="419">
        <f t="shared" si="2"/>
        <v>56462.727000000887</v>
      </c>
      <c r="K18" s="196">
        <f>+K12-K15</f>
        <v>946770</v>
      </c>
      <c r="L18" s="361">
        <f>+L12-L15</f>
        <v>1035543.7500000075</v>
      </c>
      <c r="M18" s="196">
        <f t="shared" si="3"/>
        <v>88773.750000007451</v>
      </c>
      <c r="N18" s="361">
        <f>+N12-N15</f>
        <v>1025153.675999999</v>
      </c>
      <c r="O18" s="219">
        <f t="shared" si="4"/>
        <v>10390.074000008404</v>
      </c>
      <c r="P18" s="77"/>
      <c r="Q18" s="77"/>
    </row>
    <row r="19" spans="4:17" ht="25.5" customHeight="1">
      <c r="D19" s="188"/>
      <c r="E19" s="194" t="s">
        <v>9</v>
      </c>
      <c r="F19" s="579">
        <f>+F18/F12</f>
        <v>2.3156433978132884E-2</v>
      </c>
      <c r="G19" s="364">
        <f>+G18/G12</f>
        <v>3.7059976070507129E-2</v>
      </c>
      <c r="H19" s="197">
        <f t="shared" si="1"/>
        <v>1.3903542092374245E-2</v>
      </c>
      <c r="I19" s="364">
        <f>+I18/I12</f>
        <v>2.3814617122833455E-2</v>
      </c>
      <c r="J19" s="580">
        <f t="shared" si="2"/>
        <v>1.3245358947673674E-2</v>
      </c>
      <c r="K19" s="197">
        <f>+K18/K12</f>
        <v>2.3285046728971963E-2</v>
      </c>
      <c r="L19" s="364">
        <f>+L18/L12</f>
        <v>2.532112819898533E-2</v>
      </c>
      <c r="M19" s="197">
        <f t="shared" si="3"/>
        <v>2.0360814700133671E-3</v>
      </c>
      <c r="N19" s="364">
        <f>+N18/N12</f>
        <v>1.9944288057610754E-2</v>
      </c>
      <c r="O19" s="354">
        <f t="shared" si="4"/>
        <v>5.376840141374576E-3</v>
      </c>
      <c r="P19" s="77"/>
      <c r="Q19" s="77"/>
    </row>
    <row r="20" spans="4:17" ht="25.5" customHeight="1">
      <c r="D20" s="188"/>
      <c r="E20" s="93" t="s">
        <v>123</v>
      </c>
      <c r="F20" s="416">
        <f>+F13-F16</f>
        <v>52129.1426526336</v>
      </c>
      <c r="G20" s="363">
        <f>+G13-G16</f>
        <v>48760.932999999262</v>
      </c>
      <c r="H20" s="205">
        <f t="shared" si="1"/>
        <v>-3368.2096526343375</v>
      </c>
      <c r="I20" s="363">
        <f>+I13-I16</f>
        <v>33417.366000001319</v>
      </c>
      <c r="J20" s="417">
        <f t="shared" si="2"/>
        <v>15343.566999997944</v>
      </c>
      <c r="K20" s="205">
        <f>+K13-K16</f>
        <v>354974.63806316629</v>
      </c>
      <c r="L20" s="363">
        <f>+L13-L16</f>
        <v>197138.14999999944</v>
      </c>
      <c r="M20" s="205">
        <f t="shared" si="3"/>
        <v>-157836.48806316685</v>
      </c>
      <c r="N20" s="363">
        <f>+N13-N16</f>
        <v>163532.82600000221</v>
      </c>
      <c r="O20" s="222">
        <f t="shared" si="4"/>
        <v>33605.323999997228</v>
      </c>
      <c r="P20" s="77"/>
      <c r="Q20" s="77"/>
    </row>
    <row r="21" spans="4:17" ht="25.5" customHeight="1">
      <c r="D21" s="188"/>
      <c r="E21" s="195" t="s">
        <v>9</v>
      </c>
      <c r="F21" s="581">
        <f>+F20/F13</f>
        <v>3.4780000000001324E-2</v>
      </c>
      <c r="G21" s="365">
        <f>+G20/G13</f>
        <v>3.0345726629506131E-2</v>
      </c>
      <c r="H21" s="207">
        <f t="shared" si="1"/>
        <v>-4.4342733704951925E-3</v>
      </c>
      <c r="I21" s="365">
        <f>+I20/I13</f>
        <v>2.1336865818581113E-2</v>
      </c>
      <c r="J21" s="582">
        <f t="shared" si="2"/>
        <v>9.0088608109250186E-3</v>
      </c>
      <c r="K21" s="207">
        <f>+K20/K13</f>
        <v>3.4780000000000803E-2</v>
      </c>
      <c r="L21" s="365">
        <f>+L20/L13</f>
        <v>2.3172800479745025E-2</v>
      </c>
      <c r="M21" s="207">
        <f t="shared" si="3"/>
        <v>-1.1607199520255778E-2</v>
      </c>
      <c r="N21" s="365">
        <f>+N20/N13</f>
        <v>2.0577837091929077E-2</v>
      </c>
      <c r="O21" s="355">
        <f t="shared" si="4"/>
        <v>2.5949633878159482E-3</v>
      </c>
      <c r="P21" s="77"/>
      <c r="Q21" s="77"/>
    </row>
    <row r="22" spans="4:17" ht="25.5" customHeight="1">
      <c r="D22" s="188"/>
      <c r="E22" s="94" t="s">
        <v>58</v>
      </c>
      <c r="F22" s="416">
        <f>SUM(F18,F20)</f>
        <v>189794.1426526336</v>
      </c>
      <c r="G22" s="363">
        <f>SUM(G18,G20)</f>
        <v>280997.19900000002</v>
      </c>
      <c r="H22" s="205">
        <f t="shared" si="1"/>
        <v>91203.056347366422</v>
      </c>
      <c r="I22" s="363">
        <f>SUM(I18,I20)</f>
        <v>209190.90500000119</v>
      </c>
      <c r="J22" s="417">
        <f t="shared" si="2"/>
        <v>71806.29399999883</v>
      </c>
      <c r="K22" s="205">
        <f>+K14-K17</f>
        <v>1301744.6380631626</v>
      </c>
      <c r="L22" s="363">
        <f>+L14-L17</f>
        <v>1232681.900000006</v>
      </c>
      <c r="M22" s="205">
        <f t="shared" si="3"/>
        <v>-69062.738063156605</v>
      </c>
      <c r="N22" s="363">
        <f>+N14-N17</f>
        <v>1188686.5019999966</v>
      </c>
      <c r="O22" s="222">
        <f t="shared" si="4"/>
        <v>43995.398000009358</v>
      </c>
      <c r="P22" s="77"/>
      <c r="Q22" s="77"/>
    </row>
    <row r="23" spans="4:17" ht="25.5" customHeight="1">
      <c r="D23" s="188"/>
      <c r="E23" s="373" t="s">
        <v>9</v>
      </c>
      <c r="F23" s="579">
        <f>+F22/F14</f>
        <v>2.5496856245671353E-2</v>
      </c>
      <c r="G23" s="364">
        <f>+G22/G14</f>
        <v>3.568968550509475E-2</v>
      </c>
      <c r="H23" s="197">
        <f t="shared" si="1"/>
        <v>1.0192829259423396E-2</v>
      </c>
      <c r="I23" s="364">
        <f>+I22/I14</f>
        <v>2.338088905753952E-2</v>
      </c>
      <c r="J23" s="580">
        <f t="shared" si="2"/>
        <v>1.2308796447555229E-2</v>
      </c>
      <c r="K23" s="197">
        <f>+K22/K14</f>
        <v>2.5591501411792394E-2</v>
      </c>
      <c r="L23" s="364">
        <f>+L22/L14</f>
        <v>2.4951186850052872E-2</v>
      </c>
      <c r="M23" s="197">
        <f t="shared" si="3"/>
        <v>-6.4031456173952242E-4</v>
      </c>
      <c r="N23" s="364">
        <f>+N22/N14</f>
        <v>2.0029124036486094E-2</v>
      </c>
      <c r="O23" s="354">
        <f t="shared" si="4"/>
        <v>4.9220628135667778E-3</v>
      </c>
      <c r="P23" s="77"/>
      <c r="Q23" s="77"/>
    </row>
    <row r="24" spans="4:17" ht="25.5" customHeight="1">
      <c r="D24" s="71" t="s">
        <v>124</v>
      </c>
      <c r="E24" s="90" t="s">
        <v>125</v>
      </c>
      <c r="F24" s="571">
        <f>+IFERROR(HLOOKUP($F$8,[13]판매4!$G$4:$U$50,7,),)</f>
        <v>83504.47</v>
      </c>
      <c r="G24" s="359">
        <f>+'[7]6월'!$M$19</f>
        <v>91582.558000000005</v>
      </c>
      <c r="H24" s="204">
        <f t="shared" si="1"/>
        <v>8078.0880000000034</v>
      </c>
      <c r="I24" s="359">
        <f>+IFERROR(HLOOKUP($F$8,[8]월별!$E$2:$T$53,17,),)</f>
        <v>56982.133000000002</v>
      </c>
      <c r="J24" s="572">
        <f t="shared" si="2"/>
        <v>34600.425000000003</v>
      </c>
      <c r="K24" s="204">
        <f>+F24+[4]건자재!K24</f>
        <v>498452</v>
      </c>
      <c r="L24" s="359">
        <f>+G24+[4]건자재!L24</f>
        <v>536398.39599999995</v>
      </c>
      <c r="M24" s="204">
        <f t="shared" si="3"/>
        <v>37946.39599999995</v>
      </c>
      <c r="N24" s="359">
        <f>+I24+[4]건자재!N24</f>
        <v>477558.25300000003</v>
      </c>
      <c r="O24" s="352">
        <f t="shared" si="4"/>
        <v>58840.142999999924</v>
      </c>
      <c r="P24" s="77"/>
      <c r="Q24" s="77"/>
    </row>
    <row r="25" spans="4:17" ht="25.5" customHeight="1">
      <c r="D25" s="188"/>
      <c r="E25" s="92" t="s">
        <v>126</v>
      </c>
      <c r="F25" s="575">
        <f>+IFERROR(HLOOKUP($F$8,[13]판매4!$G$4:$U$50,31,),)+IFERROR(HLOOKUP($F$8,[13]판매4!$G$4:$U$50,34,),)</f>
        <v>40826.57</v>
      </c>
      <c r="G25" s="362">
        <f>+'[7]6월'!$M$37+'[7]6월'!$M$40</f>
        <v>39244.800999999999</v>
      </c>
      <c r="H25" s="206">
        <f t="shared" si="1"/>
        <v>-1581.7690000000002</v>
      </c>
      <c r="I25" s="362">
        <f>+IFERROR(HLOOKUP($F$8,[8]월별!$E$2:$T$53,35,),)+IFERROR(HLOOKUP($F$8,[8]월별!$E$2:$T$53,38,),)</f>
        <v>35183.729999999996</v>
      </c>
      <c r="J25" s="576">
        <f t="shared" si="2"/>
        <v>4061.0710000000036</v>
      </c>
      <c r="K25" s="206">
        <f>+F25+[4]건자재!K25</f>
        <v>256572.71000000002</v>
      </c>
      <c r="L25" s="362">
        <f>+G25+[4]건자재!L25</f>
        <v>281161.06899999996</v>
      </c>
      <c r="M25" s="206">
        <f t="shared" si="3"/>
        <v>24588.358999999939</v>
      </c>
      <c r="N25" s="362">
        <f>+I25+[4]건자재!N25</f>
        <v>217234.14199999999</v>
      </c>
      <c r="O25" s="353">
        <f t="shared" si="4"/>
        <v>63926.926999999967</v>
      </c>
      <c r="P25" s="77"/>
      <c r="Q25" s="77"/>
    </row>
    <row r="26" spans="4:17" ht="25.5" customHeight="1">
      <c r="D26" s="72"/>
      <c r="E26" s="369" t="s">
        <v>58</v>
      </c>
      <c r="F26" s="577">
        <f>SUM(F24:F25)</f>
        <v>124331.04000000001</v>
      </c>
      <c r="G26" s="370">
        <f>SUM(G24:G25)</f>
        <v>130827.359</v>
      </c>
      <c r="H26" s="371">
        <f t="shared" si="1"/>
        <v>6496.3189999999886</v>
      </c>
      <c r="I26" s="370">
        <f>SUM(I24:I25)</f>
        <v>92165.862999999998</v>
      </c>
      <c r="J26" s="578">
        <f t="shared" si="2"/>
        <v>38661.495999999999</v>
      </c>
      <c r="K26" s="371">
        <f>SUM(K24:K25)</f>
        <v>755024.71</v>
      </c>
      <c r="L26" s="370">
        <f>SUM(L24:L25)</f>
        <v>817559.46499999985</v>
      </c>
      <c r="M26" s="371">
        <f t="shared" si="3"/>
        <v>62534.754999999888</v>
      </c>
      <c r="N26" s="370">
        <f>SUM(N24:N25)</f>
        <v>694792.39500000002</v>
      </c>
      <c r="O26" s="372">
        <f t="shared" si="4"/>
        <v>122767.06999999983</v>
      </c>
      <c r="P26" s="77"/>
      <c r="Q26" s="77"/>
    </row>
    <row r="27" spans="4:17" ht="25.5" customHeight="1">
      <c r="D27" s="188" t="s">
        <v>7</v>
      </c>
      <c r="E27" s="373"/>
      <c r="F27" s="418">
        <f>+F22-F26</f>
        <v>65463.102652633592</v>
      </c>
      <c r="G27" s="361">
        <f>+G22-G26</f>
        <v>150169.84000000003</v>
      </c>
      <c r="H27" s="196">
        <f t="shared" si="1"/>
        <v>84706.737347366434</v>
      </c>
      <c r="I27" s="361">
        <f>+I22-I26</f>
        <v>117025.04200000119</v>
      </c>
      <c r="J27" s="419">
        <f t="shared" si="2"/>
        <v>33144.797999998831</v>
      </c>
      <c r="K27" s="196">
        <f>+K22-K26</f>
        <v>546719.9280631626</v>
      </c>
      <c r="L27" s="361">
        <f>+L22-L26</f>
        <v>415122.43500000611</v>
      </c>
      <c r="M27" s="196">
        <f t="shared" si="3"/>
        <v>-131597.49306315649</v>
      </c>
      <c r="N27" s="361">
        <f>+N22-N26</f>
        <v>493894.10699999658</v>
      </c>
      <c r="O27" s="219">
        <f t="shared" si="4"/>
        <v>-78771.671999990474</v>
      </c>
      <c r="P27" s="77"/>
      <c r="Q27" s="77"/>
    </row>
    <row r="28" spans="4:17" ht="25.5" customHeight="1" thickBot="1">
      <c r="D28" s="188"/>
      <c r="E28" s="568" t="s">
        <v>10</v>
      </c>
      <c r="F28" s="583">
        <f>+F27/F14</f>
        <v>8.7942825547818095E-3</v>
      </c>
      <c r="G28" s="584">
        <f>+G27/G14</f>
        <v>1.9073194967863E-2</v>
      </c>
      <c r="H28" s="585">
        <f t="shared" si="1"/>
        <v>1.027891241308119E-2</v>
      </c>
      <c r="I28" s="584">
        <f>+I27/I14</f>
        <v>1.307967726396095E-2</v>
      </c>
      <c r="J28" s="586">
        <f t="shared" si="2"/>
        <v>5.9935177039020498E-3</v>
      </c>
      <c r="K28" s="208">
        <f>+K27/K14</f>
        <v>1.074817856112005E-2</v>
      </c>
      <c r="L28" s="366">
        <f>+L27/L14</f>
        <v>8.40265233174433E-3</v>
      </c>
      <c r="M28" s="208">
        <f t="shared" si="3"/>
        <v>-2.3455262293757204E-3</v>
      </c>
      <c r="N28" s="366">
        <f>+N27/N14</f>
        <v>8.3220145205219927E-3</v>
      </c>
      <c r="O28" s="356">
        <f t="shared" si="4"/>
        <v>8.0637811222337291E-5</v>
      </c>
      <c r="P28" s="77"/>
      <c r="Q28" s="77"/>
    </row>
    <row r="29" spans="4:17" ht="25.5" customHeight="1" thickTop="1">
      <c r="D29" s="837" t="s">
        <v>129</v>
      </c>
      <c r="E29" s="838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>
      <c r="D30" s="839"/>
      <c r="E30" s="840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>
      <c r="D31" s="839"/>
      <c r="E31" s="840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>
      <c r="D32" s="839"/>
      <c r="E32" s="840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6" ht="25.5" customHeight="1">
      <c r="D33" s="839"/>
      <c r="E33" s="840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6" ht="25.5" customHeight="1">
      <c r="D34" s="841"/>
      <c r="E34" s="842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6" ht="21.95" customHeight="1"/>
    <row r="36" spans="4:36" ht="21.95" customHeight="1">
      <c r="F36" s="6">
        <f>+IFERROR(HLOOKUP($F$8,[13]손익!$G$5:$AJ$65,17,),)</f>
        <v>65463.102652633599</v>
      </c>
      <c r="G36" s="6">
        <f>+'[7]6월'!$M$41</f>
        <v>150169.84000000003</v>
      </c>
      <c r="I36" s="6">
        <f>+IFERROR(HLOOKUP($F$8,[8]월별!$E$2:$T$53,39,),)</f>
        <v>117025.04200000119</v>
      </c>
      <c r="K36" s="6">
        <f>+F36+[4]건자재!K36</f>
        <v>546719.92806316621</v>
      </c>
      <c r="L36" s="6">
        <f>+G36+[4]건자재!L36</f>
        <v>415122.43500000134</v>
      </c>
      <c r="N36" s="6">
        <f>+I36+[4]건자재!N36</f>
        <v>493894.10700000223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212</v>
      </c>
      <c r="X36" s="593" t="s">
        <v>182</v>
      </c>
      <c r="Y36" s="593" t="s">
        <v>184</v>
      </c>
      <c r="Z36" s="593" t="s">
        <v>188</v>
      </c>
      <c r="AA36" s="593" t="s">
        <v>189</v>
      </c>
      <c r="AB36" s="593" t="s">
        <v>190</v>
      </c>
      <c r="AC36" s="593" t="s">
        <v>191</v>
      </c>
      <c r="AD36" s="593" t="s">
        <v>192</v>
      </c>
      <c r="AE36" s="593" t="s">
        <v>180</v>
      </c>
      <c r="AF36" s="593" t="s">
        <v>203</v>
      </c>
      <c r="AG36" s="593" t="s">
        <v>210</v>
      </c>
      <c r="AH36" s="593" t="s">
        <v>211</v>
      </c>
      <c r="AI36" s="593" t="s">
        <v>212</v>
      </c>
      <c r="AJ36" s="593" t="s">
        <v>182</v>
      </c>
    </row>
    <row r="37" spans="4:36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200" t="s">
        <v>121</v>
      </c>
      <c r="S37" s="210" t="s">
        <v>180</v>
      </c>
      <c r="T37" s="210" t="s">
        <v>179</v>
      </c>
      <c r="U37" s="210">
        <v>3</v>
      </c>
      <c r="V37" s="210" t="s">
        <v>173</v>
      </c>
      <c r="W37" s="210" t="s">
        <v>212</v>
      </c>
      <c r="X37" s="210" t="s">
        <v>182</v>
      </c>
      <c r="Y37" s="210" t="s">
        <v>184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:AG37" si="6">+AF36</f>
        <v>2월</v>
      </c>
      <c r="AG37" s="210" t="str">
        <f t="shared" si="6"/>
        <v>3월</v>
      </c>
      <c r="AH37" s="210" t="str">
        <f t="shared" ref="AH37:AI37" si="7">+AH36</f>
        <v>4월</v>
      </c>
      <c r="AI37" s="210" t="str">
        <f t="shared" si="7"/>
        <v>5월</v>
      </c>
      <c r="AJ37" s="210" t="str">
        <f t="shared" ref="AJ37" si="8">+AJ36</f>
        <v>6월</v>
      </c>
    </row>
    <row r="38" spans="4:36" ht="21.95" customHeight="1">
      <c r="K38" s="594">
        <f>+K27-K36</f>
        <v>-3.6088749766349792E-9</v>
      </c>
      <c r="L38" s="594">
        <f>+L27-L36</f>
        <v>4.7730281949043274E-9</v>
      </c>
      <c r="N38" s="99">
        <f>+N27-N36</f>
        <v>-5.6461431086063385E-9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</row>
    <row r="39" spans="4:36" ht="21.95" customHeight="1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+IFERROR(HLOOKUP(AE$36,[7]월별!$E$2:$S$67,43,),)</f>
        <v>2.6651369945751794E-2</v>
      </c>
      <c r="AF39" s="203">
        <f>+IFERROR(HLOOKUP(AF$36,[7]월별!$E$2:$S$67,43,),)</f>
        <v>2.5582238806566245E-2</v>
      </c>
      <c r="AG39" s="203">
        <f>+IFERROR(HLOOKUP(AG$36,[7]월별!$E$2:$S$67,43,),)</f>
        <v>1.8641220384622476E-2</v>
      </c>
      <c r="AH39" s="203">
        <f>+IFERROR(HLOOKUP(AH$36,[7]월별!$E$2:$S$67,43,),)</f>
        <v>1.847120545626342E-2</v>
      </c>
      <c r="AI39" s="203">
        <f>+IFERROR(HLOOKUP(AI$36,[7]월별!$E$2:$S$67,43,),)</f>
        <v>2.607951153265552E-2</v>
      </c>
      <c r="AJ39" s="203">
        <f>+IFERROR(HLOOKUP(AJ$36,[7]월별!$E$2:$S$67,43,),)</f>
        <v>3.568968550509475E-2</v>
      </c>
    </row>
    <row r="40" spans="4:36" ht="21.95" customHeight="1"/>
    <row r="41" spans="4:36" ht="21.95" customHeight="1"/>
    <row r="42" spans="4:36" ht="21.95" customHeight="1"/>
    <row r="43" spans="4:36" ht="21.95" customHeight="1"/>
    <row r="44" spans="4:36" ht="21.95" customHeight="1"/>
    <row r="45" spans="4:36" ht="21.95" customHeight="1"/>
    <row r="46" spans="4:36" ht="21.95" customHeight="1"/>
    <row r="47" spans="4:36" ht="21.95" customHeight="1"/>
    <row r="48" spans="4:36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J53"/>
  <sheetViews>
    <sheetView showGridLines="0" showZeros="0" view="pageBreakPreview" zoomScale="60" zoomScaleNormal="85" workbookViewId="0">
      <pane xSplit="6" ySplit="7" topLeftCell="G8" activePane="bottomRight" state="frozen"/>
      <selection activeCell="K27" sqref="K27"/>
      <selection pane="topRight" activeCell="K27" sqref="K27"/>
      <selection pane="bottomLeft" activeCell="K27" sqref="K27"/>
      <selection pane="bottomRight" activeCell="G8" sqref="G8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3" width="10.625" style="6" customWidth="1"/>
    <col min="34" max="34" width="9" style="6"/>
    <col min="35" max="36" width="14.25" style="6" customWidth="1"/>
    <col min="37" max="16384" width="9" style="6"/>
  </cols>
  <sheetData>
    <row r="1" spans="1:36" ht="22.5" customHeight="1">
      <c r="A1" s="423" t="s">
        <v>182</v>
      </c>
    </row>
    <row r="2" spans="1:36" ht="9.75" customHeight="1"/>
    <row r="3" spans="1:36" ht="9.9499999999999993" customHeight="1"/>
    <row r="4" spans="1:36" ht="31.5">
      <c r="D4" s="184" t="s">
        <v>229</v>
      </c>
      <c r="F4" s="184"/>
      <c r="I4" s="184"/>
    </row>
    <row r="5" spans="1:36" ht="21.95" customHeight="1" thickBot="1">
      <c r="J5" s="76"/>
      <c r="AB5" s="76"/>
      <c r="AE5" s="76"/>
      <c r="AG5" s="186" t="s">
        <v>167</v>
      </c>
    </row>
    <row r="6" spans="1:36" ht="24" customHeight="1" thickTop="1">
      <c r="D6" s="296" t="s">
        <v>15</v>
      </c>
      <c r="E6" s="846" t="s">
        <v>11</v>
      </c>
      <c r="F6" s="847"/>
      <c r="G6" s="294" t="s">
        <v>140</v>
      </c>
      <c r="H6" s="293"/>
      <c r="I6" s="293"/>
      <c r="J6" s="293" t="s">
        <v>139</v>
      </c>
      <c r="K6" s="293"/>
      <c r="L6" s="295"/>
      <c r="M6" s="293" t="s">
        <v>214</v>
      </c>
      <c r="N6" s="293"/>
      <c r="O6" s="295"/>
      <c r="P6" s="389" t="s">
        <v>138</v>
      </c>
      <c r="Q6" s="390"/>
      <c r="R6" s="391"/>
      <c r="S6" s="294" t="s">
        <v>185</v>
      </c>
      <c r="T6" s="293"/>
      <c r="U6" s="293"/>
      <c r="V6" s="293" t="s">
        <v>186</v>
      </c>
      <c r="W6" s="293"/>
      <c r="X6" s="295"/>
      <c r="Y6" s="389" t="s">
        <v>187</v>
      </c>
      <c r="Z6" s="390"/>
      <c r="AA6" s="391"/>
      <c r="AB6" s="388" t="s">
        <v>137</v>
      </c>
      <c r="AC6" s="293"/>
      <c r="AD6" s="295"/>
      <c r="AE6" s="389" t="s">
        <v>136</v>
      </c>
      <c r="AF6" s="390"/>
      <c r="AG6" s="391"/>
    </row>
    <row r="7" spans="1:36" ht="24" customHeight="1">
      <c r="D7" s="292"/>
      <c r="E7" s="848"/>
      <c r="F7" s="849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392" t="s">
        <v>15</v>
      </c>
      <c r="Z7" s="374" t="s">
        <v>16</v>
      </c>
      <c r="AA7" s="393" t="s">
        <v>36</v>
      </c>
      <c r="AB7" s="289" t="s">
        <v>15</v>
      </c>
      <c r="AC7" s="374" t="s">
        <v>16</v>
      </c>
      <c r="AD7" s="289" t="s">
        <v>36</v>
      </c>
      <c r="AE7" s="392" t="s">
        <v>15</v>
      </c>
      <c r="AF7" s="374" t="s">
        <v>16</v>
      </c>
      <c r="AG7" s="393" t="s">
        <v>36</v>
      </c>
    </row>
    <row r="8" spans="1:36" ht="24" customHeight="1">
      <c r="D8" s="77"/>
      <c r="E8" s="265" t="s">
        <v>110</v>
      </c>
      <c r="F8" s="264" t="s">
        <v>132</v>
      </c>
      <c r="G8" s="260">
        <f>+IFERROR(HLOOKUP($A$1,[14]손익요약!$G$5:$AL$106,3,),)</f>
        <v>15916.6</v>
      </c>
      <c r="H8" s="375">
        <f>+'[9]서부산크라샤(당월)'!$F$66</f>
        <v>14400</v>
      </c>
      <c r="I8" s="263">
        <f>H8-G8</f>
        <v>-1516.6000000000004</v>
      </c>
      <c r="J8" s="262">
        <f>+IFERROR(HLOOKUP($A$1,[14]손익요약!$G$5:$AL$106,6,),)</f>
        <v>2021.0734933333333</v>
      </c>
      <c r="K8" s="375">
        <f>+'[9]서부산크라샤(당월)'!$I$66</f>
        <v>144</v>
      </c>
      <c r="L8" s="261">
        <f>K8-J8</f>
        <v>-1877.0734933333333</v>
      </c>
      <c r="M8" s="262">
        <f>+IFERROR(HLOOKUP($A$1,[14]손익요약!$G$5:$AL$106,9,),)</f>
        <v>0</v>
      </c>
      <c r="N8" s="375"/>
      <c r="O8" s="261">
        <f>N8-M8</f>
        <v>0</v>
      </c>
      <c r="P8" s="394">
        <f>+G8+J8+M8</f>
        <v>17937.673493333336</v>
      </c>
      <c r="Q8" s="375">
        <f>+H8+K8+N8</f>
        <v>14544</v>
      </c>
      <c r="R8" s="395">
        <f>Q8-P8</f>
        <v>-3393.6734933333355</v>
      </c>
      <c r="S8" s="260">
        <f>+IFERROR(HLOOKUP($A$1,[15]손익요약!$G$5:$AL$106,3,),)</f>
        <v>10640.559098179559</v>
      </c>
      <c r="T8" s="375">
        <f>+'[9]부산크라샤(당월)'!$F$66</f>
        <v>10396</v>
      </c>
      <c r="U8" s="263">
        <f>T8-S8</f>
        <v>-244.55909817955944</v>
      </c>
      <c r="V8" s="262">
        <f>+IFERROR(HLOOKUP($A$1,[15]손익요약!$G$5:$AL$106,6,),)</f>
        <v>10004.586446333693</v>
      </c>
      <c r="W8" s="375">
        <f>+'[9]부산크라샤(당월)'!$I$66</f>
        <v>10446</v>
      </c>
      <c r="X8" s="261">
        <f>W8-V8</f>
        <v>441.41355366630705</v>
      </c>
      <c r="Y8" s="394">
        <f>+S8+V8</f>
        <v>20645.145544513252</v>
      </c>
      <c r="Z8" s="375">
        <f>+T8+W8</f>
        <v>20842</v>
      </c>
      <c r="AA8" s="395">
        <f>Z8-Y8</f>
        <v>196.85445548674761</v>
      </c>
      <c r="AB8" s="261">
        <f>+IFERROR(HLOOKUP($A$1,[16]손익계획!$G$5:$AX$449,3,),)</f>
        <v>18065.379730358123</v>
      </c>
      <c r="AC8" s="375">
        <f>+'[9]부산모래장(당월)'!$R$48</f>
        <v>11628</v>
      </c>
      <c r="AD8" s="261">
        <f>AC8-AB8</f>
        <v>-6437.3797303581232</v>
      </c>
      <c r="AE8" s="394">
        <f>+P8+Y8+AB8</f>
        <v>56648.198768204711</v>
      </c>
      <c r="AF8" s="375">
        <f>+Q8+Z8+AC8</f>
        <v>47014</v>
      </c>
      <c r="AG8" s="395">
        <f>AF8-AE8</f>
        <v>-9634.1987682047111</v>
      </c>
    </row>
    <row r="9" spans="1:36" ht="24" customHeight="1">
      <c r="D9" s="77"/>
      <c r="E9" s="282"/>
      <c r="F9" s="287" t="s">
        <v>10</v>
      </c>
      <c r="G9" s="283">
        <f>+G8/G$12</f>
        <v>0.82827347189409162</v>
      </c>
      <c r="H9" s="376">
        <f>+H8/H$12</f>
        <v>0.64102564102564108</v>
      </c>
      <c r="I9" s="286">
        <f>+H9-G9</f>
        <v>-0.18724783086845054</v>
      </c>
      <c r="J9" s="285">
        <f>+J8/J$12</f>
        <v>0.22403913401513995</v>
      </c>
      <c r="K9" s="376">
        <f>+K8/K$12</f>
        <v>5.8064516129032261E-2</v>
      </c>
      <c r="L9" s="284">
        <f>+K9-J9</f>
        <v>-0.16597461788610768</v>
      </c>
      <c r="M9" s="285">
        <f>+M8/M$12</f>
        <v>0</v>
      </c>
      <c r="N9" s="376"/>
      <c r="O9" s="284">
        <f>+N9-M9</f>
        <v>0</v>
      </c>
      <c r="P9" s="396">
        <f>+P8/P$12</f>
        <v>0.35705621391312459</v>
      </c>
      <c r="Q9" s="376">
        <f>+Q8/Q$12</f>
        <v>0.58306606799230276</v>
      </c>
      <c r="R9" s="397">
        <f>+Q9-P9</f>
        <v>0.22600985407917817</v>
      </c>
      <c r="S9" s="283">
        <f>+S8/S$12</f>
        <v>0.63943519177451269</v>
      </c>
      <c r="T9" s="376">
        <f>+T8/T$12</f>
        <v>0.61253829837379214</v>
      </c>
      <c r="U9" s="286">
        <f>+T9-S9</f>
        <v>-2.6896893400720545E-2</v>
      </c>
      <c r="V9" s="285">
        <f>+V8/V$12</f>
        <v>0.40011005452164239</v>
      </c>
      <c r="W9" s="376">
        <f>+W8/W$12</f>
        <v>0.65623822088202033</v>
      </c>
      <c r="X9" s="284">
        <f>+W9-V9</f>
        <v>0.25612816636037794</v>
      </c>
      <c r="Y9" s="396">
        <f>+Y8/Y$12</f>
        <v>0.49573954598012565</v>
      </c>
      <c r="Z9" s="376">
        <f>+Z8/Z$12</f>
        <v>0.63368805107935544</v>
      </c>
      <c r="AA9" s="397">
        <f>+Z9-Y9</f>
        <v>0.13794850509922979</v>
      </c>
      <c r="AB9" s="284">
        <f>+AB8/AB$12</f>
        <v>0.65536480567552191</v>
      </c>
      <c r="AC9" s="376">
        <f>+AC8/AC$12</f>
        <v>0.62888047593293672</v>
      </c>
      <c r="AD9" s="284">
        <f>+AC9-AB9</f>
        <v>-2.6484329742585189E-2</v>
      </c>
      <c r="AE9" s="396">
        <f>+AE8/AE$12</f>
        <v>0.47424908330458304</v>
      </c>
      <c r="AF9" s="376">
        <f>+AF8/AF$12</f>
        <v>0.61597924637073531</v>
      </c>
      <c r="AG9" s="397">
        <f>+AF9-AE9</f>
        <v>0.14173016306615227</v>
      </c>
    </row>
    <row r="10" spans="1:36" ht="24" customHeight="1">
      <c r="D10" s="258"/>
      <c r="E10" s="282"/>
      <c r="F10" s="281" t="s">
        <v>135</v>
      </c>
      <c r="G10" s="277">
        <f>+IFERROR(HLOOKUP($A$1,[14]손익요약!$G$5:$AL$106,2,),)</f>
        <v>3300</v>
      </c>
      <c r="H10" s="377">
        <f>+'[9]서부산크라샤(당월)'!$F$59</f>
        <v>8064</v>
      </c>
      <c r="I10" s="280">
        <f>H10-G10</f>
        <v>4764</v>
      </c>
      <c r="J10" s="279">
        <f>+IFERROR(HLOOKUP($A$1,[14]손익요약!$G$5:$AL$106,5,),)</f>
        <v>7000</v>
      </c>
      <c r="K10" s="377">
        <f>+'[9]서부산크라샤(당월)'!$I$59</f>
        <v>2336</v>
      </c>
      <c r="L10" s="278">
        <f>K10-J10</f>
        <v>-4664</v>
      </c>
      <c r="M10" s="279">
        <f>+IFERROR(HLOOKUP($A$1,[14]손익요약!$G$5:$AL$106,8,),)</f>
        <v>22000</v>
      </c>
      <c r="N10" s="377"/>
      <c r="O10" s="278">
        <f>N10-M10</f>
        <v>-22000</v>
      </c>
      <c r="P10" s="398">
        <f>+G10+J10+M10</f>
        <v>32300</v>
      </c>
      <c r="Q10" s="377">
        <f>+H10+K10+N10</f>
        <v>10400</v>
      </c>
      <c r="R10" s="399">
        <f>Q10-P10</f>
        <v>-21900</v>
      </c>
      <c r="S10" s="277">
        <f>+IFERROR(HLOOKUP($A$1,[15]손익요약!$G$5:$AL$106,2,),)</f>
        <v>6000</v>
      </c>
      <c r="T10" s="377">
        <f>+'[9]부산크라샤(당월)'!$F$59</f>
        <v>6576</v>
      </c>
      <c r="U10" s="280">
        <f>T10-S10</f>
        <v>576</v>
      </c>
      <c r="V10" s="279">
        <f>+IFERROR(HLOOKUP($A$1,[15]손익요약!$G$5:$AL$106,5,),)</f>
        <v>15000</v>
      </c>
      <c r="W10" s="377">
        <f>+'[9]부산크라샤(당월)'!$I$59</f>
        <v>5472</v>
      </c>
      <c r="X10" s="278">
        <f>W10-V10</f>
        <v>-9528</v>
      </c>
      <c r="Y10" s="398">
        <f>+S10+V10</f>
        <v>21000</v>
      </c>
      <c r="Z10" s="377">
        <f>+T10+W10</f>
        <v>12048</v>
      </c>
      <c r="AA10" s="399">
        <f>Z10-Y10</f>
        <v>-8952</v>
      </c>
      <c r="AB10" s="278">
        <f>+IFERROR(HLOOKUP($A$1,[16]손익계획!$G$5:$AX$449,2,),)</f>
        <v>9500</v>
      </c>
      <c r="AC10" s="377">
        <f>+'[9]부산모래장(당월)'!$R$47</f>
        <v>6862</v>
      </c>
      <c r="AD10" s="278">
        <f>AC10-AB10</f>
        <v>-2638</v>
      </c>
      <c r="AE10" s="398">
        <f>+P10+Y10+AB10</f>
        <v>62800</v>
      </c>
      <c r="AF10" s="377">
        <f>+Q10+Z10+AC10</f>
        <v>29310</v>
      </c>
      <c r="AG10" s="399">
        <f>AF10-AE10</f>
        <v>-33490</v>
      </c>
    </row>
    <row r="11" spans="1:36" ht="24" customHeight="1">
      <c r="D11" s="258"/>
      <c r="E11" s="259"/>
      <c r="F11" s="276" t="s">
        <v>10</v>
      </c>
      <c r="G11" s="272">
        <f>+G10/G$12</f>
        <v>0.17172652810590844</v>
      </c>
      <c r="H11" s="378">
        <f>+H10/H$12</f>
        <v>0.35897435897435898</v>
      </c>
      <c r="I11" s="275">
        <f>+H11-G11</f>
        <v>0.18724783086845054</v>
      </c>
      <c r="J11" s="274">
        <f>+J10/J$12</f>
        <v>0.77596086598486003</v>
      </c>
      <c r="K11" s="378">
        <f>+K10/K$12</f>
        <v>0.9419354838709677</v>
      </c>
      <c r="L11" s="273">
        <f>+K11-J11</f>
        <v>0.16597461788610768</v>
      </c>
      <c r="M11" s="274">
        <f>+M10/M$12</f>
        <v>1</v>
      </c>
      <c r="N11" s="378"/>
      <c r="O11" s="273">
        <f>+N11-M11</f>
        <v>-1</v>
      </c>
      <c r="P11" s="400">
        <f>+P10/P$12</f>
        <v>0.64294378608687541</v>
      </c>
      <c r="Q11" s="378">
        <f>+Q10/Q$12</f>
        <v>0.41693393200769724</v>
      </c>
      <c r="R11" s="401">
        <f>+Q11-P11</f>
        <v>-0.22600985407917817</v>
      </c>
      <c r="S11" s="272">
        <f>+S10/S$12</f>
        <v>0.3605648082254872</v>
      </c>
      <c r="T11" s="378">
        <f>+T10/T$12</f>
        <v>0.38746170162620786</v>
      </c>
      <c r="U11" s="275">
        <f>+T11-S11</f>
        <v>2.6896893400720656E-2</v>
      </c>
      <c r="V11" s="274">
        <f>+V10/V$12</f>
        <v>0.59988994547835772</v>
      </c>
      <c r="W11" s="378">
        <f>+W10/W$12</f>
        <v>0.34376177911797967</v>
      </c>
      <c r="X11" s="273">
        <f>+W11-V11</f>
        <v>-0.25612816636037805</v>
      </c>
      <c r="Y11" s="400">
        <f>+Y10/Y$12</f>
        <v>0.50426045401987429</v>
      </c>
      <c r="Z11" s="378">
        <f>+Z10/Z$12</f>
        <v>0.36631194892064456</v>
      </c>
      <c r="AA11" s="401">
        <f>+Z11-Y11</f>
        <v>-0.13794850509922973</v>
      </c>
      <c r="AB11" s="273">
        <f>+AB10/AB$12</f>
        <v>0.34463519432447803</v>
      </c>
      <c r="AC11" s="378">
        <f>+AC10/AC$12</f>
        <v>0.37111952406706328</v>
      </c>
      <c r="AD11" s="273">
        <f>+AC11-AB11</f>
        <v>2.6484329742585244E-2</v>
      </c>
      <c r="AE11" s="400">
        <f>+AE10/AE$12</f>
        <v>0.52575091669541696</v>
      </c>
      <c r="AF11" s="378">
        <f>+AF10/AF$12</f>
        <v>0.38402075362926469</v>
      </c>
      <c r="AG11" s="401">
        <f>+AF11-AE11</f>
        <v>-0.14173016306615227</v>
      </c>
    </row>
    <row r="12" spans="1:36" ht="24" customHeight="1">
      <c r="D12" s="258"/>
      <c r="E12" s="271"/>
      <c r="F12" s="270" t="s">
        <v>43</v>
      </c>
      <c r="G12" s="266">
        <f>G8+G10</f>
        <v>19216.599999999999</v>
      </c>
      <c r="H12" s="379">
        <f>H8+H10</f>
        <v>22464</v>
      </c>
      <c r="I12" s="269">
        <f t="shared" ref="I12:I32" si="0">H12-G12</f>
        <v>3247.4000000000015</v>
      </c>
      <c r="J12" s="268">
        <f>J8+J10</f>
        <v>9021.0734933333333</v>
      </c>
      <c r="K12" s="379">
        <f>K8+K10</f>
        <v>2480</v>
      </c>
      <c r="L12" s="267">
        <f t="shared" ref="L12:L32" si="1">K12-J12</f>
        <v>-6541.0734933333333</v>
      </c>
      <c r="M12" s="268">
        <f>M8+M10</f>
        <v>22000</v>
      </c>
      <c r="N12" s="379"/>
      <c r="O12" s="267">
        <f t="shared" ref="O12:O32" si="2">N12-M12</f>
        <v>-22000</v>
      </c>
      <c r="P12" s="402">
        <f>P8+P10</f>
        <v>50237.673493333336</v>
      </c>
      <c r="Q12" s="379">
        <f>Q8+Q10</f>
        <v>24944</v>
      </c>
      <c r="R12" s="403">
        <f t="shared" ref="R12:R32" si="3">Q12-P12</f>
        <v>-25293.673493333336</v>
      </c>
      <c r="S12" s="266">
        <f>S8+S10</f>
        <v>16640.559098179561</v>
      </c>
      <c r="T12" s="379">
        <f>T8+T10</f>
        <v>16972</v>
      </c>
      <c r="U12" s="269">
        <f t="shared" ref="U12:U32" si="4">T12-S12</f>
        <v>331.44090182043874</v>
      </c>
      <c r="V12" s="268">
        <f>V8+V10</f>
        <v>25004.586446333691</v>
      </c>
      <c r="W12" s="379">
        <f>W8+W10</f>
        <v>15918</v>
      </c>
      <c r="X12" s="267">
        <f t="shared" ref="X12:X32" si="5">W12-V12</f>
        <v>-9086.5864463336911</v>
      </c>
      <c r="Y12" s="402">
        <f>Y8+Y10</f>
        <v>41645.145544513252</v>
      </c>
      <c r="Z12" s="379">
        <f>Z8+Z10</f>
        <v>32890</v>
      </c>
      <c r="AA12" s="403">
        <f t="shared" ref="AA12:AA32" si="6">Z12-Y12</f>
        <v>-8755.1455445132524</v>
      </c>
      <c r="AB12" s="267">
        <f>AB8+AB10</f>
        <v>27565.379730358123</v>
      </c>
      <c r="AC12" s="379">
        <f>AC8+AC10</f>
        <v>18490</v>
      </c>
      <c r="AD12" s="267">
        <f t="shared" ref="AD12:AD32" si="7">AC12-AB12</f>
        <v>-9075.3797303581232</v>
      </c>
      <c r="AE12" s="402">
        <f>AE8+AE10</f>
        <v>119448.19876820472</v>
      </c>
      <c r="AF12" s="379">
        <f>AF8+AF10</f>
        <v>76324</v>
      </c>
      <c r="AG12" s="403">
        <f t="shared" ref="AG12:AG32" si="8">AF12-AE12</f>
        <v>-43124.198768204718</v>
      </c>
      <c r="AI12" s="6">
        <f>+'사업장별(당월)'!J32*1000</f>
        <v>119448.1987682047</v>
      </c>
      <c r="AJ12" s="6">
        <f>+'사업장별(당월)'!K32*1000</f>
        <v>76324</v>
      </c>
    </row>
    <row r="13" spans="1:36" ht="24" customHeight="1">
      <c r="D13" s="258"/>
      <c r="E13" s="265" t="s">
        <v>77</v>
      </c>
      <c r="F13" s="264" t="s">
        <v>132</v>
      </c>
      <c r="G13" s="260">
        <f>+IFERROR(HLOOKUP($A$1,[14]손익요약!$G$5:$AL$106,15,),)</f>
        <v>241006</v>
      </c>
      <c r="H13" s="375">
        <f>+'[9]서부산크라샤(당월)'!$F$72</f>
        <v>229496</v>
      </c>
      <c r="I13" s="263">
        <f t="shared" si="0"/>
        <v>-11510</v>
      </c>
      <c r="J13" s="262">
        <f>+IFERROR(HLOOKUP($A$1,[14]손익요약!$G$5:$AL$106,18,),)</f>
        <v>37292.76906666666</v>
      </c>
      <c r="K13" s="375">
        <f>+'[9]서부산크라샤(당월)'!$I$72</f>
        <v>1296</v>
      </c>
      <c r="L13" s="261">
        <f t="shared" si="1"/>
        <v>-35996.76906666666</v>
      </c>
      <c r="M13" s="262">
        <f>+IFERROR(HLOOKUP($A$1,[14]손익요약!$G$5:$AL$106,21,),)</f>
        <v>0</v>
      </c>
      <c r="N13" s="375"/>
      <c r="O13" s="261">
        <f t="shared" si="2"/>
        <v>0</v>
      </c>
      <c r="P13" s="394">
        <f>+G13+J13+M13</f>
        <v>278298.76906666666</v>
      </c>
      <c r="Q13" s="375">
        <f>+H13+K13+N13</f>
        <v>230792</v>
      </c>
      <c r="R13" s="395">
        <f t="shared" si="3"/>
        <v>-47506.76906666666</v>
      </c>
      <c r="S13" s="260">
        <f>+IFERROR(HLOOKUP($A$1,[15]손익요약!$G$5:$AL$106,12,),)</f>
        <v>170248.94557087295</v>
      </c>
      <c r="T13" s="375">
        <f>+'[9]부산크라샤(당월)'!$F$72</f>
        <v>177002</v>
      </c>
      <c r="U13" s="263">
        <f t="shared" si="4"/>
        <v>6753.0544291270489</v>
      </c>
      <c r="V13" s="262">
        <f>+IFERROR(HLOOKUP($A$1,[15]손익요약!$G$5:$AL$106,15,),)</f>
        <v>220892.58503986849</v>
      </c>
      <c r="W13" s="375">
        <f>+'[9]부산크라샤(당월)'!$I$72</f>
        <v>229745</v>
      </c>
      <c r="X13" s="261">
        <f t="shared" si="5"/>
        <v>8852.4149601315148</v>
      </c>
      <c r="Y13" s="394">
        <f>+S13+V13</f>
        <v>391141.53061074147</v>
      </c>
      <c r="Z13" s="375">
        <f>+T13+W13</f>
        <v>406747</v>
      </c>
      <c r="AA13" s="395">
        <f t="shared" si="6"/>
        <v>15605.469389258535</v>
      </c>
      <c r="AB13" s="261">
        <f>+IFERROR(HLOOKUP($A$1,[16]손익계획!$G$5:$AX$449,6,),)</f>
        <v>512513.75310459413</v>
      </c>
      <c r="AC13" s="375">
        <f>+'[9]부산모래장(당월)'!$R$54</f>
        <v>341504</v>
      </c>
      <c r="AD13" s="261">
        <f t="shared" si="7"/>
        <v>-171009.75310459413</v>
      </c>
      <c r="AE13" s="394">
        <f>+P13+Y13+AB13</f>
        <v>1181954.0527820021</v>
      </c>
      <c r="AF13" s="375">
        <f>+Q13+Z13+AC13</f>
        <v>979043</v>
      </c>
      <c r="AG13" s="395">
        <f t="shared" si="8"/>
        <v>-202911.05278200214</v>
      </c>
      <c r="AI13" s="6" t="b">
        <f>+AI12=AE12</f>
        <v>1</v>
      </c>
      <c r="AJ13" s="6" t="b">
        <f>+AJ12=AF12</f>
        <v>1</v>
      </c>
    </row>
    <row r="14" spans="1:36" ht="24" customHeight="1">
      <c r="D14" s="258"/>
      <c r="E14" s="259"/>
      <c r="F14" s="257" t="s">
        <v>131</v>
      </c>
      <c r="G14" s="253">
        <f>+G13/G8*1000</f>
        <v>15141.801641053993</v>
      </c>
      <c r="H14" s="380">
        <f>+H13/H8*1000</f>
        <v>15937.222222222223</v>
      </c>
      <c r="I14" s="256">
        <f t="shared" si="0"/>
        <v>795.42058116822955</v>
      </c>
      <c r="J14" s="255">
        <f>+J13/J8*1000</f>
        <v>18451.960895870303</v>
      </c>
      <c r="K14" s="380">
        <f>+K13/K8*1000</f>
        <v>9000</v>
      </c>
      <c r="L14" s="254">
        <f t="shared" si="1"/>
        <v>-9451.9608958703029</v>
      </c>
      <c r="M14" s="255" t="e">
        <f>+M13/M8*1000</f>
        <v>#DIV/0!</v>
      </c>
      <c r="N14" s="380"/>
      <c r="O14" s="254" t="e">
        <f t="shared" si="2"/>
        <v>#DIV/0!</v>
      </c>
      <c r="P14" s="404">
        <f>+P13/P8*1000</f>
        <v>15514.763894554017</v>
      </c>
      <c r="Q14" s="380">
        <f>+Q13/Q8*1000</f>
        <v>15868.536853685368</v>
      </c>
      <c r="R14" s="405">
        <f t="shared" si="3"/>
        <v>353.77295913135094</v>
      </c>
      <c r="S14" s="253">
        <f>+S13/S8*1000</f>
        <v>16000</v>
      </c>
      <c r="T14" s="380">
        <f>+T13/T8*1000</f>
        <v>17025.971527510581</v>
      </c>
      <c r="U14" s="256">
        <f t="shared" si="4"/>
        <v>1025.9715275105809</v>
      </c>
      <c r="V14" s="255">
        <f>+V13/V8*1000</f>
        <v>22079.132028572491</v>
      </c>
      <c r="W14" s="380">
        <f>+W13/W8*1000</f>
        <v>21993.586061650392</v>
      </c>
      <c r="X14" s="254">
        <f t="shared" si="5"/>
        <v>-85.54596692209816</v>
      </c>
      <c r="Y14" s="404">
        <f>+Y13/Y8*1000</f>
        <v>18945.932338786199</v>
      </c>
      <c r="Z14" s="380">
        <f>+Z13/Z8*1000</f>
        <v>19515.737453219463</v>
      </c>
      <c r="AA14" s="405">
        <f t="shared" si="6"/>
        <v>569.80511443326395</v>
      </c>
      <c r="AB14" s="254">
        <f>+AB13/AB8*1000</f>
        <v>28369.94077923178</v>
      </c>
      <c r="AC14" s="380">
        <f>+AC13/AC8*1000</f>
        <v>29369.109047127622</v>
      </c>
      <c r="AD14" s="254">
        <f t="shared" si="7"/>
        <v>999.16826789584229</v>
      </c>
      <c r="AE14" s="404">
        <f>+AE13/AE8*1000</f>
        <v>20864.812623934744</v>
      </c>
      <c r="AF14" s="380">
        <f>+AF13/AF8*1000</f>
        <v>20824.499085378822</v>
      </c>
      <c r="AG14" s="405">
        <f t="shared" si="8"/>
        <v>-40.313538555921696</v>
      </c>
    </row>
    <row r="15" spans="1:36" ht="24" customHeight="1">
      <c r="D15" s="258"/>
      <c r="E15" s="663"/>
      <c r="F15" s="224" t="s">
        <v>135</v>
      </c>
      <c r="G15" s="248">
        <f>+IFERROR(HLOOKUP($A$1,[14]손익요약!$G$5:$AL$106,14,),)</f>
        <v>37950</v>
      </c>
      <c r="H15" s="381">
        <f>+'[9]서부산크라샤(당월)'!$F$71</f>
        <v>92736</v>
      </c>
      <c r="I15" s="251">
        <f t="shared" si="0"/>
        <v>54786</v>
      </c>
      <c r="J15" s="250">
        <f>+IFERROR(HLOOKUP($A$1,[14]손익요약!$G$5:$AL$106,17,),)</f>
        <v>105000</v>
      </c>
      <c r="K15" s="381">
        <f>+'[9]서부산크라샤(당월)'!$I$71</f>
        <v>21024</v>
      </c>
      <c r="L15" s="249">
        <f t="shared" si="1"/>
        <v>-83976</v>
      </c>
      <c r="M15" s="250">
        <f>+IFERROR(HLOOKUP($A$1,[14]손익요약!$G$5:$AL$106,20,),)</f>
        <v>198000</v>
      </c>
      <c r="N15" s="381"/>
      <c r="O15" s="249">
        <f t="shared" si="2"/>
        <v>-198000</v>
      </c>
      <c r="P15" s="406">
        <f>+G15+J15+M15</f>
        <v>340950</v>
      </c>
      <c r="Q15" s="381">
        <f>+H15+K15+N15</f>
        <v>113760</v>
      </c>
      <c r="R15" s="407">
        <f t="shared" si="3"/>
        <v>-227190</v>
      </c>
      <c r="S15" s="248">
        <f>+IFERROR(HLOOKUP($A$1,[15]손익요약!$G$5:$AL$106,11,),)</f>
        <v>72000</v>
      </c>
      <c r="T15" s="381">
        <f>+'[9]부산크라샤(당월)'!$F$71</f>
        <v>85488</v>
      </c>
      <c r="U15" s="251">
        <f t="shared" si="4"/>
        <v>13488</v>
      </c>
      <c r="V15" s="250">
        <f>+IFERROR(HLOOKUP($A$1,[15]손익요약!$G$5:$AL$106,14,),)</f>
        <v>285000</v>
      </c>
      <c r="W15" s="381">
        <f>+'[9]부산크라샤(당월)'!$I$71</f>
        <v>103968</v>
      </c>
      <c r="X15" s="249">
        <f t="shared" si="5"/>
        <v>-181032</v>
      </c>
      <c r="Y15" s="406">
        <f>+S15+V15</f>
        <v>357000</v>
      </c>
      <c r="Z15" s="381">
        <f>+T15+W15</f>
        <v>189456</v>
      </c>
      <c r="AA15" s="407">
        <f t="shared" si="6"/>
        <v>-167544</v>
      </c>
      <c r="AB15" s="249">
        <f>+IFERROR(HLOOKUP($A$1,[16]손익계획!$G$5:$AX$449,5,),)</f>
        <v>270750</v>
      </c>
      <c r="AC15" s="381">
        <f>+'[9]부산모래장(당월)'!$R$53</f>
        <v>194740</v>
      </c>
      <c r="AD15" s="249">
        <f t="shared" si="7"/>
        <v>-76010</v>
      </c>
      <c r="AE15" s="406">
        <f>+P15+Y15+AB15</f>
        <v>968700</v>
      </c>
      <c r="AF15" s="381">
        <f>+Q15+Z15+AC15</f>
        <v>497956</v>
      </c>
      <c r="AG15" s="407">
        <f t="shared" si="8"/>
        <v>-470744</v>
      </c>
    </row>
    <row r="16" spans="1:36" ht="24" customHeight="1">
      <c r="D16" s="76"/>
      <c r="E16" s="663"/>
      <c r="F16" s="257" t="s">
        <v>131</v>
      </c>
      <c r="G16" s="253">
        <f>IFERROR(G15/G10,)*1000</f>
        <v>11500</v>
      </c>
      <c r="H16" s="380">
        <f>IFERROR(H15/H10,)*1000</f>
        <v>11500</v>
      </c>
      <c r="I16" s="256">
        <f t="shared" si="0"/>
        <v>0</v>
      </c>
      <c r="J16" s="255">
        <f>IFERROR(J15/J10,)*1000</f>
        <v>15000</v>
      </c>
      <c r="K16" s="380">
        <f>IFERROR(K15/K10,)*1000</f>
        <v>9000</v>
      </c>
      <c r="L16" s="254">
        <f t="shared" si="1"/>
        <v>-6000</v>
      </c>
      <c r="M16" s="255">
        <f>IFERROR(M15/M10,)*1000</f>
        <v>9000</v>
      </c>
      <c r="N16" s="380"/>
      <c r="O16" s="254">
        <f t="shared" si="2"/>
        <v>-9000</v>
      </c>
      <c r="P16" s="404">
        <f>IFERROR(P15/P10,)*1000</f>
        <v>10555.727554179568</v>
      </c>
      <c r="Q16" s="380">
        <f>IFERROR(Q15/Q10,)*1000</f>
        <v>10938.461538461539</v>
      </c>
      <c r="R16" s="405">
        <f t="shared" si="3"/>
        <v>382.73398428197106</v>
      </c>
      <c r="S16" s="253">
        <f>IFERROR(S15/S10,)*1000</f>
        <v>12000</v>
      </c>
      <c r="T16" s="380">
        <f>IFERROR(T15/T10,)*1000</f>
        <v>13000</v>
      </c>
      <c r="U16" s="256">
        <f t="shared" si="4"/>
        <v>1000</v>
      </c>
      <c r="V16" s="255">
        <f>IFERROR(V15/V10,)*1000</f>
        <v>19000</v>
      </c>
      <c r="W16" s="380">
        <f>IFERROR(W15/W10,)*1000</f>
        <v>19000</v>
      </c>
      <c r="X16" s="254">
        <f t="shared" si="5"/>
        <v>0</v>
      </c>
      <c r="Y16" s="404">
        <f>IFERROR(Y15/Y10,)*1000</f>
        <v>17000</v>
      </c>
      <c r="Z16" s="380">
        <f>IFERROR(Z15/Z10,)*1000</f>
        <v>15725.099601593625</v>
      </c>
      <c r="AA16" s="405">
        <f t="shared" si="6"/>
        <v>-1274.9003984063747</v>
      </c>
      <c r="AB16" s="254">
        <f>IFERROR(AB15/AB10,)*1000</f>
        <v>28500</v>
      </c>
      <c r="AC16" s="380">
        <f>IFERROR(AC15/AC10,)*1000</f>
        <v>28379.481200816088</v>
      </c>
      <c r="AD16" s="254">
        <f t="shared" si="7"/>
        <v>-120.51879918391205</v>
      </c>
      <c r="AE16" s="404">
        <f>IFERROR(AE15/AE10,)*1000</f>
        <v>15425.159235668791</v>
      </c>
      <c r="AF16" s="380">
        <f>IFERROR(AF15/AF10,)*1000</f>
        <v>16989.286932787443</v>
      </c>
      <c r="AG16" s="405">
        <f t="shared" si="8"/>
        <v>1564.1276971186526</v>
      </c>
    </row>
    <row r="17" spans="4:36" ht="24" customHeight="1">
      <c r="D17" s="76"/>
      <c r="E17" s="663"/>
      <c r="F17" s="252" t="s">
        <v>43</v>
      </c>
      <c r="G17" s="248">
        <f>G13+G15</f>
        <v>278956</v>
      </c>
      <c r="H17" s="381">
        <f>H13+H15</f>
        <v>322232</v>
      </c>
      <c r="I17" s="251">
        <f t="shared" si="0"/>
        <v>43276</v>
      </c>
      <c r="J17" s="250">
        <f>J13+J15</f>
        <v>142292.76906666666</v>
      </c>
      <c r="K17" s="381">
        <f>K13+K15</f>
        <v>22320</v>
      </c>
      <c r="L17" s="249">
        <f t="shared" si="1"/>
        <v>-119972.76906666666</v>
      </c>
      <c r="M17" s="250">
        <f>M13+M15</f>
        <v>198000</v>
      </c>
      <c r="N17" s="381"/>
      <c r="O17" s="249">
        <f t="shared" si="2"/>
        <v>-198000</v>
      </c>
      <c r="P17" s="406">
        <f>P13+P15</f>
        <v>619248.76906666672</v>
      </c>
      <c r="Q17" s="381">
        <f>Q13+Q15</f>
        <v>344552</v>
      </c>
      <c r="R17" s="407">
        <f t="shared" si="3"/>
        <v>-274696.76906666672</v>
      </c>
      <c r="S17" s="248">
        <f>S13+S15</f>
        <v>242248.94557087295</v>
      </c>
      <c r="T17" s="381">
        <f>T13+T15</f>
        <v>262490</v>
      </c>
      <c r="U17" s="251">
        <f t="shared" si="4"/>
        <v>20241.054429127049</v>
      </c>
      <c r="V17" s="250">
        <f>V13+V15</f>
        <v>505892.58503986849</v>
      </c>
      <c r="W17" s="381">
        <f>W13+W15</f>
        <v>333713</v>
      </c>
      <c r="X17" s="249">
        <f t="shared" si="5"/>
        <v>-172179.58503986849</v>
      </c>
      <c r="Y17" s="406">
        <f>Y13+Y15</f>
        <v>748141.53061074147</v>
      </c>
      <c r="Z17" s="381">
        <f>Z13+Z15</f>
        <v>596203</v>
      </c>
      <c r="AA17" s="407">
        <f t="shared" si="6"/>
        <v>-151938.53061074147</v>
      </c>
      <c r="AB17" s="249">
        <f>AB13+AB15</f>
        <v>783263.75310459407</v>
      </c>
      <c r="AC17" s="381">
        <f>AC13+AC15</f>
        <v>536244</v>
      </c>
      <c r="AD17" s="249">
        <f t="shared" si="7"/>
        <v>-247019.75310459407</v>
      </c>
      <c r="AE17" s="406">
        <f>AE13+AE15</f>
        <v>2150654.0527820019</v>
      </c>
      <c r="AF17" s="381">
        <f>AF13+AF15</f>
        <v>1476999</v>
      </c>
      <c r="AG17" s="407">
        <f t="shared" si="8"/>
        <v>-673655.05278200191</v>
      </c>
      <c r="AI17" s="6">
        <f>+'사업장별(당월)'!O32*1000</f>
        <v>2150654.0527820024</v>
      </c>
      <c r="AJ17" s="6">
        <f>+'사업장별(당월)'!P32*1000</f>
        <v>1476999</v>
      </c>
    </row>
    <row r="18" spans="4:36" ht="24" customHeight="1">
      <c r="D18" s="76"/>
      <c r="E18" s="247" t="s">
        <v>7</v>
      </c>
      <c r="F18" s="246" t="s">
        <v>134</v>
      </c>
      <c r="G18" s="661">
        <f>+IFERROR(HLOOKUP($A$1,[14]손익요약!$G$5:$AL$106,80,),)</f>
        <v>77833.858012177763</v>
      </c>
      <c r="H18" s="382">
        <f>+'[9]서부산크라샤(당월)'!$F$87</f>
        <v>32179.109654147112</v>
      </c>
      <c r="I18" s="233">
        <f t="shared" si="0"/>
        <v>-45654.748358030651</v>
      </c>
      <c r="J18" s="232">
        <f>+IFERROR(HLOOKUP($A$1,[14]손익요약!$G$5:$AL$106,83,),)</f>
        <v>16465.040770864725</v>
      </c>
      <c r="K18" s="382">
        <f>+'[9]서부산크라샤(당월)'!$I$87</f>
        <v>450.51281527698052</v>
      </c>
      <c r="L18" s="231">
        <f t="shared" si="1"/>
        <v>-16014.527955587744</v>
      </c>
      <c r="M18" s="232">
        <f>+IFERROR(HLOOKUP($A$1,[14]손익요약!$G$5:$AL$106,86,),)</f>
        <v>0</v>
      </c>
      <c r="N18" s="382"/>
      <c r="O18" s="231">
        <f t="shared" si="2"/>
        <v>0</v>
      </c>
      <c r="P18" s="408">
        <f>+G18+J18+M18</f>
        <v>94298.898783042489</v>
      </c>
      <c r="Q18" s="382">
        <f>+H18+K18+N18</f>
        <v>32629.622469424092</v>
      </c>
      <c r="R18" s="409">
        <f t="shared" si="3"/>
        <v>-61669.276313618393</v>
      </c>
      <c r="S18" s="661">
        <f>+IFERROR(HLOOKUP($A$1,[15]손익요약!$G$5:$U$95,57,),)</f>
        <v>-7890.2670124027863</v>
      </c>
      <c r="T18" s="382">
        <f>+'[9]부산크라샤(당월)'!$F$87</f>
        <v>-9018.7623291591135</v>
      </c>
      <c r="U18" s="233">
        <f t="shared" si="4"/>
        <v>-1128.4953167563272</v>
      </c>
      <c r="V18" s="232">
        <f>+IFERROR(HLOOKUP($A$1,[15]손익요약!$G$5:$AL$106,60,),)</f>
        <v>52415.997226871208</v>
      </c>
      <c r="W18" s="382">
        <f>+'[9]부산크라샤(당월)'!$I$87</f>
        <v>41320.613237029305</v>
      </c>
      <c r="X18" s="231">
        <f t="shared" si="5"/>
        <v>-11095.383989841903</v>
      </c>
      <c r="Y18" s="408">
        <f>+S18+V18</f>
        <v>44525.730214468422</v>
      </c>
      <c r="Z18" s="382">
        <f>+T18+W18</f>
        <v>32301.85090787019</v>
      </c>
      <c r="AA18" s="409">
        <f t="shared" si="6"/>
        <v>-12223.879306598232</v>
      </c>
      <c r="AB18" s="231">
        <f>+IFERROR(HLOOKUP($A$1,[16]손익계획!$G$5:$AX$449,25,),)</f>
        <v>-9115.5414133218183</v>
      </c>
      <c r="AC18" s="382">
        <f>+'[9]부산모래장(당월)'!$R$82</f>
        <v>-15352.655000000001</v>
      </c>
      <c r="AD18" s="231">
        <f t="shared" si="7"/>
        <v>-6237.1135866781824</v>
      </c>
      <c r="AE18" s="408">
        <f t="shared" ref="AE18:AF19" si="9">+P18+Y18+AB18</f>
        <v>129709.0875841891</v>
      </c>
      <c r="AF18" s="382">
        <f t="shared" si="9"/>
        <v>49578.818377294287</v>
      </c>
      <c r="AG18" s="409">
        <f t="shared" si="8"/>
        <v>-80130.269206894809</v>
      </c>
      <c r="AI18" s="6" t="b">
        <f>+AI17=AE17</f>
        <v>1</v>
      </c>
      <c r="AJ18" s="6" t="b">
        <f>+AJ17=AF17</f>
        <v>1</v>
      </c>
    </row>
    <row r="19" spans="4:36" ht="24" customHeight="1">
      <c r="D19" s="76"/>
      <c r="E19" s="166"/>
      <c r="F19" s="245" t="s">
        <v>133</v>
      </c>
      <c r="G19" s="241">
        <f>+IFERROR(HLOOKUP($A$1,[14]손익요약!$G$5:$AL$106,79,),)</f>
        <v>4313.9477858694963</v>
      </c>
      <c r="H19" s="383">
        <f>+'[9]서부산크라샤(당월)'!$F$86</f>
        <v>-16674.765003014807</v>
      </c>
      <c r="I19" s="244">
        <f t="shared" si="0"/>
        <v>-20988.712788884302</v>
      </c>
      <c r="J19" s="243">
        <f>+IFERROR(HLOOKUP($A$1,[14]손익요약!$G$5:$AL$106,82,),)</f>
        <v>33254.197321102423</v>
      </c>
      <c r="K19" s="383">
        <f>+'[9]서부산크라샤(당월)'!$I$86</f>
        <v>7308.314225604352</v>
      </c>
      <c r="L19" s="242">
        <f t="shared" si="1"/>
        <v>-25945.883095498073</v>
      </c>
      <c r="M19" s="243">
        <f>+IFERROR(HLOOKUP($A$1,[14]손익요약!$G$5:$AL$106,85,),)</f>
        <v>42849.980709503223</v>
      </c>
      <c r="N19" s="383"/>
      <c r="O19" s="242">
        <f t="shared" si="2"/>
        <v>-42849.980709503223</v>
      </c>
      <c r="P19" s="410">
        <f>+G19+J19+M19</f>
        <v>80418.125816475134</v>
      </c>
      <c r="Q19" s="383">
        <f>+H19+K19+N19</f>
        <v>-9366.450777410455</v>
      </c>
      <c r="R19" s="411">
        <f t="shared" si="3"/>
        <v>-89784.576593885591</v>
      </c>
      <c r="S19" s="241">
        <f>+IFERROR(HLOOKUP($A$1,[15]손익요약!$G$5:$AL$106,56,),)</f>
        <v>-28060.657787386503</v>
      </c>
      <c r="T19" s="383">
        <f>+'[9]부산크라샤(당월)'!$F$86</f>
        <v>-31402.569401920577</v>
      </c>
      <c r="U19" s="244">
        <f t="shared" si="4"/>
        <v>-3341.911614534074</v>
      </c>
      <c r="V19" s="243">
        <f>+IFERROR(HLOOKUP($A$1,[15]손익요약!$G$5:$AL$106,59,),)</f>
        <v>33148.636906275846</v>
      </c>
      <c r="W19" s="383">
        <f>+'[9]부산크라샤(당월)'!$I$86</f>
        <v>5745.1231840503915</v>
      </c>
      <c r="X19" s="242">
        <f t="shared" si="5"/>
        <v>-27403.513722225456</v>
      </c>
      <c r="Y19" s="410">
        <f>+S19+V19</f>
        <v>5087.9791188893432</v>
      </c>
      <c r="Z19" s="383">
        <f>+T19+W19</f>
        <v>-25657.446217870187</v>
      </c>
      <c r="AA19" s="411">
        <f t="shared" si="6"/>
        <v>-30745.42533675953</v>
      </c>
      <c r="AB19" s="242">
        <f>+IFERROR(HLOOKUP($A$1,[16]손익계획!$G$5:$AX$449,24,),)</f>
        <v>-3948.40739299695</v>
      </c>
      <c r="AC19" s="383">
        <f>+'[9]부산모래장(당월)'!$I$81-'[9]부산모래장(당월)'!$R$82</f>
        <v>-38613.883827381149</v>
      </c>
      <c r="AD19" s="242">
        <f t="shared" si="7"/>
        <v>-34665.476434384196</v>
      </c>
      <c r="AE19" s="410">
        <f t="shared" si="9"/>
        <v>81557.697542367532</v>
      </c>
      <c r="AF19" s="383">
        <f t="shared" si="9"/>
        <v>-73637.780822661793</v>
      </c>
      <c r="AG19" s="411">
        <f t="shared" si="8"/>
        <v>-155195.47836502932</v>
      </c>
    </row>
    <row r="20" spans="4:36" ht="24" customHeight="1">
      <c r="D20" s="76"/>
      <c r="E20" s="664"/>
      <c r="F20" s="240" t="s">
        <v>58</v>
      </c>
      <c r="G20" s="236">
        <f>G18+G19</f>
        <v>82147.805798047266</v>
      </c>
      <c r="H20" s="384">
        <f>H18+H19</f>
        <v>15504.344651132305</v>
      </c>
      <c r="I20" s="239">
        <f t="shared" si="0"/>
        <v>-66643.461146914953</v>
      </c>
      <c r="J20" s="238">
        <f>J18+J19</f>
        <v>49719.238091967149</v>
      </c>
      <c r="K20" s="384">
        <f>K18+K19</f>
        <v>7758.8270408813323</v>
      </c>
      <c r="L20" s="237">
        <f t="shared" si="1"/>
        <v>-41960.411051085815</v>
      </c>
      <c r="M20" s="238">
        <f>M18+M19</f>
        <v>42849.980709503223</v>
      </c>
      <c r="N20" s="384"/>
      <c r="O20" s="237">
        <f t="shared" si="2"/>
        <v>-42849.980709503223</v>
      </c>
      <c r="P20" s="412">
        <f>P18+P19</f>
        <v>174717.02459951764</v>
      </c>
      <c r="Q20" s="384">
        <f>Q18+Q19</f>
        <v>23263.171692013639</v>
      </c>
      <c r="R20" s="413">
        <f t="shared" si="3"/>
        <v>-151453.85290750401</v>
      </c>
      <c r="S20" s="236">
        <f>S18+S19</f>
        <v>-35950.924799789289</v>
      </c>
      <c r="T20" s="384">
        <f>T18+T19</f>
        <v>-40421.331731079692</v>
      </c>
      <c r="U20" s="239">
        <f t="shared" si="4"/>
        <v>-4470.406931290403</v>
      </c>
      <c r="V20" s="238">
        <f>V18+V19</f>
        <v>85564.634133147047</v>
      </c>
      <c r="W20" s="384">
        <f>W18+W19</f>
        <v>47065.736421079695</v>
      </c>
      <c r="X20" s="237">
        <f t="shared" si="5"/>
        <v>-38498.897712067352</v>
      </c>
      <c r="Y20" s="412">
        <f>Y18+Y19</f>
        <v>49613.709333357765</v>
      </c>
      <c r="Z20" s="384">
        <f>Z18+Z19</f>
        <v>6644.404690000003</v>
      </c>
      <c r="AA20" s="413">
        <f t="shared" si="6"/>
        <v>-42969.304643357762</v>
      </c>
      <c r="AB20" s="237">
        <f>AB18+AB19</f>
        <v>-13063.948806318767</v>
      </c>
      <c r="AC20" s="384">
        <f>AC18+AC19</f>
        <v>-53966.538827381148</v>
      </c>
      <c r="AD20" s="237">
        <f t="shared" si="7"/>
        <v>-40902.59002106238</v>
      </c>
      <c r="AE20" s="412">
        <f>AE18+AE19</f>
        <v>211266.78512655664</v>
      </c>
      <c r="AF20" s="384">
        <f>AF18+AF19</f>
        <v>-24058.962445367506</v>
      </c>
      <c r="AG20" s="413">
        <f t="shared" si="8"/>
        <v>-235325.74757192415</v>
      </c>
      <c r="AI20" s="6">
        <f>+'사업장별(당월)'!T32*1000</f>
        <v>211266.78512655664</v>
      </c>
      <c r="AJ20" s="6">
        <f>'사업장별(당월)'!U32*1000</f>
        <v>-24058.962445367557</v>
      </c>
    </row>
    <row r="21" spans="4:36" ht="24" customHeight="1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96</v>
      </c>
      <c r="I21" s="233">
        <f t="shared" si="0"/>
        <v>96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1"/>
        <v>0</v>
      </c>
      <c r="M21" s="232"/>
      <c r="N21" s="382"/>
      <c r="O21" s="231">
        <f t="shared" si="2"/>
        <v>0</v>
      </c>
      <c r="P21" s="408">
        <f t="shared" ref="P21:P26" si="10">+G21+J21+M21</f>
        <v>0</v>
      </c>
      <c r="Q21" s="382">
        <f t="shared" ref="Q21:Q26" si="11">+H21+K21+N21</f>
        <v>96</v>
      </c>
      <c r="R21" s="409">
        <f t="shared" si="3"/>
        <v>96</v>
      </c>
      <c r="S21" s="230">
        <f>+IFERROR(HLOOKUP($A$1,[15]손익!$G$5:$AB$252,3,),)</f>
        <v>10640.559098179559</v>
      </c>
      <c r="T21" s="382">
        <f>+'[9]부산크라샤(당월)'!$F$60</f>
        <v>9500</v>
      </c>
      <c r="U21" s="233">
        <f t="shared" si="4"/>
        <v>-1140.5590981795594</v>
      </c>
      <c r="V21" s="232">
        <f>+IFERROR(HLOOKUP($A$1,[15]손익!$G$5:$AB$252,12,),)</f>
        <v>7701.3606398820802</v>
      </c>
      <c r="W21" s="382">
        <f>+'[9]부산크라샤(당월)'!$I$60</f>
        <v>5950</v>
      </c>
      <c r="X21" s="231">
        <f t="shared" si="5"/>
        <v>-1751.3606398820802</v>
      </c>
      <c r="Y21" s="408">
        <f t="shared" ref="Y21:Z26" si="12">+S21+V21</f>
        <v>18341.919738061639</v>
      </c>
      <c r="Z21" s="382">
        <f t="shared" si="12"/>
        <v>15450</v>
      </c>
      <c r="AA21" s="409">
        <f t="shared" si="6"/>
        <v>-2891.9197380616388</v>
      </c>
      <c r="AB21" s="231">
        <f>+IFERROR(HLOOKUP($A$1,[16]이송계획!$G$193:$U$216,16,),)</f>
        <v>4367.9741359525287</v>
      </c>
      <c r="AC21" s="382">
        <f>+'[9]부산모래장(당월)'!$R$64</f>
        <v>4620</v>
      </c>
      <c r="AD21" s="231">
        <f t="shared" si="7"/>
        <v>252.02586404747126</v>
      </c>
      <c r="AE21" s="408">
        <f t="shared" ref="AE21:AF26" si="13">+P21+Y21+AB21</f>
        <v>22709.893874014168</v>
      </c>
      <c r="AF21" s="382">
        <f t="shared" si="13"/>
        <v>20166</v>
      </c>
      <c r="AG21" s="409">
        <f t="shared" si="8"/>
        <v>-2543.8938740141675</v>
      </c>
      <c r="AI21" s="595" t="b">
        <f>+AI20=AE20</f>
        <v>1</v>
      </c>
      <c r="AJ21" s="595" t="b">
        <f>+AJ20=AF20</f>
        <v>0</v>
      </c>
    </row>
    <row r="22" spans="4:36" ht="24" customHeight="1">
      <c r="D22" s="76"/>
      <c r="E22" s="166" t="s">
        <v>0</v>
      </c>
      <c r="F22" s="221" t="s">
        <v>26</v>
      </c>
      <c r="G22" s="226">
        <f>+IFERROR(HLOOKUP($A$1,[14]손익!$G$5:$AB$252,4,),)</f>
        <v>13640</v>
      </c>
      <c r="H22" s="385">
        <f>+'[9]서부산크라샤(당월)'!$F$61</f>
        <v>11600</v>
      </c>
      <c r="I22" s="229">
        <f t="shared" si="0"/>
        <v>-2040</v>
      </c>
      <c r="J22" s="228">
        <f>+IFERROR(HLOOKUP($A$1,[14]손익!$G$5:$AB$252,13,),)</f>
        <v>996.66666666666663</v>
      </c>
      <c r="K22" s="385">
        <f>+'[9]서부산크라샤(당월)'!$I$61</f>
        <v>0</v>
      </c>
      <c r="L22" s="227">
        <f t="shared" si="1"/>
        <v>-996.66666666666663</v>
      </c>
      <c r="M22" s="228"/>
      <c r="N22" s="385"/>
      <c r="O22" s="227">
        <f t="shared" si="2"/>
        <v>0</v>
      </c>
      <c r="P22" s="414">
        <f t="shared" si="10"/>
        <v>14636.666666666666</v>
      </c>
      <c r="Q22" s="385">
        <f t="shared" si="11"/>
        <v>11600</v>
      </c>
      <c r="R22" s="415">
        <f t="shared" si="3"/>
        <v>-3036.6666666666661</v>
      </c>
      <c r="S22" s="226">
        <f>+IFERROR(HLOOKUP($A$1,[15]손익!$G$5:$AB$252,4,),)</f>
        <v>0</v>
      </c>
      <c r="T22" s="385">
        <f>+'[9]부산크라샤(당월)'!$F$61</f>
        <v>896</v>
      </c>
      <c r="U22" s="229">
        <f t="shared" si="4"/>
        <v>896</v>
      </c>
      <c r="V22" s="228">
        <f>+IFERROR(HLOOKUP($A$1,[15]손익!$G$5:$AB$252,13,),)</f>
        <v>2303.2258064516132</v>
      </c>
      <c r="W22" s="385">
        <f>+'[9]부산크라샤(당월)'!$I$61</f>
        <v>4496</v>
      </c>
      <c r="X22" s="227">
        <f t="shared" si="5"/>
        <v>2192.7741935483868</v>
      </c>
      <c r="Y22" s="414">
        <f t="shared" si="12"/>
        <v>2303.2258064516132</v>
      </c>
      <c r="Z22" s="385">
        <f t="shared" si="12"/>
        <v>5392</v>
      </c>
      <c r="AA22" s="415">
        <f t="shared" si="6"/>
        <v>3088.7741935483868</v>
      </c>
      <c r="AB22" s="227">
        <f>+IFERROR(HLOOKUP($A$1,[16]이송계획!$G$193:$U$216,17,),)</f>
        <v>5223.7762237762236</v>
      </c>
      <c r="AC22" s="385">
        <f>+'[9]부산모래장(당월)'!$R$65</f>
        <v>1888</v>
      </c>
      <c r="AD22" s="227">
        <f t="shared" si="7"/>
        <v>-3335.7762237762236</v>
      </c>
      <c r="AE22" s="414">
        <f t="shared" si="13"/>
        <v>22163.6686968945</v>
      </c>
      <c r="AF22" s="385">
        <f t="shared" si="13"/>
        <v>18880</v>
      </c>
      <c r="AG22" s="415">
        <f t="shared" si="8"/>
        <v>-3283.6686968944996</v>
      </c>
      <c r="AI22" s="99">
        <f>+AE20-AI20</f>
        <v>0</v>
      </c>
      <c r="AJ22" s="99">
        <f>+AF20-AJ20</f>
        <v>5.0931703299283981E-11</v>
      </c>
    </row>
    <row r="23" spans="4:36" ht="24" customHeight="1">
      <c r="D23" s="76"/>
      <c r="E23" s="166"/>
      <c r="F23" s="221" t="s">
        <v>27</v>
      </c>
      <c r="G23" s="226">
        <f>+IFERROR(HLOOKUP($A$1,[14]손익!$G$5:$AB$252,5,),)</f>
        <v>1328</v>
      </c>
      <c r="H23" s="385">
        <f>+'[9]서부산크라샤(당월)'!$F$62</f>
        <v>1616</v>
      </c>
      <c r="I23" s="229">
        <f t="shared" si="0"/>
        <v>288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1"/>
        <v>0</v>
      </c>
      <c r="M23" s="228"/>
      <c r="N23" s="385"/>
      <c r="O23" s="227">
        <f t="shared" si="2"/>
        <v>0</v>
      </c>
      <c r="P23" s="414">
        <f t="shared" si="10"/>
        <v>1328</v>
      </c>
      <c r="Q23" s="385">
        <f t="shared" si="11"/>
        <v>1616</v>
      </c>
      <c r="R23" s="415">
        <f t="shared" si="3"/>
        <v>288</v>
      </c>
      <c r="S23" s="226">
        <f>+IFERROR(HLOOKUP($A$1,[15]손익!$G$5:$AB$252,5,),)</f>
        <v>0</v>
      </c>
      <c r="T23" s="385">
        <f>+'[9]부산크라샤(당월)'!$F$62</f>
        <v>0</v>
      </c>
      <c r="U23" s="229">
        <f t="shared" si="4"/>
        <v>0</v>
      </c>
      <c r="V23" s="228">
        <f>+IFERROR(HLOOKUP($A$1,[15]손익!$G$5:$AB$252,14,),)</f>
        <v>0</v>
      </c>
      <c r="W23" s="385">
        <f>+'[9]부산크라샤(당월)'!$I$62</f>
        <v>0</v>
      </c>
      <c r="X23" s="227">
        <f t="shared" si="5"/>
        <v>0</v>
      </c>
      <c r="Y23" s="414">
        <f t="shared" si="12"/>
        <v>0</v>
      </c>
      <c r="Z23" s="385">
        <f t="shared" si="12"/>
        <v>0</v>
      </c>
      <c r="AA23" s="415">
        <f t="shared" si="6"/>
        <v>0</v>
      </c>
      <c r="AB23" s="227">
        <f>+IFERROR(HLOOKUP($A$1,[16]이송계획!$G$193:$U$216,18,),)</f>
        <v>3188.8111888111889</v>
      </c>
      <c r="AC23" s="385">
        <f>+'[9]부산모래장(당월)'!$V$64</f>
        <v>0</v>
      </c>
      <c r="AD23" s="227">
        <f t="shared" si="7"/>
        <v>-3188.8111888111889</v>
      </c>
      <c r="AE23" s="414">
        <f t="shared" si="13"/>
        <v>4516.8111888111889</v>
      </c>
      <c r="AF23" s="385">
        <f t="shared" si="13"/>
        <v>1616</v>
      </c>
      <c r="AG23" s="415">
        <f t="shared" si="8"/>
        <v>-2900.8111888111889</v>
      </c>
    </row>
    <row r="24" spans="4:36" ht="24" customHeight="1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0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1"/>
        <v>0</v>
      </c>
      <c r="M24" s="228"/>
      <c r="N24" s="385"/>
      <c r="O24" s="227">
        <f t="shared" si="2"/>
        <v>0</v>
      </c>
      <c r="P24" s="414">
        <f t="shared" si="10"/>
        <v>0</v>
      </c>
      <c r="Q24" s="385">
        <f t="shared" si="11"/>
        <v>0</v>
      </c>
      <c r="R24" s="415">
        <f t="shared" si="3"/>
        <v>0</v>
      </c>
      <c r="S24" s="226">
        <f>+IFERROR(HLOOKUP($A$1,[15]손익!$G$5:$AB$252,6,),)</f>
        <v>0</v>
      </c>
      <c r="T24" s="385">
        <f>+'[9]부산크라샤(당월)'!$F$63</f>
        <v>0</v>
      </c>
      <c r="U24" s="229">
        <f t="shared" si="4"/>
        <v>0</v>
      </c>
      <c r="V24" s="228">
        <f>+IFERROR(HLOOKUP($A$1,[15]손익!$G$5:$AB$252,15,),)</f>
        <v>0</v>
      </c>
      <c r="W24" s="385">
        <f>+'[9]부산크라샤(당월)'!$I$63</f>
        <v>0</v>
      </c>
      <c r="X24" s="227">
        <f t="shared" si="5"/>
        <v>0</v>
      </c>
      <c r="Y24" s="414">
        <f t="shared" si="12"/>
        <v>0</v>
      </c>
      <c r="Z24" s="385">
        <f t="shared" si="12"/>
        <v>0</v>
      </c>
      <c r="AA24" s="415">
        <f t="shared" si="6"/>
        <v>0</v>
      </c>
      <c r="AB24" s="227">
        <f>+IFERROR(HLOOKUP($A$1,[16]이송계획!$G$193:$U$216,19,),)</f>
        <v>3937.3426573426573</v>
      </c>
      <c r="AC24" s="385">
        <f>+'[9]부산모래장(당월)'!$V$65</f>
        <v>0</v>
      </c>
      <c r="AD24" s="227">
        <f t="shared" si="7"/>
        <v>-3937.3426573426573</v>
      </c>
      <c r="AE24" s="414">
        <f t="shared" si="13"/>
        <v>3937.3426573426573</v>
      </c>
      <c r="AF24" s="385">
        <f t="shared" si="13"/>
        <v>0</v>
      </c>
      <c r="AG24" s="415">
        <f t="shared" si="8"/>
        <v>-3937.3426573426573</v>
      </c>
    </row>
    <row r="25" spans="4:36" ht="24" customHeight="1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0"/>
        <v>0</v>
      </c>
      <c r="J25" s="228">
        <f>+IFERROR(HLOOKUP($A$1,[14]손익!$G$5:$AB$252,16,),)</f>
        <v>475.87349333333333</v>
      </c>
      <c r="K25" s="385">
        <f>+'[9]서부산크라샤(당월)'!$I$64</f>
        <v>144</v>
      </c>
      <c r="L25" s="227">
        <f t="shared" si="1"/>
        <v>-331.87349333333333</v>
      </c>
      <c r="M25" s="228"/>
      <c r="N25" s="385"/>
      <c r="O25" s="227">
        <f t="shared" si="2"/>
        <v>0</v>
      </c>
      <c r="P25" s="414">
        <f t="shared" si="10"/>
        <v>475.87349333333333</v>
      </c>
      <c r="Q25" s="385">
        <f t="shared" si="11"/>
        <v>144</v>
      </c>
      <c r="R25" s="415">
        <f t="shared" si="3"/>
        <v>-331.87349333333333</v>
      </c>
      <c r="S25" s="226">
        <f>+IFERROR(HLOOKUP($A$1,[15]손익!$G$5:$AB$252,7,),)</f>
        <v>0</v>
      </c>
      <c r="T25" s="385">
        <f>+'[9]부산크라샤(당월)'!$F$64</f>
        <v>0</v>
      </c>
      <c r="U25" s="229">
        <f t="shared" si="4"/>
        <v>0</v>
      </c>
      <c r="V25" s="228">
        <f>+IFERROR(HLOOKUP($A$1,[15]손익!$G$5:$AB$252,16,),)</f>
        <v>0</v>
      </c>
      <c r="W25" s="385">
        <f>+'[9]부산크라샤(당월)'!$I$64</f>
        <v>0</v>
      </c>
      <c r="X25" s="227">
        <f t="shared" si="5"/>
        <v>0</v>
      </c>
      <c r="Y25" s="414">
        <f t="shared" si="12"/>
        <v>0</v>
      </c>
      <c r="Z25" s="385">
        <f t="shared" si="12"/>
        <v>0</v>
      </c>
      <c r="AA25" s="415">
        <f t="shared" si="6"/>
        <v>0</v>
      </c>
      <c r="AB25" s="227">
        <f>+IFERROR(HLOOKUP($A$1,[16]이송계획!$G$193:$U$216,20,),)</f>
        <v>1347.4755244755245</v>
      </c>
      <c r="AC25" s="385">
        <f>+'[9]부산모래장(당월)'!$R$66</f>
        <v>1120</v>
      </c>
      <c r="AD25" s="227">
        <f t="shared" si="7"/>
        <v>-227.47552447552448</v>
      </c>
      <c r="AE25" s="414">
        <f t="shared" si="13"/>
        <v>1823.3490178088578</v>
      </c>
      <c r="AF25" s="385">
        <f t="shared" si="13"/>
        <v>1264</v>
      </c>
      <c r="AG25" s="415">
        <f t="shared" si="8"/>
        <v>-559.34901780885775</v>
      </c>
    </row>
    <row r="26" spans="4:36" ht="24" customHeight="1">
      <c r="D26" s="76"/>
      <c r="E26" s="166"/>
      <c r="F26" s="221" t="s">
        <v>30</v>
      </c>
      <c r="G26" s="226">
        <f>+IFERROR(HLOOKUP($A$1,[14]손익!$G$5:$AB$252,8,),)</f>
        <v>948.6</v>
      </c>
      <c r="H26" s="385">
        <f>+'[9]서부산크라샤(당월)'!$F$65</f>
        <v>1088</v>
      </c>
      <c r="I26" s="229">
        <f t="shared" si="0"/>
        <v>139.39999999999998</v>
      </c>
      <c r="J26" s="228">
        <f>+IFERROR(HLOOKUP($A$1,[14]손익!$G$5:$AB$252,17,),)</f>
        <v>548.5333333333333</v>
      </c>
      <c r="K26" s="385">
        <f>+'[9]서부산크라샤(당월)'!$I$65</f>
        <v>0</v>
      </c>
      <c r="L26" s="227">
        <f t="shared" si="1"/>
        <v>-548.5333333333333</v>
      </c>
      <c r="M26" s="228"/>
      <c r="N26" s="385"/>
      <c r="O26" s="227">
        <f t="shared" si="2"/>
        <v>0</v>
      </c>
      <c r="P26" s="414">
        <f t="shared" si="10"/>
        <v>1497.1333333333332</v>
      </c>
      <c r="Q26" s="383">
        <f t="shared" si="11"/>
        <v>1088</v>
      </c>
      <c r="R26" s="433">
        <f t="shared" si="3"/>
        <v>-409.13333333333321</v>
      </c>
      <c r="S26" s="226">
        <f>+IFERROR(HLOOKUP($A$1,[15]손익!$G$5:$AB$252,8,),)</f>
        <v>0</v>
      </c>
      <c r="T26" s="385">
        <f>+'[9]부산크라샤(당월)'!$F$65</f>
        <v>0</v>
      </c>
      <c r="U26" s="229">
        <f t="shared" si="4"/>
        <v>0</v>
      </c>
      <c r="V26" s="228">
        <f>+IFERROR(HLOOKUP($A$1,[15]손익!$G$5:$AB$252,17,),)</f>
        <v>0</v>
      </c>
      <c r="W26" s="385">
        <f>+'[9]부산크라샤(당월)'!$I$65</f>
        <v>0</v>
      </c>
      <c r="X26" s="227">
        <f t="shared" si="5"/>
        <v>0</v>
      </c>
      <c r="Y26" s="414">
        <f t="shared" si="12"/>
        <v>0</v>
      </c>
      <c r="Z26" s="383">
        <f t="shared" si="12"/>
        <v>0</v>
      </c>
      <c r="AA26" s="433">
        <f t="shared" si="6"/>
        <v>0</v>
      </c>
      <c r="AB26" s="227">
        <f>+IFERROR(HLOOKUP($A$1,[16]이송계획!$G$193:$U$216,21,),)</f>
        <v>0</v>
      </c>
      <c r="AC26" s="385"/>
      <c r="AD26" s="227">
        <f t="shared" si="7"/>
        <v>0</v>
      </c>
      <c r="AE26" s="414">
        <f t="shared" si="13"/>
        <v>1497.1333333333332</v>
      </c>
      <c r="AF26" s="383">
        <f t="shared" si="13"/>
        <v>1088</v>
      </c>
      <c r="AG26" s="415">
        <f t="shared" si="8"/>
        <v>-409.13333333333321</v>
      </c>
    </row>
    <row r="27" spans="4:36" ht="24" customHeight="1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4">IFERROR(H35/H21,)*1000</f>
        <v>12500</v>
      </c>
      <c r="I27" s="193">
        <f t="shared" si="0"/>
        <v>12500</v>
      </c>
      <c r="J27" s="223">
        <f>+IFERROR(HLOOKUP($A$1,[14]손익!$G$5:$AB$252,40,),)</f>
        <v>0</v>
      </c>
      <c r="K27" s="386">
        <f t="shared" ref="K27:K32" si="15">IFERROR(K35/K21,)*1000</f>
        <v>0</v>
      </c>
      <c r="L27" s="205">
        <f t="shared" si="1"/>
        <v>0</v>
      </c>
      <c r="M27" s="223"/>
      <c r="N27" s="386"/>
      <c r="O27" s="205">
        <f t="shared" si="2"/>
        <v>0</v>
      </c>
      <c r="P27" s="428">
        <f>+IFERROR(HLOOKUP($A$1,[14]손익!$G$5:$AB$252,48,),)</f>
        <v>9000</v>
      </c>
      <c r="Q27" s="424">
        <f t="shared" ref="Q27:Q32" si="16">IFERROR(Q35/Q21,)*1000</f>
        <v>12500</v>
      </c>
      <c r="R27" s="434">
        <f t="shared" si="3"/>
        <v>3500</v>
      </c>
      <c r="S27" s="192">
        <f>+IFERROR(HLOOKUP($A$1,[15]손익!$G$5:$AB$252,30,),)</f>
        <v>16000</v>
      </c>
      <c r="T27" s="386">
        <f t="shared" ref="T27:T32" si="17">IFERROR(T35/T21,)*1000</f>
        <v>17500</v>
      </c>
      <c r="U27" s="193">
        <f t="shared" si="4"/>
        <v>1500</v>
      </c>
      <c r="V27" s="223">
        <f>+IFERROR(HLOOKUP($A$1,[15]손익!$G$5:$AB$252,39,),)</f>
        <v>23000</v>
      </c>
      <c r="W27" s="386">
        <f t="shared" ref="W27:W32" si="18">IFERROR(W35/W21,)*1000</f>
        <v>23500</v>
      </c>
      <c r="X27" s="205">
        <f t="shared" si="5"/>
        <v>500</v>
      </c>
      <c r="Y27" s="428">
        <f>+IFERROR(HLOOKUP($A$1,[15]손익!$G$5:$AB$252,48,),)</f>
        <v>18939.142971349174</v>
      </c>
      <c r="Z27" s="424">
        <f t="shared" ref="Z27:Z32" si="19">IFERROR(Z35/Z21,)*1000</f>
        <v>19810.679611650485</v>
      </c>
      <c r="AA27" s="434">
        <f t="shared" si="6"/>
        <v>871.5366403013104</v>
      </c>
      <c r="AB27" s="205">
        <f t="shared" ref="AB27:AC32" si="20">IFERROR(AB35/AB21,)*1000</f>
        <v>30500.000000000004</v>
      </c>
      <c r="AC27" s="386">
        <f t="shared" si="20"/>
        <v>32000</v>
      </c>
      <c r="AD27" s="205">
        <f t="shared" si="7"/>
        <v>1499.9999999999964</v>
      </c>
      <c r="AE27" s="416">
        <f t="shared" ref="AE27:AE32" si="21">+AE35/AE21*1000</f>
        <v>21162.734361548217</v>
      </c>
      <c r="AF27" s="386">
        <f t="shared" ref="AF27:AF32" si="22">IFERROR(AF35/AF21,)*1000</f>
        <v>22568.432014281461</v>
      </c>
      <c r="AG27" s="417">
        <f t="shared" si="8"/>
        <v>1405.6976527332445</v>
      </c>
    </row>
    <row r="28" spans="4:36" ht="24" customHeight="1">
      <c r="D28" s="76"/>
      <c r="E28" s="166" t="s">
        <v>131</v>
      </c>
      <c r="F28" s="221" t="s">
        <v>26</v>
      </c>
      <c r="G28" s="190">
        <f>+IFERROR(HLOOKUP($A$1,[14]손익!$G$5:$AB$252,32,),)</f>
        <v>16000</v>
      </c>
      <c r="H28" s="95">
        <f t="shared" si="14"/>
        <v>17000</v>
      </c>
      <c r="I28" s="191">
        <f t="shared" si="0"/>
        <v>1000</v>
      </c>
      <c r="J28" s="220">
        <f>+IFERROR(HLOOKUP($A$1,[14]손익!$G$5:$AB$252,41,),)</f>
        <v>22000</v>
      </c>
      <c r="K28" s="95">
        <f t="shared" si="15"/>
        <v>0</v>
      </c>
      <c r="L28" s="196">
        <f t="shared" si="1"/>
        <v>-22000</v>
      </c>
      <c r="M28" s="220"/>
      <c r="N28" s="95"/>
      <c r="O28" s="196">
        <f t="shared" si="2"/>
        <v>0</v>
      </c>
      <c r="P28" s="429">
        <f>+IFERROR(HLOOKUP($A$1,[14]손익!$G$5:$AB$252,49,),)</f>
        <v>10555.727554179568</v>
      </c>
      <c r="Q28" s="425">
        <f t="shared" si="16"/>
        <v>17000</v>
      </c>
      <c r="R28" s="435">
        <f t="shared" si="3"/>
        <v>6444.272445820432</v>
      </c>
      <c r="S28" s="190">
        <f>+IFERROR(HLOOKUP($A$1,[15]손익!$G$5:$AB$252,31,),)</f>
        <v>0</v>
      </c>
      <c r="T28" s="95">
        <f t="shared" si="17"/>
        <v>12000</v>
      </c>
      <c r="U28" s="191">
        <f t="shared" si="4"/>
        <v>12000</v>
      </c>
      <c r="V28" s="220">
        <f>+IFERROR(HLOOKUP($A$1,[15]손익!$G$5:$AB$252,40,),)</f>
        <v>19000</v>
      </c>
      <c r="W28" s="95">
        <f t="shared" si="18"/>
        <v>20000</v>
      </c>
      <c r="X28" s="196">
        <f t="shared" si="5"/>
        <v>1000</v>
      </c>
      <c r="Y28" s="429">
        <f>+IFERROR(HLOOKUP($A$1,[15]손익!$G$5:$AB$252,49,),)</f>
        <v>19000</v>
      </c>
      <c r="Z28" s="425">
        <f t="shared" si="19"/>
        <v>18670.623145400594</v>
      </c>
      <c r="AA28" s="435">
        <f t="shared" si="6"/>
        <v>-329.37685459940622</v>
      </c>
      <c r="AB28" s="196">
        <f t="shared" si="20"/>
        <v>28000</v>
      </c>
      <c r="AC28" s="95">
        <f t="shared" si="20"/>
        <v>28000</v>
      </c>
      <c r="AD28" s="196">
        <f t="shared" si="7"/>
        <v>0</v>
      </c>
      <c r="AE28" s="418">
        <f t="shared" si="21"/>
        <v>19409.85931247289</v>
      </c>
      <c r="AF28" s="95">
        <f t="shared" si="22"/>
        <v>18577.118644067796</v>
      </c>
      <c r="AG28" s="419">
        <f t="shared" si="8"/>
        <v>-832.74066840509477</v>
      </c>
    </row>
    <row r="29" spans="4:36" ht="24" customHeight="1">
      <c r="D29" s="76"/>
      <c r="E29" s="166"/>
      <c r="F29" s="221" t="s">
        <v>27</v>
      </c>
      <c r="G29" s="190">
        <f>+IFERROR(HLOOKUP($A$1,[14]손익!$G$5:$AB$252,33,),)</f>
        <v>10000</v>
      </c>
      <c r="H29" s="95">
        <f t="shared" si="14"/>
        <v>11500</v>
      </c>
      <c r="I29" s="191">
        <f t="shared" si="0"/>
        <v>1500</v>
      </c>
      <c r="J29" s="220">
        <f>+IFERROR(HLOOKUP($A$1,[14]손익!$G$5:$AB$252,42,),)</f>
        <v>0</v>
      </c>
      <c r="K29" s="95">
        <f t="shared" si="15"/>
        <v>0</v>
      </c>
      <c r="L29" s="196">
        <f t="shared" si="1"/>
        <v>0</v>
      </c>
      <c r="M29" s="220"/>
      <c r="N29" s="95"/>
      <c r="O29" s="196">
        <f t="shared" si="2"/>
        <v>0</v>
      </c>
      <c r="P29" s="430">
        <f>+IFERROR(HLOOKUP($A$1,[14]손익!$G$5:$AB$252,50,),)</f>
        <v>0</v>
      </c>
      <c r="Q29" s="426">
        <f t="shared" si="16"/>
        <v>11500</v>
      </c>
      <c r="R29" s="435">
        <f t="shared" si="3"/>
        <v>11500</v>
      </c>
      <c r="S29" s="190">
        <f>+IFERROR(HLOOKUP($A$1,[15]손익!$G$5:$AB$252,32,),)</f>
        <v>0</v>
      </c>
      <c r="T29" s="95">
        <f t="shared" si="17"/>
        <v>0</v>
      </c>
      <c r="U29" s="191">
        <f t="shared" si="4"/>
        <v>0</v>
      </c>
      <c r="V29" s="220">
        <f>+IFERROR(HLOOKUP($A$1,[15]손익!$G$5:$AB$252,41,),)</f>
        <v>0</v>
      </c>
      <c r="W29" s="95">
        <f t="shared" si="18"/>
        <v>0</v>
      </c>
      <c r="X29" s="196">
        <f t="shared" si="5"/>
        <v>0</v>
      </c>
      <c r="Y29" s="430">
        <f>+IFERROR(HLOOKUP($A$1,[15]손익!$G$5:$AB$252,50,),)</f>
        <v>0</v>
      </c>
      <c r="Z29" s="426">
        <f t="shared" si="19"/>
        <v>0</v>
      </c>
      <c r="AA29" s="435">
        <f t="shared" si="6"/>
        <v>0</v>
      </c>
      <c r="AB29" s="196">
        <f t="shared" si="20"/>
        <v>27500.000000000004</v>
      </c>
      <c r="AC29" s="95">
        <f t="shared" si="20"/>
        <v>0</v>
      </c>
      <c r="AD29" s="196">
        <f t="shared" si="7"/>
        <v>-27500.000000000004</v>
      </c>
      <c r="AE29" s="418">
        <f t="shared" si="21"/>
        <v>22354.777180509798</v>
      </c>
      <c r="AF29" s="95">
        <f t="shared" si="22"/>
        <v>30559.405940594057</v>
      </c>
      <c r="AG29" s="419">
        <f t="shared" si="8"/>
        <v>8204.6287600842588</v>
      </c>
    </row>
    <row r="30" spans="4:36" ht="24" customHeight="1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4"/>
        <v>0</v>
      </c>
      <c r="I30" s="191">
        <f t="shared" si="0"/>
        <v>0</v>
      </c>
      <c r="J30" s="220">
        <f>+IFERROR(HLOOKUP($A$1,[14]손익!$G$5:$AB$252,43,),)</f>
        <v>0</v>
      </c>
      <c r="K30" s="95">
        <f t="shared" si="15"/>
        <v>0</v>
      </c>
      <c r="L30" s="196">
        <f t="shared" si="1"/>
        <v>0</v>
      </c>
      <c r="M30" s="220"/>
      <c r="N30" s="95"/>
      <c r="O30" s="196">
        <f t="shared" si="2"/>
        <v>0</v>
      </c>
      <c r="P30" s="430">
        <f>+IFERROR(HLOOKUP($A$1,[14]손익!$G$5:$AB$252,51,),)</f>
        <v>16408.562969710772</v>
      </c>
      <c r="Q30" s="55">
        <f t="shared" si="16"/>
        <v>0</v>
      </c>
      <c r="R30" s="436">
        <f t="shared" si="3"/>
        <v>-16408.562969710772</v>
      </c>
      <c r="S30" s="190">
        <f>+IFERROR(HLOOKUP($A$1,[15]손익!$G$5:$AB$252,33,),)</f>
        <v>0</v>
      </c>
      <c r="T30" s="95">
        <f t="shared" si="17"/>
        <v>0</v>
      </c>
      <c r="U30" s="191">
        <f t="shared" si="4"/>
        <v>0</v>
      </c>
      <c r="V30" s="220">
        <f>+IFERROR(HLOOKUP($A$1,[15]손익!$G$5:$AB$252,42,),)</f>
        <v>0</v>
      </c>
      <c r="W30" s="95">
        <f t="shared" si="18"/>
        <v>0</v>
      </c>
      <c r="X30" s="196">
        <f t="shared" si="5"/>
        <v>0</v>
      </c>
      <c r="Y30" s="430">
        <f>+IFERROR(HLOOKUP($A$1,[15]손익!$G$5:$AB$252,51,),)</f>
        <v>0</v>
      </c>
      <c r="Z30" s="55">
        <f t="shared" si="19"/>
        <v>0</v>
      </c>
      <c r="AA30" s="436">
        <f t="shared" si="6"/>
        <v>0</v>
      </c>
      <c r="AB30" s="196">
        <f t="shared" si="20"/>
        <v>27500</v>
      </c>
      <c r="AC30" s="95">
        <f t="shared" si="20"/>
        <v>0</v>
      </c>
      <c r="AD30" s="196">
        <f t="shared" si="7"/>
        <v>-27500</v>
      </c>
      <c r="AE30" s="418">
        <f t="shared" si="21"/>
        <v>27500</v>
      </c>
      <c r="AF30" s="95">
        <f t="shared" si="22"/>
        <v>0</v>
      </c>
      <c r="AG30" s="419">
        <f t="shared" si="8"/>
        <v>-27500</v>
      </c>
    </row>
    <row r="31" spans="4:36" ht="24" customHeight="1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4"/>
        <v>0</v>
      </c>
      <c r="I31" s="191">
        <f t="shared" si="0"/>
        <v>0</v>
      </c>
      <c r="J31" s="220">
        <f>+IFERROR(HLOOKUP($A$1,[14]손익!$G$5:$AB$252,44,),)</f>
        <v>15000</v>
      </c>
      <c r="K31" s="95">
        <f t="shared" si="15"/>
        <v>9000</v>
      </c>
      <c r="L31" s="196">
        <f t="shared" si="1"/>
        <v>-6000</v>
      </c>
      <c r="M31" s="220"/>
      <c r="N31" s="95"/>
      <c r="O31" s="196">
        <f t="shared" si="2"/>
        <v>0</v>
      </c>
      <c r="P31" s="430">
        <f>+IFERROR(HLOOKUP($A$1,[14]손익!$G$5:$AB$252,52,),)</f>
        <v>10000</v>
      </c>
      <c r="Q31" s="55">
        <f t="shared" si="16"/>
        <v>9000</v>
      </c>
      <c r="R31" s="436">
        <f t="shared" si="3"/>
        <v>-1000</v>
      </c>
      <c r="S31" s="190">
        <f>+IFERROR(HLOOKUP($A$1,[15]손익!$G$5:$AB$252,34,),)</f>
        <v>0</v>
      </c>
      <c r="T31" s="95">
        <f t="shared" si="17"/>
        <v>0</v>
      </c>
      <c r="U31" s="191">
        <f t="shared" si="4"/>
        <v>0</v>
      </c>
      <c r="V31" s="220">
        <f>+IFERROR(HLOOKUP($A$1,[15]손익!$G$5:$AB$252,43,),)</f>
        <v>0</v>
      </c>
      <c r="W31" s="95">
        <f t="shared" si="18"/>
        <v>0</v>
      </c>
      <c r="X31" s="196">
        <f t="shared" si="5"/>
        <v>0</v>
      </c>
      <c r="Y31" s="430">
        <f>+IFERROR(HLOOKUP($A$1,[15]손익!$G$5:$AB$252,52,),)</f>
        <v>0</v>
      </c>
      <c r="Z31" s="55">
        <f t="shared" si="19"/>
        <v>0</v>
      </c>
      <c r="AA31" s="436">
        <f t="shared" si="6"/>
        <v>0</v>
      </c>
      <c r="AB31" s="196">
        <f t="shared" si="20"/>
        <v>27500</v>
      </c>
      <c r="AC31" s="95">
        <f t="shared" si="20"/>
        <v>0</v>
      </c>
      <c r="AD31" s="196">
        <f t="shared" si="7"/>
        <v>-27500</v>
      </c>
      <c r="AE31" s="418">
        <f t="shared" si="21"/>
        <v>24237.641225806041</v>
      </c>
      <c r="AF31" s="95">
        <f t="shared" si="22"/>
        <v>1025.3164556962024</v>
      </c>
      <c r="AG31" s="419">
        <f t="shared" si="8"/>
        <v>-23212.324770109837</v>
      </c>
    </row>
    <row r="32" spans="4:36" ht="24" customHeight="1" thickBot="1">
      <c r="D32" s="76"/>
      <c r="E32" s="218"/>
      <c r="F32" s="217" t="s">
        <v>30</v>
      </c>
      <c r="G32" s="213">
        <f>+IFERROR(HLOOKUP($A$1,[14]손익!$G$5:$AB$252,36,),)</f>
        <v>10000</v>
      </c>
      <c r="H32" s="387">
        <f t="shared" si="14"/>
        <v>11500</v>
      </c>
      <c r="I32" s="216">
        <f t="shared" si="0"/>
        <v>1500</v>
      </c>
      <c r="J32" s="215">
        <f>+IFERROR(HLOOKUP($A$1,[14]손익!$G$5:$AB$252,45,),)</f>
        <v>15000</v>
      </c>
      <c r="K32" s="387">
        <f t="shared" si="15"/>
        <v>0</v>
      </c>
      <c r="L32" s="214">
        <f t="shared" si="1"/>
        <v>-15000</v>
      </c>
      <c r="M32" s="215"/>
      <c r="N32" s="387"/>
      <c r="O32" s="214">
        <f t="shared" si="2"/>
        <v>0</v>
      </c>
      <c r="P32" s="431">
        <f>+IFERROR(HLOOKUP($A$1,[14]손익!$G$5:$AB$252,53,),)</f>
        <v>0</v>
      </c>
      <c r="Q32" s="427">
        <f t="shared" si="16"/>
        <v>11500</v>
      </c>
      <c r="R32" s="437">
        <f t="shared" si="3"/>
        <v>11500</v>
      </c>
      <c r="S32" s="213">
        <f>+IFERROR(HLOOKUP($A$1,[15]손익!$G$5:$AB$252,35,),)</f>
        <v>0</v>
      </c>
      <c r="T32" s="387">
        <f t="shared" si="17"/>
        <v>0</v>
      </c>
      <c r="U32" s="216">
        <f t="shared" si="4"/>
        <v>0</v>
      </c>
      <c r="V32" s="215">
        <f>+IFERROR(HLOOKUP($A$1,[15]손익!$G$5:$AB$252,44,),)</f>
        <v>0</v>
      </c>
      <c r="W32" s="387">
        <f t="shared" si="18"/>
        <v>0</v>
      </c>
      <c r="X32" s="214">
        <f t="shared" si="5"/>
        <v>0</v>
      </c>
      <c r="Y32" s="431">
        <f>+IFERROR(HLOOKUP($A$1,[15]손익!$G$5:$AB$252,53,),)</f>
        <v>0</v>
      </c>
      <c r="Z32" s="427">
        <f t="shared" si="19"/>
        <v>0</v>
      </c>
      <c r="AA32" s="437">
        <f t="shared" si="6"/>
        <v>0</v>
      </c>
      <c r="AB32" s="214">
        <f t="shared" si="20"/>
        <v>0</v>
      </c>
      <c r="AC32" s="387">
        <f t="shared" si="20"/>
        <v>0</v>
      </c>
      <c r="AD32" s="214">
        <f t="shared" si="7"/>
        <v>0</v>
      </c>
      <c r="AE32" s="420">
        <f t="shared" si="21"/>
        <v>11831.945495836488</v>
      </c>
      <c r="AF32" s="421">
        <f t="shared" si="22"/>
        <v>11500</v>
      </c>
      <c r="AG32" s="422">
        <f t="shared" si="8"/>
        <v>-331.94549583648768</v>
      </c>
    </row>
    <row r="33" spans="5:33" ht="21.95" customHeight="1" thickTop="1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B33" s="76"/>
      <c r="AE33" s="76"/>
    </row>
    <row r="34" spans="5:33" ht="21.95" customHeight="1">
      <c r="J34" s="76"/>
      <c r="M34" s="76"/>
      <c r="V34" s="76"/>
      <c r="AB34" s="76"/>
      <c r="AC34" s="6" t="s">
        <v>164</v>
      </c>
      <c r="AE34" s="76"/>
    </row>
    <row r="35" spans="5:33" ht="21.95" customHeight="1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1200</v>
      </c>
      <c r="I35" s="6">
        <f t="shared" ref="I35:I41" si="23">+H35-G35</f>
        <v>1200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1200</v>
      </c>
      <c r="R35" s="6">
        <f t="shared" ref="R35:R41" si="24">+Q35-P35</f>
        <v>1200</v>
      </c>
      <c r="S35" s="6">
        <f>+IFERROR(HLOOKUP($A$1,[15]손익!$G$5:$AB$252,57,),)</f>
        <v>170248.94557087295</v>
      </c>
      <c r="T35" s="6">
        <f>+IFERROR(VLOOKUP($F35,'[17]부산크라샤(손익)'!$L$16:$R$29,3,),)/1000</f>
        <v>166250</v>
      </c>
      <c r="U35" s="6">
        <f t="shared" ref="U35:U41" si="25">+T35-S35</f>
        <v>-3998.9455708729511</v>
      </c>
      <c r="V35" s="76">
        <f>+IFERROR(HLOOKUP($A$1,[15]손익!$G$5:$AB$252,66,),)</f>
        <v>177131.29471728785</v>
      </c>
      <c r="W35" s="6">
        <f>+IFERROR(VLOOKUP($F35,'[17]부산크라샤(손익)'!$L$16:$R$29,4,),)/1000</f>
        <v>139825</v>
      </c>
      <c r="X35" s="6">
        <f>+W35-V35</f>
        <v>-37306.294717287848</v>
      </c>
      <c r="Y35" s="6">
        <f>SUM(S35,V35)</f>
        <v>347380.2402881608</v>
      </c>
      <c r="Z35" s="6">
        <f t="shared" ref="Z35:Z41" si="26">SUM(T35,W35)</f>
        <v>306075</v>
      </c>
      <c r="AA35" s="6">
        <f t="shared" ref="AA35:AA41" si="27">+Z35-Y35</f>
        <v>-41305.2402881608</v>
      </c>
      <c r="AB35" s="438">
        <f>+IFERROR(HLOOKUP($A$1,[16]이송계획!$G$70:$W$100,16,),)+IFERROR(HLOOKUP($A$1,[16]이송계획!$G$70:$W$100,23,),)</f>
        <v>133223.21114655214</v>
      </c>
      <c r="AC35" s="6">
        <f>+'[9]부산모래장(당월)'!R76</f>
        <v>147840</v>
      </c>
      <c r="AE35" s="76">
        <f t="shared" ref="AE35:AF41" si="28">+P35+Y35+AB35</f>
        <v>480603.45143471297</v>
      </c>
      <c r="AF35" s="76">
        <f t="shared" si="28"/>
        <v>455115</v>
      </c>
      <c r="AG35" s="6">
        <f t="shared" ref="AG35:AG41" si="29">+AF35-AE35</f>
        <v>-25488.451434712973</v>
      </c>
    </row>
    <row r="36" spans="5:33" ht="21.95" customHeight="1">
      <c r="E36" s="26" t="s">
        <v>77</v>
      </c>
      <c r="F36" s="432" t="s">
        <v>26</v>
      </c>
      <c r="G36" s="6">
        <f>+IFERROR(HLOOKUP($A$1,[14]손익!$G$5:$AB$252,60,),)</f>
        <v>218240</v>
      </c>
      <c r="H36" s="6">
        <f>+IFERROR(VLOOKUP($F36,'[17]서부산(손익)'!$L$16:$R$29,4,),)/1000</f>
        <v>197200</v>
      </c>
      <c r="I36" s="6">
        <f t="shared" si="23"/>
        <v>-21040</v>
      </c>
      <c r="J36" s="76">
        <f>+IFERROR(HLOOKUP($A$1,[14]손익!$G$5:$AB$252,69,),)</f>
        <v>21926.666666666664</v>
      </c>
      <c r="K36" s="6">
        <f>+IFERROR(VLOOKUP($F36,'[17]서부산(손익)'!$L$16:$R$29,3,),)/1000</f>
        <v>0</v>
      </c>
      <c r="L36" s="6">
        <f t="shared" ref="L36:L41" si="30">+K36-J36</f>
        <v>-21926.666666666664</v>
      </c>
      <c r="M36" s="76"/>
      <c r="O36" s="6">
        <f t="shared" ref="O36:O41" si="31">+N36-M36</f>
        <v>0</v>
      </c>
      <c r="P36" s="6">
        <f t="shared" ref="P36:P41" si="32">SUM(G36,J36,M36)</f>
        <v>240166.66666666666</v>
      </c>
      <c r="Q36" s="6">
        <f t="shared" ref="Q36:Q41" si="33">SUM(H36,K36,N36)</f>
        <v>197200</v>
      </c>
      <c r="R36" s="6">
        <f t="shared" si="24"/>
        <v>-42966.666666666657</v>
      </c>
      <c r="S36" s="6">
        <f>+IFERROR(HLOOKUP($A$1,[15]손익!$G$5:$AB$252,58,),)</f>
        <v>0</v>
      </c>
      <c r="T36" s="6">
        <f>+IFERROR(VLOOKUP($F36,'[17]부산크라샤(손익)'!$L$16:$R$29,3,),)/1000</f>
        <v>10752</v>
      </c>
      <c r="U36" s="6">
        <f t="shared" si="25"/>
        <v>10752</v>
      </c>
      <c r="V36" s="76">
        <f>+IFERROR(HLOOKUP($A$1,[15]손익!$G$5:$AB$252,67,),)</f>
        <v>43761.290322580651</v>
      </c>
      <c r="W36" s="6">
        <f>+IFERROR(VLOOKUP($F36,'[17]부산크라샤(손익)'!$L$16:$R$29,4,),)/1000</f>
        <v>89920</v>
      </c>
      <c r="X36" s="6">
        <f t="shared" ref="X36:X41" si="34">+W36-V36</f>
        <v>46158.709677419349</v>
      </c>
      <c r="Y36" s="6">
        <f t="shared" ref="Y36:Y41" si="35">SUM(S36,V36)</f>
        <v>43761.290322580651</v>
      </c>
      <c r="Z36" s="6">
        <f t="shared" si="26"/>
        <v>100672</v>
      </c>
      <c r="AA36" s="6">
        <f>+Z36-Y36</f>
        <v>56910.709677419349</v>
      </c>
      <c r="AB36" s="438">
        <f>+IFERROR(HLOOKUP($A$1,[16]이송계획!$G$70:$W$100,17,),)+IFERROR(HLOOKUP($A$1,[16]이송계획!$G$70:$W$100,24,),)</f>
        <v>146265.73426573427</v>
      </c>
      <c r="AC36" s="6">
        <f>+'[9]부산모래장(당월)'!R77</f>
        <v>52864</v>
      </c>
      <c r="AE36" s="6">
        <f t="shared" si="28"/>
        <v>430193.69125498156</v>
      </c>
      <c r="AF36" s="6">
        <f t="shared" si="28"/>
        <v>350736</v>
      </c>
      <c r="AG36" s="6">
        <f t="shared" si="29"/>
        <v>-79457.691254981561</v>
      </c>
    </row>
    <row r="37" spans="5:33" ht="21.95" customHeight="1">
      <c r="F37" s="432" t="s">
        <v>27</v>
      </c>
      <c r="G37" s="6">
        <f>+IFERROR(HLOOKUP($A$1,[14]손익!$G$5:$AB$252,61,),)</f>
        <v>13280</v>
      </c>
      <c r="H37" s="6">
        <f>+IFERROR(VLOOKUP($F37,'[17]서부산(손익)'!$L$16:$R$29,4,),)/1000</f>
        <v>18584</v>
      </c>
      <c r="I37" s="6">
        <f t="shared" si="23"/>
        <v>5304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0"/>
        <v>0</v>
      </c>
      <c r="M37" s="76"/>
      <c r="O37" s="6">
        <f t="shared" si="31"/>
        <v>0</v>
      </c>
      <c r="P37" s="6">
        <f t="shared" si="32"/>
        <v>13280</v>
      </c>
      <c r="Q37" s="6">
        <f t="shared" si="33"/>
        <v>18584</v>
      </c>
      <c r="R37" s="6">
        <f t="shared" si="24"/>
        <v>5304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25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34"/>
        <v>0</v>
      </c>
      <c r="Y37" s="6">
        <f t="shared" si="35"/>
        <v>0</v>
      </c>
      <c r="Z37" s="6">
        <f t="shared" si="26"/>
        <v>0</v>
      </c>
      <c r="AA37" s="6">
        <f t="shared" si="27"/>
        <v>0</v>
      </c>
      <c r="AB37" s="438">
        <f>+IFERROR(HLOOKUP($A$1,[16]이송계획!$G$70:$W$100,18,),)+IFERROR(HLOOKUP($A$1,[16]이송계획!$G$70:$W$100,25,),)</f>
        <v>87692.307692307702</v>
      </c>
      <c r="AC37" s="6">
        <f>+'[9]부산모래장(당월)'!R78</f>
        <v>30800</v>
      </c>
      <c r="AE37" s="6">
        <f t="shared" si="28"/>
        <v>100972.3076923077</v>
      </c>
      <c r="AF37" s="6">
        <f t="shared" si="28"/>
        <v>49384</v>
      </c>
      <c r="AG37" s="6">
        <f t="shared" si="29"/>
        <v>-51588.307692307702</v>
      </c>
    </row>
    <row r="38" spans="5:33" ht="21.95" customHeight="1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3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0"/>
        <v>0</v>
      </c>
      <c r="M38" s="76"/>
      <c r="O38" s="6">
        <f t="shared" si="31"/>
        <v>0</v>
      </c>
      <c r="P38" s="6">
        <f t="shared" si="32"/>
        <v>0</v>
      </c>
      <c r="Q38" s="6">
        <f t="shared" si="33"/>
        <v>0</v>
      </c>
      <c r="R38" s="6">
        <f t="shared" si="24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25"/>
        <v>0</v>
      </c>
      <c r="V38" s="76">
        <f>+IFERROR(HLOOKUP($A$1,[15]손익!$G$5:$AB$252,69,),)</f>
        <v>0</v>
      </c>
      <c r="W38" s="6">
        <f>+IFERROR(VLOOKUP($F38,'[17]부산크라샤(손익)'!$L$16:$R$29,4,),)/1000</f>
        <v>0</v>
      </c>
      <c r="X38" s="6">
        <f t="shared" si="34"/>
        <v>0</v>
      </c>
      <c r="Y38" s="6">
        <f t="shared" si="35"/>
        <v>0</v>
      </c>
      <c r="Z38" s="6">
        <f t="shared" si="26"/>
        <v>0</v>
      </c>
      <c r="AA38" s="6">
        <f t="shared" si="27"/>
        <v>0</v>
      </c>
      <c r="AB38" s="438">
        <f>+IFERROR(HLOOKUP($A$1,[16]이송계획!$G$70:$W$100,19,),)+IFERROR(HLOOKUP($A$1,[16]이송계획!$G$70:$W$100,26,),)</f>
        <v>108276.92307692308</v>
      </c>
      <c r="AC38" s="6">
        <f>+'[9]부산모래장(당월)'!R79</f>
        <v>110000</v>
      </c>
      <c r="AE38" s="6">
        <f t="shared" si="28"/>
        <v>108276.92307692308</v>
      </c>
      <c r="AF38" s="6">
        <f t="shared" si="28"/>
        <v>110000</v>
      </c>
      <c r="AG38" s="6">
        <f t="shared" si="29"/>
        <v>1723.076923076922</v>
      </c>
    </row>
    <row r="39" spans="5:33" ht="21.95" customHeight="1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3"/>
        <v>0</v>
      </c>
      <c r="J39" s="76">
        <f>+IFERROR(HLOOKUP($A$1,[14]손익!$G$5:$AB$252,72,),)</f>
        <v>7138.1024000000007</v>
      </c>
      <c r="K39" s="6">
        <f>+IFERROR(VLOOKUP($F39,'[17]서부산(손익)'!$L$16:$R$29,3,),)/1000</f>
        <v>1296</v>
      </c>
      <c r="L39" s="6">
        <f t="shared" si="30"/>
        <v>-5842.1024000000007</v>
      </c>
      <c r="M39" s="76"/>
      <c r="O39" s="6">
        <f t="shared" si="31"/>
        <v>0</v>
      </c>
      <c r="P39" s="6">
        <f t="shared" si="32"/>
        <v>7138.1024000000007</v>
      </c>
      <c r="Q39" s="6">
        <f t="shared" si="33"/>
        <v>1296</v>
      </c>
      <c r="R39" s="6">
        <f t="shared" si="24"/>
        <v>-5842.1024000000007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25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34"/>
        <v>0</v>
      </c>
      <c r="Y39" s="6">
        <f t="shared" si="35"/>
        <v>0</v>
      </c>
      <c r="Z39" s="6">
        <f t="shared" si="26"/>
        <v>0</v>
      </c>
      <c r="AA39" s="6">
        <f t="shared" si="27"/>
        <v>0</v>
      </c>
      <c r="AB39" s="438">
        <f>+IFERROR(HLOOKUP($A$1,[16]이송계획!$G$70:$W$100,20,),)+IFERROR(HLOOKUP($A$1,[16]이송계획!$G$70:$W$100,27,),)</f>
        <v>37055.576923076922</v>
      </c>
      <c r="AC39" s="6">
        <f>+'[9]부산모래장(당월)'!R80</f>
        <v>0</v>
      </c>
      <c r="AE39" s="6">
        <f t="shared" si="28"/>
        <v>44193.679323076925</v>
      </c>
      <c r="AF39" s="6">
        <f t="shared" si="28"/>
        <v>1296</v>
      </c>
      <c r="AG39" s="6">
        <f t="shared" si="29"/>
        <v>-42897.679323076925</v>
      </c>
    </row>
    <row r="40" spans="5:33" ht="21.95" customHeight="1">
      <c r="F40" s="432" t="s">
        <v>30</v>
      </c>
      <c r="G40" s="6">
        <f>+IFERROR(HLOOKUP($A$1,[14]손익!$G$5:$AB$252,64,),)</f>
        <v>9486</v>
      </c>
      <c r="H40" s="6">
        <f>+IFERROR(VLOOKUP($F40,'[17]서부산(손익)'!$L$16:$R$29,4,),)/1000</f>
        <v>12512</v>
      </c>
      <c r="I40" s="6">
        <f t="shared" si="23"/>
        <v>3026</v>
      </c>
      <c r="J40" s="76">
        <f>+IFERROR(HLOOKUP($A$1,[14]손익!$G$5:$AB$252,73,),)</f>
        <v>8228</v>
      </c>
      <c r="K40" s="6">
        <f>+IFERROR(VLOOKUP($F40,'[17]서부산(손익)'!$L$16:$R$29,3,),)/1000</f>
        <v>0</v>
      </c>
      <c r="L40" s="6">
        <f t="shared" si="30"/>
        <v>-8228</v>
      </c>
      <c r="M40" s="76"/>
      <c r="O40" s="6">
        <f t="shared" si="31"/>
        <v>0</v>
      </c>
      <c r="P40" s="6">
        <f t="shared" si="32"/>
        <v>17714</v>
      </c>
      <c r="Q40" s="6">
        <f t="shared" si="33"/>
        <v>12512</v>
      </c>
      <c r="R40" s="6">
        <f t="shared" si="24"/>
        <v>-5202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25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34"/>
        <v>0</v>
      </c>
      <c r="Y40" s="6">
        <f t="shared" si="35"/>
        <v>0</v>
      </c>
      <c r="Z40" s="6">
        <f t="shared" si="26"/>
        <v>0</v>
      </c>
      <c r="AA40" s="6">
        <f t="shared" si="27"/>
        <v>0</v>
      </c>
      <c r="AB40" s="438">
        <f>+IFERROR(HLOOKUP($A$1,[16]이송계획!$G$70:$W$100,21,),)+IFERROR(HLOOKUP($A$1,[16]이송계획!$G$70:$W$100,28,),)</f>
        <v>0</v>
      </c>
      <c r="AE40" s="6">
        <f t="shared" si="28"/>
        <v>17714</v>
      </c>
      <c r="AF40" s="6">
        <f t="shared" si="28"/>
        <v>12512</v>
      </c>
      <c r="AG40" s="6">
        <f t="shared" si="29"/>
        <v>-5202</v>
      </c>
    </row>
    <row r="41" spans="5:33" ht="21.95" customHeight="1">
      <c r="F41" s="432" t="s">
        <v>8</v>
      </c>
      <c r="G41" s="6">
        <f>SUM(G35:G40)</f>
        <v>241006</v>
      </c>
      <c r="H41" s="6">
        <f>SUM(H35:H40)</f>
        <v>229496</v>
      </c>
      <c r="I41" s="6">
        <f t="shared" si="23"/>
        <v>-11510</v>
      </c>
      <c r="J41" s="76">
        <f>SUM(J35:J40)</f>
        <v>37292.76906666666</v>
      </c>
      <c r="K41" s="76">
        <f>SUM(K35:K40)</f>
        <v>1296</v>
      </c>
      <c r="L41" s="6">
        <f t="shared" si="30"/>
        <v>-35996.76906666666</v>
      </c>
      <c r="M41" s="76"/>
      <c r="N41" s="76"/>
      <c r="O41" s="6">
        <f t="shared" si="31"/>
        <v>0</v>
      </c>
      <c r="P41" s="6">
        <f t="shared" si="32"/>
        <v>278298.76906666666</v>
      </c>
      <c r="Q41" s="6">
        <f t="shared" si="33"/>
        <v>230792</v>
      </c>
      <c r="R41" s="6">
        <f t="shared" si="24"/>
        <v>-47506.76906666666</v>
      </c>
      <c r="S41" s="6">
        <f>SUM(S35:S40)</f>
        <v>170248.94557087295</v>
      </c>
      <c r="T41" s="6">
        <f>SUM(T35:T40)</f>
        <v>177002</v>
      </c>
      <c r="U41" s="6">
        <f t="shared" si="25"/>
        <v>6753.0544291270489</v>
      </c>
      <c r="V41" s="76">
        <f>SUM(V35:V40)</f>
        <v>220892.58503986849</v>
      </c>
      <c r="W41" s="76">
        <f>SUM(W35:W40)</f>
        <v>229745</v>
      </c>
      <c r="X41" s="6">
        <f t="shared" si="34"/>
        <v>8852.4149601315148</v>
      </c>
      <c r="Y41" s="6">
        <f t="shared" si="35"/>
        <v>391141.53061074147</v>
      </c>
      <c r="Z41" s="6">
        <f t="shared" si="26"/>
        <v>406747</v>
      </c>
      <c r="AA41" s="6">
        <f t="shared" si="27"/>
        <v>15605.469389258535</v>
      </c>
      <c r="AB41" s="6">
        <f>SUM(AB35:AB40)</f>
        <v>512513.75310459413</v>
      </c>
      <c r="AC41" s="6">
        <f>SUM(AC35:AC40)</f>
        <v>341504</v>
      </c>
      <c r="AE41" s="6">
        <f t="shared" si="28"/>
        <v>1181954.0527820021</v>
      </c>
      <c r="AF41" s="6">
        <f t="shared" si="28"/>
        <v>979043</v>
      </c>
      <c r="AG41" s="6">
        <f t="shared" si="29"/>
        <v>-202911.05278200214</v>
      </c>
    </row>
    <row r="42" spans="5:33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</row>
    <row r="43" spans="5:33" ht="21.95" customHeight="1"/>
    <row r="44" spans="5:33" ht="21.95" customHeight="1"/>
    <row r="45" spans="5:33" ht="21.95" customHeight="1"/>
    <row r="46" spans="5:33" ht="21.95" customHeight="1"/>
    <row r="47" spans="5:33" ht="21.95" customHeight="1"/>
    <row r="48" spans="5:33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J53"/>
  <sheetViews>
    <sheetView showGridLines="0" showZeros="0" view="pageBreakPreview" zoomScale="60" zoomScaleNormal="85" workbookViewId="0">
      <pane xSplit="6" ySplit="7" topLeftCell="G8" activePane="bottomRight" state="frozen"/>
      <selection activeCell="K27" sqref="K27"/>
      <selection pane="topRight" activeCell="K27" sqref="K27"/>
      <selection pane="bottomLeft" activeCell="K27" sqref="K27"/>
      <selection pane="bottomRight" activeCell="G8" sqref="G8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3" width="10.625" style="6" customWidth="1"/>
    <col min="34" max="34" width="9" style="6"/>
    <col min="35" max="36" width="14.25" style="6" customWidth="1"/>
    <col min="37" max="16384" width="9" style="6"/>
  </cols>
  <sheetData>
    <row r="1" spans="1:36" ht="22.5" customHeight="1">
      <c r="A1" s="423" t="s">
        <v>182</v>
      </c>
    </row>
    <row r="2" spans="1:36" ht="9.75" customHeight="1"/>
    <row r="3" spans="1:36" ht="9.9499999999999993" customHeight="1"/>
    <row r="4" spans="1:36" ht="31.5">
      <c r="D4" s="184" t="s">
        <v>230</v>
      </c>
      <c r="F4" s="184"/>
      <c r="I4" s="184"/>
      <c r="P4" s="6">
        <f>+'골재사업소(당월)'!P12+'[4]골재사업소(누계)'!P12</f>
        <v>124973.30272000001</v>
      </c>
      <c r="Q4" s="6">
        <f>+'골재사업소(당월)'!Q12+'[4]골재사업소(누계)'!Q12</f>
        <v>151232</v>
      </c>
      <c r="S4" s="6">
        <f>+'골재사업소(당월)'!S12+'[4]골재사업소(누계)'!S12</f>
        <v>97301.002944865031</v>
      </c>
      <c r="T4" s="6">
        <f>+'골재사업소(당월)'!T12+'[4]골재사업소(누계)'!T12</f>
        <v>103414</v>
      </c>
      <c r="V4" s="6">
        <f>+'골재사업소(당월)'!V12+'[4]골재사업소(누계)'!V12</f>
        <v>147085.22040867171</v>
      </c>
      <c r="W4" s="6">
        <f>+'골재사업소(당월)'!W12+'[4]골재사업소(누계)'!W12</f>
        <v>110965</v>
      </c>
      <c r="Y4" s="6">
        <f>+'골재사업소(당월)'!Y12+'[4]골재사업소(누계)'!Y12</f>
        <v>244386.22335353671</v>
      </c>
      <c r="Z4" s="6">
        <f>+'골재사업소(당월)'!Z12+'[4]골재사업소(누계)'!Z12</f>
        <v>214379</v>
      </c>
      <c r="AB4" s="6">
        <f>+'골재사업소(당월)'!AB12+'[4]골재사업소(누계)'!AB12</f>
        <v>130312.44781683998</v>
      </c>
      <c r="AC4" s="6">
        <f>+'골재사업소(당월)'!AC12+'[4]골재사업소(누계)'!AC12</f>
        <v>131088</v>
      </c>
      <c r="AE4" s="6">
        <f>+'골재사업소(당월)'!AE12+'[4]골재사업소(누계)'!AE12</f>
        <v>499671.97389037668</v>
      </c>
      <c r="AF4" s="6">
        <f>+'골재사업소(당월)'!AF12+'[4]골재사업소(누계)'!AF12</f>
        <v>496699</v>
      </c>
    </row>
    <row r="5" spans="1:36" ht="21.95" customHeight="1" thickBot="1">
      <c r="J5" s="76"/>
      <c r="AB5" s="76"/>
      <c r="AE5" s="76"/>
      <c r="AG5" s="186" t="s">
        <v>167</v>
      </c>
    </row>
    <row r="6" spans="1:36" ht="24" customHeight="1" thickTop="1">
      <c r="D6" s="296" t="s">
        <v>15</v>
      </c>
      <c r="E6" s="846" t="s">
        <v>11</v>
      </c>
      <c r="F6" s="847"/>
      <c r="G6" s="294" t="s">
        <v>140</v>
      </c>
      <c r="H6" s="293"/>
      <c r="I6" s="293"/>
      <c r="J6" s="293" t="s">
        <v>139</v>
      </c>
      <c r="K6" s="293"/>
      <c r="L6" s="295"/>
      <c r="M6" s="293" t="s">
        <v>213</v>
      </c>
      <c r="N6" s="293"/>
      <c r="O6" s="295"/>
      <c r="P6" s="389" t="s">
        <v>138</v>
      </c>
      <c r="Q6" s="390"/>
      <c r="R6" s="391"/>
      <c r="S6" s="294" t="s">
        <v>185</v>
      </c>
      <c r="T6" s="293"/>
      <c r="U6" s="293"/>
      <c r="V6" s="293" t="s">
        <v>186</v>
      </c>
      <c r="W6" s="293"/>
      <c r="X6" s="295"/>
      <c r="Y6" s="389" t="s">
        <v>187</v>
      </c>
      <c r="Z6" s="390"/>
      <c r="AA6" s="391"/>
      <c r="AB6" s="388" t="s">
        <v>137</v>
      </c>
      <c r="AC6" s="293"/>
      <c r="AD6" s="295"/>
      <c r="AE6" s="389" t="s">
        <v>136</v>
      </c>
      <c r="AF6" s="390"/>
      <c r="AG6" s="391"/>
    </row>
    <row r="7" spans="1:36" ht="24" customHeight="1">
      <c r="D7" s="292"/>
      <c r="E7" s="848"/>
      <c r="F7" s="849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392" t="s">
        <v>15</v>
      </c>
      <c r="Z7" s="374" t="s">
        <v>16</v>
      </c>
      <c r="AA7" s="393" t="s">
        <v>36</v>
      </c>
      <c r="AB7" s="289" t="s">
        <v>15</v>
      </c>
      <c r="AC7" s="374" t="s">
        <v>16</v>
      </c>
      <c r="AD7" s="289" t="s">
        <v>36</v>
      </c>
      <c r="AE7" s="392" t="s">
        <v>15</v>
      </c>
      <c r="AF7" s="374" t="s">
        <v>16</v>
      </c>
      <c r="AG7" s="393" t="s">
        <v>36</v>
      </c>
    </row>
    <row r="8" spans="1:36" ht="24" customHeight="1">
      <c r="D8" s="77"/>
      <c r="E8" s="265" t="s">
        <v>110</v>
      </c>
      <c r="F8" s="264" t="s">
        <v>132</v>
      </c>
      <c r="G8" s="260">
        <f>+'골재사업소(당월)'!G8+'[4]골재사업소(누계)'!G8</f>
        <v>54256.2</v>
      </c>
      <c r="H8" s="375">
        <f>+'골재사업소(당월)'!H8+'[4]골재사업소(누계)'!H8</f>
        <v>85616</v>
      </c>
      <c r="I8" s="263">
        <f>H8-G8</f>
        <v>31359.800000000003</v>
      </c>
      <c r="J8" s="262">
        <f>+'골재사업소(당월)'!J8+'[4]골재사업소(누계)'!J8</f>
        <v>6117.1027199999999</v>
      </c>
      <c r="K8" s="375">
        <f>+'골재사업소(당월)'!K8+'[4]골재사업소(누계)'!K8</f>
        <v>2064</v>
      </c>
      <c r="L8" s="261">
        <f>K8-J8</f>
        <v>-4053.1027199999999</v>
      </c>
      <c r="M8" s="262">
        <f>+'골재사업소(당월)'!M8+'[4]골재사업소(누계)'!M8</f>
        <v>0</v>
      </c>
      <c r="N8" s="375">
        <f>+'골재사업소(당월)'!N8+'[4]골재사업소(누계)'!N8</f>
        <v>0</v>
      </c>
      <c r="O8" s="261">
        <f>N8-M8</f>
        <v>0</v>
      </c>
      <c r="P8" s="394">
        <f>+G8+J8+M8</f>
        <v>60373.30272</v>
      </c>
      <c r="Q8" s="375">
        <f>+H8+K8+N8</f>
        <v>87680</v>
      </c>
      <c r="R8" s="395">
        <f>Q8-P8</f>
        <v>27306.69728</v>
      </c>
      <c r="S8" s="260">
        <f>+'골재사업소(당월)'!S8+'[4]골재사업소(누계)'!S8</f>
        <v>61301.002944865024</v>
      </c>
      <c r="T8" s="375">
        <f>+'골재사업소(당월)'!T8+'[4]골재사업소(누계)'!T8</f>
        <v>67766</v>
      </c>
      <c r="U8" s="263">
        <f>T8-S8</f>
        <v>6464.9970551349761</v>
      </c>
      <c r="V8" s="262">
        <f>+'골재사업소(당월)'!V8+'[4]골재사업소(누계)'!V8</f>
        <v>56085.220408671696</v>
      </c>
      <c r="W8" s="375">
        <f>+'골재사업소(당월)'!W8+'[4]골재사업소(누계)'!W8</f>
        <v>73733</v>
      </c>
      <c r="X8" s="261">
        <f>W8-V8</f>
        <v>17647.779591328304</v>
      </c>
      <c r="Y8" s="394">
        <f>+S8+V8</f>
        <v>117386.22335353671</v>
      </c>
      <c r="Z8" s="375">
        <f>+T8+W8</f>
        <v>141499</v>
      </c>
      <c r="AA8" s="395">
        <f>Z8-Y8</f>
        <v>24112.776646463288</v>
      </c>
      <c r="AB8" s="261">
        <f>+'골재사업소(당월)'!AB8+'[4]골재사업소(누계)'!AB8</f>
        <v>84312.44781683998</v>
      </c>
      <c r="AC8" s="375">
        <f>+'골재사업소(당월)'!AC8+'[4]골재사업소(누계)'!AC8</f>
        <v>77635</v>
      </c>
      <c r="AD8" s="261">
        <f>AC8-AB8</f>
        <v>-6677.4478168399801</v>
      </c>
      <c r="AE8" s="394">
        <f>+P8+Y8+AB8</f>
        <v>262071.97389037668</v>
      </c>
      <c r="AF8" s="375">
        <f>+Q8+Z8+AC8</f>
        <v>306814</v>
      </c>
      <c r="AG8" s="395">
        <f>AF8-AE8</f>
        <v>44742.026109623315</v>
      </c>
    </row>
    <row r="9" spans="1:36" ht="24" customHeight="1">
      <c r="D9" s="77"/>
      <c r="E9" s="282"/>
      <c r="F9" s="287" t="s">
        <v>10</v>
      </c>
      <c r="G9" s="283">
        <f>+G8/G$12</f>
        <v>0.89154761552643769</v>
      </c>
      <c r="H9" s="376">
        <f>+H8/H$12</f>
        <v>0.62915931804820691</v>
      </c>
      <c r="I9" s="286">
        <f>+H9-G9</f>
        <v>-0.26238829747823078</v>
      </c>
      <c r="J9" s="285">
        <f>+J8/J$12</f>
        <v>0.30407473706034743</v>
      </c>
      <c r="K9" s="376">
        <f>+K8/K$12</f>
        <v>0.13621964097148892</v>
      </c>
      <c r="L9" s="284">
        <f>+K9-J9</f>
        <v>-0.16785509608885851</v>
      </c>
      <c r="M9" s="285">
        <f>+M8/M$12</f>
        <v>0</v>
      </c>
      <c r="N9" s="376" t="e">
        <f>+N8/N$12</f>
        <v>#DIV/0!</v>
      </c>
      <c r="O9" s="284" t="e">
        <f>+N9-M9</f>
        <v>#DIV/0!</v>
      </c>
      <c r="P9" s="396">
        <f>+P8/P$12</f>
        <v>0.48308959918635652</v>
      </c>
      <c r="Q9" s="376">
        <f>+Q8/Q$12</f>
        <v>0.57977147693609821</v>
      </c>
      <c r="R9" s="397">
        <f>+Q9-P9</f>
        <v>9.6681877749741685E-2</v>
      </c>
      <c r="S9" s="283">
        <f>+S8/S$12</f>
        <v>0.63001409121754715</v>
      </c>
      <c r="T9" s="376">
        <f>+T8/T$12</f>
        <v>0.65528845224050902</v>
      </c>
      <c r="U9" s="286">
        <f>+T9-S9</f>
        <v>2.5274361022961878E-2</v>
      </c>
      <c r="V9" s="285">
        <f>+V8/V$12</f>
        <v>0.38131105391038378</v>
      </c>
      <c r="W9" s="376">
        <f>+W8/W$12</f>
        <v>0.66447077907448293</v>
      </c>
      <c r="X9" s="284">
        <f>+W9-V9</f>
        <v>0.28315972516409915</v>
      </c>
      <c r="Y9" s="396">
        <f>+Y8/Y$12</f>
        <v>0.48033077209807423</v>
      </c>
      <c r="Z9" s="376">
        <f>+Z8/Z$12</f>
        <v>0.66004132867491683</v>
      </c>
      <c r="AA9" s="397">
        <f>+Z9-Y9</f>
        <v>0.17971055657684259</v>
      </c>
      <c r="AB9" s="284">
        <f>+AB8/AB$12</f>
        <v>0.64700225672489031</v>
      </c>
      <c r="AC9" s="376">
        <f>+AC8/AC$12</f>
        <v>0.59223575003051387</v>
      </c>
      <c r="AD9" s="284">
        <f>+AC9-AB9</f>
        <v>-5.4766506694376438E-2</v>
      </c>
      <c r="AE9" s="396">
        <f>+AE8/AE$12</f>
        <v>0.52448803932291943</v>
      </c>
      <c r="AF9" s="376">
        <f>+AF8/AF$12</f>
        <v>0.61770609564343792</v>
      </c>
      <c r="AG9" s="397">
        <f>+AF9-AE9</f>
        <v>9.3218056320518494E-2</v>
      </c>
    </row>
    <row r="10" spans="1:36" ht="24" customHeight="1">
      <c r="D10" s="258"/>
      <c r="E10" s="282"/>
      <c r="F10" s="281" t="s">
        <v>135</v>
      </c>
      <c r="G10" s="277">
        <f>+'골재사업소(당월)'!G10+'[4]골재사업소(누계)'!G10</f>
        <v>6600</v>
      </c>
      <c r="H10" s="377">
        <f>+'골재사업소(당월)'!H10+'[4]골재사업소(누계)'!H10</f>
        <v>50464</v>
      </c>
      <c r="I10" s="280">
        <f>H10-G10</f>
        <v>43864</v>
      </c>
      <c r="J10" s="279">
        <f>+'골재사업소(당월)'!J10+'[4]골재사업소(누계)'!J10</f>
        <v>14000</v>
      </c>
      <c r="K10" s="377">
        <f>+'골재사업소(당월)'!K10+'[4]골재사업소(누계)'!K10</f>
        <v>13088</v>
      </c>
      <c r="L10" s="278">
        <f>K10-J10</f>
        <v>-912</v>
      </c>
      <c r="M10" s="279">
        <f>+'골재사업소(당월)'!M10+'[4]골재사업소(누계)'!M10</f>
        <v>44000</v>
      </c>
      <c r="N10" s="377">
        <f>+'골재사업소(당월)'!N10+'[4]골재사업소(누계)'!N10</f>
        <v>0</v>
      </c>
      <c r="O10" s="278">
        <f>N10-M10</f>
        <v>-44000</v>
      </c>
      <c r="P10" s="398">
        <f>+G10+J10+M10</f>
        <v>64600</v>
      </c>
      <c r="Q10" s="377">
        <f>+H10+K10+N10</f>
        <v>63552</v>
      </c>
      <c r="R10" s="399">
        <f>Q10-P10</f>
        <v>-1048</v>
      </c>
      <c r="S10" s="277">
        <f>+'골재사업소(당월)'!S10+'[4]골재사업소(누계)'!S10</f>
        <v>36000</v>
      </c>
      <c r="T10" s="377">
        <f>+'골재사업소(당월)'!T10+'[4]골재사업소(누계)'!T10</f>
        <v>35648</v>
      </c>
      <c r="U10" s="280">
        <f>T10-S10</f>
        <v>-352</v>
      </c>
      <c r="V10" s="279">
        <f>+'골재사업소(당월)'!V10+'[4]골재사업소(누계)'!V10</f>
        <v>91000</v>
      </c>
      <c r="W10" s="377">
        <f>+'골재사업소(당월)'!W10+'[4]골재사업소(누계)'!W10</f>
        <v>37232</v>
      </c>
      <c r="X10" s="278">
        <f>W10-V10</f>
        <v>-53768</v>
      </c>
      <c r="Y10" s="398">
        <f>+S10+V10</f>
        <v>127000</v>
      </c>
      <c r="Z10" s="377">
        <f>+T10+W10</f>
        <v>72880</v>
      </c>
      <c r="AA10" s="399">
        <f>Z10-Y10</f>
        <v>-54120</v>
      </c>
      <c r="AB10" s="278">
        <f>+'골재사업소(당월)'!AB10+'[4]골재사업소(누계)'!AB10</f>
        <v>46000</v>
      </c>
      <c r="AC10" s="377">
        <f>+'골재사업소(당월)'!AC10+'[4]골재사업소(누계)'!AC10</f>
        <v>53453</v>
      </c>
      <c r="AD10" s="278">
        <f>AC10-AB10</f>
        <v>7453</v>
      </c>
      <c r="AE10" s="398">
        <f>+P10+Y10+AB10</f>
        <v>237600</v>
      </c>
      <c r="AF10" s="377">
        <f>+Q10+Z10+AC10</f>
        <v>189885</v>
      </c>
      <c r="AG10" s="399">
        <f>AF10-AE10</f>
        <v>-47715</v>
      </c>
    </row>
    <row r="11" spans="1:36" ht="24" customHeight="1">
      <c r="D11" s="258"/>
      <c r="E11" s="259"/>
      <c r="F11" s="276" t="s">
        <v>10</v>
      </c>
      <c r="G11" s="272">
        <f>+G10/G$12</f>
        <v>0.10845238447356227</v>
      </c>
      <c r="H11" s="378">
        <f>+H10/H$12</f>
        <v>0.37084068195179304</v>
      </c>
      <c r="I11" s="275">
        <f>+H11-G11</f>
        <v>0.26238829747823078</v>
      </c>
      <c r="J11" s="274">
        <f>+J10/J$12</f>
        <v>0.69592526293965262</v>
      </c>
      <c r="K11" s="378">
        <f>+K10/K$12</f>
        <v>0.86378035902851114</v>
      </c>
      <c r="L11" s="273">
        <f>+K11-J11</f>
        <v>0.16785509608885851</v>
      </c>
      <c r="M11" s="274">
        <f>+M10/M$12</f>
        <v>1</v>
      </c>
      <c r="N11" s="378" t="e">
        <f>+N10/N$12</f>
        <v>#DIV/0!</v>
      </c>
      <c r="O11" s="273" t="e">
        <f>+N11-M11</f>
        <v>#DIV/0!</v>
      </c>
      <c r="P11" s="400">
        <f>+P10/P$12</f>
        <v>0.51691040081364348</v>
      </c>
      <c r="Q11" s="378">
        <f>+Q10/Q$12</f>
        <v>0.42022852306390179</v>
      </c>
      <c r="R11" s="401">
        <f>+Q11-P11</f>
        <v>-9.6681877749741685E-2</v>
      </c>
      <c r="S11" s="272">
        <f>+S10/S$12</f>
        <v>0.36998590878245274</v>
      </c>
      <c r="T11" s="378">
        <f>+T10/T$12</f>
        <v>0.34471154775949098</v>
      </c>
      <c r="U11" s="275">
        <f>+T11-S11</f>
        <v>-2.5274361022961767E-2</v>
      </c>
      <c r="V11" s="274">
        <f>+V10/V$12</f>
        <v>0.61868894608961611</v>
      </c>
      <c r="W11" s="378">
        <f>+W10/W$12</f>
        <v>0.33552922092551707</v>
      </c>
      <c r="X11" s="273">
        <f>+W11-V11</f>
        <v>-0.28315972516409904</v>
      </c>
      <c r="Y11" s="400">
        <f>+Y10/Y$12</f>
        <v>0.51966922790192571</v>
      </c>
      <c r="Z11" s="378">
        <f>+Z10/Z$12</f>
        <v>0.33995867132508317</v>
      </c>
      <c r="AA11" s="401">
        <f>+Z11-Y11</f>
        <v>-0.17971055657684254</v>
      </c>
      <c r="AB11" s="273">
        <f>+AB10/AB$12</f>
        <v>0.35299774327510963</v>
      </c>
      <c r="AC11" s="378">
        <f>+AC10/AC$12</f>
        <v>0.40776424996948613</v>
      </c>
      <c r="AD11" s="273">
        <f>+AC11-AB11</f>
        <v>5.4766506694376493E-2</v>
      </c>
      <c r="AE11" s="400">
        <f>+AE10/AE$12</f>
        <v>0.47551196067708051</v>
      </c>
      <c r="AF11" s="378">
        <f>+AF10/AF$12</f>
        <v>0.38229390435656202</v>
      </c>
      <c r="AG11" s="401">
        <f>+AF11-AE11</f>
        <v>-9.3218056320518494E-2</v>
      </c>
    </row>
    <row r="12" spans="1:36" ht="24" customHeight="1">
      <c r="D12" s="258"/>
      <c r="E12" s="271"/>
      <c r="F12" s="270" t="s">
        <v>43</v>
      </c>
      <c r="G12" s="266">
        <f>G8+G10</f>
        <v>60856.2</v>
      </c>
      <c r="H12" s="379">
        <f>H8+H10</f>
        <v>136080</v>
      </c>
      <c r="I12" s="269">
        <f t="shared" ref="I12:I32" si="0">H12-G12</f>
        <v>75223.8</v>
      </c>
      <c r="J12" s="268">
        <f>J8+J10</f>
        <v>20117.102719999999</v>
      </c>
      <c r="K12" s="379">
        <f>K8+K10</f>
        <v>15152</v>
      </c>
      <c r="L12" s="267">
        <f t="shared" ref="L12:L32" si="1">K12-J12</f>
        <v>-4965.102719999999</v>
      </c>
      <c r="M12" s="268">
        <f>M8+M10</f>
        <v>44000</v>
      </c>
      <c r="N12" s="379">
        <f>N8+N10</f>
        <v>0</v>
      </c>
      <c r="O12" s="267">
        <f t="shared" ref="O12:O32" si="2">N12-M12</f>
        <v>-44000</v>
      </c>
      <c r="P12" s="402">
        <f>P8+P10</f>
        <v>124973.30272000001</v>
      </c>
      <c r="Q12" s="379">
        <f>Q8+Q10</f>
        <v>151232</v>
      </c>
      <c r="R12" s="403">
        <f t="shared" ref="R12:R32" si="3">Q12-P12</f>
        <v>26258.697279999993</v>
      </c>
      <c r="S12" s="266">
        <f>S8+S10</f>
        <v>97301.002944865031</v>
      </c>
      <c r="T12" s="379">
        <f>T8+T10</f>
        <v>103414</v>
      </c>
      <c r="U12" s="269">
        <f t="shared" ref="U12:U32" si="4">T12-S12</f>
        <v>6112.9970551349688</v>
      </c>
      <c r="V12" s="268">
        <f>V8+V10</f>
        <v>147085.22040867171</v>
      </c>
      <c r="W12" s="379">
        <f>W8+W10</f>
        <v>110965</v>
      </c>
      <c r="X12" s="267">
        <f t="shared" ref="X12:X32" si="5">W12-V12</f>
        <v>-36120.22040867171</v>
      </c>
      <c r="Y12" s="402">
        <f>Y8+Y10</f>
        <v>244386.22335353671</v>
      </c>
      <c r="Z12" s="379">
        <f>Z8+Z10</f>
        <v>214379</v>
      </c>
      <c r="AA12" s="403">
        <f t="shared" ref="AA12:AA32" si="6">Z12-Y12</f>
        <v>-30007.223353536712</v>
      </c>
      <c r="AB12" s="267">
        <f>AB8+AB10</f>
        <v>130312.44781683998</v>
      </c>
      <c r="AC12" s="379">
        <f>AC8+AC10</f>
        <v>131088</v>
      </c>
      <c r="AD12" s="267">
        <f t="shared" ref="AD12:AD32" si="7">AC12-AB12</f>
        <v>775.55218316001992</v>
      </c>
      <c r="AE12" s="402">
        <f>AE8+AE10</f>
        <v>499671.97389037668</v>
      </c>
      <c r="AF12" s="379">
        <f>AF8+AF10</f>
        <v>496699</v>
      </c>
      <c r="AG12" s="403">
        <f t="shared" ref="AG12:AG32" si="8">AF12-AE12</f>
        <v>-2972.9738903766847</v>
      </c>
      <c r="AI12" s="6">
        <f>+'골재사업소(당월)'!AI12+'[4]골재사업소(누계)'!AI12</f>
        <v>499671.97389037668</v>
      </c>
      <c r="AJ12" s="6">
        <f>+'골재사업소(당월)'!AJ12+'[4]골재사업소(누계)'!AJ12</f>
        <v>496699</v>
      </c>
    </row>
    <row r="13" spans="1:36" ht="24" customHeight="1">
      <c r="D13" s="258"/>
      <c r="E13" s="265" t="s">
        <v>77</v>
      </c>
      <c r="F13" s="264" t="s">
        <v>132</v>
      </c>
      <c r="G13" s="260">
        <f>+'골재사업소(당월)'!G13+'[4]골재사업소(누계)'!G13</f>
        <v>840438</v>
      </c>
      <c r="H13" s="375">
        <f>+'골재사업소(당월)'!H13+'[4]골재사업소(누계)'!H13</f>
        <v>1380392</v>
      </c>
      <c r="I13" s="263">
        <f t="shared" si="0"/>
        <v>539954</v>
      </c>
      <c r="J13" s="262">
        <f>+'골재사업소(당월)'!J13+'[4]골재사업소(누계)'!J13</f>
        <v>99356.474133333322</v>
      </c>
      <c r="K13" s="375">
        <f>+'골재사업소(당월)'!K13+'[4]골재사업소(누계)'!K13</f>
        <v>19536</v>
      </c>
      <c r="L13" s="261">
        <f t="shared" si="1"/>
        <v>-79820.474133333322</v>
      </c>
      <c r="M13" s="262">
        <f>+'골재사업소(당월)'!M13+'[4]골재사업소(누계)'!M13</f>
        <v>0</v>
      </c>
      <c r="N13" s="375">
        <f>+'골재사업소(당월)'!N13+'[4]골재사업소(누계)'!N13</f>
        <v>0</v>
      </c>
      <c r="O13" s="261">
        <f t="shared" si="2"/>
        <v>0</v>
      </c>
      <c r="P13" s="394">
        <f>+G13+J13+M13</f>
        <v>939794.47413333331</v>
      </c>
      <c r="Q13" s="375">
        <f>+H13+K13+N13</f>
        <v>1399928</v>
      </c>
      <c r="R13" s="395">
        <f t="shared" si="3"/>
        <v>460133.52586666669</v>
      </c>
      <c r="S13" s="260">
        <f>+'골재사업소(당월)'!S13+'[4]골재사업소(누계)'!S13</f>
        <v>980816.04711784038</v>
      </c>
      <c r="T13" s="375">
        <f>+'골재사업소(당월)'!T13+'[4]골재사업소(누계)'!T13</f>
        <v>1180009</v>
      </c>
      <c r="U13" s="263">
        <f t="shared" si="4"/>
        <v>199192.95288215962</v>
      </c>
      <c r="V13" s="262">
        <f>+'골재사업소(당월)'!V13+'[4]골재사업소(누계)'!V13</f>
        <v>1237780.1855284814</v>
      </c>
      <c r="W13" s="375">
        <f>+'골재사업소(당월)'!W13+'[4]골재사업소(누계)'!W13</f>
        <v>1636341.5</v>
      </c>
      <c r="X13" s="261">
        <f t="shared" si="5"/>
        <v>398561.31447151862</v>
      </c>
      <c r="Y13" s="394">
        <f>+S13+V13</f>
        <v>2218596.2326463219</v>
      </c>
      <c r="Z13" s="375">
        <f>+T13+W13</f>
        <v>2816350.5</v>
      </c>
      <c r="AA13" s="395">
        <f t="shared" si="6"/>
        <v>597754.26735367812</v>
      </c>
      <c r="AB13" s="261">
        <f>+'골재사업소(당월)'!AB13+'[4]골재사업소(누계)'!AB13</f>
        <v>2506672.4506610432</v>
      </c>
      <c r="AC13" s="375">
        <f>+'골재사업소(당월)'!AC13+'[4]골재사업소(누계)'!AC13</f>
        <v>2315114.08</v>
      </c>
      <c r="AD13" s="261">
        <f t="shared" si="7"/>
        <v>-191558.3706610431</v>
      </c>
      <c r="AE13" s="394">
        <f>+P13+Y13+AB13</f>
        <v>5665063.1574406978</v>
      </c>
      <c r="AF13" s="375">
        <f>+Q13+Z13+AC13</f>
        <v>6531392.5800000001</v>
      </c>
      <c r="AG13" s="395">
        <f t="shared" si="8"/>
        <v>866329.4225593023</v>
      </c>
      <c r="AI13" s="6" t="b">
        <f>+AI12=AE12</f>
        <v>1</v>
      </c>
      <c r="AJ13" s="6" t="b">
        <f>+AJ12=AF12</f>
        <v>1</v>
      </c>
    </row>
    <row r="14" spans="1:36" ht="24" customHeight="1">
      <c r="D14" s="258"/>
      <c r="E14" s="259"/>
      <c r="F14" s="257" t="s">
        <v>131</v>
      </c>
      <c r="G14" s="253">
        <f>+G13/G8*1000</f>
        <v>15490.174394815709</v>
      </c>
      <c r="H14" s="380">
        <f>+H13/H8*1000</f>
        <v>16123.061110072882</v>
      </c>
      <c r="I14" s="256">
        <f t="shared" si="0"/>
        <v>632.88671525717291</v>
      </c>
      <c r="J14" s="255">
        <f>+J13/J8*1000</f>
        <v>16242.407342365719</v>
      </c>
      <c r="K14" s="380">
        <f>+K13/K8*1000</f>
        <v>9465.116279069769</v>
      </c>
      <c r="L14" s="254">
        <f t="shared" si="1"/>
        <v>-6777.2910632959502</v>
      </c>
      <c r="M14" s="255" t="e">
        <f>+M13/M8*1000</f>
        <v>#DIV/0!</v>
      </c>
      <c r="N14" s="380" t="e">
        <f>+N13/N8*1000</f>
        <v>#DIV/0!</v>
      </c>
      <c r="O14" s="254" t="e">
        <f t="shared" si="2"/>
        <v>#DIV/0!</v>
      </c>
      <c r="P14" s="404">
        <f>+P13/P8*1000</f>
        <v>15566.391629954767</v>
      </c>
      <c r="Q14" s="380">
        <f>+Q13/Q8*1000</f>
        <v>15966.33211678832</v>
      </c>
      <c r="R14" s="405">
        <f t="shared" si="3"/>
        <v>399.94048683355322</v>
      </c>
      <c r="S14" s="253">
        <f>+S13/S8*1000</f>
        <v>16000</v>
      </c>
      <c r="T14" s="380">
        <f>+T13/T8*1000</f>
        <v>17412.994717114776</v>
      </c>
      <c r="U14" s="256">
        <f t="shared" si="4"/>
        <v>1412.994717114776</v>
      </c>
      <c r="V14" s="255">
        <f>+V13/V8*1000</f>
        <v>22069.632186683899</v>
      </c>
      <c r="W14" s="380">
        <f>+W13/W8*1000</f>
        <v>22192.796983711498</v>
      </c>
      <c r="X14" s="254">
        <f t="shared" si="5"/>
        <v>123.16479702759898</v>
      </c>
      <c r="Y14" s="404">
        <f>+Y13/Y8*1000</f>
        <v>18899.971131744209</v>
      </c>
      <c r="Z14" s="380">
        <f>+Z13/Z8*1000</f>
        <v>19903.677764507167</v>
      </c>
      <c r="AA14" s="405">
        <f t="shared" si="6"/>
        <v>1003.7066327629582</v>
      </c>
      <c r="AB14" s="254">
        <f>+AB13/AB8*1000</f>
        <v>29730.7516928761</v>
      </c>
      <c r="AC14" s="380">
        <f>+AC13/AC8*1000</f>
        <v>29820.494364655118</v>
      </c>
      <c r="AD14" s="254">
        <f t="shared" si="7"/>
        <v>89.742671779018565</v>
      </c>
      <c r="AE14" s="404">
        <f>+AE13/AE8*1000</f>
        <v>21616.440221915385</v>
      </c>
      <c r="AF14" s="380">
        <f>+AF13/AF8*1000</f>
        <v>21287.791886941275</v>
      </c>
      <c r="AG14" s="405">
        <f t="shared" si="8"/>
        <v>-328.64833497411018</v>
      </c>
    </row>
    <row r="15" spans="1:36" ht="24" customHeight="1">
      <c r="D15" s="258"/>
      <c r="E15" s="666"/>
      <c r="F15" s="224" t="s">
        <v>135</v>
      </c>
      <c r="G15" s="248">
        <f>+'골재사업소(당월)'!G15+'[4]골재사업소(누계)'!G15</f>
        <v>75900</v>
      </c>
      <c r="H15" s="381">
        <f>+'골재사업소(당월)'!H15+'[4]골재사업소(누계)'!H15</f>
        <v>588192</v>
      </c>
      <c r="I15" s="251">
        <f t="shared" si="0"/>
        <v>512292</v>
      </c>
      <c r="J15" s="250">
        <f>+'골재사업소(당월)'!J15+'[4]골재사업소(누계)'!J15</f>
        <v>210000</v>
      </c>
      <c r="K15" s="381">
        <f>+'골재사업소(당월)'!K15+'[4]골재사업소(누계)'!K15</f>
        <v>110624</v>
      </c>
      <c r="L15" s="249">
        <f t="shared" si="1"/>
        <v>-99376</v>
      </c>
      <c r="M15" s="250">
        <f>+'골재사업소(당월)'!M15+'[4]골재사업소(누계)'!M15</f>
        <v>396000</v>
      </c>
      <c r="N15" s="381">
        <f>+'골재사업소(당월)'!N15+'[4]골재사업소(누계)'!N15</f>
        <v>0</v>
      </c>
      <c r="O15" s="249">
        <f t="shared" si="2"/>
        <v>-396000</v>
      </c>
      <c r="P15" s="406">
        <f>+G15+J15+M15</f>
        <v>681900</v>
      </c>
      <c r="Q15" s="381">
        <f>+H15+K15+N15</f>
        <v>698816</v>
      </c>
      <c r="R15" s="407">
        <f t="shared" si="3"/>
        <v>16916</v>
      </c>
      <c r="S15" s="248">
        <f>+'골재사업소(당월)'!S15+'[4]골재사업소(누계)'!S15</f>
        <v>432000</v>
      </c>
      <c r="T15" s="381">
        <f>+'골재사업소(당월)'!T15+'[4]골재사업소(누계)'!T15</f>
        <v>463424</v>
      </c>
      <c r="U15" s="251">
        <f t="shared" si="4"/>
        <v>31424</v>
      </c>
      <c r="V15" s="250">
        <f>+'골재사업소(당월)'!V15+'[4]골재사업소(누계)'!V15</f>
        <v>1729000</v>
      </c>
      <c r="W15" s="381">
        <f>+'골재사업소(당월)'!W15+'[4]골재사업소(누계)'!W15</f>
        <v>681408</v>
      </c>
      <c r="X15" s="249">
        <f t="shared" si="5"/>
        <v>-1047592</v>
      </c>
      <c r="Y15" s="406">
        <f>+S15+V15</f>
        <v>2161000</v>
      </c>
      <c r="Z15" s="381">
        <f>+T15+W15</f>
        <v>1144832</v>
      </c>
      <c r="AA15" s="407">
        <f t="shared" si="6"/>
        <v>-1016168</v>
      </c>
      <c r="AB15" s="249">
        <f>+'골재사업소(당월)'!AB15+'[4]골재사업소(누계)'!AB15</f>
        <v>1389000</v>
      </c>
      <c r="AC15" s="381">
        <f>+'골재사업소(당월)'!AC15+'[4]골재사업소(누계)'!AC15</f>
        <v>1606166</v>
      </c>
      <c r="AD15" s="249">
        <f t="shared" si="7"/>
        <v>217166</v>
      </c>
      <c r="AE15" s="406">
        <f>+P15+Y15+AB15</f>
        <v>4231900</v>
      </c>
      <c r="AF15" s="381">
        <f>+Q15+Z15+AC15</f>
        <v>3449814</v>
      </c>
      <c r="AG15" s="407">
        <f t="shared" si="8"/>
        <v>-782086</v>
      </c>
    </row>
    <row r="16" spans="1:36" ht="24" customHeight="1">
      <c r="D16" s="76"/>
      <c r="E16" s="666"/>
      <c r="F16" s="257" t="s">
        <v>131</v>
      </c>
      <c r="G16" s="253">
        <f>IFERROR(G15/G10,)*1000</f>
        <v>11500</v>
      </c>
      <c r="H16" s="380">
        <f>IFERROR(H15/H10,)*1000</f>
        <v>11655.67533291059</v>
      </c>
      <c r="I16" s="256">
        <f t="shared" si="0"/>
        <v>155.67533291059044</v>
      </c>
      <c r="J16" s="255">
        <f>IFERROR(J15/J10,)*1000</f>
        <v>15000</v>
      </c>
      <c r="K16" s="380">
        <f>IFERROR(K15/K10,)*1000</f>
        <v>8452.3227383863068</v>
      </c>
      <c r="L16" s="254">
        <f t="shared" si="1"/>
        <v>-6547.6772616136932</v>
      </c>
      <c r="M16" s="255">
        <f>IFERROR(M15/M10,)*1000</f>
        <v>9000</v>
      </c>
      <c r="N16" s="380">
        <f>IFERROR(N15/N10,)*1000</f>
        <v>0</v>
      </c>
      <c r="O16" s="254">
        <f t="shared" si="2"/>
        <v>-9000</v>
      </c>
      <c r="P16" s="404">
        <f>IFERROR(P15/P10,)*1000</f>
        <v>10555.727554179568</v>
      </c>
      <c r="Q16" s="380">
        <f>IFERROR(Q15/Q10,)*1000</f>
        <v>10995.971802618329</v>
      </c>
      <c r="R16" s="405">
        <f t="shared" si="3"/>
        <v>440.24424843876113</v>
      </c>
      <c r="S16" s="253">
        <f>IFERROR(S15/S10,)*1000</f>
        <v>12000</v>
      </c>
      <c r="T16" s="380">
        <f>IFERROR(T15/T10,)*1000</f>
        <v>13000</v>
      </c>
      <c r="U16" s="256">
        <f t="shared" si="4"/>
        <v>1000</v>
      </c>
      <c r="V16" s="255">
        <f>IFERROR(V15/V10,)*1000</f>
        <v>19000</v>
      </c>
      <c r="W16" s="380">
        <f>IFERROR(W15/W10,)*1000</f>
        <v>18301.675977653631</v>
      </c>
      <c r="X16" s="254">
        <f t="shared" si="5"/>
        <v>-698.32402234636902</v>
      </c>
      <c r="Y16" s="404">
        <f>IFERROR(Y15/Y10,)*1000</f>
        <v>17015.748031496063</v>
      </c>
      <c r="Z16" s="380">
        <f>IFERROR(Z15/Z10,)*1000</f>
        <v>15708.452250274422</v>
      </c>
      <c r="AA16" s="405">
        <f t="shared" si="6"/>
        <v>-1307.2957812216409</v>
      </c>
      <c r="AB16" s="254">
        <f>IFERROR(AB15/AB10,)*1000</f>
        <v>30195.652173913044</v>
      </c>
      <c r="AC16" s="380">
        <f>IFERROR(AC15/AC10,)*1000</f>
        <v>30048.191869492824</v>
      </c>
      <c r="AD16" s="254">
        <f t="shared" si="7"/>
        <v>-147.46030442021947</v>
      </c>
      <c r="AE16" s="404">
        <f>IFERROR(AE15/AE10,)*1000</f>
        <v>17811.026936026938</v>
      </c>
      <c r="AF16" s="380">
        <f>IFERROR(AF15/AF10,)*1000</f>
        <v>18167.912157358402</v>
      </c>
      <c r="AG16" s="405">
        <f t="shared" si="8"/>
        <v>356.88522133146398</v>
      </c>
    </row>
    <row r="17" spans="4:36" ht="24" customHeight="1">
      <c r="D17" s="76"/>
      <c r="E17" s="666"/>
      <c r="F17" s="252" t="s">
        <v>43</v>
      </c>
      <c r="G17" s="248">
        <f>G13+G15</f>
        <v>916338</v>
      </c>
      <c r="H17" s="381">
        <f>H13+H15</f>
        <v>1968584</v>
      </c>
      <c r="I17" s="251">
        <f t="shared" si="0"/>
        <v>1052246</v>
      </c>
      <c r="J17" s="250">
        <f>J13+J15</f>
        <v>309356.47413333331</v>
      </c>
      <c r="K17" s="381">
        <f>K13+K15</f>
        <v>130160</v>
      </c>
      <c r="L17" s="249">
        <f t="shared" si="1"/>
        <v>-179196.47413333331</v>
      </c>
      <c r="M17" s="250">
        <f>M13+M15</f>
        <v>396000</v>
      </c>
      <c r="N17" s="381">
        <f>N13+N15</f>
        <v>0</v>
      </c>
      <c r="O17" s="249">
        <f t="shared" si="2"/>
        <v>-396000</v>
      </c>
      <c r="P17" s="406">
        <f>P13+P15</f>
        <v>1621694.4741333332</v>
      </c>
      <c r="Q17" s="381">
        <f>Q13+Q15</f>
        <v>2098744</v>
      </c>
      <c r="R17" s="407">
        <f t="shared" si="3"/>
        <v>477049.52586666681</v>
      </c>
      <c r="S17" s="248">
        <f>S13+S15</f>
        <v>1412816.0471178405</v>
      </c>
      <c r="T17" s="381">
        <f>T13+T15</f>
        <v>1643433</v>
      </c>
      <c r="U17" s="251">
        <f t="shared" si="4"/>
        <v>230616.9528821595</v>
      </c>
      <c r="V17" s="250">
        <f>V13+V15</f>
        <v>2966780.1855284814</v>
      </c>
      <c r="W17" s="381">
        <f>W13+W15</f>
        <v>2317749.5</v>
      </c>
      <c r="X17" s="249">
        <f t="shared" si="5"/>
        <v>-649030.68552848138</v>
      </c>
      <c r="Y17" s="406">
        <f>Y13+Y15</f>
        <v>4379596.2326463219</v>
      </c>
      <c r="Z17" s="381">
        <f>Z13+Z15</f>
        <v>3961182.5</v>
      </c>
      <c r="AA17" s="407">
        <f t="shared" si="6"/>
        <v>-418413.73264632188</v>
      </c>
      <c r="AB17" s="249">
        <f>AB13+AB15</f>
        <v>3895672.4506610432</v>
      </c>
      <c r="AC17" s="381">
        <f>AC13+AC15</f>
        <v>3921280.08</v>
      </c>
      <c r="AD17" s="249">
        <f t="shared" si="7"/>
        <v>25607.629338956904</v>
      </c>
      <c r="AE17" s="406">
        <f>AE13+AE15</f>
        <v>9896963.1574406978</v>
      </c>
      <c r="AF17" s="381">
        <f>AF13+AF15</f>
        <v>9981206.5800000001</v>
      </c>
      <c r="AG17" s="407">
        <f t="shared" si="8"/>
        <v>84243.4225593023</v>
      </c>
      <c r="AI17" s="6">
        <f>+'골재사업소(당월)'!AI17+'[4]골재사업소(누계)'!AI17</f>
        <v>9896963.1574406978</v>
      </c>
      <c r="AJ17" s="6">
        <f>+'골재사업소(당월)'!AJ17+'[4]골재사업소(누계)'!AJ17</f>
        <v>9981206.5800000001</v>
      </c>
    </row>
    <row r="18" spans="4:36" ht="24" customHeight="1">
      <c r="D18" s="76"/>
      <c r="E18" s="247" t="s">
        <v>7</v>
      </c>
      <c r="F18" s="246" t="s">
        <v>134</v>
      </c>
      <c r="G18" s="230">
        <f>+'골재사업소(당월)'!G18+'[4]골재사업소(누계)'!G18</f>
        <v>106245.08072492754</v>
      </c>
      <c r="H18" s="382">
        <f>+'골재사업소(당월)'!H18+'[4]골재사업소(누계)'!H18</f>
        <v>273156.148321088</v>
      </c>
      <c r="I18" s="233">
        <f t="shared" si="0"/>
        <v>166911.06759616046</v>
      </c>
      <c r="J18" s="232">
        <f>+'골재사업소(당월)'!J18+'[4]골재사업소(누계)'!J18</f>
        <v>36970.545891521193</v>
      </c>
      <c r="K18" s="382">
        <f>+'골재사업소(당월)'!K18+'[4]골재사업소(누계)'!K18</f>
        <v>9311.371154193801</v>
      </c>
      <c r="L18" s="231">
        <f t="shared" si="1"/>
        <v>-27659.17473732739</v>
      </c>
      <c r="M18" s="232">
        <f>+'골재사업소(당월)'!M18+'[4]골재사업소(누계)'!M18</f>
        <v>0</v>
      </c>
      <c r="N18" s="382">
        <f>+'골재사업소(당월)'!N18+'[4]골재사업소(누계)'!N18</f>
        <v>0</v>
      </c>
      <c r="O18" s="231">
        <f t="shared" si="2"/>
        <v>0</v>
      </c>
      <c r="P18" s="408">
        <f>+G18+J18+M18</f>
        <v>143215.62661644875</v>
      </c>
      <c r="Q18" s="382">
        <f>+H18+K18+N18</f>
        <v>282467.51947528182</v>
      </c>
      <c r="R18" s="409">
        <f t="shared" si="3"/>
        <v>139251.89285883307</v>
      </c>
      <c r="S18" s="661">
        <f>+'골재사업소(당월)'!S18+'[4]골재사업소(누계)'!S18</f>
        <v>-89713.313174702256</v>
      </c>
      <c r="T18" s="382">
        <f>+'골재사업소(당월)'!T18+'[4]골재사업소(누계)'!T18</f>
        <v>9901.069516362908</v>
      </c>
      <c r="U18" s="233">
        <f t="shared" si="4"/>
        <v>99614.38269106517</v>
      </c>
      <c r="V18" s="232">
        <f>+'골재사업소(당월)'!V18+'[4]골재사업소(누계)'!V18</f>
        <v>251275.91360962298</v>
      </c>
      <c r="W18" s="382">
        <f>+'골재사업소(당월)'!W18+'[4]골재사업소(누계)'!W18</f>
        <v>362415.32334436855</v>
      </c>
      <c r="X18" s="231">
        <f t="shared" si="5"/>
        <v>111139.40973474557</v>
      </c>
      <c r="Y18" s="408">
        <f>+S18+V18</f>
        <v>161562.60043492072</v>
      </c>
      <c r="Z18" s="382">
        <f>+T18+W18</f>
        <v>372316.39286073146</v>
      </c>
      <c r="AA18" s="409">
        <f t="shared" si="6"/>
        <v>210753.79242581074</v>
      </c>
      <c r="AB18" s="231">
        <f>+'골재사업소(당월)'!AB18+'[4]골재사업소(누계)'!AB18</f>
        <v>96919.618933001446</v>
      </c>
      <c r="AC18" s="382">
        <f>+'골재사업소(당월)'!AC18+'[4]골재사업소(누계)'!AC18</f>
        <v>175818.96799999999</v>
      </c>
      <c r="AD18" s="231">
        <f t="shared" si="7"/>
        <v>78899.349066998548</v>
      </c>
      <c r="AE18" s="408">
        <f t="shared" ref="AE18:AF19" si="9">+P18+Y18+AB18</f>
        <v>401697.84598437091</v>
      </c>
      <c r="AF18" s="382">
        <f t="shared" si="9"/>
        <v>830602.88033601327</v>
      </c>
      <c r="AG18" s="409">
        <f t="shared" si="8"/>
        <v>428905.03435164236</v>
      </c>
      <c r="AI18" s="6" t="b">
        <f>+AI17=AE17</f>
        <v>1</v>
      </c>
      <c r="AJ18" s="6" t="b">
        <f>+AJ17=AF17</f>
        <v>1</v>
      </c>
    </row>
    <row r="19" spans="4:36" ht="24" customHeight="1">
      <c r="D19" s="76"/>
      <c r="E19" s="166"/>
      <c r="F19" s="245" t="s">
        <v>133</v>
      </c>
      <c r="G19" s="241">
        <f>+'골재사업소(당월)'!G19+'[4]골재사업소(누계)'!G19</f>
        <v>7174.7379333071895</v>
      </c>
      <c r="H19" s="383">
        <f>+'골재사업소(당월)'!H19+'[4]골재사업소(누계)'!H19</f>
        <v>-52968.585540341664</v>
      </c>
      <c r="I19" s="244">
        <f t="shared" si="0"/>
        <v>-60143.323473648852</v>
      </c>
      <c r="J19" s="243">
        <f>+'골재사업소(당월)'!J19+'[4]골재사업소(누계)'!J19</f>
        <v>63424.98262935743</v>
      </c>
      <c r="K19" s="383">
        <f>+'골재사업소(당월)'!K19+'[4]골재사업소(누계)'!K19</f>
        <v>40358.885703707383</v>
      </c>
      <c r="L19" s="242">
        <f t="shared" si="1"/>
        <v>-23066.096925650047</v>
      </c>
      <c r="M19" s="243">
        <f>+'골재사업소(당월)'!M19+'[4]골재사업소(누계)'!M19</f>
        <v>76014.390886177891</v>
      </c>
      <c r="N19" s="383">
        <f>+'골재사업소(당월)'!N19+'[4]골재사업소(누계)'!N19</f>
        <v>0</v>
      </c>
      <c r="O19" s="242">
        <f t="shared" si="2"/>
        <v>-76014.390886177891</v>
      </c>
      <c r="P19" s="410">
        <f>+G19+J19+M19</f>
        <v>146614.11144884251</v>
      </c>
      <c r="Q19" s="383">
        <f>+H19+K19+N19</f>
        <v>-12609.699836634281</v>
      </c>
      <c r="R19" s="411">
        <f t="shared" si="3"/>
        <v>-159223.81128547678</v>
      </c>
      <c r="S19" s="241">
        <f>+'골재사업소(당월)'!S19+'[4]골재사업소(누계)'!S19</f>
        <v>-194629.6101990334</v>
      </c>
      <c r="T19" s="383">
        <f>+'골재사업소(당월)'!T19+'[4]골재사업소(누계)'!T19</f>
        <v>-147955.98159108541</v>
      </c>
      <c r="U19" s="244">
        <f t="shared" si="4"/>
        <v>46673.628607947991</v>
      </c>
      <c r="V19" s="243">
        <f>+'골재사업소(당월)'!V19+'[4]골재사업소(누계)'!V19</f>
        <v>130991.03366028583</v>
      </c>
      <c r="W19" s="383">
        <f>+'골재사업소(당월)'!W19+'[4]골재사업소(누계)'!W19</f>
        <v>42966.480930353937</v>
      </c>
      <c r="X19" s="242">
        <f t="shared" si="5"/>
        <v>-88024.552729931893</v>
      </c>
      <c r="Y19" s="410">
        <f>+S19+V19</f>
        <v>-63638.576538747569</v>
      </c>
      <c r="Z19" s="383">
        <f>+T19+W19</f>
        <v>-104989.50066073147</v>
      </c>
      <c r="AA19" s="411">
        <f t="shared" si="6"/>
        <v>-41350.924121983902</v>
      </c>
      <c r="AB19" s="242">
        <f>+'골재사업소(당월)'!AB19+'[4]골재사업소(누계)'!AB19</f>
        <v>57743.3820143548</v>
      </c>
      <c r="AC19" s="383">
        <f>+'골재사업소(당월)'!AC19+'[4]골재사업소(누계)'!AC19</f>
        <v>7514.5732130262259</v>
      </c>
      <c r="AD19" s="242">
        <f t="shared" si="7"/>
        <v>-50228.808801328574</v>
      </c>
      <c r="AE19" s="410">
        <f t="shared" si="9"/>
        <v>140718.91692444973</v>
      </c>
      <c r="AF19" s="383">
        <f t="shared" si="9"/>
        <v>-110084.62728433954</v>
      </c>
      <c r="AG19" s="411">
        <f t="shared" si="8"/>
        <v>-250803.54420878927</v>
      </c>
    </row>
    <row r="20" spans="4:36" ht="24" customHeight="1">
      <c r="D20" s="76"/>
      <c r="E20" s="667"/>
      <c r="F20" s="240" t="s">
        <v>58</v>
      </c>
      <c r="G20" s="236">
        <f>G18+G19</f>
        <v>113419.81865823473</v>
      </c>
      <c r="H20" s="384">
        <f>H18+H19</f>
        <v>220187.56278074632</v>
      </c>
      <c r="I20" s="239">
        <f t="shared" si="0"/>
        <v>106767.74412251159</v>
      </c>
      <c r="J20" s="238">
        <f>J18+J19</f>
        <v>100395.52852087862</v>
      </c>
      <c r="K20" s="384">
        <f>K18+K19</f>
        <v>49670.256857901186</v>
      </c>
      <c r="L20" s="237">
        <f t="shared" si="1"/>
        <v>-50725.271662977437</v>
      </c>
      <c r="M20" s="238">
        <f>M18+M19</f>
        <v>76014.390886177891</v>
      </c>
      <c r="N20" s="384">
        <f>N18+N19</f>
        <v>0</v>
      </c>
      <c r="O20" s="237">
        <f t="shared" si="2"/>
        <v>-76014.390886177891</v>
      </c>
      <c r="P20" s="412">
        <f>P18+P19</f>
        <v>289829.73806529125</v>
      </c>
      <c r="Q20" s="384">
        <f>Q18+Q19</f>
        <v>269857.81963864755</v>
      </c>
      <c r="R20" s="413">
        <f t="shared" si="3"/>
        <v>-19971.918426643708</v>
      </c>
      <c r="S20" s="236">
        <f>S18+S19</f>
        <v>-284342.92337373563</v>
      </c>
      <c r="T20" s="384">
        <f>T18+T19</f>
        <v>-138054.9120747225</v>
      </c>
      <c r="U20" s="239">
        <f t="shared" si="4"/>
        <v>146288.01129901313</v>
      </c>
      <c r="V20" s="238">
        <f>V18+V19</f>
        <v>382266.94726990879</v>
      </c>
      <c r="W20" s="384">
        <f>W18+W19</f>
        <v>405381.80427472247</v>
      </c>
      <c r="X20" s="237">
        <f t="shared" si="5"/>
        <v>23114.857004813675</v>
      </c>
      <c r="Y20" s="412">
        <f>Y18+Y19</f>
        <v>97924.023896173152</v>
      </c>
      <c r="Z20" s="384">
        <f>Z18+Z19</f>
        <v>267326.8922</v>
      </c>
      <c r="AA20" s="413">
        <f t="shared" si="6"/>
        <v>169402.86830382684</v>
      </c>
      <c r="AB20" s="237">
        <f>AB18+AB19</f>
        <v>154663.00094735625</v>
      </c>
      <c r="AC20" s="384">
        <f>AC18+AC19</f>
        <v>183333.54121302621</v>
      </c>
      <c r="AD20" s="237">
        <f t="shared" si="7"/>
        <v>28670.540265669959</v>
      </c>
      <c r="AE20" s="412">
        <f>AE18+AE19</f>
        <v>542416.76290882064</v>
      </c>
      <c r="AF20" s="384">
        <f>AF18+AF19</f>
        <v>720518.25305167376</v>
      </c>
      <c r="AG20" s="413">
        <f t="shared" si="8"/>
        <v>178101.49014285312</v>
      </c>
      <c r="AI20" s="6">
        <f>+'골재사업소(당월)'!AI20+'[4]골재사업소(누계)'!AI20</f>
        <v>542416.7629088203</v>
      </c>
      <c r="AJ20" s="6">
        <f>+'골재사업소(당월)'!AJ20+'[4]골재사업소(누계)'!AJ20</f>
        <v>720518.25304167392</v>
      </c>
    </row>
    <row r="21" spans="4:36" ht="24" customHeight="1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4208</v>
      </c>
      <c r="I21" s="233">
        <f t="shared" si="0"/>
        <v>4208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1"/>
        <v>0</v>
      </c>
      <c r="M21" s="232">
        <f>+'골재사업소(당월)'!M21+'[4]골재사업소(누계)'!M21</f>
        <v>0</v>
      </c>
      <c r="N21" s="382">
        <f>+'골재사업소(당월)'!N21+'[4]골재사업소(누계)'!N21</f>
        <v>0</v>
      </c>
      <c r="O21" s="231">
        <f t="shared" si="2"/>
        <v>0</v>
      </c>
      <c r="P21" s="408">
        <f t="shared" ref="P21:Q26" si="10">+G21+J21+M21</f>
        <v>0</v>
      </c>
      <c r="Q21" s="382">
        <f t="shared" si="10"/>
        <v>4208</v>
      </c>
      <c r="R21" s="409">
        <f t="shared" si="3"/>
        <v>4208</v>
      </c>
      <c r="S21" s="230">
        <f>+'골재사업소(당월)'!S21+'[4]골재사업소(누계)'!S21</f>
        <v>61301.002944865024</v>
      </c>
      <c r="T21" s="382">
        <f>+'골재사업소(당월)'!T21+'[4]골재사업소(누계)'!T21</f>
        <v>66694</v>
      </c>
      <c r="U21" s="233">
        <f t="shared" si="4"/>
        <v>5392.9970551349761</v>
      </c>
      <c r="V21" s="232">
        <f>+'골재사업소(당월)'!V21+'[4]골재사업소(누계)'!V21</f>
        <v>43040.249440929751</v>
      </c>
      <c r="W21" s="382">
        <f>+'골재사업소(당월)'!W21+'[4]골재사업소(누계)'!W21</f>
        <v>46853</v>
      </c>
      <c r="X21" s="231">
        <f t="shared" si="5"/>
        <v>3812.7505590702494</v>
      </c>
      <c r="Y21" s="408">
        <f t="shared" ref="Y21:Z26" si="11">+S21+V21</f>
        <v>104341.25238579477</v>
      </c>
      <c r="Z21" s="382">
        <f t="shared" si="11"/>
        <v>113547</v>
      </c>
      <c r="AA21" s="409">
        <f t="shared" si="6"/>
        <v>9205.7476142052328</v>
      </c>
      <c r="AB21" s="231">
        <f>+'골재사업소(당월)'!AB21+'[4]골재사업소(누계)'!AB21</f>
        <v>24311.000264392416</v>
      </c>
      <c r="AC21" s="382">
        <f>+'골재사업소(당월)'!AC21+'[4]골재사업소(누계)'!AC21</f>
        <v>28643</v>
      </c>
      <c r="AD21" s="231">
        <f t="shared" si="7"/>
        <v>4331.9997356075837</v>
      </c>
      <c r="AE21" s="408">
        <f t="shared" ref="AE21:AF26" si="12">+P21+Y21+AB21</f>
        <v>128652.25265018718</v>
      </c>
      <c r="AF21" s="382">
        <f t="shared" si="12"/>
        <v>146398</v>
      </c>
      <c r="AG21" s="409">
        <f t="shared" si="8"/>
        <v>17745.747349812824</v>
      </c>
      <c r="AI21" s="595" t="b">
        <f>+AI20=AE20</f>
        <v>0</v>
      </c>
      <c r="AJ21" s="595" t="b">
        <f>+AJ20=AF20</f>
        <v>0</v>
      </c>
    </row>
    <row r="22" spans="4:36" ht="24" customHeight="1">
      <c r="D22" s="76"/>
      <c r="E22" s="166" t="s">
        <v>0</v>
      </c>
      <c r="F22" s="221" t="s">
        <v>26</v>
      </c>
      <c r="G22" s="226">
        <f>+'골재사업소(당월)'!G22+'[4]골재사업소(누계)'!G22</f>
        <v>49646</v>
      </c>
      <c r="H22" s="385">
        <f>+'골재사업소(당월)'!H22+'[4]골재사업소(누계)'!H22</f>
        <v>71200</v>
      </c>
      <c r="I22" s="229">
        <f t="shared" si="0"/>
        <v>21554</v>
      </c>
      <c r="J22" s="228">
        <f>+'골재사업소(당월)'!J22+'[4]골재사업소(누계)'!J22</f>
        <v>3963.3333333333335</v>
      </c>
      <c r="K22" s="385">
        <f>+'골재사업소(당월)'!K22+'[4]골재사업소(누계)'!K22</f>
        <v>640</v>
      </c>
      <c r="L22" s="227">
        <f t="shared" si="1"/>
        <v>-3323.3333333333335</v>
      </c>
      <c r="M22" s="228">
        <f>+'골재사업소(당월)'!M22+'[4]골재사업소(누계)'!M22</f>
        <v>0</v>
      </c>
      <c r="N22" s="385">
        <f>+'골재사업소(당월)'!N22+'[4]골재사업소(누계)'!N22</f>
        <v>0</v>
      </c>
      <c r="O22" s="227">
        <f t="shared" si="2"/>
        <v>0</v>
      </c>
      <c r="P22" s="414">
        <f t="shared" si="10"/>
        <v>53609.333333333336</v>
      </c>
      <c r="Q22" s="385">
        <f t="shared" si="10"/>
        <v>71840</v>
      </c>
      <c r="R22" s="415">
        <f t="shared" si="3"/>
        <v>18230.666666666664</v>
      </c>
      <c r="S22" s="226">
        <f>+'골재사업소(당월)'!S22+'[4]골재사업소(누계)'!S22</f>
        <v>0</v>
      </c>
      <c r="T22" s="385">
        <f>+'골재사업소(당월)'!T22+'[4]골재사업소(누계)'!T22</f>
        <v>1072</v>
      </c>
      <c r="U22" s="229">
        <f t="shared" si="4"/>
        <v>1072</v>
      </c>
      <c r="V22" s="228">
        <f>+'골재사업소(당월)'!V22+'[4]골재사업소(누계)'!V22</f>
        <v>13044.970967741938</v>
      </c>
      <c r="W22" s="385">
        <f>+'골재사업소(당월)'!W22+'[4]골재사업소(누계)'!W22</f>
        <v>24576</v>
      </c>
      <c r="X22" s="227">
        <f t="shared" si="5"/>
        <v>11531.029032258062</v>
      </c>
      <c r="Y22" s="414">
        <f t="shared" si="11"/>
        <v>13044.970967741938</v>
      </c>
      <c r="Z22" s="385">
        <f t="shared" si="11"/>
        <v>25648</v>
      </c>
      <c r="AA22" s="415">
        <f t="shared" si="6"/>
        <v>12603.029032258062</v>
      </c>
      <c r="AB22" s="227">
        <f>+'골재사업소(당월)'!AB22+'[4]골재사업소(누계)'!AB22</f>
        <v>17529.510489510489</v>
      </c>
      <c r="AC22" s="385">
        <f>+'골재사업소(당월)'!AC22+'[4]골재사업소(누계)'!AC22</f>
        <v>15552</v>
      </c>
      <c r="AD22" s="227">
        <f t="shared" si="7"/>
        <v>-1977.5104895104887</v>
      </c>
      <c r="AE22" s="414">
        <f t="shared" si="12"/>
        <v>84183.814790585762</v>
      </c>
      <c r="AF22" s="385">
        <f t="shared" si="12"/>
        <v>113040</v>
      </c>
      <c r="AG22" s="415">
        <f t="shared" si="8"/>
        <v>28856.185209414238</v>
      </c>
      <c r="AI22" s="99">
        <f>+AE20-AI20</f>
        <v>0</v>
      </c>
      <c r="AJ22" s="99">
        <f>+AF20-AJ20</f>
        <v>9.9998433142900467E-6</v>
      </c>
    </row>
    <row r="23" spans="4:36" ht="24" customHeight="1">
      <c r="D23" s="76"/>
      <c r="E23" s="166"/>
      <c r="F23" s="221" t="s">
        <v>27</v>
      </c>
      <c r="G23" s="226">
        <f>+'골재사업소(당월)'!G23+'[4]골재사업소(누계)'!G23</f>
        <v>2656</v>
      </c>
      <c r="H23" s="385">
        <f>+'골재사업소(당월)'!H23+'[4]골재사업소(누계)'!H23</f>
        <v>6704</v>
      </c>
      <c r="I23" s="229">
        <f t="shared" si="0"/>
        <v>4048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1"/>
        <v>0</v>
      </c>
      <c r="M23" s="228">
        <f>+'골재사업소(당월)'!M23+'[4]골재사업소(누계)'!M23</f>
        <v>0</v>
      </c>
      <c r="N23" s="385">
        <f>+'골재사업소(당월)'!N23+'[4]골재사업소(누계)'!N23</f>
        <v>0</v>
      </c>
      <c r="O23" s="227">
        <f t="shared" si="2"/>
        <v>0</v>
      </c>
      <c r="P23" s="414">
        <f t="shared" si="10"/>
        <v>2656</v>
      </c>
      <c r="Q23" s="385">
        <f t="shared" si="10"/>
        <v>6704</v>
      </c>
      <c r="R23" s="415">
        <f t="shared" si="3"/>
        <v>4048</v>
      </c>
      <c r="S23" s="226">
        <f>+'골재사업소(당월)'!S23+'[4]골재사업소(누계)'!S23</f>
        <v>0</v>
      </c>
      <c r="T23" s="385">
        <f>+'골재사업소(당월)'!T23+'[4]골재사업소(누계)'!T23</f>
        <v>0</v>
      </c>
      <c r="U23" s="229">
        <f t="shared" si="4"/>
        <v>0</v>
      </c>
      <c r="V23" s="228">
        <f>+'골재사업소(당월)'!V23+'[4]골재사업소(누계)'!V23</f>
        <v>0</v>
      </c>
      <c r="W23" s="385">
        <f>+'골재사업소(당월)'!W23+'[4]골재사업소(누계)'!W23</f>
        <v>0</v>
      </c>
      <c r="X23" s="227">
        <f t="shared" si="5"/>
        <v>0</v>
      </c>
      <c r="Y23" s="414">
        <f t="shared" si="11"/>
        <v>0</v>
      </c>
      <c r="Z23" s="385">
        <f t="shared" si="11"/>
        <v>0</v>
      </c>
      <c r="AA23" s="415">
        <f t="shared" si="6"/>
        <v>0</v>
      </c>
      <c r="AB23" s="227">
        <f>+'골재사업소(당월)'!AB23+'[4]골재사업소(누계)'!AB23</f>
        <v>12090.909090909092</v>
      </c>
      <c r="AC23" s="385">
        <f>+'골재사업소(당월)'!AC23+'[4]골재사업소(누계)'!AC23</f>
        <v>0</v>
      </c>
      <c r="AD23" s="227">
        <f t="shared" si="7"/>
        <v>-12090.909090909092</v>
      </c>
      <c r="AE23" s="414">
        <f t="shared" si="12"/>
        <v>14746.909090909092</v>
      </c>
      <c r="AF23" s="385">
        <f t="shared" si="12"/>
        <v>6704</v>
      </c>
      <c r="AG23" s="415">
        <f t="shared" si="8"/>
        <v>-8042.9090909090919</v>
      </c>
    </row>
    <row r="24" spans="4:36" ht="24" customHeight="1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0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1"/>
        <v>0</v>
      </c>
      <c r="M24" s="228">
        <f>+'골재사업소(당월)'!M24+'[4]골재사업소(누계)'!M24</f>
        <v>0</v>
      </c>
      <c r="N24" s="385">
        <f>+'골재사업소(당월)'!N24+'[4]골재사업소(누계)'!N24</f>
        <v>0</v>
      </c>
      <c r="O24" s="227">
        <f t="shared" si="2"/>
        <v>0</v>
      </c>
      <c r="P24" s="414">
        <f t="shared" si="10"/>
        <v>0</v>
      </c>
      <c r="Q24" s="385">
        <f t="shared" si="10"/>
        <v>0</v>
      </c>
      <c r="R24" s="415">
        <f t="shared" si="3"/>
        <v>0</v>
      </c>
      <c r="S24" s="226">
        <f>+'골재사업소(당월)'!S24+'[4]골재사업소(누계)'!S24</f>
        <v>0</v>
      </c>
      <c r="T24" s="385">
        <f>+'골재사업소(당월)'!T24+'[4]골재사업소(누계)'!T24</f>
        <v>0</v>
      </c>
      <c r="U24" s="229">
        <f t="shared" si="4"/>
        <v>0</v>
      </c>
      <c r="V24" s="228">
        <f>+'골재사업소(당월)'!V24+'[4]골재사업소(누계)'!V24</f>
        <v>0</v>
      </c>
      <c r="W24" s="385">
        <f>+'골재사업소(당월)'!W24+'[4]골재사업소(누계)'!W24</f>
        <v>2064</v>
      </c>
      <c r="X24" s="227">
        <f t="shared" si="5"/>
        <v>2064</v>
      </c>
      <c r="Y24" s="414">
        <f t="shared" si="11"/>
        <v>0</v>
      </c>
      <c r="Z24" s="385">
        <f t="shared" si="11"/>
        <v>2064</v>
      </c>
      <c r="AA24" s="415">
        <f t="shared" si="6"/>
        <v>2064</v>
      </c>
      <c r="AB24" s="227">
        <f>+'골재사업소(당월)'!AB24+'[4]골재사업소(누계)'!AB24</f>
        <v>24318.88111888112</v>
      </c>
      <c r="AC24" s="385">
        <f>+'골재사업소(당월)'!AC24+'[4]골재사업소(누계)'!AC24</f>
        <v>0</v>
      </c>
      <c r="AD24" s="227">
        <f t="shared" si="7"/>
        <v>-24318.88111888112</v>
      </c>
      <c r="AE24" s="414">
        <f t="shared" si="12"/>
        <v>24318.88111888112</v>
      </c>
      <c r="AF24" s="385">
        <f t="shared" si="12"/>
        <v>2064</v>
      </c>
      <c r="AG24" s="415">
        <f t="shared" si="8"/>
        <v>-22254.88111888112</v>
      </c>
    </row>
    <row r="25" spans="4:36" ht="24" customHeight="1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0"/>
        <v>0</v>
      </c>
      <c r="J25" s="228">
        <f>+'골재사업소(당월)'!J25+'[4]골재사업소(누계)'!J25</f>
        <v>1024.4360533333333</v>
      </c>
      <c r="K25" s="385">
        <f>+'골재사업소(당월)'!K25+'[4]골재사업소(누계)'!K25</f>
        <v>1184</v>
      </c>
      <c r="L25" s="227">
        <f t="shared" si="1"/>
        <v>159.56394666666665</v>
      </c>
      <c r="M25" s="228">
        <f>+'골재사업소(당월)'!M25+'[4]골재사업소(누계)'!M25</f>
        <v>0</v>
      </c>
      <c r="N25" s="385">
        <f>+'골재사업소(당월)'!N25+'[4]골재사업소(누계)'!N25</f>
        <v>0</v>
      </c>
      <c r="O25" s="227">
        <f t="shared" si="2"/>
        <v>0</v>
      </c>
      <c r="P25" s="414">
        <f t="shared" si="10"/>
        <v>1024.4360533333333</v>
      </c>
      <c r="Q25" s="385">
        <f t="shared" si="10"/>
        <v>1184</v>
      </c>
      <c r="R25" s="415">
        <f t="shared" si="3"/>
        <v>159.56394666666665</v>
      </c>
      <c r="S25" s="226">
        <f>+'골재사업소(당월)'!S25+'[4]골재사업소(누계)'!S25</f>
        <v>0</v>
      </c>
      <c r="T25" s="385">
        <f>+'골재사업소(당월)'!T25+'[4]골재사업소(누계)'!T25</f>
        <v>0</v>
      </c>
      <c r="U25" s="229">
        <f t="shared" si="4"/>
        <v>0</v>
      </c>
      <c r="V25" s="228">
        <f>+'골재사업소(당월)'!V25+'[4]골재사업소(누계)'!V25</f>
        <v>0</v>
      </c>
      <c r="W25" s="385">
        <f>+'골재사업소(당월)'!W25+'[4]골재사업소(누계)'!W25</f>
        <v>240</v>
      </c>
      <c r="X25" s="227">
        <f t="shared" si="5"/>
        <v>240</v>
      </c>
      <c r="Y25" s="414">
        <f t="shared" si="11"/>
        <v>0</v>
      </c>
      <c r="Z25" s="385">
        <f t="shared" si="11"/>
        <v>240</v>
      </c>
      <c r="AA25" s="415">
        <f t="shared" si="6"/>
        <v>240</v>
      </c>
      <c r="AB25" s="227">
        <f>+'골재사업소(당월)'!AB25+'[4]골재사업소(누계)'!AB25</f>
        <v>6062.1468531468527</v>
      </c>
      <c r="AC25" s="385">
        <f>+'골재사업소(당월)'!AC25+'[4]골재사업소(누계)'!AC25</f>
        <v>12560</v>
      </c>
      <c r="AD25" s="227">
        <f t="shared" si="7"/>
        <v>6497.8531468531473</v>
      </c>
      <c r="AE25" s="414">
        <f t="shared" si="12"/>
        <v>7086.5829064801856</v>
      </c>
      <c r="AF25" s="385">
        <f t="shared" si="12"/>
        <v>13984</v>
      </c>
      <c r="AG25" s="415">
        <f t="shared" si="8"/>
        <v>6897.4170935198144</v>
      </c>
    </row>
    <row r="26" spans="4:36" ht="24" customHeight="1">
      <c r="D26" s="76"/>
      <c r="E26" s="166"/>
      <c r="F26" s="221" t="s">
        <v>30</v>
      </c>
      <c r="G26" s="226">
        <f>+'골재사업소(당월)'!G26+'[4]골재사업소(누계)'!G26</f>
        <v>1954.2</v>
      </c>
      <c r="H26" s="385">
        <f>+'골재사업소(당월)'!H26+'[4]골재사업소(누계)'!H26</f>
        <v>3504</v>
      </c>
      <c r="I26" s="229">
        <f t="shared" si="0"/>
        <v>1549.8</v>
      </c>
      <c r="J26" s="228">
        <f>+'골재사업소(당월)'!J26+'[4]골재사업소(누계)'!J26</f>
        <v>1129.3333333333333</v>
      </c>
      <c r="K26" s="385">
        <f>+'골재사업소(당월)'!K26+'[4]골재사업소(누계)'!K26</f>
        <v>240</v>
      </c>
      <c r="L26" s="227">
        <f t="shared" si="1"/>
        <v>-889.33333333333326</v>
      </c>
      <c r="M26" s="228">
        <f>+'골재사업소(당월)'!M26+'[4]골재사업소(누계)'!M26</f>
        <v>0</v>
      </c>
      <c r="N26" s="385">
        <f>+'골재사업소(당월)'!N26+'[4]골재사업소(누계)'!N26</f>
        <v>0</v>
      </c>
      <c r="O26" s="227">
        <f t="shared" si="2"/>
        <v>0</v>
      </c>
      <c r="P26" s="414">
        <f t="shared" si="10"/>
        <v>3083.5333333333333</v>
      </c>
      <c r="Q26" s="383">
        <f t="shared" si="10"/>
        <v>3744</v>
      </c>
      <c r="R26" s="433">
        <f t="shared" si="3"/>
        <v>660.4666666666667</v>
      </c>
      <c r="S26" s="226">
        <f>+'골재사업소(당월)'!S26+'[4]골재사업소(누계)'!S26</f>
        <v>0</v>
      </c>
      <c r="T26" s="385">
        <f>+'골재사업소(당월)'!T26+'[4]골재사업소(누계)'!T26</f>
        <v>0</v>
      </c>
      <c r="U26" s="229">
        <f t="shared" si="4"/>
        <v>0</v>
      </c>
      <c r="V26" s="228">
        <f>+'골재사업소(당월)'!V26+'[4]골재사업소(누계)'!V26</f>
        <v>0</v>
      </c>
      <c r="W26" s="385">
        <f>+'골재사업소(당월)'!W26+'[4]골재사업소(누계)'!W26</f>
        <v>0</v>
      </c>
      <c r="X26" s="227">
        <f t="shared" si="5"/>
        <v>0</v>
      </c>
      <c r="Y26" s="414">
        <f t="shared" si="11"/>
        <v>0</v>
      </c>
      <c r="Z26" s="383">
        <f t="shared" si="11"/>
        <v>0</v>
      </c>
      <c r="AA26" s="433">
        <f t="shared" si="6"/>
        <v>0</v>
      </c>
      <c r="AB26" s="227">
        <f>+'골재사업소(당월)'!AB26+'[4]골재사업소(누계)'!AB26</f>
        <v>0</v>
      </c>
      <c r="AC26" s="385">
        <f>+'골재사업소(당월)'!AC26+'[4]골재사업소(누계)'!AC26</f>
        <v>0</v>
      </c>
      <c r="AD26" s="227">
        <f t="shared" si="7"/>
        <v>0</v>
      </c>
      <c r="AE26" s="414">
        <f t="shared" si="12"/>
        <v>3083.5333333333333</v>
      </c>
      <c r="AF26" s="383">
        <f t="shared" si="12"/>
        <v>3744</v>
      </c>
      <c r="AG26" s="415">
        <f t="shared" si="8"/>
        <v>660.4666666666667</v>
      </c>
    </row>
    <row r="27" spans="4:36" ht="24" customHeight="1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13">IFERROR(H35/H21,)*1000</f>
        <v>12500</v>
      </c>
      <c r="I27" s="193">
        <f t="shared" si="0"/>
        <v>12500</v>
      </c>
      <c r="J27" s="223">
        <f t="shared" ref="J27:K27" si="14">IFERROR(J35/J21,)*1000</f>
        <v>0</v>
      </c>
      <c r="K27" s="386">
        <f t="shared" si="14"/>
        <v>0</v>
      </c>
      <c r="L27" s="205">
        <f t="shared" si="1"/>
        <v>0</v>
      </c>
      <c r="M27" s="223">
        <f t="shared" ref="M27:N27" si="15">IFERROR(M35/M21,)*1000</f>
        <v>0</v>
      </c>
      <c r="N27" s="386">
        <f t="shared" si="15"/>
        <v>0</v>
      </c>
      <c r="O27" s="205">
        <f t="shared" si="2"/>
        <v>0</v>
      </c>
      <c r="P27" s="428">
        <f>+IFERROR(HLOOKUP($A$1,[14]손익!$G$5:$AB$252,48,),)</f>
        <v>9000</v>
      </c>
      <c r="Q27" s="424">
        <f t="shared" ref="Q27:Q32" si="16">IFERROR(Q35/Q21,)*1000</f>
        <v>12500</v>
      </c>
      <c r="R27" s="434">
        <f t="shared" si="3"/>
        <v>3500</v>
      </c>
      <c r="S27" s="192">
        <f t="shared" ref="S27:T27" si="17">IFERROR(S35/S21,)*1000</f>
        <v>16000</v>
      </c>
      <c r="T27" s="386">
        <f t="shared" si="17"/>
        <v>17500</v>
      </c>
      <c r="U27" s="193">
        <f t="shared" si="4"/>
        <v>1500</v>
      </c>
      <c r="V27" s="223">
        <f t="shared" ref="V27:W27" si="18">IFERROR(V35/V21,)*1000</f>
        <v>23000.000000000007</v>
      </c>
      <c r="W27" s="386">
        <f t="shared" si="18"/>
        <v>23500</v>
      </c>
      <c r="X27" s="205">
        <f t="shared" si="5"/>
        <v>499.99999999999272</v>
      </c>
      <c r="Y27" s="428">
        <f>+IFERROR(HLOOKUP($A$1,[15]손익!$G$5:$AB$252,48,),)</f>
        <v>18939.142971349174</v>
      </c>
      <c r="Z27" s="424">
        <f t="shared" ref="Z27:Z32" si="19">IFERROR(Z35/Z21,)*1000</f>
        <v>19975.785357605222</v>
      </c>
      <c r="AA27" s="434">
        <f t="shared" si="6"/>
        <v>1036.6423862560478</v>
      </c>
      <c r="AB27" s="205">
        <f t="shared" ref="AB27:AC27" si="20">IFERROR(AB35/AB21,)*1000</f>
        <v>32029.964488013149</v>
      </c>
      <c r="AC27" s="386">
        <f t="shared" si="20"/>
        <v>32447.243654645114</v>
      </c>
      <c r="AD27" s="205">
        <f t="shared" si="7"/>
        <v>417.27916663196447</v>
      </c>
      <c r="AE27" s="416">
        <f t="shared" ref="AE27:AE32" si="21">+AE35/AE21*1000</f>
        <v>21370.96088687719</v>
      </c>
      <c r="AF27" s="386">
        <f t="shared" ref="AF27:AF32" si="22">IFERROR(AF35/AF21,)*1000</f>
        <v>22200.965177119906</v>
      </c>
      <c r="AG27" s="417">
        <f t="shared" si="8"/>
        <v>830.0042902427158</v>
      </c>
    </row>
    <row r="28" spans="4:36" ht="24" customHeight="1">
      <c r="D28" s="76"/>
      <c r="E28" s="166" t="s">
        <v>131</v>
      </c>
      <c r="F28" s="221" t="s">
        <v>26</v>
      </c>
      <c r="G28" s="190">
        <f t="shared" ref="G28" si="23">IFERROR(G36/G22,)*1000</f>
        <v>16000</v>
      </c>
      <c r="H28" s="95">
        <f t="shared" si="13"/>
        <v>17000</v>
      </c>
      <c r="I28" s="191">
        <f t="shared" si="0"/>
        <v>1000</v>
      </c>
      <c r="J28" s="220">
        <f t="shared" ref="J28:K28" si="24">IFERROR(J36/J22,)*1000</f>
        <v>16917.560975609755</v>
      </c>
      <c r="K28" s="95">
        <f t="shared" si="24"/>
        <v>10500</v>
      </c>
      <c r="L28" s="196">
        <f t="shared" si="1"/>
        <v>-6417.5609756097547</v>
      </c>
      <c r="M28" s="220">
        <f t="shared" ref="M28:N28" si="25">IFERROR(M36/M22,)*1000</f>
        <v>0</v>
      </c>
      <c r="N28" s="95">
        <f t="shared" si="25"/>
        <v>0</v>
      </c>
      <c r="O28" s="196">
        <f t="shared" si="2"/>
        <v>0</v>
      </c>
      <c r="P28" s="429">
        <f>+IFERROR(HLOOKUP($A$1,[14]손익!$G$5:$AB$252,49,),)</f>
        <v>10555.727554179568</v>
      </c>
      <c r="Q28" s="425">
        <f t="shared" si="16"/>
        <v>16942.093541202674</v>
      </c>
      <c r="R28" s="435">
        <f t="shared" si="3"/>
        <v>6386.3659870231058</v>
      </c>
      <c r="S28" s="190">
        <f t="shared" ref="S28:T28" si="26">IFERROR(S36/S22,)*1000</f>
        <v>0</v>
      </c>
      <c r="T28" s="95">
        <f t="shared" si="26"/>
        <v>12000</v>
      </c>
      <c r="U28" s="191">
        <f t="shared" si="4"/>
        <v>12000</v>
      </c>
      <c r="V28" s="220">
        <f t="shared" ref="V28:W28" si="27">IFERROR(V36/V22,)*1000</f>
        <v>19000</v>
      </c>
      <c r="W28" s="95">
        <f t="shared" si="27"/>
        <v>20000</v>
      </c>
      <c r="X28" s="196">
        <f t="shared" si="5"/>
        <v>1000</v>
      </c>
      <c r="Y28" s="429">
        <f>+IFERROR(HLOOKUP($A$1,[15]손익!$G$5:$AB$252,49,),)</f>
        <v>19000</v>
      </c>
      <c r="Z28" s="425">
        <f t="shared" si="19"/>
        <v>19665.626949469744</v>
      </c>
      <c r="AA28" s="435">
        <f t="shared" si="6"/>
        <v>665.62694946974443</v>
      </c>
      <c r="AB28" s="196">
        <f t="shared" ref="AB28:AC28" si="28">IFERROR(AB36/AB22,)*1000</f>
        <v>28000.000000000004</v>
      </c>
      <c r="AC28" s="95">
        <f t="shared" si="28"/>
        <v>28006.130658436214</v>
      </c>
      <c r="AD28" s="196">
        <f t="shared" si="7"/>
        <v>6.1306584362100693</v>
      </c>
      <c r="AE28" s="418">
        <f t="shared" si="21"/>
        <v>19006.820722095126</v>
      </c>
      <c r="AF28" s="95">
        <f t="shared" si="22"/>
        <v>19082.230573248409</v>
      </c>
      <c r="AG28" s="419">
        <f t="shared" si="8"/>
        <v>75.409851153282943</v>
      </c>
    </row>
    <row r="29" spans="4:36" ht="24" customHeight="1">
      <c r="D29" s="76"/>
      <c r="E29" s="166"/>
      <c r="F29" s="221" t="s">
        <v>27</v>
      </c>
      <c r="G29" s="190">
        <f t="shared" ref="G29" si="29">IFERROR(G37/G23,)*1000</f>
        <v>10000</v>
      </c>
      <c r="H29" s="95">
        <f t="shared" si="13"/>
        <v>11500</v>
      </c>
      <c r="I29" s="191">
        <f t="shared" si="0"/>
        <v>1500</v>
      </c>
      <c r="J29" s="220">
        <f t="shared" ref="J29:K29" si="30">IFERROR(J37/J23,)*1000</f>
        <v>0</v>
      </c>
      <c r="K29" s="95">
        <f t="shared" si="30"/>
        <v>0</v>
      </c>
      <c r="L29" s="196">
        <f t="shared" si="1"/>
        <v>0</v>
      </c>
      <c r="M29" s="220">
        <f t="shared" ref="M29:N29" si="31">IFERROR(M37/M23,)*1000</f>
        <v>0</v>
      </c>
      <c r="N29" s="95">
        <f t="shared" si="31"/>
        <v>0</v>
      </c>
      <c r="O29" s="196">
        <f t="shared" si="2"/>
        <v>0</v>
      </c>
      <c r="P29" s="430">
        <f>+IFERROR(HLOOKUP($A$1,[14]손익!$G$5:$AB$252,50,),)</f>
        <v>0</v>
      </c>
      <c r="Q29" s="426">
        <f t="shared" si="16"/>
        <v>11500</v>
      </c>
      <c r="R29" s="435">
        <f t="shared" si="3"/>
        <v>11500</v>
      </c>
      <c r="S29" s="190">
        <f t="shared" ref="S29:T29" si="32">IFERROR(S37/S23,)*1000</f>
        <v>0</v>
      </c>
      <c r="T29" s="95">
        <f t="shared" si="32"/>
        <v>0</v>
      </c>
      <c r="U29" s="191">
        <f t="shared" si="4"/>
        <v>0</v>
      </c>
      <c r="V29" s="220">
        <f t="shared" ref="V29:W29" si="33">IFERROR(V37/V23,)*1000</f>
        <v>0</v>
      </c>
      <c r="W29" s="95">
        <f t="shared" si="33"/>
        <v>0</v>
      </c>
      <c r="X29" s="196">
        <f t="shared" si="5"/>
        <v>0</v>
      </c>
      <c r="Y29" s="430">
        <f>+IFERROR(HLOOKUP($A$1,[15]손익!$G$5:$AB$252,50,),)</f>
        <v>0</v>
      </c>
      <c r="Z29" s="426">
        <f t="shared" si="19"/>
        <v>0</v>
      </c>
      <c r="AA29" s="435">
        <f t="shared" si="6"/>
        <v>0</v>
      </c>
      <c r="AB29" s="196">
        <f t="shared" ref="AB29:AC29" si="34">IFERROR(AB37/AB23,)*1000</f>
        <v>27499.999999999996</v>
      </c>
      <c r="AC29" s="95">
        <f t="shared" si="34"/>
        <v>0</v>
      </c>
      <c r="AD29" s="196">
        <f t="shared" si="7"/>
        <v>-27499.999999999996</v>
      </c>
      <c r="AE29" s="418">
        <f t="shared" si="21"/>
        <v>24348.153079844156</v>
      </c>
      <c r="AF29" s="95">
        <f t="shared" si="22"/>
        <v>64743.427207637222</v>
      </c>
      <c r="AG29" s="419">
        <f t="shared" si="8"/>
        <v>40395.274127793062</v>
      </c>
    </row>
    <row r="30" spans="4:36" ht="24" customHeight="1">
      <c r="D30" s="76"/>
      <c r="E30" s="166"/>
      <c r="F30" s="221" t="s">
        <v>28</v>
      </c>
      <c r="G30" s="190">
        <f t="shared" ref="G30" si="35">IFERROR(G38/G24,)*1000</f>
        <v>0</v>
      </c>
      <c r="H30" s="95">
        <f t="shared" si="13"/>
        <v>0</v>
      </c>
      <c r="I30" s="191">
        <f t="shared" si="0"/>
        <v>0</v>
      </c>
      <c r="J30" s="220">
        <f t="shared" ref="J30:K30" si="36">IFERROR(J38/J24,)*1000</f>
        <v>0</v>
      </c>
      <c r="K30" s="95">
        <f t="shared" si="36"/>
        <v>0</v>
      </c>
      <c r="L30" s="196">
        <f t="shared" si="1"/>
        <v>0</v>
      </c>
      <c r="M30" s="220">
        <f t="shared" ref="M30:N30" si="37">IFERROR(M38/M24,)*1000</f>
        <v>0</v>
      </c>
      <c r="N30" s="95">
        <f t="shared" si="37"/>
        <v>0</v>
      </c>
      <c r="O30" s="196">
        <f t="shared" si="2"/>
        <v>0</v>
      </c>
      <c r="P30" s="430">
        <f>+IFERROR(HLOOKUP($A$1,[14]손익!$G$5:$AB$252,51,),)</f>
        <v>16408.562969710772</v>
      </c>
      <c r="Q30" s="55">
        <f t="shared" si="16"/>
        <v>0</v>
      </c>
      <c r="R30" s="436">
        <f t="shared" si="3"/>
        <v>-16408.562969710772</v>
      </c>
      <c r="S30" s="190">
        <f t="shared" ref="S30:T30" si="38">IFERROR(S38/S24,)*1000</f>
        <v>0</v>
      </c>
      <c r="T30" s="95">
        <f t="shared" si="38"/>
        <v>0</v>
      </c>
      <c r="U30" s="191">
        <f t="shared" si="4"/>
        <v>0</v>
      </c>
      <c r="V30" s="220">
        <f t="shared" ref="V30:W30" si="39">IFERROR(V38/V24,)*1000</f>
        <v>0</v>
      </c>
      <c r="W30" s="95">
        <f t="shared" si="39"/>
        <v>19000</v>
      </c>
      <c r="X30" s="196">
        <f t="shared" si="5"/>
        <v>19000</v>
      </c>
      <c r="Y30" s="430">
        <f>+IFERROR(HLOOKUP($A$1,[15]손익!$G$5:$AB$252,51,),)</f>
        <v>0</v>
      </c>
      <c r="Z30" s="55">
        <f t="shared" si="19"/>
        <v>19000</v>
      </c>
      <c r="AA30" s="436">
        <f t="shared" si="6"/>
        <v>19000</v>
      </c>
      <c r="AB30" s="196">
        <f t="shared" ref="AB30:AC30" si="40">IFERROR(AB38/AB24,)*1000</f>
        <v>29833.333333333336</v>
      </c>
      <c r="AC30" s="95">
        <f t="shared" si="40"/>
        <v>0</v>
      </c>
      <c r="AD30" s="196">
        <f t="shared" si="7"/>
        <v>-29833.333333333336</v>
      </c>
      <c r="AE30" s="418">
        <f t="shared" si="21"/>
        <v>29833.333333333336</v>
      </c>
      <c r="AF30" s="95">
        <f t="shared" si="22"/>
        <v>290756.00775193801</v>
      </c>
      <c r="AG30" s="419">
        <f t="shared" si="8"/>
        <v>260922.67441860467</v>
      </c>
    </row>
    <row r="31" spans="4:36" ht="24" customHeight="1">
      <c r="D31" s="76"/>
      <c r="E31" s="166"/>
      <c r="F31" s="221" t="s">
        <v>29</v>
      </c>
      <c r="G31" s="190">
        <f t="shared" ref="G31" si="41">IFERROR(G39/G25,)*1000</f>
        <v>0</v>
      </c>
      <c r="H31" s="95">
        <f t="shared" si="13"/>
        <v>0</v>
      </c>
      <c r="I31" s="191">
        <f t="shared" si="0"/>
        <v>0</v>
      </c>
      <c r="J31" s="220">
        <f t="shared" ref="J31:K31" si="42">IFERROR(J39/J25,)*1000</f>
        <v>14999.999999999998</v>
      </c>
      <c r="K31" s="95">
        <f t="shared" si="42"/>
        <v>9000</v>
      </c>
      <c r="L31" s="196">
        <f t="shared" si="1"/>
        <v>-5999.9999999999982</v>
      </c>
      <c r="M31" s="220">
        <f t="shared" ref="M31:N31" si="43">IFERROR(M39/M25,)*1000</f>
        <v>0</v>
      </c>
      <c r="N31" s="95">
        <f t="shared" si="43"/>
        <v>0</v>
      </c>
      <c r="O31" s="196">
        <f t="shared" si="2"/>
        <v>0</v>
      </c>
      <c r="P31" s="430">
        <f>+IFERROR(HLOOKUP($A$1,[14]손익!$G$5:$AB$252,52,),)</f>
        <v>10000</v>
      </c>
      <c r="Q31" s="55">
        <f t="shared" si="16"/>
        <v>9000</v>
      </c>
      <c r="R31" s="436">
        <f t="shared" si="3"/>
        <v>-1000</v>
      </c>
      <c r="S31" s="190">
        <f t="shared" ref="S31:T31" si="44">IFERROR(S39/S25,)*1000</f>
        <v>0</v>
      </c>
      <c r="T31" s="95">
        <f t="shared" si="44"/>
        <v>0</v>
      </c>
      <c r="U31" s="191">
        <f t="shared" si="4"/>
        <v>0</v>
      </c>
      <c r="V31" s="220">
        <f t="shared" ref="V31:W31" si="45">IFERROR(V39/V25,)*1000</f>
        <v>0</v>
      </c>
      <c r="W31" s="95">
        <f t="shared" si="45"/>
        <v>19000</v>
      </c>
      <c r="X31" s="196">
        <f t="shared" si="5"/>
        <v>19000</v>
      </c>
      <c r="Y31" s="430">
        <f>+IFERROR(HLOOKUP($A$1,[15]손익!$G$5:$AB$252,52,),)</f>
        <v>0</v>
      </c>
      <c r="Z31" s="55">
        <f t="shared" si="19"/>
        <v>19000</v>
      </c>
      <c r="AA31" s="436">
        <f t="shared" si="6"/>
        <v>19000</v>
      </c>
      <c r="AB31" s="196">
        <f t="shared" ref="AB31:AC31" si="46">IFERROR(AB39/AB25,)*1000</f>
        <v>29552.63200394054</v>
      </c>
      <c r="AC31" s="95">
        <f t="shared" si="46"/>
        <v>2573.8853503184714</v>
      </c>
      <c r="AD31" s="196">
        <f t="shared" si="7"/>
        <v>-26978.746653622067</v>
      </c>
      <c r="AE31" s="418">
        <f t="shared" si="21"/>
        <v>27448.904284605367</v>
      </c>
      <c r="AF31" s="95">
        <f t="shared" si="22"/>
        <v>3399.8855835240274</v>
      </c>
      <c r="AG31" s="419">
        <f t="shared" si="8"/>
        <v>-24049.018701081339</v>
      </c>
    </row>
    <row r="32" spans="4:36" ht="24" customHeight="1" thickBot="1">
      <c r="D32" s="76"/>
      <c r="E32" s="218"/>
      <c r="F32" s="217" t="s">
        <v>30</v>
      </c>
      <c r="G32" s="213">
        <f t="shared" ref="G32" si="47">IFERROR(G40/G26,)*1000</f>
        <v>10000</v>
      </c>
      <c r="H32" s="387">
        <f t="shared" si="13"/>
        <v>11500</v>
      </c>
      <c r="I32" s="216">
        <f t="shared" si="0"/>
        <v>1500</v>
      </c>
      <c r="J32" s="215">
        <f t="shared" ref="J32:K32" si="48">IFERROR(J40/J26,)*1000</f>
        <v>15000.000000000002</v>
      </c>
      <c r="K32" s="387">
        <f t="shared" si="48"/>
        <v>9000</v>
      </c>
      <c r="L32" s="214">
        <f t="shared" si="1"/>
        <v>-6000.0000000000018</v>
      </c>
      <c r="M32" s="215">
        <f t="shared" ref="M32:N32" si="49">IFERROR(M40/M26,)*1000</f>
        <v>0</v>
      </c>
      <c r="N32" s="387">
        <f t="shared" si="49"/>
        <v>0</v>
      </c>
      <c r="O32" s="214">
        <f t="shared" si="2"/>
        <v>0</v>
      </c>
      <c r="P32" s="431">
        <f>+IFERROR(HLOOKUP($A$1,[14]손익!$G$5:$AB$252,53,),)</f>
        <v>0</v>
      </c>
      <c r="Q32" s="427">
        <f t="shared" si="16"/>
        <v>11339.74358974359</v>
      </c>
      <c r="R32" s="437">
        <f t="shared" si="3"/>
        <v>11339.74358974359</v>
      </c>
      <c r="S32" s="213">
        <f t="shared" ref="S32:T32" si="50">IFERROR(S40/S26,)*1000</f>
        <v>0</v>
      </c>
      <c r="T32" s="387">
        <f t="shared" si="50"/>
        <v>0</v>
      </c>
      <c r="U32" s="216">
        <f t="shared" si="4"/>
        <v>0</v>
      </c>
      <c r="V32" s="215">
        <f t="shared" ref="V32:W32" si="51">IFERROR(V40/V26,)*1000</f>
        <v>0</v>
      </c>
      <c r="W32" s="387">
        <f t="shared" si="51"/>
        <v>0</v>
      </c>
      <c r="X32" s="214">
        <f t="shared" si="5"/>
        <v>0</v>
      </c>
      <c r="Y32" s="431">
        <f>+IFERROR(HLOOKUP($A$1,[15]손익!$G$5:$AB$252,53,),)</f>
        <v>0</v>
      </c>
      <c r="Z32" s="427">
        <f t="shared" si="19"/>
        <v>0</v>
      </c>
      <c r="AA32" s="437">
        <f t="shared" si="6"/>
        <v>0</v>
      </c>
      <c r="AB32" s="214">
        <f t="shared" ref="AB32:AC32" si="52">IFERROR(AB40/AB26,)*1000</f>
        <v>0</v>
      </c>
      <c r="AC32" s="387">
        <f t="shared" si="52"/>
        <v>0</v>
      </c>
      <c r="AD32" s="214">
        <f t="shared" si="7"/>
        <v>0</v>
      </c>
      <c r="AE32" s="420">
        <f t="shared" si="21"/>
        <v>11831.232568698248</v>
      </c>
      <c r="AF32" s="421">
        <f t="shared" si="22"/>
        <v>11339.74358974359</v>
      </c>
      <c r="AG32" s="422">
        <f t="shared" si="8"/>
        <v>-491.4889789546578</v>
      </c>
    </row>
    <row r="33" spans="5:33" ht="21.95" customHeight="1" thickTop="1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B33" s="76"/>
      <c r="AE33" s="76"/>
    </row>
    <row r="34" spans="5:33" ht="21.95" customHeight="1">
      <c r="J34" s="76"/>
      <c r="M34" s="76"/>
      <c r="V34" s="76"/>
      <c r="AB34" s="76"/>
      <c r="AC34" s="6" t="s">
        <v>164</v>
      </c>
      <c r="AE34" s="76"/>
    </row>
    <row r="35" spans="5:33" ht="21.95" customHeight="1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53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54">+Q35-P35</f>
        <v>52600</v>
      </c>
      <c r="S35" s="6">
        <f>+'골재사업소(당월)'!S35+'[4]골재사업소(누계)'!S35</f>
        <v>980816.04711784038</v>
      </c>
      <c r="T35" s="6">
        <f>+'골재사업소(당월)'!T35+'[4]골재사업소(누계)'!T35</f>
        <v>1167145</v>
      </c>
      <c r="U35" s="6">
        <f t="shared" ref="U35:U41" si="55">+T35-S35</f>
        <v>186328.95288215962</v>
      </c>
      <c r="V35" s="76">
        <f>+'골재사업소(당월)'!V35+'[4]골재사업소(누계)'!V35</f>
        <v>989925.73714138451</v>
      </c>
      <c r="W35" s="6">
        <f>+'골재사업소(당월)'!W35+'[4]골재사업소(누계)'!W35</f>
        <v>1101045.5</v>
      </c>
      <c r="X35" s="6">
        <f>+W35-V35</f>
        <v>111119.76285861549</v>
      </c>
      <c r="Y35" s="6">
        <f>SUM(S35,V35)</f>
        <v>1970741.7842592248</v>
      </c>
      <c r="Z35" s="6">
        <f t="shared" ref="Z35:Z41" si="56">SUM(T35,W35)</f>
        <v>2268190.5</v>
      </c>
      <c r="AA35" s="6">
        <f t="shared" ref="AA35:AA41" si="57">+Z35-Y35</f>
        <v>297448.71574077522</v>
      </c>
      <c r="AB35" s="438">
        <f>+'골재사업소(당월)'!AB35+'[4]골재사업소(누계)'!AB35</f>
        <v>778680.47513656737</v>
      </c>
      <c r="AC35" s="6">
        <f>+'골재사업소(당월)'!AC35+'[4]골재사업소(누계)'!AC35</f>
        <v>929386.4</v>
      </c>
      <c r="AE35" s="76">
        <f t="shared" ref="AE35:AF41" si="58">+P35+Y35+AB35</f>
        <v>2749422.2593957921</v>
      </c>
      <c r="AF35" s="76">
        <f t="shared" si="58"/>
        <v>3250176.9</v>
      </c>
      <c r="AG35" s="6">
        <f t="shared" ref="AG35:AG41" si="59">+AF35-AE35</f>
        <v>500754.64060420776</v>
      </c>
    </row>
    <row r="36" spans="5:33" ht="21.95" customHeight="1">
      <c r="E36" s="26" t="s">
        <v>77</v>
      </c>
      <c r="F36" s="432" t="s">
        <v>26</v>
      </c>
      <c r="G36" s="6">
        <f>+'골재사업소(당월)'!G36+'[4]골재사업소(누계)'!G36</f>
        <v>794336</v>
      </c>
      <c r="H36" s="6">
        <f>+'골재사업소(당월)'!H36+'[4]골재사업소(누계)'!H36</f>
        <v>1210400</v>
      </c>
      <c r="I36" s="6">
        <f t="shared" si="53"/>
        <v>416064</v>
      </c>
      <c r="J36" s="76">
        <f>+'골재사업소(당월)'!J36+'[4]골재사업소(누계)'!J36</f>
        <v>67049.93333333332</v>
      </c>
      <c r="K36" s="6">
        <f>+'골재사업소(당월)'!K36+'[4]골재사업소(누계)'!K36</f>
        <v>6720</v>
      </c>
      <c r="L36" s="6">
        <f t="shared" ref="L36:L41" si="60">+K36-J36</f>
        <v>-60329.93333333332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61">+N36-M36</f>
        <v>0</v>
      </c>
      <c r="P36" s="6">
        <f t="shared" ref="P36:Q41" si="62">SUM(G36,J36,M36)</f>
        <v>861385.93333333335</v>
      </c>
      <c r="Q36" s="6">
        <f t="shared" si="62"/>
        <v>1217120</v>
      </c>
      <c r="R36" s="6">
        <f t="shared" si="54"/>
        <v>355734.06666666665</v>
      </c>
      <c r="S36" s="6">
        <f>+'골재사업소(당월)'!S36+'[4]골재사업소(누계)'!S36</f>
        <v>0</v>
      </c>
      <c r="T36" s="6">
        <f>+'골재사업소(당월)'!T36+'[4]골재사업소(누계)'!T36</f>
        <v>12864</v>
      </c>
      <c r="U36" s="6">
        <f t="shared" si="55"/>
        <v>12864</v>
      </c>
      <c r="V36" s="76">
        <f>+'골재사업소(당월)'!V36+'[4]골재사업소(누계)'!V36</f>
        <v>247854.44838709681</v>
      </c>
      <c r="W36" s="6">
        <f>+'골재사업소(당월)'!W36+'[4]골재사업소(누계)'!W36</f>
        <v>491520</v>
      </c>
      <c r="X36" s="6">
        <f t="shared" ref="X36:X41" si="63">+W36-V36</f>
        <v>243665.55161290319</v>
      </c>
      <c r="Y36" s="6">
        <f t="shared" ref="Y36:Y41" si="64">SUM(S36,V36)</f>
        <v>247854.44838709681</v>
      </c>
      <c r="Z36" s="6">
        <f t="shared" si="56"/>
        <v>504384</v>
      </c>
      <c r="AA36" s="6">
        <f>+Z36-Y36</f>
        <v>256529.55161290319</v>
      </c>
      <c r="AB36" s="438">
        <f>+'골재사업소(당월)'!AB36+'[4]골재사업소(누계)'!AB36</f>
        <v>490826.29370629374</v>
      </c>
      <c r="AC36" s="6">
        <f>+'골재사업소(당월)'!AC36+'[4]골재사업소(누계)'!AC36</f>
        <v>435551.34399999998</v>
      </c>
      <c r="AE36" s="6">
        <f t="shared" si="58"/>
        <v>1600066.6754267239</v>
      </c>
      <c r="AF36" s="6">
        <f t="shared" si="58"/>
        <v>2157055.344</v>
      </c>
      <c r="AG36" s="6">
        <f t="shared" si="59"/>
        <v>556988.66857327614</v>
      </c>
    </row>
    <row r="37" spans="5:33" ht="21.95" customHeight="1">
      <c r="F37" s="432" t="s">
        <v>27</v>
      </c>
      <c r="G37" s="6">
        <f>+'골재사업소(당월)'!G37+'[4]골재사업소(누계)'!G37</f>
        <v>26560</v>
      </c>
      <c r="H37" s="6">
        <f>+'골재사업소(당월)'!H37+'[4]골재사업소(누계)'!H37</f>
        <v>77096</v>
      </c>
      <c r="I37" s="6">
        <f t="shared" si="53"/>
        <v>50536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60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61"/>
        <v>0</v>
      </c>
      <c r="P37" s="6">
        <f t="shared" si="62"/>
        <v>26560</v>
      </c>
      <c r="Q37" s="6">
        <f t="shared" si="62"/>
        <v>77096</v>
      </c>
      <c r="R37" s="6">
        <f t="shared" si="54"/>
        <v>50536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55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63"/>
        <v>0</v>
      </c>
      <c r="Y37" s="6">
        <f t="shared" si="64"/>
        <v>0</v>
      </c>
      <c r="Z37" s="6">
        <f t="shared" si="56"/>
        <v>0</v>
      </c>
      <c r="AA37" s="6">
        <f t="shared" si="57"/>
        <v>0</v>
      </c>
      <c r="AB37" s="438">
        <f>+'골재사업소(당월)'!AB37+'[4]골재사업소(누계)'!AB37</f>
        <v>332500</v>
      </c>
      <c r="AC37" s="6">
        <f>+'골재사업소(당월)'!AC37+'[4]골재사업소(누계)'!AC37</f>
        <v>356943.93599999999</v>
      </c>
      <c r="AE37" s="6">
        <f t="shared" si="58"/>
        <v>359060</v>
      </c>
      <c r="AF37" s="6">
        <f t="shared" si="58"/>
        <v>434039.93599999999</v>
      </c>
      <c r="AG37" s="6">
        <f t="shared" si="59"/>
        <v>74979.935999999987</v>
      </c>
    </row>
    <row r="38" spans="5:33" ht="21.95" customHeight="1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53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60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61"/>
        <v>0</v>
      </c>
      <c r="P38" s="6">
        <f t="shared" si="62"/>
        <v>0</v>
      </c>
      <c r="Q38" s="6">
        <f t="shared" si="62"/>
        <v>0</v>
      </c>
      <c r="R38" s="6">
        <f t="shared" si="54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55"/>
        <v>0</v>
      </c>
      <c r="V38" s="76">
        <f>+'골재사업소(당월)'!V38+'[4]골재사업소(누계)'!V38</f>
        <v>0</v>
      </c>
      <c r="W38" s="6">
        <f>+'골재사업소(당월)'!W38+'[4]골재사업소(누계)'!W38</f>
        <v>39216</v>
      </c>
      <c r="X38" s="6">
        <f t="shared" si="63"/>
        <v>39216</v>
      </c>
      <c r="Y38" s="6">
        <f t="shared" si="64"/>
        <v>0</v>
      </c>
      <c r="Z38" s="6">
        <f t="shared" si="56"/>
        <v>39216</v>
      </c>
      <c r="AA38" s="6">
        <f t="shared" si="57"/>
        <v>39216</v>
      </c>
      <c r="AB38" s="438">
        <f>+'골재사업소(당월)'!AB38+'[4]골재사업소(누계)'!AB38</f>
        <v>725513.28671328677</v>
      </c>
      <c r="AC38" s="6">
        <f>+'골재사업소(당월)'!AC38+'[4]골재사업소(누계)'!AC38</f>
        <v>560904.4</v>
      </c>
      <c r="AE38" s="6">
        <f t="shared" si="58"/>
        <v>725513.28671328677</v>
      </c>
      <c r="AF38" s="6">
        <f t="shared" si="58"/>
        <v>600120.4</v>
      </c>
      <c r="AG38" s="6">
        <f t="shared" si="59"/>
        <v>-125392.88671328675</v>
      </c>
    </row>
    <row r="39" spans="5:33" ht="21.95" customHeight="1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53"/>
        <v>0</v>
      </c>
      <c r="J39" s="76">
        <f>+'골재사업소(당월)'!J39+'[4]골재사업소(누계)'!J39</f>
        <v>15366.540799999999</v>
      </c>
      <c r="K39" s="6">
        <f>+'골재사업소(당월)'!K39+'[4]골재사업소(누계)'!K39</f>
        <v>10656</v>
      </c>
      <c r="L39" s="6">
        <f t="shared" si="60"/>
        <v>-4710.5407999999989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61"/>
        <v>0</v>
      </c>
      <c r="P39" s="6">
        <f t="shared" si="62"/>
        <v>15366.540799999999</v>
      </c>
      <c r="Q39" s="6">
        <f t="shared" si="62"/>
        <v>10656</v>
      </c>
      <c r="R39" s="6">
        <f t="shared" si="54"/>
        <v>-4710.5407999999989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55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63"/>
        <v>4560</v>
      </c>
      <c r="Y39" s="6">
        <f t="shared" si="64"/>
        <v>0</v>
      </c>
      <c r="Z39" s="6">
        <f t="shared" si="56"/>
        <v>4560</v>
      </c>
      <c r="AA39" s="6">
        <f t="shared" si="57"/>
        <v>4560</v>
      </c>
      <c r="AB39" s="438">
        <f>+'골재사업소(당월)'!AB39+'[4]골재사업소(누계)'!AB39</f>
        <v>179152.39510489511</v>
      </c>
      <c r="AC39" s="6">
        <f>+'골재사업소(당월)'!AC39+'[4]골재사업소(누계)'!AC39</f>
        <v>32328</v>
      </c>
      <c r="AE39" s="6">
        <f t="shared" si="58"/>
        <v>194518.9359048951</v>
      </c>
      <c r="AF39" s="6">
        <f t="shared" si="58"/>
        <v>47544</v>
      </c>
      <c r="AG39" s="6">
        <f t="shared" si="59"/>
        <v>-146974.9359048951</v>
      </c>
    </row>
    <row r="40" spans="5:33" ht="21.95" customHeight="1">
      <c r="F40" s="432" t="s">
        <v>30</v>
      </c>
      <c r="G40" s="6">
        <f>+'골재사업소(당월)'!G40+'[4]골재사업소(누계)'!G40</f>
        <v>19542</v>
      </c>
      <c r="H40" s="6">
        <f>+'골재사업소(당월)'!H40+'[4]골재사업소(누계)'!H40</f>
        <v>40296</v>
      </c>
      <c r="I40" s="6">
        <f t="shared" si="53"/>
        <v>20754</v>
      </c>
      <c r="J40" s="76">
        <f>+'골재사업소(당월)'!J40+'[4]골재사업소(누계)'!J40</f>
        <v>16940</v>
      </c>
      <c r="K40" s="6">
        <f>+'골재사업소(당월)'!K40+'[4]골재사업소(누계)'!K40</f>
        <v>2160</v>
      </c>
      <c r="L40" s="6">
        <f t="shared" si="60"/>
        <v>-14780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61"/>
        <v>0</v>
      </c>
      <c r="P40" s="6">
        <f t="shared" si="62"/>
        <v>36482</v>
      </c>
      <c r="Q40" s="6">
        <f t="shared" si="62"/>
        <v>42456</v>
      </c>
      <c r="R40" s="6">
        <f t="shared" si="54"/>
        <v>5974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55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63"/>
        <v>0</v>
      </c>
      <c r="Y40" s="6">
        <f t="shared" si="64"/>
        <v>0</v>
      </c>
      <c r="Z40" s="6">
        <f t="shared" si="56"/>
        <v>0</v>
      </c>
      <c r="AA40" s="6">
        <f t="shared" si="57"/>
        <v>0</v>
      </c>
      <c r="AB40" s="438">
        <f>+'골재사업소(당월)'!AB40+'[4]골재사업소(누계)'!AB40</f>
        <v>0</v>
      </c>
      <c r="AC40" s="6">
        <f>+'골재사업소(당월)'!AC40+'[4]골재사업소(누계)'!AC40</f>
        <v>0</v>
      </c>
      <c r="AE40" s="6">
        <f t="shared" si="58"/>
        <v>36482</v>
      </c>
      <c r="AF40" s="6">
        <f t="shared" si="58"/>
        <v>42456</v>
      </c>
      <c r="AG40" s="6">
        <f t="shared" si="59"/>
        <v>5974</v>
      </c>
    </row>
    <row r="41" spans="5:33" ht="21.95" customHeight="1">
      <c r="F41" s="432" t="s">
        <v>8</v>
      </c>
      <c r="G41" s="6">
        <f>SUM(G35:G40)</f>
        <v>840438</v>
      </c>
      <c r="H41" s="6">
        <f>SUM(H35:H40)</f>
        <v>1380392</v>
      </c>
      <c r="I41" s="6">
        <f t="shared" si="53"/>
        <v>539954</v>
      </c>
      <c r="J41" s="76">
        <f>SUM(J35:J40)</f>
        <v>99356.474133333322</v>
      </c>
      <c r="K41" s="76">
        <f>SUM(K35:K40)</f>
        <v>19536</v>
      </c>
      <c r="L41" s="6">
        <f t="shared" si="60"/>
        <v>-79820.474133333322</v>
      </c>
      <c r="M41" s="76">
        <f>SUM(M35:M40)</f>
        <v>0</v>
      </c>
      <c r="N41" s="76">
        <f>SUM(N35:N40)</f>
        <v>0</v>
      </c>
      <c r="O41" s="6">
        <f t="shared" si="61"/>
        <v>0</v>
      </c>
      <c r="P41" s="6">
        <f t="shared" si="62"/>
        <v>939794.47413333331</v>
      </c>
      <c r="Q41" s="6">
        <f t="shared" si="62"/>
        <v>1399928</v>
      </c>
      <c r="R41" s="6">
        <f t="shared" si="54"/>
        <v>460133.52586666669</v>
      </c>
      <c r="S41" s="6">
        <f>SUM(S35:S40)</f>
        <v>980816.04711784038</v>
      </c>
      <c r="T41" s="6">
        <f>SUM(T35:T40)</f>
        <v>1180009</v>
      </c>
      <c r="U41" s="6">
        <f t="shared" si="55"/>
        <v>199192.95288215962</v>
      </c>
      <c r="V41" s="76">
        <f>SUM(V35:V40)</f>
        <v>1237780.1855284814</v>
      </c>
      <c r="W41" s="76">
        <f>SUM(W35:W40)</f>
        <v>1636341.5</v>
      </c>
      <c r="X41" s="6">
        <f t="shared" si="63"/>
        <v>398561.31447151862</v>
      </c>
      <c r="Y41" s="6">
        <f t="shared" si="64"/>
        <v>2218596.2326463219</v>
      </c>
      <c r="Z41" s="6">
        <f t="shared" si="56"/>
        <v>2816350.5</v>
      </c>
      <c r="AA41" s="6">
        <f t="shared" si="57"/>
        <v>597754.26735367812</v>
      </c>
      <c r="AB41" s="6">
        <f>SUM(AB35:AB40)</f>
        <v>2506672.4506610427</v>
      </c>
      <c r="AC41" s="6">
        <f>SUM(AC35:AC40)</f>
        <v>2315114.08</v>
      </c>
      <c r="AE41" s="6">
        <f t="shared" si="58"/>
        <v>5665063.1574406978</v>
      </c>
      <c r="AF41" s="6">
        <f t="shared" si="58"/>
        <v>6531392.5800000001</v>
      </c>
      <c r="AG41" s="6">
        <f t="shared" si="59"/>
        <v>866329.4225593023</v>
      </c>
    </row>
    <row r="42" spans="5:33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</row>
    <row r="43" spans="5:33" ht="21.95" customHeight="1"/>
    <row r="44" spans="5:33" ht="21.95" customHeight="1"/>
    <row r="45" spans="5:33" ht="21.95" customHeight="1"/>
    <row r="46" spans="5:33" ht="21.95" customHeight="1"/>
    <row r="47" spans="5:33" ht="21.95" customHeight="1"/>
    <row r="48" spans="5:33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2024-07-25T03:53:16Z</cp:lastPrinted>
  <dcterms:created xsi:type="dcterms:W3CDTF">2018-12-20T00:38:36Z</dcterms:created>
  <dcterms:modified xsi:type="dcterms:W3CDTF">2024-09-04T08:00:47Z</dcterms:modified>
</cp:coreProperties>
</file>