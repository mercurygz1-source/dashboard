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412(최종)\00_보고서\"/>
    </mc:Choice>
  </mc:AlternateContent>
  <xr:revisionPtr revIDLastSave="0" documentId="13_ncr:1_{D7A22CEA-7AD9-4869-B849-1CB067896E0A}" xr6:coauthVersionLast="36" xr6:coauthVersionMax="36" xr10:uidLastSave="{00000000-0000-0000-0000-000000000000}"/>
  <bookViews>
    <workbookView xWindow="480" yWindow="75" windowWidth="27975" windowHeight="12495" activeTab="2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사업장별(당월)_공장 송부용" sheetId="46" r:id="rId5"/>
    <sheet name="사업장별(누계)_공장 송부용" sheetId="45" r:id="rId6"/>
    <sheet name="영업이익" sheetId="33" r:id="rId7"/>
    <sheet name="공헌이익" sheetId="34" r:id="rId8"/>
    <sheet name="재료비단가" sheetId="36" r:id="rId9"/>
    <sheet name="원단위" sheetId="37" r:id="rId10"/>
    <sheet name="건자재" sheetId="29" r:id="rId11"/>
    <sheet name="골재사업소(당월)" sheetId="41" r:id="rId12"/>
    <sheet name="골재사업소(누계)" sheetId="4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ASSUMPTIONS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2" hidden="1">{"Header",#N/A,TRUE,"Summary";"ProjectInfo",#N/A,TRUE,"Total Value"}</definedName>
    <definedName name="edsd" localSheetId="11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localSheetId="9" hidden="1">{"Header",#N/A,TRUE,"Summary";"ProjectInfo",#N/A,TRUE,"Total Value"}</definedName>
    <definedName name="edsd" localSheetId="8" hidden="1">{"Header",#N/A,TRUE,"Summary";"ProjectInfo",#N/A,TRUE,"Total Value"}</definedName>
    <definedName name="edsd" hidden="1">{"Header",#N/A,TRUE,"Summary";"ProjectInfo",#N/A,TRUE,"Total Value"}</definedName>
    <definedName name="f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2" hidden="1">{"Header",#N/A,TRUE,"Summary";"ProjectInfo",#N/A,TRUE,"Total Value"}</definedName>
    <definedName name="jijk" localSheetId="11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localSheetId="9" hidden="1">{"Header",#N/A,TRUE,"Summary";"ProjectInfo",#N/A,TRUE,"Total Value"}</definedName>
    <definedName name="jijk" localSheetId="8" hidden="1">{"Header",#N/A,TRUE,"Summary";"ProjectInfo",#N/A,TRUE,"Total Value"}</definedName>
    <definedName name="jijk" hidden="1">{"Header",#N/A,TRUE,"Summary";"ProjectInfo",#N/A,TRUE,"Total Value"}</definedName>
    <definedName name="jjj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10">건자재!$D$6:$O$34</definedName>
    <definedName name="_xlnm.Print_Area" localSheetId="12">'골재사업소(누계)'!$D$4:$AJ$33</definedName>
    <definedName name="_xlnm.Print_Area" localSheetId="11">'골재사업소(당월)'!$D$4:$AJ$33</definedName>
    <definedName name="_xlnm.Print_Area" localSheetId="7">공헌이익!$D$4:$V$29</definedName>
    <definedName name="_xlnm.Print_Area" localSheetId="3">'사업장별(누계)'!$H$3:$AG$43</definedName>
    <definedName name="_xlnm.Print_Area" localSheetId="5">'사업장별(누계)_공장 송부용'!$H$3:$AG$42</definedName>
    <definedName name="_xlnm.Print_Area" localSheetId="2">'사업장별(당월)'!$H$3:$AG$43</definedName>
    <definedName name="_xlnm.Print_Area" localSheetId="4">'사업장별(당월)_공장 송부용'!$H$3:$AG$42</definedName>
    <definedName name="_xlnm.Print_Area" localSheetId="1">손익총괄!$C$3:$X$36</definedName>
    <definedName name="_xlnm.Print_Area" localSheetId="6">영업이익!$D$4:$W$29</definedName>
    <definedName name="_xlnm.Print_Area" localSheetId="9">원단위!$D$4:$V$29</definedName>
    <definedName name="_xlnm.Print_Area" localSheetId="8">재료비단가!$D$4:$V$29</definedName>
    <definedName name="sa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2" hidden="1">{"Header",#N/A,TRUE,"Summary";"ProjectInfo",#N/A,TRUE,"Total Value"}</definedName>
    <definedName name="w" localSheetId="11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localSheetId="9" hidden="1">{"Header",#N/A,TRUE,"Summary";"ProjectInfo",#N/A,TRUE,"Total Value"}</definedName>
    <definedName name="w" localSheetId="8" hidden="1">{"Header",#N/A,TRUE,"Summary";"ProjectInfo",#N/A,TRUE,"Total Value"}</definedName>
    <definedName name="w" hidden="1">{"Header",#N/A,TRUE,"Summary";"ProjectInfo",#N/A,TRUE,"Total Value"}</definedName>
    <definedName name="wrn.iIMPRESSION._.DOC.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2" hidden="1">{"Header",#N/A,TRUE,"Summary";"ProjectInfo",#N/A,TRUE,"Total Value"}</definedName>
    <definedName name="wrn.SummaryReport." localSheetId="11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hidden="1">{"Header",#N/A,TRUE,"Summary";"ProjectInfo",#N/A,TRUE,"Total Value"}</definedName>
    <definedName name="ww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2" hidden="1">{"Header",#N/A,TRUE,"Summary";"ProjectInfo",#N/A,TRUE,"Total Value"}</definedName>
    <definedName name="ㅁㄴㄴㅇ" localSheetId="11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2" hidden="1">{"Header",#N/A,TRUE,"Summary";"ProjectInfo",#N/A,TRUE,"Total Value"}</definedName>
    <definedName name="ㅈㅇ" localSheetId="11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8" hidden="1">{"Header",#N/A,TRUE,"Summary";"ProjectInfo",#N/A,TRUE,"Total Value"}</definedName>
    <definedName name="ㅈㅇ" hidden="1">{"Header",#N/A,TRUE,"Summary";"ProjectInfo",#N/A,TRUE,"Total Value"}</definedName>
    <definedName name="차이분서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E11" i="37" l="1"/>
  <c r="Q10" i="37"/>
  <c r="E8" i="37"/>
  <c r="H8" i="36"/>
  <c r="F10" i="36"/>
  <c r="L10" i="36"/>
  <c r="I10" i="36"/>
  <c r="AA41" i="43"/>
  <c r="AF40" i="43"/>
  <c r="AA40" i="43"/>
  <c r="W40" i="43"/>
  <c r="T40" i="43"/>
  <c r="AC40" i="43" s="1"/>
  <c r="N40" i="43"/>
  <c r="N32" i="43" s="1"/>
  <c r="M40" i="43"/>
  <c r="K40" i="43"/>
  <c r="H40" i="43"/>
  <c r="AF39" i="43"/>
  <c r="AA39" i="43"/>
  <c r="W39" i="43"/>
  <c r="T39" i="43"/>
  <c r="N39" i="43"/>
  <c r="M39" i="43"/>
  <c r="K39" i="43"/>
  <c r="H39" i="43"/>
  <c r="Q39" i="43" s="1"/>
  <c r="AF38" i="43"/>
  <c r="AA38" i="43"/>
  <c r="W38" i="43"/>
  <c r="T38" i="43"/>
  <c r="AC38" i="43" s="1"/>
  <c r="N38" i="43"/>
  <c r="N30" i="43" s="1"/>
  <c r="M38" i="43"/>
  <c r="K38" i="43"/>
  <c r="H38" i="43"/>
  <c r="Q38" i="43" s="1"/>
  <c r="Q30" i="43" s="1"/>
  <c r="AF37" i="43"/>
  <c r="AA37" i="43"/>
  <c r="W37" i="43"/>
  <c r="T37" i="43"/>
  <c r="N37" i="43"/>
  <c r="M37" i="43"/>
  <c r="K37" i="43"/>
  <c r="H37" i="43"/>
  <c r="AF36" i="43"/>
  <c r="AA36" i="43"/>
  <c r="W36" i="43"/>
  <c r="T36" i="43"/>
  <c r="N36" i="43"/>
  <c r="N28" i="43" s="1"/>
  <c r="M36" i="43"/>
  <c r="K36" i="43"/>
  <c r="H36" i="43"/>
  <c r="AF35" i="43"/>
  <c r="AA35" i="43"/>
  <c r="W35" i="43"/>
  <c r="T35" i="43"/>
  <c r="AC35" i="43" s="1"/>
  <c r="N35" i="43"/>
  <c r="M35" i="43"/>
  <c r="K35" i="43"/>
  <c r="H35" i="43"/>
  <c r="H27" i="43" s="1"/>
  <c r="P32" i="43"/>
  <c r="P31" i="43"/>
  <c r="P30" i="43"/>
  <c r="P29" i="43"/>
  <c r="P28" i="43"/>
  <c r="P27" i="43"/>
  <c r="AF26" i="43"/>
  <c r="Z26" i="43"/>
  <c r="AA26" i="43" s="1"/>
  <c r="Y26" i="43"/>
  <c r="Y32" i="43" s="1"/>
  <c r="W26" i="43"/>
  <c r="T26" i="43"/>
  <c r="N26" i="43"/>
  <c r="M26" i="43"/>
  <c r="K26" i="43"/>
  <c r="H26" i="43"/>
  <c r="AF25" i="43"/>
  <c r="Z25" i="43"/>
  <c r="Z31" i="43" s="1"/>
  <c r="Y25" i="43"/>
  <c r="Y31" i="43" s="1"/>
  <c r="W25" i="43"/>
  <c r="T25" i="43"/>
  <c r="AC25" i="43" s="1"/>
  <c r="N25" i="43"/>
  <c r="O25" i="43" s="1"/>
  <c r="M25" i="43"/>
  <c r="M31" i="43" s="1"/>
  <c r="K25" i="43"/>
  <c r="H25" i="43"/>
  <c r="H31" i="43" s="1"/>
  <c r="AF24" i="43"/>
  <c r="Z24" i="43"/>
  <c r="AA24" i="43" s="1"/>
  <c r="Y24" i="43"/>
  <c r="Y30" i="43" s="1"/>
  <c r="W24" i="43"/>
  <c r="AC24" i="43" s="1"/>
  <c r="T24" i="43"/>
  <c r="N24" i="43"/>
  <c r="M24" i="43"/>
  <c r="K24" i="43"/>
  <c r="H24" i="43"/>
  <c r="Q24" i="43" s="1"/>
  <c r="AF23" i="43"/>
  <c r="Z23" i="43"/>
  <c r="Z29" i="43" s="1"/>
  <c r="Y23" i="43"/>
  <c r="Y29" i="43" s="1"/>
  <c r="W23" i="43"/>
  <c r="T23" i="43"/>
  <c r="T29" i="43" s="1"/>
  <c r="N23" i="43"/>
  <c r="M23" i="43"/>
  <c r="K23" i="43"/>
  <c r="H23" i="43"/>
  <c r="AF22" i="43"/>
  <c r="AF28" i="43" s="1"/>
  <c r="AA22" i="43"/>
  <c r="Z22" i="43"/>
  <c r="Z28" i="43" s="1"/>
  <c r="Y22" i="43"/>
  <c r="Y28" i="43" s="1"/>
  <c r="W22" i="43"/>
  <c r="W28" i="43" s="1"/>
  <c r="T22" i="43"/>
  <c r="N22" i="43"/>
  <c r="M22" i="43"/>
  <c r="K22" i="43"/>
  <c r="H22" i="43"/>
  <c r="AF21" i="43"/>
  <c r="Z21" i="43"/>
  <c r="Y21" i="43"/>
  <c r="Y27" i="43" s="1"/>
  <c r="W21" i="43"/>
  <c r="T21" i="43"/>
  <c r="N21" i="43"/>
  <c r="N27" i="43" s="1"/>
  <c r="M21" i="43"/>
  <c r="K21" i="43"/>
  <c r="H21" i="43"/>
  <c r="AF19" i="43"/>
  <c r="Z19" i="43"/>
  <c r="Y19" i="43"/>
  <c r="AA19" i="43" s="1"/>
  <c r="W19" i="43"/>
  <c r="T19" i="43"/>
  <c r="N19" i="43"/>
  <c r="K19" i="43"/>
  <c r="H19" i="43"/>
  <c r="AF18" i="43"/>
  <c r="Z18" i="43"/>
  <c r="Y18" i="43"/>
  <c r="W18" i="43"/>
  <c r="T18" i="43"/>
  <c r="N18" i="43"/>
  <c r="K18" i="43"/>
  <c r="K20" i="43" s="1"/>
  <c r="H18" i="43"/>
  <c r="AF15" i="43"/>
  <c r="Z15" i="43"/>
  <c r="Z16" i="43" s="1"/>
  <c r="Y15" i="43"/>
  <c r="W15" i="43"/>
  <c r="T15" i="43"/>
  <c r="N15" i="43"/>
  <c r="K15" i="43"/>
  <c r="H15" i="43"/>
  <c r="AF13" i="43"/>
  <c r="Z13" i="43"/>
  <c r="AA13" i="43" s="1"/>
  <c r="Y13" i="43"/>
  <c r="W13" i="43"/>
  <c r="T13" i="43"/>
  <c r="N13" i="43"/>
  <c r="K13" i="43"/>
  <c r="H13" i="43"/>
  <c r="Q13" i="43" s="1"/>
  <c r="K12" i="43"/>
  <c r="AF10" i="43"/>
  <c r="Z10" i="43"/>
  <c r="Y10" i="43"/>
  <c r="W10" i="43"/>
  <c r="T10" i="43"/>
  <c r="N10" i="43"/>
  <c r="K10" i="43"/>
  <c r="H10" i="43"/>
  <c r="AF8" i="43"/>
  <c r="Z8" i="43"/>
  <c r="Z14" i="43" s="1"/>
  <c r="Y8" i="43"/>
  <c r="W8" i="43"/>
  <c r="T8" i="43"/>
  <c r="N8" i="43"/>
  <c r="K8" i="43"/>
  <c r="H8" i="43"/>
  <c r="AI4" i="43"/>
  <c r="AF4" i="43"/>
  <c r="AC4" i="43"/>
  <c r="W4" i="43"/>
  <c r="T4" i="43"/>
  <c r="Q4" i="43"/>
  <c r="AI42" i="41"/>
  <c r="AF42" i="41"/>
  <c r="AC42" i="41"/>
  <c r="W42" i="41"/>
  <c r="T42" i="41"/>
  <c r="Q42" i="41"/>
  <c r="K42" i="41"/>
  <c r="H42" i="41"/>
  <c r="AI41" i="41"/>
  <c r="AF41" i="41"/>
  <c r="AC41" i="41"/>
  <c r="AA41" i="41"/>
  <c r="W41" i="41"/>
  <c r="T41" i="41"/>
  <c r="Q41" i="41"/>
  <c r="O41" i="41"/>
  <c r="K41" i="41"/>
  <c r="H41" i="41"/>
  <c r="AI40" i="41"/>
  <c r="AE40" i="41"/>
  <c r="AC40" i="41"/>
  <c r="AA40" i="41"/>
  <c r="W40" i="41"/>
  <c r="V40" i="41"/>
  <c r="X40" i="41" s="1"/>
  <c r="T40" i="41"/>
  <c r="S40" i="41"/>
  <c r="AB40" i="41" s="1"/>
  <c r="AD40" i="41" s="1"/>
  <c r="Q40" i="41"/>
  <c r="O40" i="41"/>
  <c r="K40" i="41"/>
  <c r="J40" i="41"/>
  <c r="H40" i="41"/>
  <c r="G40" i="41"/>
  <c r="I40" i="41" s="1"/>
  <c r="AI39" i="41"/>
  <c r="AF39" i="41"/>
  <c r="AE39" i="41"/>
  <c r="AC39" i="41"/>
  <c r="AA39" i="41"/>
  <c r="W39" i="41"/>
  <c r="V39" i="41"/>
  <c r="X39" i="41" s="1"/>
  <c r="T39" i="41"/>
  <c r="S39" i="41"/>
  <c r="AB39" i="41" s="1"/>
  <c r="AD39" i="41" s="1"/>
  <c r="Q39" i="41"/>
  <c r="O39" i="41"/>
  <c r="K39" i="41"/>
  <c r="J39" i="41"/>
  <c r="L39" i="41" s="1"/>
  <c r="H39" i="41"/>
  <c r="G39" i="41"/>
  <c r="I39" i="41" s="1"/>
  <c r="AI38" i="41"/>
  <c r="AF38" i="41"/>
  <c r="AE38" i="41"/>
  <c r="AC38" i="41"/>
  <c r="AA38" i="41"/>
  <c r="W38" i="41"/>
  <c r="V38" i="41"/>
  <c r="T38" i="41"/>
  <c r="S38" i="41"/>
  <c r="U38" i="41" s="1"/>
  <c r="Q38" i="41"/>
  <c r="O38" i="41"/>
  <c r="K38" i="41"/>
  <c r="J38" i="41"/>
  <c r="L38" i="41" s="1"/>
  <c r="H38" i="41"/>
  <c r="G38" i="41"/>
  <c r="AI37" i="41"/>
  <c r="AF37" i="41"/>
  <c r="AE37" i="41"/>
  <c r="AC37" i="41"/>
  <c r="AA37" i="41"/>
  <c r="W37" i="41"/>
  <c r="V37" i="41"/>
  <c r="AB37" i="41" s="1"/>
  <c r="AD37" i="41" s="1"/>
  <c r="T37" i="41"/>
  <c r="S37" i="41"/>
  <c r="U37" i="41" s="1"/>
  <c r="Q37" i="41"/>
  <c r="O37" i="41"/>
  <c r="L37" i="41"/>
  <c r="K37" i="41"/>
  <c r="J37" i="41"/>
  <c r="H37" i="41"/>
  <c r="G37" i="41"/>
  <c r="AI36" i="41"/>
  <c r="AF36" i="41"/>
  <c r="AE36" i="41"/>
  <c r="AE28" i="41" s="1"/>
  <c r="AC36" i="41"/>
  <c r="AA36" i="41"/>
  <c r="W36" i="41"/>
  <c r="V36" i="41"/>
  <c r="X36" i="41" s="1"/>
  <c r="T36" i="41"/>
  <c r="S36" i="41"/>
  <c r="AB36" i="41" s="1"/>
  <c r="AD36" i="41" s="1"/>
  <c r="Q36" i="41"/>
  <c r="O36" i="41"/>
  <c r="K36" i="41"/>
  <c r="J36" i="41"/>
  <c r="H36" i="41"/>
  <c r="G36" i="41"/>
  <c r="I36" i="41" s="1"/>
  <c r="AI35" i="41"/>
  <c r="AF35" i="41"/>
  <c r="AE35" i="41"/>
  <c r="AE27" i="41" s="1"/>
  <c r="AC35" i="41"/>
  <c r="AA35" i="41"/>
  <c r="X35" i="41"/>
  <c r="W35" i="41"/>
  <c r="V35" i="41"/>
  <c r="T35" i="41"/>
  <c r="S35" i="41"/>
  <c r="Q35" i="41"/>
  <c r="O35" i="41"/>
  <c r="L35" i="41"/>
  <c r="K35" i="41"/>
  <c r="J35" i="41"/>
  <c r="H35" i="41"/>
  <c r="G35" i="41"/>
  <c r="I35" i="41" s="1"/>
  <c r="AI32" i="41"/>
  <c r="AF32" i="41"/>
  <c r="AC32" i="41"/>
  <c r="AA32" i="41"/>
  <c r="Z32" i="41"/>
  <c r="W32" i="41"/>
  <c r="V32" i="41"/>
  <c r="X32" i="41" s="1"/>
  <c r="U32" i="41"/>
  <c r="T32" i="41"/>
  <c r="S32" i="41"/>
  <c r="Q32" i="41"/>
  <c r="P32" i="41"/>
  <c r="R32" i="41" s="1"/>
  <c r="O32" i="41"/>
  <c r="K32" i="41"/>
  <c r="J32" i="41"/>
  <c r="L32" i="41" s="1"/>
  <c r="I32" i="41"/>
  <c r="H32" i="41"/>
  <c r="G32" i="41"/>
  <c r="AI31" i="41"/>
  <c r="AF31" i="41"/>
  <c r="AE31" i="41"/>
  <c r="AC31" i="41"/>
  <c r="AA31" i="41"/>
  <c r="Z31" i="41"/>
  <c r="W31" i="41"/>
  <c r="V31" i="41"/>
  <c r="X31" i="41" s="1"/>
  <c r="T31" i="41"/>
  <c r="S31" i="41"/>
  <c r="AB31" i="41" s="1"/>
  <c r="AD31" i="41" s="1"/>
  <c r="Q31" i="41"/>
  <c r="P31" i="41"/>
  <c r="R31" i="41" s="1"/>
  <c r="O31" i="41"/>
  <c r="K31" i="41"/>
  <c r="J31" i="41"/>
  <c r="L31" i="41" s="1"/>
  <c r="H31" i="41"/>
  <c r="G31" i="41"/>
  <c r="I31" i="41" s="1"/>
  <c r="AI30" i="41"/>
  <c r="AF30" i="41"/>
  <c r="AC30" i="41"/>
  <c r="AA30" i="41"/>
  <c r="Z30" i="41"/>
  <c r="W30" i="41"/>
  <c r="V30" i="41"/>
  <c r="X30" i="41" s="1"/>
  <c r="T30" i="41"/>
  <c r="S30" i="41"/>
  <c r="Q30" i="41"/>
  <c r="P30" i="41"/>
  <c r="R30" i="41" s="1"/>
  <c r="O30" i="41"/>
  <c r="K30" i="41"/>
  <c r="J30" i="41"/>
  <c r="L30" i="41" s="1"/>
  <c r="H30" i="41"/>
  <c r="G30" i="41"/>
  <c r="I30" i="41" s="1"/>
  <c r="AI29" i="41"/>
  <c r="AF29" i="41"/>
  <c r="AC29" i="41"/>
  <c r="AA29" i="41"/>
  <c r="Z29" i="41"/>
  <c r="W29" i="41"/>
  <c r="V29" i="41"/>
  <c r="X29" i="41" s="1"/>
  <c r="T29" i="41"/>
  <c r="S29" i="41"/>
  <c r="U29" i="41" s="1"/>
  <c r="Q29" i="41"/>
  <c r="P29" i="41"/>
  <c r="R29" i="41" s="1"/>
  <c r="O29" i="41"/>
  <c r="K29" i="41"/>
  <c r="J29" i="41"/>
  <c r="L29" i="41" s="1"/>
  <c r="H29" i="41"/>
  <c r="G29" i="41"/>
  <c r="I29" i="41" s="1"/>
  <c r="AI28" i="41"/>
  <c r="AF28" i="41"/>
  <c r="AC28" i="41"/>
  <c r="AA28" i="41"/>
  <c r="Z28" i="41"/>
  <c r="W28" i="41"/>
  <c r="V28" i="41"/>
  <c r="X28" i="41" s="1"/>
  <c r="T28" i="41"/>
  <c r="S28" i="41"/>
  <c r="Q28" i="41"/>
  <c r="P28" i="41"/>
  <c r="R28" i="41" s="1"/>
  <c r="O28" i="41"/>
  <c r="K28" i="41"/>
  <c r="J28" i="41"/>
  <c r="L28" i="41" s="1"/>
  <c r="I28" i="41"/>
  <c r="H28" i="41"/>
  <c r="G28" i="41"/>
  <c r="AI27" i="41"/>
  <c r="AF27" i="41"/>
  <c r="AC27" i="41"/>
  <c r="AA27" i="41"/>
  <c r="Z27" i="41"/>
  <c r="W27" i="41"/>
  <c r="V27" i="41"/>
  <c r="X27" i="41" s="1"/>
  <c r="T27" i="41"/>
  <c r="S27" i="41"/>
  <c r="R27" i="41"/>
  <c r="Q27" i="41"/>
  <c r="P27" i="41"/>
  <c r="O27" i="41"/>
  <c r="K27" i="41"/>
  <c r="J27" i="41"/>
  <c r="L27" i="41" s="1"/>
  <c r="I27" i="41"/>
  <c r="H27" i="41"/>
  <c r="G27" i="41"/>
  <c r="AI26" i="41"/>
  <c r="AE26" i="41"/>
  <c r="AC26" i="41"/>
  <c r="AA26" i="41"/>
  <c r="Z26" i="41"/>
  <c r="W26" i="41"/>
  <c r="V26" i="41"/>
  <c r="X26" i="41" s="1"/>
  <c r="T26" i="41"/>
  <c r="S26" i="41"/>
  <c r="U26" i="41" s="1"/>
  <c r="Q26" i="41"/>
  <c r="O26" i="41"/>
  <c r="K26" i="41"/>
  <c r="J26" i="41"/>
  <c r="H26" i="41"/>
  <c r="G26" i="41"/>
  <c r="AI25" i="41"/>
  <c r="AF25" i="41"/>
  <c r="AE25" i="41"/>
  <c r="AC25" i="41"/>
  <c r="AA25" i="41"/>
  <c r="Z25" i="41"/>
  <c r="W25" i="41"/>
  <c r="V25" i="41"/>
  <c r="X25" i="41" s="1"/>
  <c r="T25" i="41"/>
  <c r="S25" i="41"/>
  <c r="Q25" i="41"/>
  <c r="O25" i="41"/>
  <c r="K25" i="41"/>
  <c r="J25" i="41"/>
  <c r="H25" i="41"/>
  <c r="G25" i="41"/>
  <c r="P25" i="41" s="1"/>
  <c r="AI24" i="41"/>
  <c r="AF24" i="41"/>
  <c r="AE24" i="41"/>
  <c r="AE30" i="41" s="1"/>
  <c r="AG30" i="41" s="1"/>
  <c r="AC24" i="41"/>
  <c r="AA24" i="41"/>
  <c r="Z24" i="41"/>
  <c r="W24" i="41"/>
  <c r="V24" i="41"/>
  <c r="X24" i="41" s="1"/>
  <c r="T24" i="41"/>
  <c r="S24" i="41"/>
  <c r="Q24" i="41"/>
  <c r="O24" i="41"/>
  <c r="K24" i="41"/>
  <c r="J24" i="41"/>
  <c r="L24" i="41" s="1"/>
  <c r="H24" i="41"/>
  <c r="G24" i="41"/>
  <c r="AI23" i="41"/>
  <c r="AF23" i="41"/>
  <c r="AE23" i="41"/>
  <c r="AG23" i="41" s="1"/>
  <c r="AC23" i="41"/>
  <c r="AA23" i="41"/>
  <c r="Z23" i="41"/>
  <c r="W23" i="41"/>
  <c r="V23" i="41"/>
  <c r="X23" i="41" s="1"/>
  <c r="T23" i="41"/>
  <c r="S23" i="41"/>
  <c r="U23" i="41" s="1"/>
  <c r="Q23" i="41"/>
  <c r="P23" i="41"/>
  <c r="R23" i="41" s="1"/>
  <c r="O23" i="41"/>
  <c r="K23" i="41"/>
  <c r="J23" i="41"/>
  <c r="L23" i="41" s="1"/>
  <c r="I23" i="41"/>
  <c r="H23" i="41"/>
  <c r="G23" i="41"/>
  <c r="AI22" i="41"/>
  <c r="AG22" i="41"/>
  <c r="AF22" i="41"/>
  <c r="AE22" i="41"/>
  <c r="AC22" i="41"/>
  <c r="AA22" i="41"/>
  <c r="Z22" i="41"/>
  <c r="W22" i="41"/>
  <c r="V22" i="41"/>
  <c r="T22" i="41"/>
  <c r="S22" i="41"/>
  <c r="U22" i="41" s="1"/>
  <c r="Q22" i="41"/>
  <c r="O22" i="41"/>
  <c r="K22" i="41"/>
  <c r="J22" i="41"/>
  <c r="L22" i="41" s="1"/>
  <c r="H22" i="41"/>
  <c r="G22" i="41"/>
  <c r="I22" i="41" s="1"/>
  <c r="AI21" i="41"/>
  <c r="AF21" i="41"/>
  <c r="AE21" i="41"/>
  <c r="AG21" i="41" s="1"/>
  <c r="AC21" i="41"/>
  <c r="AA21" i="41"/>
  <c r="Z21" i="41"/>
  <c r="W21" i="41"/>
  <c r="V21" i="41"/>
  <c r="U21" i="41"/>
  <c r="T21" i="41"/>
  <c r="S21" i="41"/>
  <c r="Q21" i="41"/>
  <c r="O21" i="41"/>
  <c r="K21" i="41"/>
  <c r="J21" i="41"/>
  <c r="H21" i="41"/>
  <c r="G21" i="41"/>
  <c r="I21" i="41" s="1"/>
  <c r="AI20" i="41"/>
  <c r="AF20" i="41"/>
  <c r="AC20" i="41"/>
  <c r="AA20" i="41"/>
  <c r="Z20" i="41"/>
  <c r="W20" i="41"/>
  <c r="T20" i="41"/>
  <c r="Q20" i="41"/>
  <c r="K20" i="41"/>
  <c r="H20" i="41"/>
  <c r="AI19" i="41"/>
  <c r="AF19" i="41"/>
  <c r="AE19" i="41"/>
  <c r="AG19" i="41" s="1"/>
  <c r="AC19" i="41"/>
  <c r="AA19" i="41"/>
  <c r="Z19" i="41"/>
  <c r="W19" i="41"/>
  <c r="V19" i="41"/>
  <c r="X19" i="41" s="1"/>
  <c r="T19" i="41"/>
  <c r="S19" i="41"/>
  <c r="Q19" i="41"/>
  <c r="O19" i="41"/>
  <c r="M19" i="41"/>
  <c r="K19" i="41"/>
  <c r="J19" i="41"/>
  <c r="H19" i="41"/>
  <c r="G19" i="41"/>
  <c r="AI18" i="41"/>
  <c r="AF18" i="41"/>
  <c r="AE18" i="41"/>
  <c r="AC18" i="41"/>
  <c r="AA18" i="41"/>
  <c r="Z18" i="41"/>
  <c r="W18" i="41"/>
  <c r="V18" i="41"/>
  <c r="T18" i="41"/>
  <c r="S18" i="41"/>
  <c r="AB18" i="41" s="1"/>
  <c r="Q18" i="41"/>
  <c r="O18" i="41"/>
  <c r="M18" i="41"/>
  <c r="K18" i="41"/>
  <c r="J18" i="41"/>
  <c r="J20" i="41" s="1"/>
  <c r="L20" i="41" s="1"/>
  <c r="H18" i="41"/>
  <c r="G18" i="41"/>
  <c r="G20" i="41" s="1"/>
  <c r="I20" i="41" s="1"/>
  <c r="AI17" i="41"/>
  <c r="AF17" i="41"/>
  <c r="AC17" i="41"/>
  <c r="AA17" i="41"/>
  <c r="Z17" i="41"/>
  <c r="W17" i="41"/>
  <c r="T17" i="41"/>
  <c r="S17" i="41"/>
  <c r="U17" i="41" s="1"/>
  <c r="Q17" i="41"/>
  <c r="K17" i="41"/>
  <c r="J17" i="41"/>
  <c r="L17" i="41" s="1"/>
  <c r="H17" i="41"/>
  <c r="AI16" i="41"/>
  <c r="AF16" i="41"/>
  <c r="AC16" i="41"/>
  <c r="AA16" i="41"/>
  <c r="Z16" i="41"/>
  <c r="W16" i="41"/>
  <c r="T16" i="41"/>
  <c r="Q16" i="41"/>
  <c r="K16" i="41"/>
  <c r="H16" i="41"/>
  <c r="AI15" i="41"/>
  <c r="AF15" i="41"/>
  <c r="AE15" i="41"/>
  <c r="AG15" i="41" s="1"/>
  <c r="AC15" i="41"/>
  <c r="AA15" i="41"/>
  <c r="Z15" i="41"/>
  <c r="W15" i="41"/>
  <c r="V15" i="41"/>
  <c r="V16" i="41" s="1"/>
  <c r="X16" i="41" s="1"/>
  <c r="U15" i="41"/>
  <c r="T15" i="41"/>
  <c r="S15" i="41"/>
  <c r="Q15" i="41"/>
  <c r="M15" i="41"/>
  <c r="O15" i="41" s="1"/>
  <c r="K15" i="41"/>
  <c r="J15" i="41"/>
  <c r="L15" i="41" s="1"/>
  <c r="H15" i="41"/>
  <c r="G15" i="41"/>
  <c r="I15" i="41" s="1"/>
  <c r="AI14" i="41"/>
  <c r="AF14" i="41"/>
  <c r="AC14" i="41"/>
  <c r="AA14" i="41"/>
  <c r="Z14" i="41"/>
  <c r="W14" i="41"/>
  <c r="T14" i="41"/>
  <c r="Q14" i="41"/>
  <c r="K14" i="41"/>
  <c r="H14" i="41"/>
  <c r="AI13" i="41"/>
  <c r="AF13" i="41"/>
  <c r="AE13" i="41"/>
  <c r="AG13" i="41" s="1"/>
  <c r="AC13" i="41"/>
  <c r="AA13" i="41"/>
  <c r="Z13" i="41"/>
  <c r="W13" i="41"/>
  <c r="V13" i="41"/>
  <c r="T13" i="41"/>
  <c r="S13" i="41"/>
  <c r="U13" i="41" s="1"/>
  <c r="Q13" i="41"/>
  <c r="M13" i="41"/>
  <c r="K13" i="41"/>
  <c r="J13" i="41"/>
  <c r="L13" i="41" s="1"/>
  <c r="H13" i="41"/>
  <c r="G13" i="41"/>
  <c r="I13" i="41" s="1"/>
  <c r="AI12" i="41"/>
  <c r="AF12" i="41"/>
  <c r="AC12" i="41"/>
  <c r="AA12" i="41"/>
  <c r="Z12" i="41"/>
  <c r="W12" i="41"/>
  <c r="T12" i="41"/>
  <c r="Q12" i="41"/>
  <c r="K12" i="41"/>
  <c r="H12" i="41"/>
  <c r="AI11" i="41"/>
  <c r="AF11" i="41"/>
  <c r="AC11" i="41"/>
  <c r="AA11" i="41"/>
  <c r="Z11" i="41"/>
  <c r="W11" i="41"/>
  <c r="T11" i="41"/>
  <c r="Q11" i="41"/>
  <c r="K11" i="41"/>
  <c r="H11" i="41"/>
  <c r="AI10" i="41"/>
  <c r="AF10" i="41"/>
  <c r="AE10" i="41"/>
  <c r="AG10" i="41" s="1"/>
  <c r="AC10" i="41"/>
  <c r="AA10" i="41"/>
  <c r="Z10" i="41"/>
  <c r="W10" i="41"/>
  <c r="V10" i="41"/>
  <c r="X10" i="41" s="1"/>
  <c r="T10" i="41"/>
  <c r="S10" i="41"/>
  <c r="Q10" i="41"/>
  <c r="M10" i="41"/>
  <c r="O10" i="41" s="1"/>
  <c r="K10" i="41"/>
  <c r="J10" i="41"/>
  <c r="H10" i="41"/>
  <c r="G10" i="41"/>
  <c r="AI9" i="41"/>
  <c r="AF9" i="41"/>
  <c r="AC9" i="41"/>
  <c r="AA9" i="41"/>
  <c r="Z9" i="41"/>
  <c r="W9" i="41"/>
  <c r="T9" i="41"/>
  <c r="Q9" i="41"/>
  <c r="K9" i="41"/>
  <c r="H9" i="41"/>
  <c r="AI8" i="41"/>
  <c r="AF8" i="41"/>
  <c r="AE8" i="41"/>
  <c r="AG8" i="41" s="1"/>
  <c r="AC8" i="41"/>
  <c r="AA8" i="41"/>
  <c r="Z8" i="41"/>
  <c r="W8" i="41"/>
  <c r="V8" i="41"/>
  <c r="V12" i="41" s="1"/>
  <c r="T8" i="41"/>
  <c r="S8" i="41"/>
  <c r="AB8" i="41" s="1"/>
  <c r="AD8" i="41" s="1"/>
  <c r="Q8" i="41"/>
  <c r="M8" i="41"/>
  <c r="M12" i="41" s="1"/>
  <c r="O12" i="41" s="1"/>
  <c r="K8" i="41"/>
  <c r="J8" i="41"/>
  <c r="H8" i="41"/>
  <c r="G8" i="41"/>
  <c r="P8" i="41" s="1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AO37" i="29"/>
  <c r="AN37" i="29"/>
  <c r="AM37" i="29"/>
  <c r="AL37" i="29"/>
  <c r="AK37" i="29"/>
  <c r="AJ37" i="29"/>
  <c r="AI37" i="29"/>
  <c r="AH37" i="29"/>
  <c r="AG37" i="29"/>
  <c r="AF37" i="29"/>
  <c r="AE37" i="29"/>
  <c r="AD37" i="29"/>
  <c r="AC37" i="29"/>
  <c r="AB37" i="29"/>
  <c r="AA37" i="29"/>
  <c r="Z37" i="29"/>
  <c r="I36" i="29"/>
  <c r="G36" i="29"/>
  <c r="F36" i="29"/>
  <c r="I25" i="29"/>
  <c r="G25" i="29"/>
  <c r="F25" i="29"/>
  <c r="I24" i="29"/>
  <c r="G24" i="29"/>
  <c r="F24" i="29"/>
  <c r="I16" i="29"/>
  <c r="G16" i="29"/>
  <c r="F16" i="29"/>
  <c r="I15" i="29"/>
  <c r="G15" i="29"/>
  <c r="G17" i="29" s="1"/>
  <c r="F15" i="29"/>
  <c r="H15" i="29" s="1"/>
  <c r="I13" i="29"/>
  <c r="I20" i="29" s="1"/>
  <c r="I21" i="29" s="1"/>
  <c r="G13" i="29"/>
  <c r="F13" i="29"/>
  <c r="I12" i="29"/>
  <c r="G12" i="29"/>
  <c r="F12" i="29"/>
  <c r="I10" i="29"/>
  <c r="G10" i="29"/>
  <c r="F10" i="29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M20" i="37" s="1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T11" i="37"/>
  <c r="Q11" i="37"/>
  <c r="N11" i="37"/>
  <c r="T10" i="37"/>
  <c r="N10" i="37"/>
  <c r="E10" i="37"/>
  <c r="T8" i="37"/>
  <c r="Q8" i="37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Q11" i="36"/>
  <c r="N11" i="36"/>
  <c r="L11" i="36"/>
  <c r="K11" i="36"/>
  <c r="H11" i="36"/>
  <c r="E11" i="36"/>
  <c r="T10" i="36"/>
  <c r="Q10" i="36"/>
  <c r="N10" i="36"/>
  <c r="K10" i="36"/>
  <c r="H10" i="36"/>
  <c r="Q9" i="36"/>
  <c r="N9" i="36"/>
  <c r="K9" i="36"/>
  <c r="H9" i="36"/>
  <c r="Q8" i="36"/>
  <c r="O8" i="36"/>
  <c r="K8" i="36"/>
  <c r="I8" i="36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M17" i="34" s="1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N11" i="34"/>
  <c r="K11" i="34"/>
  <c r="N10" i="34"/>
  <c r="K10" i="34"/>
  <c r="K8" i="34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L40" i="45"/>
  <c r="K40" i="45"/>
  <c r="J40" i="45"/>
  <c r="W39" i="45"/>
  <c r="U39" i="45"/>
  <c r="T39" i="45"/>
  <c r="R39" i="45"/>
  <c r="P39" i="45"/>
  <c r="O39" i="45"/>
  <c r="Q39" i="45" s="1"/>
  <c r="N39" i="45"/>
  <c r="N38" i="45"/>
  <c r="L38" i="45"/>
  <c r="P37" i="45"/>
  <c r="O37" i="45"/>
  <c r="M37" i="45"/>
  <c r="N37" i="45" s="1"/>
  <c r="T36" i="45"/>
  <c r="R36" i="45"/>
  <c r="P36" i="45"/>
  <c r="O36" i="45"/>
  <c r="N36" i="45"/>
  <c r="R35" i="45"/>
  <c r="P35" i="45"/>
  <c r="O35" i="45"/>
  <c r="N35" i="45"/>
  <c r="L35" i="45"/>
  <c r="N34" i="45"/>
  <c r="L34" i="45"/>
  <c r="N33" i="45"/>
  <c r="L33" i="45"/>
  <c r="AD27" i="45"/>
  <c r="AA27" i="45"/>
  <c r="AG27" i="45" s="1"/>
  <c r="AD26" i="45"/>
  <c r="AA26" i="45"/>
  <c r="AG26" i="45" s="1"/>
  <c r="AD25" i="45"/>
  <c r="AA25" i="45"/>
  <c r="AG25" i="45" s="1"/>
  <c r="AD24" i="45"/>
  <c r="AA24" i="45"/>
  <c r="AG24" i="45" s="1"/>
  <c r="AD23" i="45"/>
  <c r="AA23" i="45"/>
  <c r="AG23" i="45" s="1"/>
  <c r="AD22" i="45"/>
  <c r="AA22" i="45"/>
  <c r="AG22" i="45" s="1"/>
  <c r="AD21" i="45"/>
  <c r="AA21" i="45"/>
  <c r="AG21" i="45" s="1"/>
  <c r="AD20" i="45"/>
  <c r="AA20" i="45"/>
  <c r="AG20" i="45" s="1"/>
  <c r="AD19" i="45"/>
  <c r="AA19" i="45"/>
  <c r="AG19" i="45" s="1"/>
  <c r="AD18" i="45"/>
  <c r="AA18" i="45"/>
  <c r="AG18" i="45" s="1"/>
  <c r="AD17" i="45"/>
  <c r="AA17" i="45"/>
  <c r="AG17" i="45" s="1"/>
  <c r="AD16" i="45"/>
  <c r="AA16" i="45"/>
  <c r="AG16" i="45" s="1"/>
  <c r="AD15" i="45"/>
  <c r="AA15" i="45"/>
  <c r="AG15" i="45" s="1"/>
  <c r="AD14" i="45"/>
  <c r="AA14" i="45"/>
  <c r="AG14" i="45" s="1"/>
  <c r="AD13" i="45"/>
  <c r="AA13" i="45"/>
  <c r="AG13" i="45" s="1"/>
  <c r="AD12" i="45"/>
  <c r="AA12" i="45"/>
  <c r="AG12" i="45" s="1"/>
  <c r="AD11" i="45"/>
  <c r="AA11" i="45"/>
  <c r="AG11" i="45" s="1"/>
  <c r="AD10" i="45"/>
  <c r="AA10" i="45"/>
  <c r="AG10" i="45" s="1"/>
  <c r="AD9" i="45"/>
  <c r="AA9" i="45"/>
  <c r="AG9" i="45" s="1"/>
  <c r="AD8" i="45"/>
  <c r="AA8" i="45"/>
  <c r="AG8" i="45" s="1"/>
  <c r="AD7" i="45"/>
  <c r="AA7" i="45"/>
  <c r="AG7" i="45" s="1"/>
  <c r="W45" i="46"/>
  <c r="U45" i="46"/>
  <c r="T45" i="46"/>
  <c r="R45" i="46"/>
  <c r="P45" i="46"/>
  <c r="O45" i="46"/>
  <c r="M45" i="46"/>
  <c r="K45" i="46"/>
  <c r="J45" i="46"/>
  <c r="N40" i="46"/>
  <c r="M40" i="46"/>
  <c r="L40" i="46"/>
  <c r="K40" i="46"/>
  <c r="J40" i="46"/>
  <c r="V39" i="46"/>
  <c r="S39" i="46"/>
  <c r="Q39" i="46"/>
  <c r="N39" i="46"/>
  <c r="W38" i="46"/>
  <c r="U38" i="46"/>
  <c r="T38" i="46"/>
  <c r="R38" i="46"/>
  <c r="P38" i="46"/>
  <c r="O38" i="46"/>
  <c r="N38" i="46"/>
  <c r="L38" i="46"/>
  <c r="G38" i="46"/>
  <c r="W37" i="46"/>
  <c r="U37" i="46"/>
  <c r="T37" i="46"/>
  <c r="R37" i="46"/>
  <c r="S37" i="46" s="1"/>
  <c r="Q37" i="46"/>
  <c r="N37" i="46"/>
  <c r="M37" i="46"/>
  <c r="G37" i="46"/>
  <c r="U36" i="46"/>
  <c r="X36" i="46" s="1"/>
  <c r="S36" i="46"/>
  <c r="Q36" i="46"/>
  <c r="N36" i="46"/>
  <c r="G36" i="46"/>
  <c r="W35" i="46"/>
  <c r="U35" i="46"/>
  <c r="T35" i="46"/>
  <c r="S35" i="46"/>
  <c r="Q35" i="46"/>
  <c r="N35" i="46"/>
  <c r="L35" i="46"/>
  <c r="G35" i="46"/>
  <c r="W34" i="46"/>
  <c r="U34" i="46"/>
  <c r="T34" i="46"/>
  <c r="R34" i="46"/>
  <c r="P34" i="46"/>
  <c r="S34" i="46" s="1"/>
  <c r="O34" i="46"/>
  <c r="Q34" i="46" s="1"/>
  <c r="N34" i="46"/>
  <c r="L34" i="46"/>
  <c r="G34" i="46"/>
  <c r="W33" i="46"/>
  <c r="U33" i="46"/>
  <c r="T33" i="46"/>
  <c r="R33" i="46"/>
  <c r="P33" i="46"/>
  <c r="O33" i="46"/>
  <c r="N33" i="46"/>
  <c r="L33" i="46"/>
  <c r="G33" i="46"/>
  <c r="W31" i="46"/>
  <c r="V31" i="46"/>
  <c r="U31" i="46"/>
  <c r="T31" i="46"/>
  <c r="R31" i="46"/>
  <c r="P31" i="46"/>
  <c r="O31" i="46"/>
  <c r="M31" i="46"/>
  <c r="N31" i="46" s="1"/>
  <c r="K31" i="46"/>
  <c r="J31" i="46"/>
  <c r="G31" i="46"/>
  <c r="W30" i="46"/>
  <c r="U30" i="46"/>
  <c r="T30" i="46"/>
  <c r="R30" i="46"/>
  <c r="S30" i="46" s="1"/>
  <c r="P30" i="46"/>
  <c r="O30" i="46"/>
  <c r="M30" i="46"/>
  <c r="K30" i="46"/>
  <c r="J30" i="46"/>
  <c r="G30" i="46"/>
  <c r="W29" i="46"/>
  <c r="U29" i="46"/>
  <c r="T29" i="46"/>
  <c r="R29" i="46"/>
  <c r="R32" i="46" s="1"/>
  <c r="P29" i="46"/>
  <c r="O29" i="46"/>
  <c r="M29" i="46"/>
  <c r="K29" i="46"/>
  <c r="J29" i="46"/>
  <c r="G29" i="46"/>
  <c r="W28" i="46"/>
  <c r="X28" i="46" s="1"/>
  <c r="U28" i="46"/>
  <c r="T28" i="46"/>
  <c r="V28" i="46" s="1"/>
  <c r="R28" i="46"/>
  <c r="P28" i="46"/>
  <c r="O28" i="46"/>
  <c r="Q28" i="46" s="1"/>
  <c r="M28" i="46"/>
  <c r="K28" i="46"/>
  <c r="J28" i="46"/>
  <c r="AD27" i="46"/>
  <c r="AA27" i="46"/>
  <c r="AG27" i="46" s="1"/>
  <c r="AD26" i="46"/>
  <c r="AA26" i="46"/>
  <c r="AG26" i="46" s="1"/>
  <c r="G26" i="46"/>
  <c r="AD25" i="46"/>
  <c r="AA25" i="46"/>
  <c r="AG25" i="46" s="1"/>
  <c r="K25" i="46"/>
  <c r="G25" i="46"/>
  <c r="AD24" i="46"/>
  <c r="AA24" i="46"/>
  <c r="AG24" i="46" s="1"/>
  <c r="G24" i="46"/>
  <c r="AD23" i="46"/>
  <c r="AC23" i="46"/>
  <c r="AB23" i="46"/>
  <c r="AA23" i="46"/>
  <c r="AG23" i="46" s="1"/>
  <c r="Z23" i="46"/>
  <c r="Y23" i="46"/>
  <c r="W23" i="46"/>
  <c r="X23" i="46" s="1"/>
  <c r="U23" i="46"/>
  <c r="T23" i="46"/>
  <c r="R23" i="46"/>
  <c r="P23" i="46"/>
  <c r="O23" i="46"/>
  <c r="M23" i="46"/>
  <c r="K23" i="46"/>
  <c r="N23" i="46" s="1"/>
  <c r="J23" i="46"/>
  <c r="G23" i="46"/>
  <c r="AD22" i="46"/>
  <c r="AC22" i="46"/>
  <c r="AB22" i="46"/>
  <c r="AA22" i="46"/>
  <c r="AG22" i="46" s="1"/>
  <c r="Z22" i="46"/>
  <c r="Y22" i="46"/>
  <c r="W22" i="46"/>
  <c r="U22" i="46"/>
  <c r="T22" i="46"/>
  <c r="R22" i="46"/>
  <c r="S22" i="46" s="1"/>
  <c r="P22" i="46"/>
  <c r="O22" i="46"/>
  <c r="M22" i="46"/>
  <c r="K22" i="46"/>
  <c r="N22" i="46" s="1"/>
  <c r="J22" i="46"/>
  <c r="G22" i="46"/>
  <c r="AD21" i="46"/>
  <c r="AC21" i="46"/>
  <c r="AB21" i="46"/>
  <c r="AA21" i="46"/>
  <c r="AG21" i="46" s="1"/>
  <c r="Z21" i="46"/>
  <c r="Y21" i="46"/>
  <c r="W21" i="46"/>
  <c r="X21" i="46" s="1"/>
  <c r="U21" i="46"/>
  <c r="T21" i="46"/>
  <c r="V21" i="46" s="1"/>
  <c r="R21" i="46"/>
  <c r="P21" i="46"/>
  <c r="O21" i="46"/>
  <c r="M21" i="46"/>
  <c r="K21" i="46"/>
  <c r="J21" i="46"/>
  <c r="G21" i="46"/>
  <c r="AD20" i="46"/>
  <c r="AC20" i="46"/>
  <c r="AB20" i="46"/>
  <c r="AA20" i="46"/>
  <c r="AG20" i="46" s="1"/>
  <c r="Z20" i="46"/>
  <c r="Y20" i="46"/>
  <c r="W20" i="46"/>
  <c r="U20" i="46"/>
  <c r="X20" i="46" s="1"/>
  <c r="T20" i="46"/>
  <c r="R20" i="46"/>
  <c r="P20" i="46"/>
  <c r="O20" i="46"/>
  <c r="M20" i="46"/>
  <c r="K20" i="46"/>
  <c r="J20" i="46"/>
  <c r="G20" i="46"/>
  <c r="AD19" i="46"/>
  <c r="AC19" i="46"/>
  <c r="AB19" i="46"/>
  <c r="AA19" i="46"/>
  <c r="AG19" i="46" s="1"/>
  <c r="Z19" i="46"/>
  <c r="Y19" i="46"/>
  <c r="W19" i="46"/>
  <c r="U19" i="46"/>
  <c r="T19" i="46"/>
  <c r="R19" i="46"/>
  <c r="P19" i="46"/>
  <c r="O19" i="46"/>
  <c r="M19" i="46"/>
  <c r="K19" i="46"/>
  <c r="J19" i="46"/>
  <c r="G19" i="46"/>
  <c r="AD18" i="46"/>
  <c r="AC18" i="46"/>
  <c r="AB18" i="46"/>
  <c r="AA18" i="46"/>
  <c r="AG18" i="46" s="1"/>
  <c r="Z18" i="46"/>
  <c r="Y18" i="46"/>
  <c r="W18" i="46"/>
  <c r="U18" i="46"/>
  <c r="T18" i="46"/>
  <c r="R18" i="46"/>
  <c r="P18" i="46"/>
  <c r="O18" i="46"/>
  <c r="M18" i="46"/>
  <c r="K18" i="46"/>
  <c r="J18" i="46"/>
  <c r="G18" i="46"/>
  <c r="AD17" i="46"/>
  <c r="AC17" i="46"/>
  <c r="AB17" i="46"/>
  <c r="AA17" i="46"/>
  <c r="AG17" i="46" s="1"/>
  <c r="Z17" i="46"/>
  <c r="Y17" i="46"/>
  <c r="W17" i="46"/>
  <c r="U17" i="46"/>
  <c r="T17" i="46"/>
  <c r="V17" i="46" s="1"/>
  <c r="R17" i="46"/>
  <c r="P17" i="46"/>
  <c r="O17" i="46"/>
  <c r="M17" i="46"/>
  <c r="K17" i="46"/>
  <c r="N17" i="46" s="1"/>
  <c r="J17" i="46"/>
  <c r="G17" i="46"/>
  <c r="AD16" i="46"/>
  <c r="AC16" i="46"/>
  <c r="AB16" i="46"/>
  <c r="AA16" i="46"/>
  <c r="AG16" i="46" s="1"/>
  <c r="Z16" i="46"/>
  <c r="Y16" i="46"/>
  <c r="W16" i="46"/>
  <c r="U16" i="46"/>
  <c r="T16" i="46"/>
  <c r="R16" i="46"/>
  <c r="P16" i="46"/>
  <c r="Q16" i="46" s="1"/>
  <c r="O16" i="46"/>
  <c r="M16" i="46"/>
  <c r="K16" i="46"/>
  <c r="J16" i="46"/>
  <c r="L16" i="46" s="1"/>
  <c r="G16" i="46"/>
  <c r="AD15" i="46"/>
  <c r="AC15" i="46"/>
  <c r="AB15" i="46"/>
  <c r="AA15" i="46"/>
  <c r="AG15" i="46" s="1"/>
  <c r="Z15" i="46"/>
  <c r="Y15" i="46"/>
  <c r="W15" i="46"/>
  <c r="U15" i="46"/>
  <c r="T15" i="46"/>
  <c r="R15" i="46"/>
  <c r="P15" i="46"/>
  <c r="O15" i="46"/>
  <c r="M15" i="46"/>
  <c r="K15" i="46"/>
  <c r="N15" i="46" s="1"/>
  <c r="J15" i="46"/>
  <c r="G15" i="46"/>
  <c r="AD14" i="46"/>
  <c r="AC14" i="46"/>
  <c r="AB14" i="46"/>
  <c r="AA14" i="46"/>
  <c r="AG14" i="46" s="1"/>
  <c r="Z14" i="46"/>
  <c r="Y14" i="46"/>
  <c r="W14" i="46"/>
  <c r="X14" i="46" s="1"/>
  <c r="U14" i="46"/>
  <c r="T14" i="46"/>
  <c r="R14" i="46"/>
  <c r="S14" i="46" s="1"/>
  <c r="P14" i="46"/>
  <c r="O14" i="46"/>
  <c r="M14" i="46"/>
  <c r="K14" i="46"/>
  <c r="L14" i="46" s="1"/>
  <c r="J14" i="46"/>
  <c r="G14" i="46"/>
  <c r="AD13" i="46"/>
  <c r="AC13" i="46"/>
  <c r="AB13" i="46"/>
  <c r="AA13" i="46"/>
  <c r="AG13" i="46" s="1"/>
  <c r="Z13" i="46"/>
  <c r="Y13" i="46"/>
  <c r="W13" i="46"/>
  <c r="U13" i="46"/>
  <c r="X13" i="46" s="1"/>
  <c r="T13" i="46"/>
  <c r="R13" i="46"/>
  <c r="P13" i="46"/>
  <c r="O13" i="46"/>
  <c r="M13" i="46"/>
  <c r="K13" i="46"/>
  <c r="N13" i="46" s="1"/>
  <c r="J13" i="46"/>
  <c r="G13" i="46"/>
  <c r="AD12" i="46"/>
  <c r="AC12" i="46"/>
  <c r="AB12" i="46"/>
  <c r="AA12" i="46"/>
  <c r="AG12" i="46" s="1"/>
  <c r="Z12" i="46"/>
  <c r="Y12" i="46"/>
  <c r="W12" i="46"/>
  <c r="X12" i="46" s="1"/>
  <c r="U12" i="46"/>
  <c r="T12" i="46"/>
  <c r="V12" i="46" s="1"/>
  <c r="R12" i="46"/>
  <c r="S12" i="46" s="1"/>
  <c r="P12" i="46"/>
  <c r="O12" i="46"/>
  <c r="Q12" i="46" s="1"/>
  <c r="M12" i="46"/>
  <c r="K12" i="46"/>
  <c r="J12" i="46"/>
  <c r="G12" i="46"/>
  <c r="AD11" i="46"/>
  <c r="AC11" i="46"/>
  <c r="AB11" i="46"/>
  <c r="AA11" i="46"/>
  <c r="AG11" i="46" s="1"/>
  <c r="Z11" i="46"/>
  <c r="Y11" i="46"/>
  <c r="W11" i="46"/>
  <c r="U11" i="46"/>
  <c r="T11" i="46"/>
  <c r="R11" i="46"/>
  <c r="P11" i="46"/>
  <c r="O11" i="46"/>
  <c r="M11" i="46"/>
  <c r="K11" i="46"/>
  <c r="J11" i="46"/>
  <c r="G11" i="46"/>
  <c r="AD10" i="46"/>
  <c r="AC10" i="46"/>
  <c r="AB10" i="46"/>
  <c r="AA10" i="46"/>
  <c r="AG10" i="46" s="1"/>
  <c r="Z10" i="46"/>
  <c r="Y10" i="46"/>
  <c r="W10" i="46"/>
  <c r="U10" i="46"/>
  <c r="T10" i="46"/>
  <c r="R10" i="46"/>
  <c r="P10" i="46"/>
  <c r="O10" i="46"/>
  <c r="M10" i="46"/>
  <c r="K10" i="46"/>
  <c r="J10" i="46"/>
  <c r="G10" i="46"/>
  <c r="AD9" i="46"/>
  <c r="AC9" i="46"/>
  <c r="AB9" i="46"/>
  <c r="AA9" i="46"/>
  <c r="AG9" i="46" s="1"/>
  <c r="Z9" i="46"/>
  <c r="Y9" i="46"/>
  <c r="W9" i="46"/>
  <c r="X9" i="46" s="1"/>
  <c r="U9" i="46"/>
  <c r="T9" i="46"/>
  <c r="R9" i="46"/>
  <c r="S9" i="46" s="1"/>
  <c r="P9" i="46"/>
  <c r="O9" i="46"/>
  <c r="M9" i="46"/>
  <c r="N9" i="46" s="1"/>
  <c r="K9" i="46"/>
  <c r="J9" i="46"/>
  <c r="L9" i="46" s="1"/>
  <c r="G9" i="46"/>
  <c r="AD8" i="46"/>
  <c r="AC8" i="46"/>
  <c r="AB8" i="46"/>
  <c r="AA8" i="46"/>
  <c r="AG8" i="46" s="1"/>
  <c r="Z8" i="46"/>
  <c r="Y8" i="46"/>
  <c r="W8" i="46"/>
  <c r="U8" i="46"/>
  <c r="T8" i="46"/>
  <c r="V8" i="46" s="1"/>
  <c r="R8" i="46"/>
  <c r="P8" i="46"/>
  <c r="O8" i="46"/>
  <c r="M8" i="46"/>
  <c r="K8" i="46"/>
  <c r="N8" i="46" s="1"/>
  <c r="J8" i="46"/>
  <c r="G8" i="46"/>
  <c r="AD7" i="46"/>
  <c r="AC7" i="46"/>
  <c r="AB7" i="46"/>
  <c r="AA7" i="46"/>
  <c r="AG7" i="46" s="1"/>
  <c r="Z7" i="46"/>
  <c r="Y7" i="46"/>
  <c r="W7" i="46"/>
  <c r="X7" i="46" s="1"/>
  <c r="U7" i="46"/>
  <c r="T7" i="46"/>
  <c r="R7" i="46"/>
  <c r="P7" i="46"/>
  <c r="O7" i="46"/>
  <c r="M7" i="46"/>
  <c r="K7" i="46"/>
  <c r="J7" i="46"/>
  <c r="G7" i="46"/>
  <c r="S62" i="42"/>
  <c r="S61" i="42"/>
  <c r="S60" i="42"/>
  <c r="S59" i="42"/>
  <c r="AK43" i="42"/>
  <c r="AJ43" i="42"/>
  <c r="AI43" i="42"/>
  <c r="M41" i="42"/>
  <c r="N41" i="42" s="1"/>
  <c r="L41" i="42"/>
  <c r="K41" i="42"/>
  <c r="J41" i="42"/>
  <c r="W40" i="42"/>
  <c r="U40" i="42"/>
  <c r="V40" i="42" s="1"/>
  <c r="T40" i="42"/>
  <c r="R40" i="42"/>
  <c r="P40" i="42"/>
  <c r="O40" i="42"/>
  <c r="N40" i="42"/>
  <c r="N39" i="42"/>
  <c r="L39" i="42"/>
  <c r="P38" i="42"/>
  <c r="Q38" i="42" s="1"/>
  <c r="O38" i="42"/>
  <c r="M38" i="42"/>
  <c r="N38" i="42" s="1"/>
  <c r="T37" i="42"/>
  <c r="T60" i="42" s="1"/>
  <c r="R37" i="42"/>
  <c r="P37" i="42"/>
  <c r="S37" i="42" s="1"/>
  <c r="O37" i="42"/>
  <c r="N37" i="42"/>
  <c r="AM36" i="42"/>
  <c r="R36" i="42"/>
  <c r="P36" i="42"/>
  <c r="O36" i="42"/>
  <c r="Q36" i="42" s="1"/>
  <c r="N36" i="42"/>
  <c r="R35" i="42"/>
  <c r="P35" i="42"/>
  <c r="O35" i="42"/>
  <c r="N35" i="42"/>
  <c r="L35" i="42"/>
  <c r="N34" i="42"/>
  <c r="L34" i="42"/>
  <c r="N33" i="42"/>
  <c r="L33" i="42"/>
  <c r="AD27" i="42"/>
  <c r="AA27" i="42"/>
  <c r="AG27" i="42" s="1"/>
  <c r="AD26" i="42"/>
  <c r="AA26" i="42"/>
  <c r="AG26" i="42" s="1"/>
  <c r="AD25" i="42"/>
  <c r="AA25" i="42"/>
  <c r="AG25" i="42" s="1"/>
  <c r="AD24" i="42"/>
  <c r="AA24" i="42"/>
  <c r="AG24" i="42" s="1"/>
  <c r="AD23" i="42"/>
  <c r="AA23" i="42"/>
  <c r="AG23" i="42" s="1"/>
  <c r="AD22" i="42"/>
  <c r="AA22" i="42"/>
  <c r="AG22" i="42" s="1"/>
  <c r="AD21" i="42"/>
  <c r="AA21" i="42"/>
  <c r="AG21" i="42" s="1"/>
  <c r="AD20" i="42"/>
  <c r="AA20" i="42"/>
  <c r="AG20" i="42" s="1"/>
  <c r="AD19" i="42"/>
  <c r="AA19" i="42"/>
  <c r="AG19" i="42" s="1"/>
  <c r="AD18" i="42"/>
  <c r="AA18" i="42"/>
  <c r="AG18" i="42" s="1"/>
  <c r="AD17" i="42"/>
  <c r="AA17" i="42"/>
  <c r="AG17" i="42" s="1"/>
  <c r="AD16" i="42"/>
  <c r="AA16" i="42"/>
  <c r="AG16" i="42" s="1"/>
  <c r="AD15" i="42"/>
  <c r="AA15" i="42"/>
  <c r="AG15" i="42" s="1"/>
  <c r="AD14" i="42"/>
  <c r="AA14" i="42"/>
  <c r="AG14" i="42" s="1"/>
  <c r="AD13" i="42"/>
  <c r="AA13" i="42"/>
  <c r="AG13" i="42" s="1"/>
  <c r="AD12" i="42"/>
  <c r="AA12" i="42"/>
  <c r="AG12" i="42" s="1"/>
  <c r="AD11" i="42"/>
  <c r="AA11" i="42"/>
  <c r="AG11" i="42" s="1"/>
  <c r="AD10" i="42"/>
  <c r="AA10" i="42"/>
  <c r="AG10" i="42" s="1"/>
  <c r="AD9" i="42"/>
  <c r="AA9" i="42"/>
  <c r="AG9" i="42" s="1"/>
  <c r="AD8" i="42"/>
  <c r="AA8" i="42"/>
  <c r="AG8" i="42" s="1"/>
  <c r="AD7" i="42"/>
  <c r="AA7" i="42"/>
  <c r="AG7" i="42" s="1"/>
  <c r="S62" i="2"/>
  <c r="U61" i="2"/>
  <c r="S61" i="2"/>
  <c r="T60" i="2"/>
  <c r="S60" i="2"/>
  <c r="S59" i="2"/>
  <c r="W46" i="2"/>
  <c r="U46" i="2"/>
  <c r="T46" i="2"/>
  <c r="R46" i="2"/>
  <c r="P46" i="2"/>
  <c r="O46" i="2"/>
  <c r="M46" i="2"/>
  <c r="K46" i="2"/>
  <c r="J46" i="2"/>
  <c r="N41" i="2"/>
  <c r="M41" i="2"/>
  <c r="L41" i="2"/>
  <c r="K41" i="2"/>
  <c r="J41" i="2"/>
  <c r="V40" i="2"/>
  <c r="S40" i="2"/>
  <c r="Q40" i="2"/>
  <c r="N40" i="2"/>
  <c r="W39" i="2"/>
  <c r="U39" i="2"/>
  <c r="T39" i="2"/>
  <c r="R39" i="2"/>
  <c r="P39" i="2"/>
  <c r="O39" i="2"/>
  <c r="N39" i="2"/>
  <c r="L39" i="2"/>
  <c r="G39" i="2"/>
  <c r="W38" i="2"/>
  <c r="U38" i="2"/>
  <c r="T38" i="2"/>
  <c r="V38" i="2" s="1"/>
  <c r="R38" i="2"/>
  <c r="Q38" i="2"/>
  <c r="N38" i="2"/>
  <c r="M38" i="2"/>
  <c r="G38" i="2"/>
  <c r="W37" i="2"/>
  <c r="U37" i="2"/>
  <c r="V37" i="2" s="1"/>
  <c r="S37" i="2"/>
  <c r="Q37" i="2"/>
  <c r="N37" i="2"/>
  <c r="G37" i="2"/>
  <c r="W36" i="2"/>
  <c r="U36" i="2"/>
  <c r="T36" i="2"/>
  <c r="V36" i="2" s="1"/>
  <c r="S36" i="2"/>
  <c r="Q36" i="2"/>
  <c r="N36" i="2"/>
  <c r="G36" i="2"/>
  <c r="W35" i="2"/>
  <c r="V34" i="1" s="1"/>
  <c r="U35" i="2"/>
  <c r="AC19" i="1" s="1"/>
  <c r="T35" i="2"/>
  <c r="AB19" i="1" s="1"/>
  <c r="S35" i="2"/>
  <c r="Q35" i="2"/>
  <c r="N35" i="2"/>
  <c r="L35" i="2"/>
  <c r="G35" i="2"/>
  <c r="W34" i="2"/>
  <c r="V33" i="1" s="1"/>
  <c r="U34" i="2"/>
  <c r="T34" i="2"/>
  <c r="R34" i="2"/>
  <c r="P34" i="2"/>
  <c r="O34" i="2"/>
  <c r="N34" i="2"/>
  <c r="L34" i="2"/>
  <c r="G34" i="2"/>
  <c r="W33" i="2"/>
  <c r="V32" i="1" s="1"/>
  <c r="U33" i="2"/>
  <c r="T33" i="2"/>
  <c r="S32" i="1" s="1"/>
  <c r="R33" i="2"/>
  <c r="P33" i="2"/>
  <c r="O33" i="2"/>
  <c r="N33" i="2"/>
  <c r="L33" i="2"/>
  <c r="G33" i="2"/>
  <c r="W31" i="2"/>
  <c r="U31" i="2"/>
  <c r="T31" i="2"/>
  <c r="R31" i="2"/>
  <c r="P31" i="2"/>
  <c r="O31" i="2"/>
  <c r="M31" i="2"/>
  <c r="K31" i="2"/>
  <c r="J31" i="2"/>
  <c r="G31" i="2"/>
  <c r="W30" i="2"/>
  <c r="U30" i="2"/>
  <c r="X30" i="2" s="1"/>
  <c r="T30" i="2"/>
  <c r="R30" i="2"/>
  <c r="P30" i="2"/>
  <c r="O30" i="2"/>
  <c r="M30" i="2"/>
  <c r="K30" i="2"/>
  <c r="J30" i="2"/>
  <c r="L30" i="2" s="1"/>
  <c r="G30" i="2"/>
  <c r="W29" i="2"/>
  <c r="U29" i="2"/>
  <c r="T29" i="2"/>
  <c r="V29" i="2" s="1"/>
  <c r="R29" i="2"/>
  <c r="P29" i="2"/>
  <c r="O29" i="2"/>
  <c r="M29" i="2"/>
  <c r="K29" i="2"/>
  <c r="K32" i="2" s="1"/>
  <c r="J29" i="2"/>
  <c r="G29" i="2"/>
  <c r="W28" i="2"/>
  <c r="X28" i="2" s="1"/>
  <c r="U28" i="2"/>
  <c r="U51" i="2" s="1"/>
  <c r="T28" i="2"/>
  <c r="T51" i="2" s="1"/>
  <c r="R28" i="2"/>
  <c r="P28" i="2"/>
  <c r="O28" i="2"/>
  <c r="M28" i="2"/>
  <c r="K28" i="2"/>
  <c r="J28" i="2"/>
  <c r="AD27" i="2"/>
  <c r="AA27" i="2"/>
  <c r="AG27" i="2" s="1"/>
  <c r="AD26" i="2"/>
  <c r="AA26" i="2"/>
  <c r="AG26" i="2" s="1"/>
  <c r="G26" i="2"/>
  <c r="AD25" i="2"/>
  <c r="AA25" i="2"/>
  <c r="AG25" i="2" s="1"/>
  <c r="G25" i="2"/>
  <c r="AD24" i="2"/>
  <c r="AA24" i="2"/>
  <c r="AG24" i="2" s="1"/>
  <c r="G24" i="2"/>
  <c r="AD23" i="2"/>
  <c r="AC23" i="2"/>
  <c r="AF23" i="2" s="1"/>
  <c r="AB23" i="2"/>
  <c r="AA23" i="2"/>
  <c r="AG23" i="2" s="1"/>
  <c r="Z23" i="2"/>
  <c r="Y23" i="2"/>
  <c r="W23" i="2"/>
  <c r="U23" i="2"/>
  <c r="T23" i="2"/>
  <c r="V23" i="2" s="1"/>
  <c r="R23" i="2"/>
  <c r="P23" i="2"/>
  <c r="O23" i="2"/>
  <c r="M23" i="2"/>
  <c r="K23" i="2"/>
  <c r="J23" i="2"/>
  <c r="G23" i="2"/>
  <c r="AD22" i="2"/>
  <c r="AC22" i="2"/>
  <c r="AB22" i="2"/>
  <c r="AA22" i="2"/>
  <c r="AG22" i="2" s="1"/>
  <c r="Z22" i="2"/>
  <c r="Y22" i="2"/>
  <c r="W22" i="2"/>
  <c r="U22" i="2"/>
  <c r="T22" i="2"/>
  <c r="R22" i="2"/>
  <c r="P22" i="2"/>
  <c r="O22" i="2"/>
  <c r="M22" i="2"/>
  <c r="K22" i="2"/>
  <c r="J22" i="2"/>
  <c r="G22" i="2"/>
  <c r="AD21" i="2"/>
  <c r="AC21" i="2"/>
  <c r="AB21" i="2"/>
  <c r="AA21" i="2"/>
  <c r="AG21" i="2" s="1"/>
  <c r="Z21" i="2"/>
  <c r="Y21" i="2"/>
  <c r="W21" i="2"/>
  <c r="U21" i="2"/>
  <c r="T21" i="2"/>
  <c r="R21" i="2"/>
  <c r="P21" i="2"/>
  <c r="O21" i="2"/>
  <c r="M21" i="2"/>
  <c r="K21" i="2"/>
  <c r="J21" i="2"/>
  <c r="G21" i="2"/>
  <c r="AD20" i="2"/>
  <c r="AC20" i="2"/>
  <c r="AB20" i="2"/>
  <c r="AA20" i="2"/>
  <c r="AG20" i="2" s="1"/>
  <c r="Z20" i="2"/>
  <c r="Y20" i="2"/>
  <c r="W20" i="2"/>
  <c r="U20" i="2"/>
  <c r="T20" i="2"/>
  <c r="R20" i="2"/>
  <c r="P20" i="2"/>
  <c r="O20" i="2"/>
  <c r="M20" i="2"/>
  <c r="K20" i="2"/>
  <c r="J20" i="2"/>
  <c r="L20" i="2" s="1"/>
  <c r="G20" i="2"/>
  <c r="AD19" i="2"/>
  <c r="AC19" i="2"/>
  <c r="AB19" i="2"/>
  <c r="AA19" i="2"/>
  <c r="AG19" i="2" s="1"/>
  <c r="Z19" i="2"/>
  <c r="Y19" i="2"/>
  <c r="W19" i="2"/>
  <c r="X19" i="2" s="1"/>
  <c r="U19" i="2"/>
  <c r="T19" i="2"/>
  <c r="V19" i="2" s="1"/>
  <c r="R19" i="2"/>
  <c r="P19" i="2"/>
  <c r="O19" i="2"/>
  <c r="M19" i="2"/>
  <c r="K19" i="2"/>
  <c r="J19" i="2"/>
  <c r="G19" i="2"/>
  <c r="AD18" i="2"/>
  <c r="AC18" i="2"/>
  <c r="AB18" i="2"/>
  <c r="AA18" i="2"/>
  <c r="AG18" i="2" s="1"/>
  <c r="Z18" i="2"/>
  <c r="Y18" i="2"/>
  <c r="W18" i="2"/>
  <c r="U18" i="2"/>
  <c r="T18" i="2"/>
  <c r="R18" i="2"/>
  <c r="P18" i="2"/>
  <c r="O18" i="2"/>
  <c r="M18" i="2"/>
  <c r="K18" i="2"/>
  <c r="J18" i="2"/>
  <c r="G18" i="2"/>
  <c r="AD17" i="2"/>
  <c r="AC17" i="2"/>
  <c r="AB17" i="2"/>
  <c r="AA17" i="2"/>
  <c r="AG17" i="2" s="1"/>
  <c r="Z17" i="2"/>
  <c r="Y17" i="2"/>
  <c r="W17" i="2"/>
  <c r="U17" i="2"/>
  <c r="T17" i="2"/>
  <c r="R17" i="2"/>
  <c r="P17" i="2"/>
  <c r="O17" i="2"/>
  <c r="M17" i="2"/>
  <c r="K17" i="2"/>
  <c r="J17" i="2"/>
  <c r="G17" i="2"/>
  <c r="AD16" i="2"/>
  <c r="AC16" i="2"/>
  <c r="AB16" i="2"/>
  <c r="AA16" i="2"/>
  <c r="AG16" i="2" s="1"/>
  <c r="Z16" i="2"/>
  <c r="Y16" i="2"/>
  <c r="W16" i="2"/>
  <c r="X16" i="2" s="1"/>
  <c r="U16" i="2"/>
  <c r="T16" i="2"/>
  <c r="R16" i="2"/>
  <c r="S16" i="2" s="1"/>
  <c r="P16" i="2"/>
  <c r="O16" i="2"/>
  <c r="M16" i="2"/>
  <c r="K16" i="2"/>
  <c r="J16" i="2"/>
  <c r="G16" i="2"/>
  <c r="AD15" i="2"/>
  <c r="AC15" i="2"/>
  <c r="AB15" i="2"/>
  <c r="AA15" i="2"/>
  <c r="AG15" i="2" s="1"/>
  <c r="Z15" i="2"/>
  <c r="Y15" i="2"/>
  <c r="W15" i="2"/>
  <c r="U15" i="2"/>
  <c r="T15" i="2"/>
  <c r="V15" i="2" s="1"/>
  <c r="R15" i="2"/>
  <c r="P15" i="2"/>
  <c r="O15" i="2"/>
  <c r="M15" i="2"/>
  <c r="N15" i="2" s="1"/>
  <c r="K15" i="2"/>
  <c r="J15" i="2"/>
  <c r="G15" i="2"/>
  <c r="AD14" i="2"/>
  <c r="AC14" i="2"/>
  <c r="AB14" i="2"/>
  <c r="AA14" i="2"/>
  <c r="AG14" i="2" s="1"/>
  <c r="Z14" i="2"/>
  <c r="Y14" i="2"/>
  <c r="W14" i="2"/>
  <c r="U14" i="2"/>
  <c r="T14" i="2"/>
  <c r="R14" i="2"/>
  <c r="S14" i="2" s="1"/>
  <c r="P14" i="2"/>
  <c r="O14" i="2"/>
  <c r="Q14" i="2" s="1"/>
  <c r="M14" i="2"/>
  <c r="K14" i="2"/>
  <c r="J14" i="2"/>
  <c r="G14" i="2"/>
  <c r="AD13" i="2"/>
  <c r="AC13" i="2"/>
  <c r="AB13" i="2"/>
  <c r="AA13" i="2"/>
  <c r="AG13" i="2" s="1"/>
  <c r="Z13" i="2"/>
  <c r="Y13" i="2"/>
  <c r="W13" i="2"/>
  <c r="U13" i="2"/>
  <c r="T13" i="2"/>
  <c r="R13" i="2"/>
  <c r="S13" i="2" s="1"/>
  <c r="P13" i="2"/>
  <c r="O13" i="2"/>
  <c r="M13" i="2"/>
  <c r="N13" i="2" s="1"/>
  <c r="K13" i="2"/>
  <c r="J13" i="2"/>
  <c r="L13" i="2" s="1"/>
  <c r="G13" i="2"/>
  <c r="AD12" i="2"/>
  <c r="AC12" i="2"/>
  <c r="AB12" i="2"/>
  <c r="AA12" i="2"/>
  <c r="AG12" i="2" s="1"/>
  <c r="Z12" i="2"/>
  <c r="Y12" i="2"/>
  <c r="W12" i="2"/>
  <c r="U12" i="2"/>
  <c r="T12" i="2"/>
  <c r="R12" i="2"/>
  <c r="P12" i="2"/>
  <c r="O12" i="2"/>
  <c r="M12" i="2"/>
  <c r="K12" i="2"/>
  <c r="J12" i="2"/>
  <c r="G12" i="2"/>
  <c r="AD11" i="2"/>
  <c r="AC11" i="2"/>
  <c r="AB11" i="2"/>
  <c r="AA11" i="2"/>
  <c r="AG11" i="2" s="1"/>
  <c r="Z11" i="2"/>
  <c r="Y11" i="2"/>
  <c r="W11" i="2"/>
  <c r="U11" i="2"/>
  <c r="T11" i="2"/>
  <c r="R11" i="2"/>
  <c r="P11" i="2"/>
  <c r="S11" i="2" s="1"/>
  <c r="O11" i="2"/>
  <c r="M11" i="2"/>
  <c r="K11" i="2"/>
  <c r="J11" i="2"/>
  <c r="G11" i="2"/>
  <c r="AD10" i="2"/>
  <c r="AC10" i="2"/>
  <c r="AB10" i="2"/>
  <c r="AA10" i="2"/>
  <c r="AG10" i="2" s="1"/>
  <c r="Z10" i="2"/>
  <c r="Y10" i="2"/>
  <c r="W10" i="2"/>
  <c r="U10" i="2"/>
  <c r="T10" i="2"/>
  <c r="R10" i="2"/>
  <c r="P10" i="2"/>
  <c r="O10" i="2"/>
  <c r="M10" i="2"/>
  <c r="N10" i="2" s="1"/>
  <c r="K10" i="2"/>
  <c r="J10" i="2"/>
  <c r="L10" i="2" s="1"/>
  <c r="G10" i="2"/>
  <c r="AD9" i="2"/>
  <c r="AC9" i="2"/>
  <c r="AB9" i="2"/>
  <c r="AA9" i="2"/>
  <c r="AG9" i="2" s="1"/>
  <c r="Z9" i="2"/>
  <c r="Y9" i="2"/>
  <c r="W9" i="2"/>
  <c r="U9" i="2"/>
  <c r="T9" i="2"/>
  <c r="R9" i="2"/>
  <c r="S9" i="2" s="1"/>
  <c r="P9" i="2"/>
  <c r="O9" i="2"/>
  <c r="Q9" i="2" s="1"/>
  <c r="M9" i="2"/>
  <c r="N9" i="2" s="1"/>
  <c r="K9" i="2"/>
  <c r="J9" i="2"/>
  <c r="G9" i="2"/>
  <c r="AD8" i="2"/>
  <c r="AC8" i="2"/>
  <c r="AB8" i="2"/>
  <c r="AA8" i="2"/>
  <c r="AG8" i="2" s="1"/>
  <c r="Z8" i="2"/>
  <c r="Y8" i="2"/>
  <c r="AE8" i="2" s="1"/>
  <c r="W8" i="2"/>
  <c r="U8" i="2"/>
  <c r="T8" i="2"/>
  <c r="R8" i="2"/>
  <c r="S8" i="2" s="1"/>
  <c r="P8" i="2"/>
  <c r="O8" i="2"/>
  <c r="Q8" i="2" s="1"/>
  <c r="M8" i="2"/>
  <c r="K8" i="2"/>
  <c r="J8" i="2"/>
  <c r="G8" i="2"/>
  <c r="AD7" i="2"/>
  <c r="AC7" i="2"/>
  <c r="AB7" i="2"/>
  <c r="AA7" i="2"/>
  <c r="AG7" i="2" s="1"/>
  <c r="Z7" i="2"/>
  <c r="Y7" i="2"/>
  <c r="W7" i="2"/>
  <c r="U7" i="2"/>
  <c r="T7" i="2"/>
  <c r="R7" i="2"/>
  <c r="P7" i="2"/>
  <c r="O7" i="2"/>
  <c r="Q7" i="2" s="1"/>
  <c r="M7" i="2"/>
  <c r="K7" i="2"/>
  <c r="J7" i="2"/>
  <c r="G7" i="2"/>
  <c r="H38" i="1"/>
  <c r="F38" i="1"/>
  <c r="E38" i="1"/>
  <c r="T33" i="1"/>
  <c r="T32" i="1"/>
  <c r="W29" i="1"/>
  <c r="V29" i="1"/>
  <c r="U29" i="1"/>
  <c r="T29" i="1"/>
  <c r="S29" i="1"/>
  <c r="W28" i="1"/>
  <c r="V28" i="1"/>
  <c r="U28" i="1"/>
  <c r="T28" i="1"/>
  <c r="S28" i="1"/>
  <c r="W27" i="1"/>
  <c r="V27" i="1"/>
  <c r="U27" i="1"/>
  <c r="T27" i="1"/>
  <c r="S27" i="1"/>
  <c r="H27" i="1"/>
  <c r="F27" i="1"/>
  <c r="E27" i="1"/>
  <c r="H26" i="1"/>
  <c r="F26" i="1"/>
  <c r="E26" i="1"/>
  <c r="H25" i="1"/>
  <c r="F25" i="1"/>
  <c r="E25" i="1"/>
  <c r="AA24" i="1"/>
  <c r="V24" i="1"/>
  <c r="T24" i="1"/>
  <c r="U24" i="1" s="1"/>
  <c r="S24" i="1"/>
  <c r="V23" i="1"/>
  <c r="T23" i="1"/>
  <c r="U23" i="1" s="1"/>
  <c r="S23" i="1"/>
  <c r="AA22" i="1"/>
  <c r="AE21" i="1"/>
  <c r="AB21" i="1"/>
  <c r="AA21" i="1"/>
  <c r="AC20" i="1"/>
  <c r="AA20" i="1"/>
  <c r="V20" i="1"/>
  <c r="V19" i="1"/>
  <c r="AA18" i="1"/>
  <c r="V18" i="1"/>
  <c r="AA17" i="1"/>
  <c r="V17" i="1"/>
  <c r="H17" i="1"/>
  <c r="F17" i="1"/>
  <c r="I17" i="1" s="1"/>
  <c r="E17" i="1"/>
  <c r="G17" i="1" s="1"/>
  <c r="AA16" i="1"/>
  <c r="V16" i="1"/>
  <c r="H16" i="1"/>
  <c r="F16" i="1"/>
  <c r="E16" i="1"/>
  <c r="AA15" i="1"/>
  <c r="V15" i="1"/>
  <c r="H15" i="1"/>
  <c r="H20" i="1" s="1"/>
  <c r="H30" i="1" s="1"/>
  <c r="H31" i="1" s="1"/>
  <c r="AE16" i="1" s="1"/>
  <c r="F15" i="1"/>
  <c r="E15" i="1"/>
  <c r="V14" i="1"/>
  <c r="AA13" i="1"/>
  <c r="V13" i="1"/>
  <c r="AA12" i="1"/>
  <c r="V12" i="1"/>
  <c r="H12" i="1"/>
  <c r="AE12" i="1" s="1"/>
  <c r="F12" i="1"/>
  <c r="AC12" i="1" s="1"/>
  <c r="E12" i="1"/>
  <c r="AB12" i="1" s="1"/>
  <c r="AA11" i="1"/>
  <c r="V11" i="1"/>
  <c r="H11" i="1"/>
  <c r="F11" i="1"/>
  <c r="AC11" i="1" s="1"/>
  <c r="E11" i="1"/>
  <c r="AB11" i="1" s="1"/>
  <c r="AA10" i="1"/>
  <c r="V10" i="1"/>
  <c r="H10" i="1"/>
  <c r="F10" i="1"/>
  <c r="E10" i="1"/>
  <c r="E20" i="1" s="1"/>
  <c r="AA9" i="1"/>
  <c r="V9" i="1"/>
  <c r="H9" i="1"/>
  <c r="AE9" i="1" s="1"/>
  <c r="F9" i="1"/>
  <c r="E9" i="1"/>
  <c r="AB9" i="1" s="1"/>
  <c r="AA8" i="1"/>
  <c r="H8" i="1"/>
  <c r="AE8" i="1" s="1"/>
  <c r="F8" i="1"/>
  <c r="E8" i="1"/>
  <c r="AA7" i="1"/>
  <c r="H7" i="1"/>
  <c r="AE7" i="1" s="1"/>
  <c r="F7" i="1"/>
  <c r="E7" i="1"/>
  <c r="AK6" i="1"/>
  <c r="AJ6" i="1"/>
  <c r="AI6" i="1"/>
  <c r="AH6" i="1"/>
  <c r="AG6" i="1"/>
  <c r="AF6" i="1"/>
  <c r="AE6" i="1"/>
  <c r="AD6" i="1"/>
  <c r="AC6" i="1"/>
  <c r="AB6" i="1"/>
  <c r="AG5" i="1"/>
  <c r="AB5" i="1"/>
  <c r="S18" i="46" l="1"/>
  <c r="S23" i="46"/>
  <c r="N28" i="46"/>
  <c r="S34" i="1"/>
  <c r="X10" i="2"/>
  <c r="S21" i="46"/>
  <c r="X14" i="2"/>
  <c r="AE19" i="1"/>
  <c r="V14" i="46"/>
  <c r="V31" i="2"/>
  <c r="S10" i="46"/>
  <c r="Q30" i="2"/>
  <c r="G7" i="1"/>
  <c r="X15" i="46"/>
  <c r="N20" i="33"/>
  <c r="AF17" i="46"/>
  <c r="G23" i="36"/>
  <c r="AF23" i="46"/>
  <c r="V16" i="33"/>
  <c r="R22" i="33"/>
  <c r="M27" i="34"/>
  <c r="AE9" i="46"/>
  <c r="AF11" i="46"/>
  <c r="W26" i="46"/>
  <c r="S20" i="2"/>
  <c r="X18" i="46"/>
  <c r="X29" i="46"/>
  <c r="X34" i="46"/>
  <c r="W25" i="46"/>
  <c r="S38" i="46"/>
  <c r="S33" i="46"/>
  <c r="N11" i="2"/>
  <c r="R40" i="46"/>
  <c r="X10" i="46"/>
  <c r="X30" i="46"/>
  <c r="H28" i="1"/>
  <c r="H29" i="1" s="1"/>
  <c r="S8" i="46"/>
  <c r="N18" i="46"/>
  <c r="I26" i="1"/>
  <c r="AF19" i="1"/>
  <c r="M32" i="46"/>
  <c r="V9" i="41"/>
  <c r="X9" i="41" s="1"/>
  <c r="X12" i="41"/>
  <c r="AG28" i="41"/>
  <c r="N29" i="46"/>
  <c r="G26" i="29"/>
  <c r="E28" i="1"/>
  <c r="L8" i="46"/>
  <c r="M24" i="46"/>
  <c r="I26" i="29"/>
  <c r="U8" i="41"/>
  <c r="P24" i="41"/>
  <c r="R24" i="41" s="1"/>
  <c r="I25" i="41"/>
  <c r="AB28" i="41"/>
  <c r="AD28" i="41" s="1"/>
  <c r="W31" i="43"/>
  <c r="S14" i="41"/>
  <c r="U14" i="41" s="1"/>
  <c r="G17" i="41"/>
  <c r="I17" i="41" s="1"/>
  <c r="AD11" i="1"/>
  <c r="AE20" i="1"/>
  <c r="AF20" i="1" s="1"/>
  <c r="J24" i="46"/>
  <c r="J27" i="46" s="1"/>
  <c r="J46" i="46" s="1"/>
  <c r="Q9" i="46"/>
  <c r="V10" i="46"/>
  <c r="S16" i="46"/>
  <c r="X17" i="46"/>
  <c r="T32" i="46"/>
  <c r="X8" i="41"/>
  <c r="O23" i="43"/>
  <c r="AA10" i="43"/>
  <c r="W26" i="2"/>
  <c r="K24" i="46"/>
  <c r="X15" i="41"/>
  <c r="L29" i="2"/>
  <c r="Q8" i="46"/>
  <c r="V9" i="46"/>
  <c r="X16" i="46"/>
  <c r="AB25" i="41"/>
  <c r="AD25" i="41" s="1"/>
  <c r="AC21" i="43"/>
  <c r="W29" i="43"/>
  <c r="AC29" i="43" s="1"/>
  <c r="H18" i="1"/>
  <c r="H19" i="1" s="1"/>
  <c r="W33" i="1"/>
  <c r="AC21" i="1"/>
  <c r="AD21" i="1" s="1"/>
  <c r="V12" i="2"/>
  <c r="L23" i="2"/>
  <c r="L20" i="46"/>
  <c r="S35" i="45"/>
  <c r="P21" i="41"/>
  <c r="O35" i="43"/>
  <c r="M32" i="43"/>
  <c r="T34" i="1"/>
  <c r="K26" i="46"/>
  <c r="AB15" i="41"/>
  <c r="AD15" i="41" s="1"/>
  <c r="I8" i="1"/>
  <c r="R24" i="46"/>
  <c r="N30" i="46"/>
  <c r="X31" i="46"/>
  <c r="X37" i="46"/>
  <c r="Q26" i="43"/>
  <c r="R30" i="43"/>
  <c r="P35" i="41"/>
  <c r="R35" i="41" s="1"/>
  <c r="X37" i="41"/>
  <c r="W20" i="43"/>
  <c r="AI24" i="43"/>
  <c r="N20" i="46"/>
  <c r="U32" i="46"/>
  <c r="S36" i="42"/>
  <c r="W24" i="46"/>
  <c r="M26" i="46"/>
  <c r="S28" i="46"/>
  <c r="V14" i="41"/>
  <c r="X14" i="41" s="1"/>
  <c r="AG27" i="41"/>
  <c r="H12" i="43"/>
  <c r="Y20" i="43"/>
  <c r="Q22" i="43"/>
  <c r="S20" i="46"/>
  <c r="I8" i="41"/>
  <c r="AB22" i="41"/>
  <c r="AD22" i="41" s="1"/>
  <c r="O24" i="43"/>
  <c r="S19" i="46"/>
  <c r="V10" i="2"/>
  <c r="L14" i="2"/>
  <c r="T59" i="2"/>
  <c r="L11" i="46"/>
  <c r="Q19" i="46"/>
  <c r="P19" i="41"/>
  <c r="M28" i="43"/>
  <c r="H14" i="43"/>
  <c r="W24" i="1"/>
  <c r="M25" i="46"/>
  <c r="N25" i="46" s="1"/>
  <c r="Q37" i="45"/>
  <c r="U60" i="2"/>
  <c r="V60" i="2" s="1"/>
  <c r="U26" i="46"/>
  <c r="X26" i="46" s="1"/>
  <c r="T40" i="46"/>
  <c r="X35" i="46"/>
  <c r="AB30" i="41"/>
  <c r="AD30" i="41" s="1"/>
  <c r="P38" i="41"/>
  <c r="R38" i="41" s="1"/>
  <c r="O8" i="41"/>
  <c r="N16" i="46"/>
  <c r="V19" i="46"/>
  <c r="K32" i="46"/>
  <c r="X33" i="46"/>
  <c r="X38" i="46"/>
  <c r="P15" i="41"/>
  <c r="I18" i="41"/>
  <c r="H16" i="43"/>
  <c r="P39" i="41"/>
  <c r="AF8" i="2"/>
  <c r="AE16" i="2"/>
  <c r="L13" i="46"/>
  <c r="Q22" i="46"/>
  <c r="V23" i="46"/>
  <c r="E22" i="1"/>
  <c r="E33" i="1" s="1"/>
  <c r="AB18" i="1" s="1"/>
  <c r="J25" i="46"/>
  <c r="L25" i="46" s="1"/>
  <c r="Q14" i="46"/>
  <c r="U34" i="1"/>
  <c r="P21" i="36"/>
  <c r="T61" i="2"/>
  <c r="V61" i="2" s="1"/>
  <c r="O26" i="46"/>
  <c r="AE20" i="2"/>
  <c r="L17" i="46"/>
  <c r="Q30" i="46"/>
  <c r="V33" i="2"/>
  <c r="Q18" i="46"/>
  <c r="T26" i="46"/>
  <c r="AE11" i="2"/>
  <c r="AE20" i="46"/>
  <c r="V19" i="36"/>
  <c r="AB10" i="1"/>
  <c r="J32" i="46"/>
  <c r="V35" i="46"/>
  <c r="V7" i="2"/>
  <c r="L22" i="46"/>
  <c r="L31" i="46"/>
  <c r="P12" i="34"/>
  <c r="O32" i="46"/>
  <c r="M26" i="36"/>
  <c r="G12" i="37"/>
  <c r="G15" i="36"/>
  <c r="G22" i="37"/>
  <c r="S23" i="37"/>
  <c r="N27" i="33"/>
  <c r="N13" i="33"/>
  <c r="G19" i="34"/>
  <c r="S16" i="36"/>
  <c r="N23" i="33"/>
  <c r="V24" i="33"/>
  <c r="S27" i="37"/>
  <c r="M19" i="34"/>
  <c r="S19" i="37"/>
  <c r="R26" i="33"/>
  <c r="J24" i="36"/>
  <c r="AE7" i="2"/>
  <c r="J13" i="33"/>
  <c r="M12" i="34"/>
  <c r="N26" i="33"/>
  <c r="AF9" i="46"/>
  <c r="AE16" i="46"/>
  <c r="V27" i="33"/>
  <c r="AF21" i="2"/>
  <c r="G23" i="37"/>
  <c r="AF13" i="2"/>
  <c r="J12" i="37"/>
  <c r="Q15" i="43"/>
  <c r="AA21" i="43"/>
  <c r="Z27" i="43"/>
  <c r="AA27" i="43" s="1"/>
  <c r="Q36" i="43"/>
  <c r="AC37" i="43"/>
  <c r="Z11" i="43"/>
  <c r="AF41" i="43"/>
  <c r="AF42" i="43" s="1"/>
  <c r="W16" i="43"/>
  <c r="S39" i="45"/>
  <c r="T9" i="43"/>
  <c r="T12" i="43"/>
  <c r="Y12" i="43"/>
  <c r="AA12" i="43" s="1"/>
  <c r="K17" i="43"/>
  <c r="O22" i="43"/>
  <c r="T11" i="43"/>
  <c r="Y11" i="43"/>
  <c r="W27" i="43"/>
  <c r="AG21" i="1"/>
  <c r="AA29" i="43"/>
  <c r="Q35" i="42"/>
  <c r="W12" i="43"/>
  <c r="W9" i="43" s="1"/>
  <c r="S35" i="42"/>
  <c r="Z12" i="43"/>
  <c r="N17" i="43"/>
  <c r="AF20" i="43"/>
  <c r="K30" i="43"/>
  <c r="Y16" i="43"/>
  <c r="AA16" i="43" s="1"/>
  <c r="AA8" i="43"/>
  <c r="M30" i="43"/>
  <c r="AA23" i="43"/>
  <c r="H20" i="43"/>
  <c r="N12" i="43"/>
  <c r="N11" i="43" s="1"/>
  <c r="AC15" i="43"/>
  <c r="AC16" i="43" s="1"/>
  <c r="AA31" i="43"/>
  <c r="M40" i="45"/>
  <c r="N40" i="45" s="1"/>
  <c r="W14" i="43"/>
  <c r="O26" i="43"/>
  <c r="W41" i="43"/>
  <c r="W42" i="43" s="1"/>
  <c r="Y14" i="43"/>
  <c r="AA14" i="43" s="1"/>
  <c r="Q18" i="43"/>
  <c r="T30" i="43"/>
  <c r="O21" i="43"/>
  <c r="K28" i="43"/>
  <c r="T20" i="43"/>
  <c r="AC26" i="43"/>
  <c r="M29" i="43"/>
  <c r="O39" i="43"/>
  <c r="AC19" i="43"/>
  <c r="AF17" i="43"/>
  <c r="M27" i="43"/>
  <c r="O27" i="43" s="1"/>
  <c r="J12" i="33"/>
  <c r="J22" i="33"/>
  <c r="R23" i="33"/>
  <c r="G25" i="33"/>
  <c r="Y25" i="33" s="1"/>
  <c r="Z25" i="33" s="1"/>
  <c r="S27" i="36"/>
  <c r="T15" i="1"/>
  <c r="W15" i="1" s="1"/>
  <c r="G26" i="34"/>
  <c r="N8" i="37"/>
  <c r="P19" i="36"/>
  <c r="M23" i="34"/>
  <c r="S18" i="37"/>
  <c r="N8" i="36"/>
  <c r="P8" i="36" s="1"/>
  <c r="G17" i="33"/>
  <c r="Y17" i="33" s="1"/>
  <c r="Z17" i="33" s="1"/>
  <c r="I11" i="36"/>
  <c r="J11" i="36" s="1"/>
  <c r="G20" i="33"/>
  <c r="Y20" i="33" s="1"/>
  <c r="Z20" i="33" s="1"/>
  <c r="J17" i="34"/>
  <c r="J27" i="34"/>
  <c r="S25" i="37"/>
  <c r="M27" i="37"/>
  <c r="V26" i="36"/>
  <c r="P28" i="36"/>
  <c r="K10" i="37"/>
  <c r="Q27" i="34"/>
  <c r="T27" i="34" s="1"/>
  <c r="M12" i="36"/>
  <c r="AF19" i="46"/>
  <c r="Q28" i="34"/>
  <c r="T28" i="34" s="1"/>
  <c r="AF20" i="46"/>
  <c r="M11" i="36"/>
  <c r="G13" i="36"/>
  <c r="P24" i="36"/>
  <c r="J26" i="36"/>
  <c r="P18" i="37"/>
  <c r="AF7" i="2"/>
  <c r="P21" i="34"/>
  <c r="J24" i="34"/>
  <c r="M16" i="36"/>
  <c r="G18" i="36"/>
  <c r="S19" i="36"/>
  <c r="J25" i="37"/>
  <c r="AE11" i="46"/>
  <c r="M25" i="37"/>
  <c r="AE23" i="46"/>
  <c r="P15" i="37"/>
  <c r="V21" i="33"/>
  <c r="V28" i="33"/>
  <c r="G14" i="37"/>
  <c r="V22" i="33"/>
  <c r="J26" i="33"/>
  <c r="N16" i="33"/>
  <c r="G13" i="34"/>
  <c r="M15" i="34"/>
  <c r="N21" i="33"/>
  <c r="R13" i="33"/>
  <c r="Q15" i="34"/>
  <c r="T15" i="34" s="1"/>
  <c r="J16" i="37"/>
  <c r="N12" i="33"/>
  <c r="J25" i="33"/>
  <c r="J26" i="37"/>
  <c r="AF16" i="46"/>
  <c r="M26" i="37"/>
  <c r="V25" i="36"/>
  <c r="P27" i="36"/>
  <c r="J18" i="37"/>
  <c r="AF13" i="46"/>
  <c r="AE14" i="46"/>
  <c r="V19" i="33"/>
  <c r="G16" i="36"/>
  <c r="J14" i="33"/>
  <c r="V12" i="36"/>
  <c r="P14" i="36"/>
  <c r="S16" i="37"/>
  <c r="AD12" i="1"/>
  <c r="AF12" i="1"/>
  <c r="E18" i="1"/>
  <c r="N12" i="2"/>
  <c r="L12" i="2"/>
  <c r="N24" i="46"/>
  <c r="N11" i="46"/>
  <c r="G16" i="1"/>
  <c r="F18" i="1"/>
  <c r="S33" i="1"/>
  <c r="U33" i="1" s="1"/>
  <c r="R24" i="2"/>
  <c r="S7" i="2"/>
  <c r="M25" i="2"/>
  <c r="N14" i="2"/>
  <c r="N21" i="2"/>
  <c r="L21" i="2"/>
  <c r="U32" i="2"/>
  <c r="X31" i="2"/>
  <c r="U53" i="2"/>
  <c r="U41" i="2"/>
  <c r="X34" i="2"/>
  <c r="U58" i="2"/>
  <c r="Q10" i="46"/>
  <c r="F20" i="1"/>
  <c r="S10" i="2"/>
  <c r="V51" i="2"/>
  <c r="Q7" i="46"/>
  <c r="P24" i="46"/>
  <c r="S7" i="46"/>
  <c r="AB8" i="1"/>
  <c r="G10" i="1"/>
  <c r="F13" i="1"/>
  <c r="F14" i="1" s="1"/>
  <c r="F28" i="1"/>
  <c r="Q10" i="2"/>
  <c r="Q12" i="2"/>
  <c r="N18" i="2"/>
  <c r="S19" i="2"/>
  <c r="N20" i="2"/>
  <c r="I16" i="1"/>
  <c r="G11" i="1"/>
  <c r="W24" i="2"/>
  <c r="Q13" i="2"/>
  <c r="Q19" i="2"/>
  <c r="X23" i="2"/>
  <c r="T14" i="43"/>
  <c r="AC13" i="43"/>
  <c r="AI13" i="43" s="1"/>
  <c r="T17" i="43"/>
  <c r="K25" i="2"/>
  <c r="L11" i="2"/>
  <c r="E30" i="1"/>
  <c r="E13" i="1"/>
  <c r="A7" i="1"/>
  <c r="AE10" i="1"/>
  <c r="I15" i="1"/>
  <c r="X8" i="2"/>
  <c r="G8" i="1"/>
  <c r="I10" i="1"/>
  <c r="I11" i="1"/>
  <c r="H21" i="1"/>
  <c r="H32" i="1" s="1"/>
  <c r="AE17" i="1" s="1"/>
  <c r="G12" i="1"/>
  <c r="H13" i="1"/>
  <c r="H14" i="1" s="1"/>
  <c r="AF21" i="1"/>
  <c r="X7" i="2"/>
  <c r="V8" i="2"/>
  <c r="S12" i="2"/>
  <c r="N16" i="2"/>
  <c r="R25" i="2"/>
  <c r="M27" i="46"/>
  <c r="M46" i="46" s="1"/>
  <c r="I9" i="1"/>
  <c r="G9" i="1"/>
  <c r="S17" i="2"/>
  <c r="Q17" i="2"/>
  <c r="R32" i="2"/>
  <c r="O41" i="2"/>
  <c r="X11" i="2"/>
  <c r="U25" i="2"/>
  <c r="Q15" i="2"/>
  <c r="Q16" i="2"/>
  <c r="S18" i="2"/>
  <c r="AM12" i="41"/>
  <c r="S30" i="2"/>
  <c r="AB27" i="41"/>
  <c r="AD27" i="41" s="1"/>
  <c r="U27" i="41"/>
  <c r="AB20" i="1"/>
  <c r="AD20" i="1" s="1"/>
  <c r="V11" i="2"/>
  <c r="I12" i="1"/>
  <c r="X12" i="2"/>
  <c r="V13" i="2"/>
  <c r="S15" i="2"/>
  <c r="X20" i="2"/>
  <c r="V20" i="2"/>
  <c r="M32" i="2"/>
  <c r="N32" i="2" s="1"/>
  <c r="T25" i="2"/>
  <c r="AD19" i="1"/>
  <c r="G25" i="1"/>
  <c r="W32" i="1"/>
  <c r="U32" i="1"/>
  <c r="X13" i="2"/>
  <c r="V14" i="2"/>
  <c r="V17" i="2"/>
  <c r="N29" i="2"/>
  <c r="S17" i="46"/>
  <c r="Q17" i="46"/>
  <c r="G27" i="1"/>
  <c r="O32" i="2"/>
  <c r="AL17" i="41" s="1"/>
  <c r="T58" i="2"/>
  <c r="AC8" i="1"/>
  <c r="I25" i="1"/>
  <c r="X17" i="2"/>
  <c r="K24" i="2"/>
  <c r="T24" i="2"/>
  <c r="S15" i="46"/>
  <c r="Q15" i="46"/>
  <c r="AB7" i="1"/>
  <c r="F22" i="1"/>
  <c r="U24" i="2"/>
  <c r="O24" i="46"/>
  <c r="G15" i="1"/>
  <c r="I7" i="1"/>
  <c r="AC7" i="1"/>
  <c r="I27" i="1"/>
  <c r="AE15" i="1"/>
  <c r="E21" i="1"/>
  <c r="E32" i="1" s="1"/>
  <c r="AB17" i="1" s="1"/>
  <c r="H22" i="1"/>
  <c r="H33" i="1" s="1"/>
  <c r="AE18" i="1" s="1"/>
  <c r="M24" i="2"/>
  <c r="L8" i="2"/>
  <c r="X38" i="2"/>
  <c r="L7" i="2"/>
  <c r="AC10" i="1"/>
  <c r="F21" i="1"/>
  <c r="W34" i="1"/>
  <c r="N7" i="2"/>
  <c r="O26" i="2"/>
  <c r="N28" i="2"/>
  <c r="L28" i="2"/>
  <c r="U59" i="2"/>
  <c r="V59" i="2" s="1"/>
  <c r="X36" i="2"/>
  <c r="V34" i="2"/>
  <c r="AC9" i="1"/>
  <c r="E29" i="1"/>
  <c r="AE11" i="1"/>
  <c r="AF11" i="1" s="1"/>
  <c r="G26" i="1"/>
  <c r="O24" i="2"/>
  <c r="N8" i="2"/>
  <c r="L9" i="2"/>
  <c r="P26" i="2"/>
  <c r="O25" i="46"/>
  <c r="S13" i="46"/>
  <c r="Q13" i="46"/>
  <c r="S12" i="41"/>
  <c r="S16" i="41"/>
  <c r="U16" i="41" s="1"/>
  <c r="S11" i="41"/>
  <c r="U11" i="41" s="1"/>
  <c r="AB10" i="41"/>
  <c r="AB12" i="41" s="1"/>
  <c r="U10" i="41"/>
  <c r="V18" i="2"/>
  <c r="R26" i="2"/>
  <c r="Q29" i="2"/>
  <c r="J32" i="2"/>
  <c r="AL12" i="41" s="1"/>
  <c r="Q33" i="2"/>
  <c r="V7" i="46"/>
  <c r="T24" i="46"/>
  <c r="S11" i="46"/>
  <c r="P25" i="46"/>
  <c r="Q11" i="46"/>
  <c r="L15" i="2"/>
  <c r="Q20" i="2"/>
  <c r="V30" i="2"/>
  <c r="U24" i="46"/>
  <c r="X8" i="46"/>
  <c r="R25" i="46"/>
  <c r="V15" i="46"/>
  <c r="Q36" i="45"/>
  <c r="S36" i="45"/>
  <c r="R21" i="41"/>
  <c r="AH21" i="41"/>
  <c r="AJ21" i="41" s="1"/>
  <c r="X18" i="2"/>
  <c r="L22" i="2"/>
  <c r="W25" i="2"/>
  <c r="T26" i="2"/>
  <c r="S29" i="2"/>
  <c r="S33" i="2"/>
  <c r="P41" i="2"/>
  <c r="T25" i="46"/>
  <c r="P32" i="46"/>
  <c r="U26" i="2"/>
  <c r="W27" i="46"/>
  <c r="X11" i="46"/>
  <c r="U25" i="46"/>
  <c r="V13" i="46"/>
  <c r="L16" i="2"/>
  <c r="Q21" i="2"/>
  <c r="N22" i="2"/>
  <c r="Q28" i="2"/>
  <c r="Q39" i="2"/>
  <c r="R41" i="2"/>
  <c r="V11" i="46"/>
  <c r="S31" i="46"/>
  <c r="Q31" i="46"/>
  <c r="AE20" i="41"/>
  <c r="AG20" i="41" s="1"/>
  <c r="AG18" i="41"/>
  <c r="S21" i="2"/>
  <c r="J24" i="2"/>
  <c r="S28" i="2"/>
  <c r="P32" i="2"/>
  <c r="S39" i="2"/>
  <c r="T41" i="2"/>
  <c r="N29" i="43"/>
  <c r="Q37" i="43"/>
  <c r="O37" i="43"/>
  <c r="L17" i="2"/>
  <c r="Q22" i="2"/>
  <c r="N23" i="2"/>
  <c r="X29" i="2"/>
  <c r="L31" i="2"/>
  <c r="X33" i="2"/>
  <c r="X37" i="2"/>
  <c r="T62" i="2"/>
  <c r="Q37" i="42"/>
  <c r="N21" i="46"/>
  <c r="L21" i="46"/>
  <c r="P26" i="46"/>
  <c r="V35" i="2"/>
  <c r="U62" i="2"/>
  <c r="N17" i="2"/>
  <c r="V21" i="2"/>
  <c r="S22" i="2"/>
  <c r="J25" i="2"/>
  <c r="V28" i="2"/>
  <c r="N31" i="2"/>
  <c r="V39" i="2"/>
  <c r="W41" i="2"/>
  <c r="T53" i="2"/>
  <c r="L19" i="46"/>
  <c r="J26" i="46"/>
  <c r="N26" i="46"/>
  <c r="L26" i="46"/>
  <c r="Q23" i="46"/>
  <c r="L18" i="2"/>
  <c r="Q23" i="2"/>
  <c r="T32" i="2"/>
  <c r="X35" i="2"/>
  <c r="L30" i="46"/>
  <c r="X21" i="2"/>
  <c r="X39" i="2"/>
  <c r="V22" i="2"/>
  <c r="S23" i="2"/>
  <c r="P24" i="2"/>
  <c r="J26" i="2"/>
  <c r="Q31" i="2"/>
  <c r="K27" i="46"/>
  <c r="L18" i="46"/>
  <c r="W40" i="46"/>
  <c r="AH15" i="41"/>
  <c r="R15" i="41"/>
  <c r="W23" i="1"/>
  <c r="V9" i="2"/>
  <c r="X15" i="2"/>
  <c r="L19" i="2"/>
  <c r="K26" i="2"/>
  <c r="N30" i="2"/>
  <c r="W32" i="2"/>
  <c r="Q34" i="2"/>
  <c r="S38" i="2"/>
  <c r="L7" i="46"/>
  <c r="V32" i="46"/>
  <c r="O40" i="46"/>
  <c r="Q11" i="2"/>
  <c r="V16" i="2"/>
  <c r="X22" i="2"/>
  <c r="O25" i="2"/>
  <c r="S31" i="2"/>
  <c r="S40" i="42"/>
  <c r="Q40" i="42"/>
  <c r="N10" i="46"/>
  <c r="L10" i="46"/>
  <c r="N14" i="46"/>
  <c r="X22" i="46"/>
  <c r="V22" i="46"/>
  <c r="AH39" i="41"/>
  <c r="R39" i="41"/>
  <c r="X9" i="2"/>
  <c r="Q18" i="2"/>
  <c r="N19" i="2"/>
  <c r="P25" i="2"/>
  <c r="M26" i="2"/>
  <c r="S34" i="2"/>
  <c r="N7" i="46"/>
  <c r="N12" i="46"/>
  <c r="L12" i="46"/>
  <c r="R26" i="46"/>
  <c r="P40" i="46"/>
  <c r="R19" i="41"/>
  <c r="AG31" i="41"/>
  <c r="AC22" i="43"/>
  <c r="W32" i="46"/>
  <c r="X32" i="46" s="1"/>
  <c r="AB24" i="41"/>
  <c r="AD24" i="41" s="1"/>
  <c r="U24" i="41"/>
  <c r="Z20" i="43"/>
  <c r="AA18" i="43"/>
  <c r="V16" i="46"/>
  <c r="Q38" i="46"/>
  <c r="L36" i="41"/>
  <c r="Q21" i="43"/>
  <c r="K27" i="43"/>
  <c r="N19" i="46"/>
  <c r="L29" i="46"/>
  <c r="AH8" i="41"/>
  <c r="R8" i="41"/>
  <c r="J41" i="41"/>
  <c r="AA25" i="43"/>
  <c r="T31" i="43"/>
  <c r="AC39" i="43"/>
  <c r="V36" i="46"/>
  <c r="M17" i="41"/>
  <c r="O17" i="41" s="1"/>
  <c r="M14" i="41"/>
  <c r="O14" i="41" s="1"/>
  <c r="L18" i="41"/>
  <c r="U40" i="46"/>
  <c r="O13" i="41"/>
  <c r="X38" i="41"/>
  <c r="V34" i="46"/>
  <c r="I11" i="29"/>
  <c r="X21" i="41"/>
  <c r="O28" i="43"/>
  <c r="L28" i="46"/>
  <c r="V38" i="46"/>
  <c r="AB19" i="41"/>
  <c r="AD19" i="41" s="1"/>
  <c r="V18" i="46"/>
  <c r="Q29" i="46"/>
  <c r="Q33" i="46"/>
  <c r="V39" i="45"/>
  <c r="Q23" i="43"/>
  <c r="AA28" i="43"/>
  <c r="AC36" i="43"/>
  <c r="AI36" i="43" s="1"/>
  <c r="T28" i="43"/>
  <c r="K32" i="43"/>
  <c r="Q40" i="43"/>
  <c r="L15" i="46"/>
  <c r="Q20" i="46"/>
  <c r="V30" i="46"/>
  <c r="U19" i="41"/>
  <c r="AG25" i="41"/>
  <c r="O30" i="43"/>
  <c r="S29" i="46"/>
  <c r="AB32" i="41"/>
  <c r="AD32" i="41" s="1"/>
  <c r="H29" i="43"/>
  <c r="Q35" i="43"/>
  <c r="H41" i="43"/>
  <c r="O32" i="43"/>
  <c r="Q21" i="46"/>
  <c r="R25" i="41"/>
  <c r="K11" i="43"/>
  <c r="Q10" i="43"/>
  <c r="K16" i="43"/>
  <c r="K41" i="43"/>
  <c r="X19" i="46"/>
  <c r="L23" i="46"/>
  <c r="V29" i="46"/>
  <c r="V33" i="46"/>
  <c r="P10" i="41"/>
  <c r="P12" i="41" s="1"/>
  <c r="I10" i="41"/>
  <c r="L40" i="41"/>
  <c r="AF12" i="43"/>
  <c r="AF11" i="43" s="1"/>
  <c r="AF27" i="43"/>
  <c r="M41" i="43"/>
  <c r="V20" i="46"/>
  <c r="V37" i="46"/>
  <c r="G16" i="41"/>
  <c r="I16" i="41" s="1"/>
  <c r="Q25" i="43"/>
  <c r="Q31" i="43" s="1"/>
  <c r="R31" i="43" s="1"/>
  <c r="L25" i="41"/>
  <c r="AH38" i="41"/>
  <c r="H11" i="43"/>
  <c r="H9" i="43"/>
  <c r="AD18" i="41"/>
  <c r="K9" i="43"/>
  <c r="Q8" i="43"/>
  <c r="Q14" i="43" s="1"/>
  <c r="T41" i="43"/>
  <c r="M11" i="41"/>
  <c r="O11" i="41" s="1"/>
  <c r="P13" i="41"/>
  <c r="AE16" i="41"/>
  <c r="AG16" i="41" s="1"/>
  <c r="V17" i="41"/>
  <c r="X17" i="41" s="1"/>
  <c r="M20" i="41"/>
  <c r="O20" i="41" s="1"/>
  <c r="P22" i="41"/>
  <c r="AB23" i="41"/>
  <c r="G41" i="41"/>
  <c r="AE41" i="41"/>
  <c r="AE42" i="41" s="1"/>
  <c r="AC23" i="43"/>
  <c r="G11" i="29"/>
  <c r="J16" i="41"/>
  <c r="L16" i="41" s="1"/>
  <c r="AB26" i="41"/>
  <c r="AD26" i="41" s="1"/>
  <c r="AB29" i="41"/>
  <c r="AD29" i="41" s="1"/>
  <c r="Y9" i="43"/>
  <c r="T32" i="43"/>
  <c r="O40" i="43"/>
  <c r="G12" i="41"/>
  <c r="G14" i="41"/>
  <c r="I14" i="41" s="1"/>
  <c r="AB21" i="41"/>
  <c r="AD21" i="41" s="1"/>
  <c r="U30" i="41"/>
  <c r="Z9" i="43"/>
  <c r="K14" i="43"/>
  <c r="AC18" i="43"/>
  <c r="Q19" i="43"/>
  <c r="K29" i="43"/>
  <c r="K31" i="43"/>
  <c r="Q35" i="45"/>
  <c r="U35" i="41"/>
  <c r="P36" i="41"/>
  <c r="I37" i="41"/>
  <c r="AB38" i="41"/>
  <c r="AD38" i="41" s="1"/>
  <c r="U39" i="41"/>
  <c r="P40" i="41"/>
  <c r="AF14" i="43"/>
  <c r="AF16" i="43"/>
  <c r="AF29" i="43"/>
  <c r="AF31" i="43"/>
  <c r="M9" i="41"/>
  <c r="O9" i="41" s="1"/>
  <c r="AE12" i="41"/>
  <c r="AE9" i="41" s="1"/>
  <c r="AG9" i="41" s="1"/>
  <c r="AE14" i="41"/>
  <c r="AG14" i="41" s="1"/>
  <c r="M16" i="41"/>
  <c r="O16" i="41" s="1"/>
  <c r="P18" i="41"/>
  <c r="AE29" i="41"/>
  <c r="AG29" i="41" s="1"/>
  <c r="W17" i="43"/>
  <c r="W30" i="43"/>
  <c r="W32" i="43"/>
  <c r="AI38" i="43"/>
  <c r="J12" i="41"/>
  <c r="J14" i="41"/>
  <c r="L14" i="41" s="1"/>
  <c r="S20" i="41"/>
  <c r="U20" i="41" s="1"/>
  <c r="I26" i="41"/>
  <c r="AG26" i="41"/>
  <c r="AE32" i="41"/>
  <c r="AG32" i="41" s="1"/>
  <c r="N14" i="43"/>
  <c r="N16" i="43"/>
  <c r="N31" i="43"/>
  <c r="O31" i="43" s="1"/>
  <c r="Y17" i="43"/>
  <c r="Z17" i="43"/>
  <c r="Z30" i="43"/>
  <c r="AA30" i="43" s="1"/>
  <c r="Z32" i="43"/>
  <c r="AA32" i="43" s="1"/>
  <c r="O38" i="43"/>
  <c r="N41" i="43"/>
  <c r="V11" i="41"/>
  <c r="X11" i="41" s="1"/>
  <c r="X13" i="41"/>
  <c r="AE17" i="41"/>
  <c r="AG17" i="41" s="1"/>
  <c r="I19" i="41"/>
  <c r="V20" i="41"/>
  <c r="X20" i="41" s="1"/>
  <c r="X22" i="41"/>
  <c r="U25" i="41"/>
  <c r="L26" i="41"/>
  <c r="U28" i="41"/>
  <c r="AB35" i="41"/>
  <c r="AD35" i="41" s="1"/>
  <c r="U36" i="41"/>
  <c r="P37" i="41"/>
  <c r="I38" i="41"/>
  <c r="U40" i="41"/>
  <c r="AA15" i="43"/>
  <c r="U18" i="41"/>
  <c r="L21" i="41"/>
  <c r="U31" i="41"/>
  <c r="H17" i="43"/>
  <c r="N20" i="43"/>
  <c r="H28" i="43"/>
  <c r="H30" i="43"/>
  <c r="H32" i="43"/>
  <c r="P26" i="41"/>
  <c r="S41" i="41"/>
  <c r="L10" i="41"/>
  <c r="AB13" i="41"/>
  <c r="L19" i="41"/>
  <c r="I24" i="41"/>
  <c r="T16" i="43"/>
  <c r="T27" i="43"/>
  <c r="X18" i="41"/>
  <c r="AG24" i="41"/>
  <c r="V41" i="41"/>
  <c r="AF30" i="43"/>
  <c r="AF32" i="43"/>
  <c r="O36" i="43"/>
  <c r="L8" i="41"/>
  <c r="AC8" i="43"/>
  <c r="AC10" i="43"/>
  <c r="I9" i="36"/>
  <c r="J9" i="36" s="1"/>
  <c r="V23" i="33"/>
  <c r="P22" i="34"/>
  <c r="P13" i="36"/>
  <c r="J23" i="36"/>
  <c r="V24" i="36"/>
  <c r="G28" i="36"/>
  <c r="P13" i="37"/>
  <c r="J15" i="37"/>
  <c r="P21" i="37"/>
  <c r="J23" i="37"/>
  <c r="V24" i="37"/>
  <c r="V12" i="33"/>
  <c r="N18" i="33"/>
  <c r="G21" i="33"/>
  <c r="Y21" i="33" s="1"/>
  <c r="Z21" i="33" s="1"/>
  <c r="G18" i="34"/>
  <c r="P27" i="34"/>
  <c r="G20" i="36"/>
  <c r="S21" i="36"/>
  <c r="G20" i="37"/>
  <c r="P26" i="37"/>
  <c r="AE19" i="2"/>
  <c r="AE19" i="46"/>
  <c r="R15" i="33"/>
  <c r="N25" i="33"/>
  <c r="Q18" i="34"/>
  <c r="T18" i="34" s="1"/>
  <c r="M20" i="34"/>
  <c r="G23" i="34"/>
  <c r="M25" i="34"/>
  <c r="G12" i="36"/>
  <c r="P18" i="36"/>
  <c r="M23" i="36"/>
  <c r="P26" i="36"/>
  <c r="S13" i="37"/>
  <c r="S21" i="37"/>
  <c r="G25" i="37"/>
  <c r="AF19" i="2"/>
  <c r="AF20" i="2"/>
  <c r="AE13" i="46"/>
  <c r="G24" i="33"/>
  <c r="Y24" i="33" s="1"/>
  <c r="Z24" i="33" s="1"/>
  <c r="Q25" i="34"/>
  <c r="T25" i="34" s="1"/>
  <c r="R27" i="34"/>
  <c r="U27" i="34" s="1"/>
  <c r="M15" i="36"/>
  <c r="V21" i="36"/>
  <c r="G17" i="37"/>
  <c r="J20" i="37"/>
  <c r="S26" i="37"/>
  <c r="M28" i="37"/>
  <c r="AE13" i="2"/>
  <c r="G13" i="33"/>
  <c r="Y13" i="33" s="1"/>
  <c r="Z13" i="33" s="1"/>
  <c r="J17" i="33"/>
  <c r="J28" i="33"/>
  <c r="P20" i="34"/>
  <c r="V13" i="36"/>
  <c r="S18" i="36"/>
  <c r="V13" i="37"/>
  <c r="V21" i="37"/>
  <c r="AF14" i="2"/>
  <c r="AE7" i="46"/>
  <c r="AE8" i="46"/>
  <c r="AE21" i="46"/>
  <c r="N14" i="33"/>
  <c r="V15" i="33"/>
  <c r="J24" i="33"/>
  <c r="R25" i="33"/>
  <c r="J16" i="34"/>
  <c r="M18" i="34"/>
  <c r="J17" i="36"/>
  <c r="J17" i="37"/>
  <c r="V26" i="37"/>
  <c r="P28" i="37"/>
  <c r="AE15" i="2"/>
  <c r="J16" i="33"/>
  <c r="R17" i="33"/>
  <c r="R28" i="33"/>
  <c r="G24" i="34"/>
  <c r="S12" i="36"/>
  <c r="J27" i="36"/>
  <c r="S12" i="37"/>
  <c r="AF15" i="2"/>
  <c r="AE22" i="2"/>
  <c r="AE23" i="2"/>
  <c r="AE22" i="46"/>
  <c r="J23" i="33"/>
  <c r="Q12" i="34"/>
  <c r="T12" i="34" s="1"/>
  <c r="Q24" i="34"/>
  <c r="T24" i="34" s="1"/>
  <c r="P22" i="36"/>
  <c r="AE9" i="2"/>
  <c r="AE10" i="2"/>
  <c r="Q14" i="34"/>
  <c r="T14" i="34" s="1"/>
  <c r="J24" i="37"/>
  <c r="AF10" i="2"/>
  <c r="P14" i="34"/>
  <c r="J16" i="36"/>
  <c r="G21" i="36"/>
  <c r="M18" i="36"/>
  <c r="R14" i="33"/>
  <c r="N19" i="33"/>
  <c r="R20" i="33"/>
  <c r="G15" i="34"/>
  <c r="J8" i="36"/>
  <c r="V22" i="36"/>
  <c r="J15" i="33"/>
  <c r="G18" i="33"/>
  <c r="R27" i="33"/>
  <c r="P17" i="36"/>
  <c r="AE12" i="46"/>
  <c r="AF18" i="46"/>
  <c r="P16" i="36"/>
  <c r="M21" i="36"/>
  <c r="N17" i="33"/>
  <c r="V18" i="33"/>
  <c r="G27" i="33"/>
  <c r="Y27" i="33" s="1"/>
  <c r="Z27" i="33" s="1"/>
  <c r="G14" i="34"/>
  <c r="P18" i="34"/>
  <c r="S15" i="36"/>
  <c r="P20" i="36"/>
  <c r="S15" i="37"/>
  <c r="M17" i="37"/>
  <c r="V18" i="37"/>
  <c r="S28" i="37"/>
  <c r="G16" i="33"/>
  <c r="Y16" i="33" s="1"/>
  <c r="Z16" i="33" s="1"/>
  <c r="J20" i="33"/>
  <c r="V25" i="33"/>
  <c r="P23" i="34"/>
  <c r="J14" i="36"/>
  <c r="V23" i="36"/>
  <c r="P12" i="37"/>
  <c r="J14" i="37"/>
  <c r="P20" i="37"/>
  <c r="J22" i="37"/>
  <c r="R21" i="33"/>
  <c r="J14" i="34"/>
  <c r="M28" i="34"/>
  <c r="P17" i="37"/>
  <c r="G19" i="37"/>
  <c r="P25" i="37"/>
  <c r="V28" i="37"/>
  <c r="AE12" i="2"/>
  <c r="G14" i="33"/>
  <c r="Y14" i="33" s="1"/>
  <c r="Z14" i="33" s="1"/>
  <c r="J18" i="33"/>
  <c r="R19" i="33"/>
  <c r="Q17" i="34"/>
  <c r="T17" i="34" s="1"/>
  <c r="M22" i="34"/>
  <c r="G25" i="34"/>
  <c r="S24" i="36"/>
  <c r="S24" i="37"/>
  <c r="F20" i="29"/>
  <c r="F21" i="29" s="1"/>
  <c r="F26" i="29"/>
  <c r="H26" i="29" s="1"/>
  <c r="F11" i="29"/>
  <c r="H13" i="29"/>
  <c r="H25" i="29"/>
  <c r="F17" i="29"/>
  <c r="H17" i="29" s="1"/>
  <c r="N9" i="34"/>
  <c r="Q9" i="37"/>
  <c r="K9" i="34"/>
  <c r="T9" i="37"/>
  <c r="T9" i="36"/>
  <c r="E10" i="36"/>
  <c r="G10" i="36" s="1"/>
  <c r="E9" i="36"/>
  <c r="E8" i="36"/>
  <c r="T11" i="36"/>
  <c r="T8" i="36"/>
  <c r="J26" i="29"/>
  <c r="I17" i="29"/>
  <c r="J17" i="29" s="1"/>
  <c r="J13" i="29"/>
  <c r="J15" i="29"/>
  <c r="J25" i="29"/>
  <c r="F14" i="29"/>
  <c r="H10" i="29"/>
  <c r="I14" i="29"/>
  <c r="I18" i="29"/>
  <c r="G18" i="29"/>
  <c r="H16" i="29"/>
  <c r="J10" i="29"/>
  <c r="J12" i="29"/>
  <c r="J16" i="29"/>
  <c r="J24" i="29"/>
  <c r="G20" i="29"/>
  <c r="F18" i="29"/>
  <c r="H12" i="29"/>
  <c r="H24" i="29"/>
  <c r="G14" i="29"/>
  <c r="M13" i="34"/>
  <c r="P15" i="34"/>
  <c r="U8" i="36"/>
  <c r="G25" i="36"/>
  <c r="N24" i="33"/>
  <c r="G23" i="33"/>
  <c r="Y23" i="33" s="1"/>
  <c r="Z23" i="33" s="1"/>
  <c r="N28" i="33"/>
  <c r="G19" i="33"/>
  <c r="Y19" i="33" s="1"/>
  <c r="Z19" i="33" s="1"/>
  <c r="G22" i="36"/>
  <c r="AE17" i="46"/>
  <c r="V17" i="33"/>
  <c r="G19" i="36"/>
  <c r="O11" i="36"/>
  <c r="P11" i="36" s="1"/>
  <c r="G15" i="33"/>
  <c r="Y15" i="33" s="1"/>
  <c r="Z15" i="33" s="1"/>
  <c r="O10" i="36"/>
  <c r="P10" i="36" s="1"/>
  <c r="R17" i="34"/>
  <c r="V13" i="33"/>
  <c r="R16" i="33"/>
  <c r="G27" i="37"/>
  <c r="S20" i="37"/>
  <c r="P17" i="34"/>
  <c r="G13" i="37"/>
  <c r="S17" i="37"/>
  <c r="J19" i="37"/>
  <c r="T13" i="1"/>
  <c r="W13" i="1" s="1"/>
  <c r="J13" i="36"/>
  <c r="S14" i="37"/>
  <c r="S14" i="36"/>
  <c r="M16" i="37"/>
  <c r="AE14" i="2"/>
  <c r="R24" i="33"/>
  <c r="J27" i="33"/>
  <c r="G16" i="34"/>
  <c r="Q22" i="34"/>
  <c r="T22" i="34" s="1"/>
  <c r="M26" i="34"/>
  <c r="J28" i="34"/>
  <c r="M10" i="36"/>
  <c r="V14" i="36"/>
  <c r="V17" i="36"/>
  <c r="M19" i="36"/>
  <c r="S23" i="36"/>
  <c r="S26" i="36"/>
  <c r="M13" i="37"/>
  <c r="G18" i="37"/>
  <c r="G21" i="37"/>
  <c r="G24" i="37"/>
  <c r="P13" i="34"/>
  <c r="G28" i="34"/>
  <c r="J10" i="36"/>
  <c r="S17" i="36"/>
  <c r="J19" i="36"/>
  <c r="P23" i="36"/>
  <c r="V17" i="37"/>
  <c r="V20" i="37"/>
  <c r="S20" i="36"/>
  <c r="V14" i="37"/>
  <c r="AF9" i="2"/>
  <c r="AF7" i="46"/>
  <c r="AF12" i="46"/>
  <c r="AE18" i="46"/>
  <c r="Y18" i="33"/>
  <c r="Z18" i="33" s="1"/>
  <c r="G26" i="33"/>
  <c r="Y26" i="33" s="1"/>
  <c r="Z26" i="33" s="1"/>
  <c r="R22" i="34"/>
  <c r="Q26" i="34"/>
  <c r="T26" i="34" s="1"/>
  <c r="M13" i="36"/>
  <c r="V20" i="36"/>
  <c r="M22" i="36"/>
  <c r="M25" i="36"/>
  <c r="M28" i="36"/>
  <c r="G15" i="37"/>
  <c r="P16" i="37"/>
  <c r="P19" i="37"/>
  <c r="P22" i="37"/>
  <c r="J27" i="37"/>
  <c r="J13" i="37"/>
  <c r="V23" i="37"/>
  <c r="J25" i="36"/>
  <c r="R24" i="34"/>
  <c r="R26" i="34"/>
  <c r="P19" i="34"/>
  <c r="V20" i="33"/>
  <c r="M16" i="34"/>
  <c r="J18" i="34"/>
  <c r="P24" i="34"/>
  <c r="P28" i="34"/>
  <c r="G24" i="36"/>
  <c r="M18" i="37"/>
  <c r="M21" i="37"/>
  <c r="M24" i="37"/>
  <c r="V25" i="37"/>
  <c r="J28" i="36"/>
  <c r="M22" i="37"/>
  <c r="AF16" i="2"/>
  <c r="AE21" i="2"/>
  <c r="R12" i="34"/>
  <c r="Q16" i="34"/>
  <c r="T16" i="34" s="1"/>
  <c r="Q20" i="34"/>
  <c r="T20" i="34" s="1"/>
  <c r="G27" i="34"/>
  <c r="R28" i="34"/>
  <c r="S13" i="36"/>
  <c r="J15" i="36"/>
  <c r="J18" i="36"/>
  <c r="J21" i="36"/>
  <c r="S22" i="36"/>
  <c r="S25" i="36"/>
  <c r="S28" i="36"/>
  <c r="M15" i="37"/>
  <c r="V16" i="37"/>
  <c r="V19" i="37"/>
  <c r="V22" i="37"/>
  <c r="P27" i="37"/>
  <c r="O9" i="36"/>
  <c r="P9" i="36" s="1"/>
  <c r="AF22" i="2"/>
  <c r="AF14" i="46"/>
  <c r="R14" i="34"/>
  <c r="R16" i="34"/>
  <c r="AF8" i="46"/>
  <c r="P12" i="36"/>
  <c r="V16" i="36"/>
  <c r="M24" i="36"/>
  <c r="M27" i="36"/>
  <c r="M12" i="37"/>
  <c r="AF17" i="2"/>
  <c r="AF15" i="46"/>
  <c r="AF21" i="46"/>
  <c r="G12" i="33"/>
  <c r="Y12" i="33" s="1"/>
  <c r="Z12" i="33" s="1"/>
  <c r="J21" i="33"/>
  <c r="G17" i="34"/>
  <c r="R18" i="34"/>
  <c r="U18" i="34" s="1"/>
  <c r="Q23" i="34"/>
  <c r="T23" i="34" s="1"/>
  <c r="J25" i="34"/>
  <c r="G14" i="36"/>
  <c r="G26" i="36"/>
  <c r="AF11" i="2"/>
  <c r="AE17" i="2"/>
  <c r="AE15" i="46"/>
  <c r="M23" i="37"/>
  <c r="G28" i="37"/>
  <c r="AF12" i="2"/>
  <c r="AF18" i="2"/>
  <c r="AF10" i="46"/>
  <c r="AF22" i="46"/>
  <c r="G28" i="33"/>
  <c r="Y28" i="33" s="1"/>
  <c r="Z28" i="33" s="1"/>
  <c r="Q13" i="34"/>
  <c r="T13" i="34" s="1"/>
  <c r="J15" i="34"/>
  <c r="Q19" i="34"/>
  <c r="T19" i="34" s="1"/>
  <c r="R21" i="34"/>
  <c r="P25" i="34"/>
  <c r="M14" i="36"/>
  <c r="V15" i="36"/>
  <c r="J20" i="36"/>
  <c r="M14" i="37"/>
  <c r="V15" i="37"/>
  <c r="P23" i="37"/>
  <c r="J28" i="37"/>
  <c r="F11" i="36"/>
  <c r="G11" i="36" s="1"/>
  <c r="J26" i="34"/>
  <c r="AE18" i="2"/>
  <c r="AE10" i="46"/>
  <c r="V26" i="33"/>
  <c r="R19" i="34"/>
  <c r="U19" i="34" s="1"/>
  <c r="M17" i="36"/>
  <c r="V27" i="36"/>
  <c r="V12" i="37"/>
  <c r="V14" i="33"/>
  <c r="P24" i="37"/>
  <c r="G26" i="37"/>
  <c r="V28" i="36"/>
  <c r="R23" i="34"/>
  <c r="P15" i="36"/>
  <c r="V27" i="37"/>
  <c r="R12" i="33"/>
  <c r="G17" i="36"/>
  <c r="J19" i="33"/>
  <c r="R13" i="34"/>
  <c r="Q21" i="34"/>
  <c r="T21" i="34" s="1"/>
  <c r="V18" i="36"/>
  <c r="M21" i="34"/>
  <c r="G22" i="34"/>
  <c r="N22" i="33"/>
  <c r="J22" i="36"/>
  <c r="M19" i="37"/>
  <c r="G22" i="33"/>
  <c r="Y22" i="33" s="1"/>
  <c r="Z22" i="33" s="1"/>
  <c r="G12" i="34"/>
  <c r="N15" i="33"/>
  <c r="M20" i="36"/>
  <c r="R18" i="33"/>
  <c r="R20" i="34"/>
  <c r="J20" i="34"/>
  <c r="J21" i="37"/>
  <c r="P14" i="37"/>
  <c r="P25" i="36"/>
  <c r="S22" i="37"/>
  <c r="G16" i="37"/>
  <c r="J12" i="36"/>
  <c r="G27" i="36"/>
  <c r="J13" i="34"/>
  <c r="P16" i="34"/>
  <c r="J23" i="34"/>
  <c r="P26" i="34"/>
  <c r="M14" i="34"/>
  <c r="G21" i="34"/>
  <c r="M24" i="34"/>
  <c r="F8" i="36"/>
  <c r="J12" i="34"/>
  <c r="J22" i="34"/>
  <c r="G20" i="34"/>
  <c r="R15" i="34"/>
  <c r="J21" i="34"/>
  <c r="R25" i="34"/>
  <c r="F9" i="36"/>
  <c r="J19" i="34"/>
  <c r="T16" i="1"/>
  <c r="W16" i="1" s="1"/>
  <c r="T14" i="1"/>
  <c r="W14" i="1" s="1"/>
  <c r="L9" i="36"/>
  <c r="M9" i="36" s="1"/>
  <c r="L8" i="36"/>
  <c r="M8" i="36" s="1"/>
  <c r="S14" i="34" l="1"/>
  <c r="N32" i="46"/>
  <c r="L32" i="46"/>
  <c r="L24" i="46"/>
  <c r="J11" i="29"/>
  <c r="AA20" i="43"/>
  <c r="AA11" i="43"/>
  <c r="AH24" i="41"/>
  <c r="AJ24" i="41" s="1"/>
  <c r="AH25" i="41"/>
  <c r="AJ25" i="41" s="1"/>
  <c r="R27" i="46"/>
  <c r="R42" i="46" s="1"/>
  <c r="R46" i="46" s="1"/>
  <c r="AI26" i="43"/>
  <c r="Q28" i="43"/>
  <c r="R28" i="43" s="1"/>
  <c r="AI22" i="43"/>
  <c r="AI28" i="43" s="1"/>
  <c r="V26" i="46"/>
  <c r="N9" i="43"/>
  <c r="H11" i="29"/>
  <c r="AA17" i="43"/>
  <c r="T63" i="2"/>
  <c r="O27" i="46"/>
  <c r="O42" i="46" s="1"/>
  <c r="O46" i="46" s="1"/>
  <c r="G8" i="36"/>
  <c r="V62" i="2"/>
  <c r="V8" i="36"/>
  <c r="G9" i="36"/>
  <c r="S28" i="34"/>
  <c r="S18" i="34"/>
  <c r="S20" i="34"/>
  <c r="Q17" i="43"/>
  <c r="Q16" i="43"/>
  <c r="AI15" i="43"/>
  <c r="W11" i="43"/>
  <c r="Q20" i="43"/>
  <c r="AA9" i="43"/>
  <c r="AI18" i="43"/>
  <c r="O29" i="43"/>
  <c r="U10" i="36"/>
  <c r="V10" i="36" s="1"/>
  <c r="N8" i="34"/>
  <c r="R10" i="36"/>
  <c r="S10" i="36" s="1"/>
  <c r="S24" i="34"/>
  <c r="O11" i="37"/>
  <c r="P11" i="37" s="1"/>
  <c r="S17" i="34"/>
  <c r="N9" i="37"/>
  <c r="H9" i="37"/>
  <c r="E9" i="37"/>
  <c r="S12" i="34"/>
  <c r="H10" i="37"/>
  <c r="T11" i="1"/>
  <c r="I11" i="33"/>
  <c r="M11" i="33"/>
  <c r="Z26" i="46"/>
  <c r="Z26" i="2"/>
  <c r="F11" i="34"/>
  <c r="I9" i="33"/>
  <c r="T9" i="1"/>
  <c r="I10" i="33"/>
  <c r="T10" i="1"/>
  <c r="S27" i="34"/>
  <c r="Z24" i="2"/>
  <c r="F9" i="34"/>
  <c r="Z24" i="46"/>
  <c r="M9" i="33"/>
  <c r="I8" i="33"/>
  <c r="H11" i="37"/>
  <c r="R11" i="37"/>
  <c r="S11" i="37" s="1"/>
  <c r="H10" i="34"/>
  <c r="Q10" i="34" s="1"/>
  <c r="K11" i="37"/>
  <c r="O11" i="34"/>
  <c r="P11" i="34" s="1"/>
  <c r="U9" i="36"/>
  <c r="V9" i="36" s="1"/>
  <c r="K9" i="37"/>
  <c r="U24" i="34"/>
  <c r="V24" i="34" s="1"/>
  <c r="S22" i="34"/>
  <c r="S16" i="34"/>
  <c r="S21" i="34"/>
  <c r="AB4" i="43"/>
  <c r="AD12" i="41"/>
  <c r="AB9" i="41"/>
  <c r="AD9" i="41" s="1"/>
  <c r="R12" i="41"/>
  <c r="P9" i="41"/>
  <c r="R9" i="41" s="1"/>
  <c r="AJ39" i="41"/>
  <c r="AH31" i="41"/>
  <c r="AJ31" i="41" s="1"/>
  <c r="AI30" i="43"/>
  <c r="R40" i="41"/>
  <c r="AH40" i="41"/>
  <c r="AC32" i="43"/>
  <c r="K42" i="43"/>
  <c r="AB20" i="41"/>
  <c r="AD20" i="41" s="1"/>
  <c r="N27" i="46"/>
  <c r="L27" i="46"/>
  <c r="G27" i="46"/>
  <c r="Q32" i="46"/>
  <c r="S32" i="46"/>
  <c r="AF9" i="1"/>
  <c r="AD9" i="1"/>
  <c r="AF10" i="1"/>
  <c r="AD10" i="1"/>
  <c r="AF7" i="1"/>
  <c r="AD7" i="1"/>
  <c r="T27" i="2"/>
  <c r="G20" i="1"/>
  <c r="I20" i="1"/>
  <c r="F30" i="1"/>
  <c r="L12" i="41"/>
  <c r="J11" i="41"/>
  <c r="L11" i="41" s="1"/>
  <c r="P17" i="41"/>
  <c r="R17" i="41" s="1"/>
  <c r="P14" i="41"/>
  <c r="R14" i="41" s="1"/>
  <c r="R13" i="41"/>
  <c r="AH13" i="41"/>
  <c r="S26" i="46"/>
  <c r="Q26" i="46"/>
  <c r="AM17" i="41"/>
  <c r="S32" i="2"/>
  <c r="Q32" i="2"/>
  <c r="U12" i="41"/>
  <c r="S9" i="41"/>
  <c r="U9" i="41" s="1"/>
  <c r="AC31" i="43"/>
  <c r="I14" i="1"/>
  <c r="AI39" i="43"/>
  <c r="AL11" i="43"/>
  <c r="N24" i="2"/>
  <c r="L24" i="2"/>
  <c r="K27" i="2"/>
  <c r="P27" i="46"/>
  <c r="S24" i="46"/>
  <c r="Q24" i="46"/>
  <c r="X41" i="41"/>
  <c r="V42" i="41"/>
  <c r="U41" i="41"/>
  <c r="S42" i="41"/>
  <c r="AB41" i="41"/>
  <c r="AI17" i="43"/>
  <c r="S25" i="2"/>
  <c r="Q25" i="2"/>
  <c r="I28" i="1"/>
  <c r="G28" i="1"/>
  <c r="I12" i="41"/>
  <c r="G9" i="41"/>
  <c r="I9" i="41" s="1"/>
  <c r="G21" i="1"/>
  <c r="I21" i="1"/>
  <c r="F32" i="1"/>
  <c r="R26" i="41"/>
  <c r="AH26" i="41"/>
  <c r="AJ26" i="41" s="1"/>
  <c r="R37" i="41"/>
  <c r="AH37" i="41"/>
  <c r="R36" i="41"/>
  <c r="AH36" i="41"/>
  <c r="T42" i="43"/>
  <c r="AC41" i="43"/>
  <c r="AI10" i="43"/>
  <c r="AI16" i="43" s="1"/>
  <c r="V36" i="1"/>
  <c r="V35" i="1" s="1"/>
  <c r="AE26" i="1"/>
  <c r="X25" i="46"/>
  <c r="V25" i="46"/>
  <c r="K46" i="46"/>
  <c r="X25" i="2"/>
  <c r="V25" i="2"/>
  <c r="AB13" i="1"/>
  <c r="AB14" i="1" s="1"/>
  <c r="E23" i="1"/>
  <c r="F23" i="1"/>
  <c r="AC13" i="1"/>
  <c r="I13" i="1"/>
  <c r="G13" i="1"/>
  <c r="F19" i="1"/>
  <c r="I18" i="1"/>
  <c r="G18" i="1"/>
  <c r="L26" i="2"/>
  <c r="N26" i="2"/>
  <c r="X40" i="46"/>
  <c r="V40" i="46"/>
  <c r="S41" i="2"/>
  <c r="Q41" i="2"/>
  <c r="U27" i="46"/>
  <c r="X24" i="46"/>
  <c r="V24" i="46"/>
  <c r="AE13" i="1"/>
  <c r="AE14" i="1" s="1"/>
  <c r="H23" i="1"/>
  <c r="E31" i="1"/>
  <c r="AB16" i="1" s="1"/>
  <c r="AB15" i="1"/>
  <c r="AD13" i="41"/>
  <c r="AB17" i="41"/>
  <c r="AD17" i="41" s="1"/>
  <c r="AB14" i="41"/>
  <c r="AD14" i="41" s="1"/>
  <c r="R18" i="41"/>
  <c r="P20" i="41"/>
  <c r="R20" i="41" s="1"/>
  <c r="AH18" i="41"/>
  <c r="Q32" i="43"/>
  <c r="R32" i="43" s="1"/>
  <c r="AI40" i="43"/>
  <c r="AF9" i="43"/>
  <c r="W42" i="46"/>
  <c r="W46" i="46" s="1"/>
  <c r="S26" i="2"/>
  <c r="Q26" i="2"/>
  <c r="W27" i="2"/>
  <c r="W43" i="2" s="1"/>
  <c r="W47" i="2" s="1"/>
  <c r="V58" i="2"/>
  <c r="U63" i="2"/>
  <c r="AH30" i="41"/>
  <c r="AJ30" i="41" s="1"/>
  <c r="AJ38" i="41"/>
  <c r="J42" i="41"/>
  <c r="L41" i="41"/>
  <c r="J27" i="2"/>
  <c r="J47" i="2" s="1"/>
  <c r="J9" i="41"/>
  <c r="L9" i="41" s="1"/>
  <c r="AC28" i="43"/>
  <c r="AC30" i="43"/>
  <c r="Q29" i="43"/>
  <c r="R29" i="43" s="1"/>
  <c r="AI37" i="43"/>
  <c r="T36" i="1"/>
  <c r="X41" i="2"/>
  <c r="V41" i="2"/>
  <c r="AC26" i="1"/>
  <c r="AC27" i="43"/>
  <c r="AE11" i="41"/>
  <c r="AG11" i="41" s="1"/>
  <c r="AG12" i="41"/>
  <c r="Q12" i="43"/>
  <c r="Q11" i="43" s="1"/>
  <c r="AI8" i="43"/>
  <c r="AH19" i="41"/>
  <c r="AJ19" i="41" s="1"/>
  <c r="V53" i="2"/>
  <c r="AI19" i="43"/>
  <c r="AJ8" i="41"/>
  <c r="Q25" i="46"/>
  <c r="S25" i="46"/>
  <c r="N25" i="2"/>
  <c r="L25" i="2"/>
  <c r="E14" i="1"/>
  <c r="G14" i="1" s="1"/>
  <c r="R27" i="2"/>
  <c r="R43" i="2" s="1"/>
  <c r="R47" i="2" s="1"/>
  <c r="AC20" i="43"/>
  <c r="E19" i="1"/>
  <c r="R10" i="41"/>
  <c r="AH10" i="41"/>
  <c r="AH16" i="41" s="1"/>
  <c r="AJ16" i="41" s="1"/>
  <c r="P11" i="41"/>
  <c r="R11" i="41" s="1"/>
  <c r="T27" i="46"/>
  <c r="T42" i="46" s="1"/>
  <c r="O27" i="2"/>
  <c r="O43" i="2" s="1"/>
  <c r="O47" i="2" s="1"/>
  <c r="M27" i="2"/>
  <c r="M47" i="2" s="1"/>
  <c r="U27" i="2"/>
  <c r="X24" i="2"/>
  <c r="V24" i="2"/>
  <c r="AF8" i="1"/>
  <c r="AD8" i="1"/>
  <c r="G11" i="41"/>
  <c r="I11" i="41" s="1"/>
  <c r="Q41" i="43"/>
  <c r="H42" i="43"/>
  <c r="AI23" i="43"/>
  <c r="AC17" i="43"/>
  <c r="AC14" i="43"/>
  <c r="R22" i="41"/>
  <c r="AH22" i="41"/>
  <c r="AJ22" i="41" s="1"/>
  <c r="AB11" i="41"/>
  <c r="AD11" i="41" s="1"/>
  <c r="AD10" i="41"/>
  <c r="AB16" i="41"/>
  <c r="AD16" i="41" s="1"/>
  <c r="Q27" i="43"/>
  <c r="R27" i="43" s="1"/>
  <c r="AI35" i="43"/>
  <c r="S40" i="46"/>
  <c r="Q40" i="46"/>
  <c r="P16" i="41"/>
  <c r="R16" i="41" s="1"/>
  <c r="F29" i="1"/>
  <c r="L32" i="2"/>
  <c r="AM20" i="41"/>
  <c r="X32" i="2"/>
  <c r="V32" i="2"/>
  <c r="U52" i="2"/>
  <c r="AI25" i="43"/>
  <c r="P41" i="41"/>
  <c r="G42" i="41"/>
  <c r="I41" i="41"/>
  <c r="AH35" i="41"/>
  <c r="AJ15" i="41"/>
  <c r="G22" i="1"/>
  <c r="I22" i="1"/>
  <c r="F33" i="1"/>
  <c r="S36" i="1"/>
  <c r="S35" i="1" s="1"/>
  <c r="AB26" i="1"/>
  <c r="AB22" i="1" s="1"/>
  <c r="AC12" i="43"/>
  <c r="N42" i="43"/>
  <c r="O41" i="43"/>
  <c r="AH23" i="41"/>
  <c r="AJ23" i="41" s="1"/>
  <c r="AD23" i="41"/>
  <c r="AI21" i="43"/>
  <c r="S24" i="2"/>
  <c r="Q24" i="2"/>
  <c r="P27" i="2"/>
  <c r="AL20" i="41"/>
  <c r="T52" i="2"/>
  <c r="X26" i="2"/>
  <c r="V26" i="2"/>
  <c r="AM13" i="41"/>
  <c r="L11" i="34"/>
  <c r="M11" i="34" s="1"/>
  <c r="U28" i="34"/>
  <c r="V28" i="34" s="1"/>
  <c r="S26" i="34"/>
  <c r="S19" i="34"/>
  <c r="U22" i="34"/>
  <c r="V22" i="34" s="1"/>
  <c r="U21" i="34"/>
  <c r="V21" i="34" s="1"/>
  <c r="V18" i="34"/>
  <c r="T8" i="33"/>
  <c r="H8" i="34"/>
  <c r="H11" i="34"/>
  <c r="Q11" i="34" s="1"/>
  <c r="K8" i="37"/>
  <c r="S15" i="1"/>
  <c r="U15" i="1" s="1"/>
  <c r="S13" i="1"/>
  <c r="U13" i="1" s="1"/>
  <c r="W10" i="33"/>
  <c r="H14" i="29"/>
  <c r="J14" i="29"/>
  <c r="I22" i="29"/>
  <c r="I19" i="29"/>
  <c r="U9" i="33"/>
  <c r="F19" i="29"/>
  <c r="F22" i="29"/>
  <c r="U8" i="33"/>
  <c r="G19" i="29"/>
  <c r="G22" i="29"/>
  <c r="H18" i="29"/>
  <c r="J18" i="29"/>
  <c r="G21" i="29"/>
  <c r="H20" i="29"/>
  <c r="J20" i="29"/>
  <c r="V27" i="34"/>
  <c r="U26" i="34"/>
  <c r="V26" i="34" s="1"/>
  <c r="U12" i="34"/>
  <c r="V12" i="34" s="1"/>
  <c r="U17" i="34"/>
  <c r="V17" i="34" s="1"/>
  <c r="U14" i="34"/>
  <c r="V14" i="34" s="1"/>
  <c r="U16" i="34"/>
  <c r="V16" i="34" s="1"/>
  <c r="V19" i="34"/>
  <c r="R8" i="36"/>
  <c r="S8" i="36" s="1"/>
  <c r="O10" i="37"/>
  <c r="P10" i="37" s="1"/>
  <c r="O10" i="34"/>
  <c r="P10" i="34" s="1"/>
  <c r="U10" i="37"/>
  <c r="V10" i="37" s="1"/>
  <c r="L10" i="34"/>
  <c r="M10" i="34" s="1"/>
  <c r="U13" i="34"/>
  <c r="V13" i="34" s="1"/>
  <c r="S13" i="34"/>
  <c r="U20" i="34"/>
  <c r="V20" i="34" s="1"/>
  <c r="U15" i="34"/>
  <c r="V15" i="34" s="1"/>
  <c r="S15" i="34"/>
  <c r="U23" i="34"/>
  <c r="V23" i="34" s="1"/>
  <c r="S23" i="34"/>
  <c r="U25" i="34"/>
  <c r="V25" i="34" s="1"/>
  <c r="S25" i="34"/>
  <c r="O9" i="34"/>
  <c r="P9" i="34" s="1"/>
  <c r="U9" i="37"/>
  <c r="V9" i="37" s="1"/>
  <c r="R9" i="37"/>
  <c r="S9" i="37" s="1"/>
  <c r="O9" i="37"/>
  <c r="L9" i="34"/>
  <c r="M9" i="34" s="1"/>
  <c r="O8" i="37"/>
  <c r="P8" i="37" s="1"/>
  <c r="R8" i="37"/>
  <c r="S8" i="37" s="1"/>
  <c r="O8" i="34"/>
  <c r="U8" i="37"/>
  <c r="V8" i="37" s="1"/>
  <c r="F8" i="37"/>
  <c r="G8" i="37" s="1"/>
  <c r="L8" i="34"/>
  <c r="M8" i="34" s="1"/>
  <c r="Q8" i="34" l="1"/>
  <c r="AB23" i="1"/>
  <c r="V63" i="2"/>
  <c r="P8" i="34"/>
  <c r="V8" i="33"/>
  <c r="AB25" i="2"/>
  <c r="AB25" i="46"/>
  <c r="S10" i="1"/>
  <c r="H10" i="33"/>
  <c r="J10" i="33" s="1"/>
  <c r="U11" i="36"/>
  <c r="V11" i="36" s="1"/>
  <c r="W8" i="33"/>
  <c r="S11" i="33"/>
  <c r="S10" i="33"/>
  <c r="L10" i="37"/>
  <c r="M10" i="37" s="1"/>
  <c r="S9" i="33"/>
  <c r="S8" i="33"/>
  <c r="S11" i="1"/>
  <c r="U11" i="1" s="1"/>
  <c r="H11" i="33"/>
  <c r="J11" i="33" s="1"/>
  <c r="T12" i="1"/>
  <c r="W9" i="1"/>
  <c r="P9" i="37"/>
  <c r="H8" i="37"/>
  <c r="F10" i="37"/>
  <c r="G10" i="37" s="1"/>
  <c r="S14" i="1"/>
  <c r="U14" i="1" s="1"/>
  <c r="F9" i="37"/>
  <c r="G9" i="37" s="1"/>
  <c r="T9" i="33"/>
  <c r="R11" i="36"/>
  <c r="S11" i="36" s="1"/>
  <c r="L11" i="37"/>
  <c r="M11" i="37" s="1"/>
  <c r="R10" i="37"/>
  <c r="S10" i="37" s="1"/>
  <c r="U11" i="33"/>
  <c r="T11" i="33"/>
  <c r="F11" i="37"/>
  <c r="G11" i="37" s="1"/>
  <c r="W11" i="1"/>
  <c r="U10" i="33"/>
  <c r="S16" i="1"/>
  <c r="U16" i="1" s="1"/>
  <c r="R9" i="36"/>
  <c r="S9" i="36" s="1"/>
  <c r="H8" i="33"/>
  <c r="J8" i="33" s="1"/>
  <c r="V9" i="33"/>
  <c r="T10" i="33"/>
  <c r="F8" i="34"/>
  <c r="Z27" i="2"/>
  <c r="M8" i="33"/>
  <c r="Z27" i="46"/>
  <c r="O8" i="33"/>
  <c r="M10" i="33"/>
  <c r="F10" i="34"/>
  <c r="Z25" i="46"/>
  <c r="Z25" i="2"/>
  <c r="U11" i="37"/>
  <c r="V11" i="37" s="1"/>
  <c r="S9" i="1"/>
  <c r="H9" i="33"/>
  <c r="J9" i="33" s="1"/>
  <c r="U10" i="1"/>
  <c r="W10" i="1"/>
  <c r="AM18" i="41"/>
  <c r="AI31" i="43"/>
  <c r="AB42" i="41"/>
  <c r="AD41" i="41"/>
  <c r="AC17" i="1"/>
  <c r="G32" i="1"/>
  <c r="I32" i="1"/>
  <c r="V52" i="2"/>
  <c r="H34" i="1"/>
  <c r="H35" i="1" s="1"/>
  <c r="H24" i="1"/>
  <c r="P43" i="2"/>
  <c r="S27" i="2"/>
  <c r="Q27" i="2"/>
  <c r="AJ10" i="41"/>
  <c r="AI12" i="43"/>
  <c r="AI29" i="43"/>
  <c r="AI32" i="43"/>
  <c r="AC42" i="43"/>
  <c r="AF13" i="1"/>
  <c r="AD13" i="1"/>
  <c r="F35" i="1"/>
  <c r="F31" i="1"/>
  <c r="AC15" i="1"/>
  <c r="I30" i="1"/>
  <c r="G30" i="1"/>
  <c r="AH32" i="41"/>
  <c r="AJ32" i="41" s="1"/>
  <c r="AJ40" i="41"/>
  <c r="AM21" i="41"/>
  <c r="AM22" i="41"/>
  <c r="I23" i="1"/>
  <c r="G23" i="1"/>
  <c r="F34" i="1"/>
  <c r="F24" i="1"/>
  <c r="X27" i="2"/>
  <c r="V27" i="2"/>
  <c r="U50" i="2"/>
  <c r="U43" i="2"/>
  <c r="Q9" i="43"/>
  <c r="AJ36" i="41"/>
  <c r="AH28" i="41"/>
  <c r="AJ28" i="41" s="1"/>
  <c r="AJ35" i="41"/>
  <c r="AH27" i="41"/>
  <c r="AJ27" i="41" s="1"/>
  <c r="AJ18" i="41"/>
  <c r="AH20" i="41"/>
  <c r="AL21" i="41" s="1"/>
  <c r="AE22" i="1"/>
  <c r="AE23" i="1" s="1"/>
  <c r="AF26" i="1"/>
  <c r="AH17" i="41"/>
  <c r="AH14" i="41"/>
  <c r="AJ14" i="41" s="1"/>
  <c r="AJ13" i="41"/>
  <c r="I19" i="1"/>
  <c r="G19" i="1"/>
  <c r="S27" i="46"/>
  <c r="P42" i="46"/>
  <c r="Q27" i="46"/>
  <c r="G27" i="2"/>
  <c r="N27" i="2"/>
  <c r="L27" i="2"/>
  <c r="K47" i="2"/>
  <c r="Q42" i="43"/>
  <c r="AI41" i="43"/>
  <c r="E34" i="1"/>
  <c r="E35" i="1" s="1"/>
  <c r="E24" i="1"/>
  <c r="U42" i="46"/>
  <c r="V27" i="46"/>
  <c r="X27" i="46"/>
  <c r="AI20" i="43"/>
  <c r="I33" i="1"/>
  <c r="AC18" i="1"/>
  <c r="G33" i="1"/>
  <c r="P42" i="41"/>
  <c r="R41" i="41"/>
  <c r="AH41" i="41"/>
  <c r="AH29" i="41"/>
  <c r="AJ29" i="41" s="1"/>
  <c r="AJ37" i="41"/>
  <c r="T50" i="2"/>
  <c r="T43" i="2"/>
  <c r="T43" i="46"/>
  <c r="T46" i="46"/>
  <c r="AD26" i="1"/>
  <c r="AC22" i="1"/>
  <c r="AC11" i="43"/>
  <c r="AH12" i="41"/>
  <c r="AC14" i="1"/>
  <c r="G29" i="1"/>
  <c r="I29" i="1"/>
  <c r="AI14" i="43"/>
  <c r="A14" i="1"/>
  <c r="AC9" i="43"/>
  <c r="AI27" i="43"/>
  <c r="W36" i="1"/>
  <c r="U36" i="1"/>
  <c r="T35" i="1"/>
  <c r="E9" i="33"/>
  <c r="E10" i="33"/>
  <c r="E8" i="33"/>
  <c r="P11" i="33"/>
  <c r="P8" i="33"/>
  <c r="H9" i="34"/>
  <c r="Q9" i="34" s="1"/>
  <c r="E11" i="33"/>
  <c r="P10" i="33"/>
  <c r="G27" i="29"/>
  <c r="G23" i="29"/>
  <c r="H22" i="29"/>
  <c r="J22" i="29"/>
  <c r="J19" i="29"/>
  <c r="H19" i="29"/>
  <c r="F27" i="29"/>
  <c r="F23" i="29"/>
  <c r="J21" i="29"/>
  <c r="H21" i="29"/>
  <c r="I27" i="29"/>
  <c r="I23" i="29"/>
  <c r="I8" i="37"/>
  <c r="I9" i="37"/>
  <c r="J9" i="37" s="1"/>
  <c r="I10" i="37"/>
  <c r="J10" i="37" s="1"/>
  <c r="S12" i="1" l="1"/>
  <c r="V10" i="33"/>
  <c r="AI11" i="43"/>
  <c r="Y24" i="46"/>
  <c r="Y24" i="2"/>
  <c r="E9" i="34"/>
  <c r="G9" i="34" s="1"/>
  <c r="L9" i="33"/>
  <c r="N9" i="33" s="1"/>
  <c r="AB26" i="46"/>
  <c r="AB26" i="2"/>
  <c r="L9" i="37"/>
  <c r="M9" i="37" s="1"/>
  <c r="W12" i="1"/>
  <c r="U12" i="1"/>
  <c r="E8" i="34"/>
  <c r="T8" i="34" s="1"/>
  <c r="Y27" i="2"/>
  <c r="L8" i="33"/>
  <c r="N8" i="33" s="1"/>
  <c r="Y27" i="46"/>
  <c r="O9" i="33"/>
  <c r="U9" i="1"/>
  <c r="O11" i="33"/>
  <c r="Y26" i="46"/>
  <c r="AE26" i="46" s="1"/>
  <c r="L11" i="33"/>
  <c r="N11" i="33" s="1"/>
  <c r="Y26" i="2"/>
  <c r="E11" i="34"/>
  <c r="I11" i="37"/>
  <c r="J11" i="37" s="1"/>
  <c r="W11" i="33"/>
  <c r="L8" i="37"/>
  <c r="M8" i="37" s="1"/>
  <c r="W9" i="33"/>
  <c r="J8" i="37"/>
  <c r="O10" i="33"/>
  <c r="K11" i="33"/>
  <c r="V11" i="33"/>
  <c r="S18" i="1"/>
  <c r="L10" i="33"/>
  <c r="N10" i="33" s="1"/>
  <c r="E10" i="34"/>
  <c r="T10" i="34" s="1"/>
  <c r="Y25" i="46"/>
  <c r="AE25" i="46" s="1"/>
  <c r="Y25" i="2"/>
  <c r="AE25" i="2" s="1"/>
  <c r="AB27" i="2"/>
  <c r="AB27" i="46"/>
  <c r="K8" i="33"/>
  <c r="K10" i="33"/>
  <c r="W35" i="1"/>
  <c r="U35" i="1"/>
  <c r="AD18" i="1"/>
  <c r="AF18" i="1"/>
  <c r="AF22" i="1"/>
  <c r="AD22" i="1"/>
  <c r="AF17" i="1"/>
  <c r="AD17" i="1"/>
  <c r="S42" i="46"/>
  <c r="Q42" i="46"/>
  <c r="G42" i="46"/>
  <c r="P43" i="46"/>
  <c r="P46" i="46"/>
  <c r="P44" i="2"/>
  <c r="Q43" i="2"/>
  <c r="G43" i="2"/>
  <c r="S43" i="2"/>
  <c r="P47" i="2"/>
  <c r="AJ41" i="41"/>
  <c r="AH42" i="41"/>
  <c r="AF14" i="1"/>
  <c r="AD14" i="1"/>
  <c r="U43" i="46"/>
  <c r="G43" i="46"/>
  <c r="V42" i="46"/>
  <c r="X42" i="46"/>
  <c r="U46" i="46"/>
  <c r="G44" i="2"/>
  <c r="U44" i="2"/>
  <c r="X43" i="2"/>
  <c r="V43" i="2"/>
  <c r="U47" i="2"/>
  <c r="AJ20" i="41"/>
  <c r="AL22" i="41"/>
  <c r="AJ12" i="41"/>
  <c r="AL13" i="41"/>
  <c r="AH9" i="41"/>
  <c r="AJ9" i="41" s="1"/>
  <c r="W50" i="2"/>
  <c r="V50" i="2"/>
  <c r="U54" i="2"/>
  <c r="U56" i="2" s="1"/>
  <c r="AC23" i="1"/>
  <c r="AF15" i="1"/>
  <c r="AD15" i="1"/>
  <c r="I31" i="1"/>
  <c r="AC16" i="1"/>
  <c r="G31" i="1"/>
  <c r="F40" i="1"/>
  <c r="F36" i="1"/>
  <c r="I35" i="1"/>
  <c r="F39" i="1"/>
  <c r="G35" i="1"/>
  <c r="E36" i="1"/>
  <c r="AB24" i="1" s="1"/>
  <c r="E40" i="1"/>
  <c r="E39" i="1"/>
  <c r="H39" i="1"/>
  <c r="H36" i="1"/>
  <c r="AE24" i="1" s="1"/>
  <c r="H40" i="1"/>
  <c r="G24" i="1"/>
  <c r="I24" i="1"/>
  <c r="AI42" i="43"/>
  <c r="I34" i="1"/>
  <c r="G34" i="1"/>
  <c r="AI9" i="43"/>
  <c r="AH11" i="41"/>
  <c r="AJ11" i="41" s="1"/>
  <c r="T54" i="2"/>
  <c r="T55" i="2" s="1"/>
  <c r="T44" i="2"/>
  <c r="T47" i="2"/>
  <c r="AJ17" i="41"/>
  <c r="AL18" i="41"/>
  <c r="S17" i="1"/>
  <c r="S19" i="1"/>
  <c r="P9" i="33"/>
  <c r="I38" i="29"/>
  <c r="I28" i="29"/>
  <c r="I37" i="29"/>
  <c r="J23" i="29"/>
  <c r="H23" i="29"/>
  <c r="G28" i="29"/>
  <c r="G38" i="29"/>
  <c r="G37" i="29"/>
  <c r="J27" i="29"/>
  <c r="H27" i="29"/>
  <c r="F28" i="29"/>
  <c r="F38" i="29"/>
  <c r="F37" i="29"/>
  <c r="I10" i="34"/>
  <c r="I8" i="34"/>
  <c r="I9" i="34"/>
  <c r="I11" i="34"/>
  <c r="F11" i="33"/>
  <c r="G11" i="33" s="1"/>
  <c r="Y11" i="33" l="1"/>
  <c r="Z11" i="33" s="1"/>
  <c r="AE26" i="2"/>
  <c r="T9" i="34"/>
  <c r="G11" i="34"/>
  <c r="T11" i="34"/>
  <c r="AE27" i="46"/>
  <c r="J10" i="34"/>
  <c r="R10" i="34"/>
  <c r="S20" i="1"/>
  <c r="AE27" i="2"/>
  <c r="R9" i="34"/>
  <c r="J9" i="34"/>
  <c r="K9" i="33"/>
  <c r="AB24" i="2"/>
  <c r="AE24" i="2" s="1"/>
  <c r="AB24" i="46"/>
  <c r="AE24" i="46" s="1"/>
  <c r="G10" i="34"/>
  <c r="G8" i="34"/>
  <c r="J11" i="34"/>
  <c r="R11" i="34"/>
  <c r="J8" i="34"/>
  <c r="R8" i="34"/>
  <c r="G36" i="1"/>
  <c r="AD24" i="1" s="1"/>
  <c r="I36" i="1"/>
  <c r="AF24" i="1" s="1"/>
  <c r="AC24" i="1"/>
  <c r="V54" i="2"/>
  <c r="V55" i="2" s="1"/>
  <c r="U55" i="2"/>
  <c r="AD16" i="1"/>
  <c r="AF16" i="1"/>
  <c r="T56" i="2"/>
  <c r="V56" i="2" s="1"/>
  <c r="AD23" i="1"/>
  <c r="AF23" i="1"/>
  <c r="H28" i="29"/>
  <c r="J28" i="29"/>
  <c r="F9" i="33"/>
  <c r="G9" i="33" s="1"/>
  <c r="F8" i="33"/>
  <c r="G8" i="33" s="1"/>
  <c r="Y8" i="33" s="1"/>
  <c r="Z8" i="33" s="1"/>
  <c r="F10" i="33"/>
  <c r="G10" i="33" s="1"/>
  <c r="Y10" i="33" s="1"/>
  <c r="Z10" i="33" s="1"/>
  <c r="Y9" i="33" l="1"/>
  <c r="Z9" i="33" s="1"/>
  <c r="S8" i="34"/>
  <c r="U8" i="34"/>
  <c r="V8" i="34" s="1"/>
  <c r="S9" i="34"/>
  <c r="U9" i="34"/>
  <c r="V9" i="34" s="1"/>
  <c r="U11" i="34"/>
  <c r="V11" i="34" s="1"/>
  <c r="S11" i="34"/>
  <c r="S10" i="34"/>
  <c r="U10" i="34"/>
  <c r="V10" i="34" s="1"/>
  <c r="AC24" i="2" l="1"/>
  <c r="AF24" i="2" s="1"/>
  <c r="AC24" i="46"/>
  <c r="AF24" i="46" s="1"/>
  <c r="Q10" i="33"/>
  <c r="R10" i="33" s="1"/>
  <c r="Q9" i="33"/>
  <c r="R9" i="33" s="1"/>
  <c r="Q8" i="33"/>
  <c r="R8" i="33" s="1"/>
  <c r="AC27" i="2"/>
  <c r="AF27" i="2" s="1"/>
  <c r="AC27" i="46"/>
  <c r="AF27" i="46" s="1"/>
  <c r="AC26" i="46"/>
  <c r="AF26" i="46" s="1"/>
  <c r="AC26" i="2"/>
  <c r="AF26" i="2" s="1"/>
  <c r="AC25" i="46"/>
  <c r="AF25" i="46" s="1"/>
  <c r="AC25" i="2"/>
  <c r="AF25" i="2" s="1"/>
  <c r="Q11" i="33"/>
  <c r="R11" i="33" s="1"/>
  <c r="T20" i="1"/>
  <c r="W20" i="1" l="1"/>
  <c r="U20" i="1"/>
  <c r="T17" i="1"/>
  <c r="T18" i="1"/>
  <c r="T19" i="1"/>
  <c r="W19" i="1" l="1"/>
  <c r="U19" i="1"/>
  <c r="W18" i="1"/>
  <c r="U18" i="1"/>
  <c r="W17" i="1"/>
  <c r="U17" i="1"/>
  <c r="L15" i="29" l="1"/>
  <c r="L12" i="29"/>
  <c r="L10" i="29"/>
  <c r="W36" i="42"/>
  <c r="M11" i="1"/>
  <c r="M38" i="1"/>
  <c r="J38" i="1"/>
  <c r="M27" i="1"/>
  <c r="J27" i="1"/>
  <c r="M26" i="1"/>
  <c r="J26" i="1"/>
  <c r="M25" i="1"/>
  <c r="J25" i="1"/>
  <c r="M17" i="1"/>
  <c r="J16" i="1"/>
  <c r="M15" i="1"/>
  <c r="J15" i="1"/>
  <c r="M12" i="1"/>
  <c r="J12" i="1"/>
  <c r="J11" i="1"/>
  <c r="J10" i="1"/>
  <c r="M9" i="1"/>
  <c r="AJ9" i="1" s="1"/>
  <c r="J9" i="1"/>
  <c r="AG9" i="1" s="1"/>
  <c r="M8" i="1"/>
  <c r="AJ8" i="1" s="1"/>
  <c r="J8" i="1"/>
  <c r="AG8" i="1" s="1"/>
  <c r="M7" i="1"/>
  <c r="AJ7" i="1" s="1"/>
  <c r="J7" i="1"/>
  <c r="AG7" i="1" s="1"/>
  <c r="M15" i="45" l="1"/>
  <c r="M15" i="42"/>
  <c r="W21" i="42"/>
  <c r="W21" i="45"/>
  <c r="W33" i="42"/>
  <c r="W33" i="45"/>
  <c r="J12" i="45"/>
  <c r="J12" i="42"/>
  <c r="T18" i="42"/>
  <c r="T18" i="45"/>
  <c r="O29" i="42"/>
  <c r="O29" i="45"/>
  <c r="T11" i="42"/>
  <c r="T11" i="45"/>
  <c r="R8" i="42"/>
  <c r="R8" i="45"/>
  <c r="W8" i="45"/>
  <c r="W8" i="42"/>
  <c r="R15" i="45"/>
  <c r="R15" i="42"/>
  <c r="M22" i="45"/>
  <c r="M22" i="42"/>
  <c r="R34" i="42"/>
  <c r="R34" i="45"/>
  <c r="W46" i="42"/>
  <c r="W45" i="45"/>
  <c r="R11" i="45"/>
  <c r="R11" i="42"/>
  <c r="O18" i="42"/>
  <c r="O18" i="45"/>
  <c r="J9" i="45"/>
  <c r="J9" i="42"/>
  <c r="M12" i="42"/>
  <c r="M12" i="45"/>
  <c r="W29" i="42"/>
  <c r="W29" i="45"/>
  <c r="T22" i="45"/>
  <c r="T22" i="42"/>
  <c r="W12" i="42"/>
  <c r="W12" i="45"/>
  <c r="R19" i="45"/>
  <c r="R19" i="42"/>
  <c r="M30" i="45"/>
  <c r="M30" i="42"/>
  <c r="W35" i="45"/>
  <c r="W35" i="42"/>
  <c r="AJ19" i="1" s="1"/>
  <c r="T34" i="42"/>
  <c r="T34" i="45"/>
  <c r="R12" i="45"/>
  <c r="R12" i="42"/>
  <c r="J13" i="45"/>
  <c r="J13" i="42"/>
  <c r="T19" i="42"/>
  <c r="T19" i="45"/>
  <c r="O30" i="45"/>
  <c r="O30" i="42"/>
  <c r="AG12" i="1"/>
  <c r="M22" i="1"/>
  <c r="M33" i="1" s="1"/>
  <c r="AJ18" i="1" s="1"/>
  <c r="AJ12" i="1"/>
  <c r="W9" i="45"/>
  <c r="W9" i="42"/>
  <c r="M13" i="42"/>
  <c r="M13" i="45"/>
  <c r="R16" i="42"/>
  <c r="R16" i="45"/>
  <c r="W19" i="45"/>
  <c r="W19" i="42"/>
  <c r="M23" i="42"/>
  <c r="M23" i="45"/>
  <c r="R30" i="42"/>
  <c r="R30" i="45"/>
  <c r="AJ11" i="1"/>
  <c r="J20" i="42"/>
  <c r="J20" i="45"/>
  <c r="T30" i="42"/>
  <c r="AI30" i="42" s="1"/>
  <c r="T30" i="45"/>
  <c r="L11" i="29"/>
  <c r="L18" i="29"/>
  <c r="M9" i="42"/>
  <c r="M9" i="45"/>
  <c r="J21" i="1"/>
  <c r="J32" i="1" s="1"/>
  <c r="AG17" i="1" s="1"/>
  <c r="AG11" i="1"/>
  <c r="R13" i="42"/>
  <c r="R13" i="45"/>
  <c r="W30" i="42"/>
  <c r="W30" i="45"/>
  <c r="AG10" i="1"/>
  <c r="J20" i="1"/>
  <c r="T23" i="45"/>
  <c r="T23" i="42"/>
  <c r="J31" i="42"/>
  <c r="J31" i="45"/>
  <c r="T37" i="45"/>
  <c r="T38" i="42"/>
  <c r="T61" i="42" s="1"/>
  <c r="O9" i="45"/>
  <c r="O9" i="42"/>
  <c r="J17" i="42"/>
  <c r="J17" i="45"/>
  <c r="M7" i="45"/>
  <c r="M7" i="42"/>
  <c r="W13" i="42"/>
  <c r="W13" i="45"/>
  <c r="R20" i="45"/>
  <c r="R20" i="42"/>
  <c r="W37" i="45"/>
  <c r="W38" i="42"/>
  <c r="T15" i="45"/>
  <c r="T15" i="42"/>
  <c r="O13" i="42"/>
  <c r="O13" i="45"/>
  <c r="J28" i="45"/>
  <c r="J28" i="42"/>
  <c r="O38" i="45"/>
  <c r="O39" i="42"/>
  <c r="T13" i="45"/>
  <c r="T13" i="42"/>
  <c r="R31" i="42"/>
  <c r="R31" i="45"/>
  <c r="M19" i="42"/>
  <c r="M19" i="45"/>
  <c r="O17" i="42"/>
  <c r="O17" i="45"/>
  <c r="R7" i="45"/>
  <c r="R7" i="42"/>
  <c r="M14" i="45"/>
  <c r="M14" i="42"/>
  <c r="W20" i="42"/>
  <c r="W20" i="45"/>
  <c r="T7" i="45"/>
  <c r="T7" i="42"/>
  <c r="J11" i="42"/>
  <c r="J11" i="45"/>
  <c r="O14" i="42"/>
  <c r="O14" i="45"/>
  <c r="T17" i="45"/>
  <c r="T17" i="42"/>
  <c r="J21" i="45"/>
  <c r="J21" i="42"/>
  <c r="O28" i="42"/>
  <c r="O28" i="45"/>
  <c r="T39" i="42"/>
  <c r="T62" i="42" s="1"/>
  <c r="M13" i="1"/>
  <c r="J18" i="1"/>
  <c r="M10" i="1"/>
  <c r="J28" i="1"/>
  <c r="J29" i="1" s="1"/>
  <c r="T36" i="42"/>
  <c r="T59" i="42" s="1"/>
  <c r="M18" i="1"/>
  <c r="M16" i="1"/>
  <c r="M19" i="1" s="1"/>
  <c r="J17" i="1"/>
  <c r="J22" i="1" s="1"/>
  <c r="J33" i="1" s="1"/>
  <c r="AG18" i="1" s="1"/>
  <c r="J13" i="1"/>
  <c r="M28" i="1"/>
  <c r="M29" i="1" s="1"/>
  <c r="T38" i="45" l="1"/>
  <c r="T29" i="42"/>
  <c r="T29" i="45"/>
  <c r="M28" i="45"/>
  <c r="M28" i="42"/>
  <c r="M16" i="45"/>
  <c r="M16" i="42"/>
  <c r="J14" i="45"/>
  <c r="J14" i="42"/>
  <c r="M21" i="1"/>
  <c r="M32" i="1" s="1"/>
  <c r="AJ17" i="1" s="1"/>
  <c r="W23" i="45"/>
  <c r="W23" i="42"/>
  <c r="O15" i="42"/>
  <c r="O15" i="45"/>
  <c r="W28" i="42"/>
  <c r="W28" i="45"/>
  <c r="O12" i="45"/>
  <c r="O12" i="42"/>
  <c r="R29" i="45"/>
  <c r="R32" i="45" s="1"/>
  <c r="R29" i="42"/>
  <c r="R32" i="42" s="1"/>
  <c r="J15" i="45"/>
  <c r="J15" i="42"/>
  <c r="W10" i="45"/>
  <c r="W10" i="42"/>
  <c r="J16" i="45"/>
  <c r="J16" i="42"/>
  <c r="O23" i="42"/>
  <c r="O23" i="45"/>
  <c r="M46" i="42"/>
  <c r="M45" i="45"/>
  <c r="M18" i="42"/>
  <c r="M18" i="45"/>
  <c r="R22" i="45"/>
  <c r="R22" i="42"/>
  <c r="O16" i="45"/>
  <c r="O16" i="42"/>
  <c r="R10" i="42"/>
  <c r="R10" i="45"/>
  <c r="R33" i="45"/>
  <c r="R33" i="42"/>
  <c r="O22" i="42"/>
  <c r="O22" i="45"/>
  <c r="J7" i="45"/>
  <c r="J7" i="42"/>
  <c r="J10" i="42"/>
  <c r="J10" i="45"/>
  <c r="M21" i="42"/>
  <c r="M21" i="45"/>
  <c r="T14" i="42"/>
  <c r="T14" i="45"/>
  <c r="M10" i="42"/>
  <c r="M10" i="45"/>
  <c r="J30" i="42"/>
  <c r="J30" i="45"/>
  <c r="T10" i="42"/>
  <c r="T10" i="45"/>
  <c r="T24" i="45" s="1"/>
  <c r="R21" i="42"/>
  <c r="R21" i="45"/>
  <c r="O19" i="45"/>
  <c r="O19" i="42"/>
  <c r="R45" i="45"/>
  <c r="R46" i="42"/>
  <c r="W17" i="45"/>
  <c r="W17" i="42"/>
  <c r="M23" i="1"/>
  <c r="M34" i="1" s="1"/>
  <c r="AJ13" i="1"/>
  <c r="W31" i="45"/>
  <c r="W32" i="45" s="1"/>
  <c r="W31" i="42"/>
  <c r="W32" i="42" s="1"/>
  <c r="M17" i="42"/>
  <c r="M17" i="45"/>
  <c r="W7" i="42"/>
  <c r="W24" i="42" s="1"/>
  <c r="W7" i="45"/>
  <c r="W24" i="45" s="1"/>
  <c r="W22" i="42"/>
  <c r="W26" i="42" s="1"/>
  <c r="W22" i="45"/>
  <c r="W26" i="45" s="1"/>
  <c r="W14" i="42"/>
  <c r="W14" i="45"/>
  <c r="J23" i="42"/>
  <c r="J23" i="45"/>
  <c r="J22" i="45"/>
  <c r="J22" i="42"/>
  <c r="T28" i="42"/>
  <c r="T51" i="42" s="1"/>
  <c r="T28" i="45"/>
  <c r="T50" i="45" s="1"/>
  <c r="R18" i="42"/>
  <c r="R18" i="45"/>
  <c r="R17" i="42"/>
  <c r="R17" i="45"/>
  <c r="M20" i="45"/>
  <c r="M20" i="42"/>
  <c r="M26" i="42" s="1"/>
  <c r="J19" i="42"/>
  <c r="J19" i="45"/>
  <c r="O10" i="45"/>
  <c r="O10" i="42"/>
  <c r="W18" i="42"/>
  <c r="W18" i="45"/>
  <c r="J8" i="45"/>
  <c r="J8" i="42"/>
  <c r="J18" i="45"/>
  <c r="J25" i="45" s="1"/>
  <c r="J18" i="42"/>
  <c r="T12" i="42"/>
  <c r="T12" i="45"/>
  <c r="M8" i="45"/>
  <c r="M8" i="42"/>
  <c r="T9" i="45"/>
  <c r="T9" i="42"/>
  <c r="T8" i="45"/>
  <c r="T8" i="42"/>
  <c r="O11" i="42"/>
  <c r="O11" i="45"/>
  <c r="R38" i="42"/>
  <c r="S38" i="42" s="1"/>
  <c r="R37" i="45"/>
  <c r="S37" i="45" s="1"/>
  <c r="T21" i="45"/>
  <c r="T21" i="42"/>
  <c r="J29" i="42"/>
  <c r="J32" i="42" s="1"/>
  <c r="J29" i="45"/>
  <c r="J32" i="45" s="1"/>
  <c r="O20" i="42"/>
  <c r="O20" i="45"/>
  <c r="T31" i="45"/>
  <c r="T31" i="42"/>
  <c r="AI31" i="42" s="1"/>
  <c r="O33" i="42"/>
  <c r="O33" i="45"/>
  <c r="W36" i="45"/>
  <c r="W37" i="42"/>
  <c r="AJ21" i="1" s="1"/>
  <c r="W11" i="42"/>
  <c r="W11" i="45"/>
  <c r="J45" i="45"/>
  <c r="J46" i="42"/>
  <c r="O46" i="42"/>
  <c r="O45" i="45"/>
  <c r="J19" i="1"/>
  <c r="R14" i="45"/>
  <c r="R25" i="45" s="1"/>
  <c r="R14" i="42"/>
  <c r="R25" i="42" s="1"/>
  <c r="L19" i="29"/>
  <c r="O7" i="42"/>
  <c r="O7" i="45"/>
  <c r="O8" i="45"/>
  <c r="O8" i="42"/>
  <c r="R38" i="45"/>
  <c r="R39" i="42"/>
  <c r="R23" i="42"/>
  <c r="R23" i="45"/>
  <c r="M20" i="1"/>
  <c r="AJ10" i="1"/>
  <c r="M14" i="1"/>
  <c r="M11" i="45"/>
  <c r="M11" i="42"/>
  <c r="R28" i="45"/>
  <c r="R28" i="42"/>
  <c r="T46" i="42"/>
  <c r="T45" i="45"/>
  <c r="T35" i="42"/>
  <c r="AG19" i="1" s="1"/>
  <c r="T35" i="45"/>
  <c r="O34" i="42"/>
  <c r="O34" i="45"/>
  <c r="T33" i="45"/>
  <c r="T33" i="42"/>
  <c r="W34" i="42"/>
  <c r="AJ20" i="1" s="1"/>
  <c r="W34" i="45"/>
  <c r="W40" i="45" s="1"/>
  <c r="W15" i="42"/>
  <c r="W15" i="45"/>
  <c r="J23" i="1"/>
  <c r="J34" i="1" s="1"/>
  <c r="AG13" i="1"/>
  <c r="AG14" i="1" s="1"/>
  <c r="O21" i="45"/>
  <c r="O21" i="42"/>
  <c r="M29" i="45"/>
  <c r="M29" i="42"/>
  <c r="T16" i="42"/>
  <c r="T16" i="45"/>
  <c r="J14" i="1"/>
  <c r="R9" i="45"/>
  <c r="R9" i="42"/>
  <c r="W16" i="45"/>
  <c r="W16" i="42"/>
  <c r="M31" i="42"/>
  <c r="M31" i="45"/>
  <c r="T20" i="42"/>
  <c r="T20" i="45"/>
  <c r="W38" i="45"/>
  <c r="W39" i="42"/>
  <c r="O31" i="45"/>
  <c r="O32" i="45" s="1"/>
  <c r="O31" i="42"/>
  <c r="J30" i="1"/>
  <c r="J24" i="1"/>
  <c r="R24" i="45" l="1"/>
  <c r="T26" i="42"/>
  <c r="R24" i="42"/>
  <c r="T24" i="42"/>
  <c r="M26" i="45"/>
  <c r="AJ14" i="1"/>
  <c r="M32" i="45"/>
  <c r="M24" i="42"/>
  <c r="O24" i="45"/>
  <c r="W25" i="42"/>
  <c r="W27" i="42" s="1"/>
  <c r="W25" i="45"/>
  <c r="W27" i="45" s="1"/>
  <c r="W42" i="45" s="1"/>
  <c r="W46" i="45" s="1"/>
  <c r="M32" i="42"/>
  <c r="R26" i="45"/>
  <c r="R27" i="45" s="1"/>
  <c r="R26" i="42"/>
  <c r="M24" i="45"/>
  <c r="O25" i="45"/>
  <c r="J26" i="45"/>
  <c r="T25" i="42"/>
  <c r="O40" i="45"/>
  <c r="T25" i="45"/>
  <c r="T27" i="45" s="1"/>
  <c r="J25" i="42"/>
  <c r="T26" i="45"/>
  <c r="M25" i="45"/>
  <c r="O26" i="45"/>
  <c r="M25" i="42"/>
  <c r="T53" i="42"/>
  <c r="AG20" i="1"/>
  <c r="T41" i="42"/>
  <c r="AG26" i="1" s="1"/>
  <c r="AG22" i="1" s="1"/>
  <c r="T58" i="42"/>
  <c r="T63" i="42" s="1"/>
  <c r="R41" i="42"/>
  <c r="M30" i="1"/>
  <c r="M24" i="1"/>
  <c r="J24" i="42"/>
  <c r="T52" i="45"/>
  <c r="T40" i="45"/>
  <c r="R40" i="45"/>
  <c r="O41" i="42"/>
  <c r="AG15" i="1"/>
  <c r="J31" i="1"/>
  <c r="AG16" i="1" s="1"/>
  <c r="J35" i="1"/>
  <c r="O25" i="42"/>
  <c r="J26" i="42"/>
  <c r="J24" i="45"/>
  <c r="O24" i="42"/>
  <c r="W41" i="42"/>
  <c r="AJ26" i="1" s="1"/>
  <c r="AJ22" i="1" s="1"/>
  <c r="O26" i="42"/>
  <c r="T32" i="45"/>
  <c r="T51" i="45" s="1"/>
  <c r="O32" i="42"/>
  <c r="AI29" i="42"/>
  <c r="AI32" i="42" s="1"/>
  <c r="T32" i="42"/>
  <c r="T52" i="42" s="1"/>
  <c r="T27" i="42" l="1"/>
  <c r="R42" i="45"/>
  <c r="R46" i="45" s="1"/>
  <c r="R27" i="42"/>
  <c r="R43" i="42" s="1"/>
  <c r="R47" i="42" s="1"/>
  <c r="M27" i="42"/>
  <c r="M47" i="42" s="1"/>
  <c r="O27" i="45"/>
  <c r="O42" i="45" s="1"/>
  <c r="O46" i="45" s="1"/>
  <c r="J27" i="45"/>
  <c r="J46" i="45" s="1"/>
  <c r="M27" i="45"/>
  <c r="M46" i="45" s="1"/>
  <c r="AG23" i="1"/>
  <c r="J39" i="1"/>
  <c r="J36" i="1"/>
  <c r="AG24" i="1" s="1"/>
  <c r="J40" i="1"/>
  <c r="M31" i="1"/>
  <c r="AJ16" i="1" s="1"/>
  <c r="AJ15" i="1"/>
  <c r="AJ23" i="1" s="1"/>
  <c r="M35" i="1"/>
  <c r="T43" i="42"/>
  <c r="T50" i="42"/>
  <c r="O27" i="42"/>
  <c r="O43" i="42" s="1"/>
  <c r="O47" i="42" s="1"/>
  <c r="J27" i="42"/>
  <c r="J47" i="42" s="1"/>
  <c r="T42" i="45"/>
  <c r="T49" i="45"/>
  <c r="T53" i="45" s="1"/>
  <c r="W43" i="42"/>
  <c r="W47" i="42" s="1"/>
  <c r="T54" i="42" l="1"/>
  <c r="T55" i="42" s="1"/>
  <c r="T44" i="42"/>
  <c r="T47" i="42"/>
  <c r="M39" i="1"/>
  <c r="M40" i="1"/>
  <c r="M36" i="1"/>
  <c r="AJ24" i="1" s="1"/>
  <c r="T43" i="45"/>
  <c r="T46" i="45"/>
  <c r="T56" i="42" l="1"/>
  <c r="N36" i="29" l="1"/>
  <c r="K36" i="29"/>
  <c r="N25" i="29"/>
  <c r="K25" i="29"/>
  <c r="N24" i="29"/>
  <c r="K24" i="29"/>
  <c r="N16" i="29"/>
  <c r="K16" i="29"/>
  <c r="N15" i="29"/>
  <c r="K15" i="29"/>
  <c r="N13" i="29"/>
  <c r="K13" i="29"/>
  <c r="N12" i="29"/>
  <c r="K12" i="29"/>
  <c r="N10" i="29"/>
  <c r="O10" i="29" s="1"/>
  <c r="K10" i="29"/>
  <c r="M10" i="29" s="1"/>
  <c r="N26" i="29" l="1"/>
  <c r="N14" i="29"/>
  <c r="N20" i="29"/>
  <c r="N21" i="29" s="1"/>
  <c r="K20" i="29"/>
  <c r="K21" i="29" s="1"/>
  <c r="N17" i="29"/>
  <c r="O15" i="29"/>
  <c r="K11" i="29"/>
  <c r="M11" i="29" s="1"/>
  <c r="K18" i="29"/>
  <c r="K14" i="29"/>
  <c r="M12" i="29"/>
  <c r="K17" i="29"/>
  <c r="M15" i="29"/>
  <c r="K26" i="29"/>
  <c r="N18" i="29"/>
  <c r="N11" i="29"/>
  <c r="O11" i="29" s="1"/>
  <c r="O12" i="29"/>
  <c r="N19" i="29" l="1"/>
  <c r="O19" i="29" s="1"/>
  <c r="O18" i="29"/>
  <c r="K19" i="29"/>
  <c r="M19" i="29" s="1"/>
  <c r="M18" i="29"/>
  <c r="K22" i="29"/>
  <c r="N22" i="29"/>
  <c r="K27" i="29" l="1"/>
  <c r="K23" i="29"/>
  <c r="N27" i="29"/>
  <c r="N23" i="29"/>
  <c r="N37" i="29" l="1"/>
  <c r="N38" i="29"/>
  <c r="N28" i="29"/>
  <c r="K28" i="29"/>
  <c r="K38" i="29"/>
  <c r="K37" i="29"/>
  <c r="M15" i="43" l="1"/>
  <c r="M13" i="43"/>
  <c r="M10" i="43"/>
  <c r="M8" i="43"/>
  <c r="O8" i="43" l="1"/>
  <c r="M12" i="43"/>
  <c r="O12" i="43" s="1"/>
  <c r="O10" i="43"/>
  <c r="M11" i="43"/>
  <c r="O11" i="43" s="1"/>
  <c r="O13" i="43"/>
  <c r="M42" i="43"/>
  <c r="M17" i="43"/>
  <c r="O17" i="43" s="1"/>
  <c r="M14" i="43"/>
  <c r="O14" i="43" s="1"/>
  <c r="M16" i="43"/>
  <c r="O16" i="43" s="1"/>
  <c r="O15" i="43"/>
  <c r="M18" i="43"/>
  <c r="O18" i="43" l="1"/>
  <c r="M9" i="43"/>
  <c r="O9" i="43" s="1"/>
  <c r="M19" i="43"/>
  <c r="O19" i="43" s="1"/>
  <c r="M20" i="43" l="1"/>
  <c r="O20" i="43" s="1"/>
  <c r="G18" i="43"/>
  <c r="I18" i="43" l="1"/>
  <c r="S19" i="43" l="1"/>
  <c r="S18" i="43"/>
  <c r="U18" i="43" l="1"/>
  <c r="S20" i="43"/>
  <c r="U20" i="43" s="1"/>
  <c r="U19" i="43"/>
  <c r="AE40" i="43"/>
  <c r="AE39" i="43"/>
  <c r="AE38" i="43"/>
  <c r="AE37" i="43"/>
  <c r="AE36" i="43"/>
  <c r="AE35" i="43"/>
  <c r="AE19" i="43"/>
  <c r="AG19" i="43" s="1"/>
  <c r="AE18" i="43"/>
  <c r="AG18" i="43" l="1"/>
  <c r="AE20" i="43"/>
  <c r="AG20" i="43" s="1"/>
  <c r="AE41" i="43"/>
  <c r="AE26" i="43"/>
  <c r="AG26" i="43" s="1"/>
  <c r="AE25" i="43"/>
  <c r="AG25" i="43" s="1"/>
  <c r="AE24" i="43"/>
  <c r="AG24" i="43" s="1"/>
  <c r="AE23" i="43"/>
  <c r="AG23" i="43" s="1"/>
  <c r="AE22" i="43"/>
  <c r="AG22" i="43" s="1"/>
  <c r="AE21" i="43"/>
  <c r="AG21" i="43" s="1"/>
  <c r="AE15" i="43"/>
  <c r="AE13" i="43"/>
  <c r="AE10" i="43"/>
  <c r="AG10" i="43" s="1"/>
  <c r="AE8" i="43"/>
  <c r="AE12" i="43" l="1"/>
  <c r="AE9" i="43"/>
  <c r="AG9" i="43" s="1"/>
  <c r="AG8" i="43"/>
  <c r="AE16" i="43"/>
  <c r="AG16" i="43" s="1"/>
  <c r="AG15" i="43"/>
  <c r="AG13" i="43"/>
  <c r="AE14" i="43"/>
  <c r="AG14" i="43" s="1"/>
  <c r="AE17" i="43"/>
  <c r="AG17" i="43" s="1"/>
  <c r="AE29" i="43"/>
  <c r="AG29" i="43" s="1"/>
  <c r="AE32" i="43"/>
  <c r="AG32" i="43" s="1"/>
  <c r="AE31" i="43"/>
  <c r="AG31" i="43" s="1"/>
  <c r="AE30" i="43"/>
  <c r="AG30" i="43" s="1"/>
  <c r="AE27" i="43"/>
  <c r="AG27" i="43" s="1"/>
  <c r="AE28" i="43"/>
  <c r="AG28" i="43" s="1"/>
  <c r="AE42" i="43"/>
  <c r="V19" i="43"/>
  <c r="X19" i="43" l="1"/>
  <c r="AB19" i="43"/>
  <c r="AD19" i="43" s="1"/>
  <c r="AE11" i="43"/>
  <c r="AG11" i="43" s="1"/>
  <c r="AG12" i="43"/>
  <c r="V18" i="43"/>
  <c r="X18" i="43" l="1"/>
  <c r="V20" i="43"/>
  <c r="X20" i="43" s="1"/>
  <c r="AB18" i="43"/>
  <c r="V40" i="43"/>
  <c r="S40" i="43"/>
  <c r="V39" i="43"/>
  <c r="S39" i="43"/>
  <c r="V38" i="43"/>
  <c r="S38" i="43"/>
  <c r="V37" i="43"/>
  <c r="S37" i="43"/>
  <c r="V36" i="43"/>
  <c r="X36" i="43" s="1"/>
  <c r="S36" i="43"/>
  <c r="V35" i="43"/>
  <c r="S35" i="43"/>
  <c r="V26" i="43"/>
  <c r="X26" i="43" s="1"/>
  <c r="S26" i="43"/>
  <c r="V25" i="43"/>
  <c r="X25" i="43" s="1"/>
  <c r="S25" i="43"/>
  <c r="V24" i="43"/>
  <c r="X24" i="43" s="1"/>
  <c r="S24" i="43"/>
  <c r="V23" i="43"/>
  <c r="X23" i="43" s="1"/>
  <c r="S23" i="43"/>
  <c r="V22" i="43"/>
  <c r="S22" i="43"/>
  <c r="V21" i="43"/>
  <c r="X21" i="43" s="1"/>
  <c r="S21" i="43"/>
  <c r="V15" i="43"/>
  <c r="S15" i="43"/>
  <c r="V13" i="43"/>
  <c r="S13" i="43"/>
  <c r="V10" i="43"/>
  <c r="X10" i="43" s="1"/>
  <c r="S10" i="43"/>
  <c r="V8" i="43"/>
  <c r="S8" i="43"/>
  <c r="J40" i="43"/>
  <c r="J39" i="43"/>
  <c r="J38" i="43"/>
  <c r="J37" i="43"/>
  <c r="J36" i="43"/>
  <c r="J35" i="43"/>
  <c r="J19" i="43"/>
  <c r="L19" i="43" s="1"/>
  <c r="J18" i="43"/>
  <c r="J15" i="43"/>
  <c r="J13" i="43"/>
  <c r="G40" i="43"/>
  <c r="G39" i="43"/>
  <c r="G38" i="43"/>
  <c r="G37" i="43"/>
  <c r="G36" i="43"/>
  <c r="G35" i="43"/>
  <c r="G19" i="43"/>
  <c r="G15" i="43"/>
  <c r="G13" i="43"/>
  <c r="X35" i="43" l="1"/>
  <c r="V41" i="43"/>
  <c r="V27" i="43"/>
  <c r="X27" i="43" s="1"/>
  <c r="L35" i="43"/>
  <c r="J41" i="43"/>
  <c r="AB24" i="43"/>
  <c r="AD24" i="43" s="1"/>
  <c r="U24" i="43"/>
  <c r="U36" i="43"/>
  <c r="S28" i="43"/>
  <c r="AB36" i="43"/>
  <c r="AD36" i="43" s="1"/>
  <c r="V28" i="43"/>
  <c r="X28" i="43" s="1"/>
  <c r="X22" i="43"/>
  <c r="L36" i="43"/>
  <c r="I15" i="43"/>
  <c r="P15" i="43"/>
  <c r="AB26" i="43"/>
  <c r="AD26" i="43" s="1"/>
  <c r="U26" i="43"/>
  <c r="V30" i="43"/>
  <c r="X30" i="43" s="1"/>
  <c r="X38" i="43"/>
  <c r="U25" i="43"/>
  <c r="AB25" i="43"/>
  <c r="AD25" i="43" s="1"/>
  <c r="I37" i="43"/>
  <c r="P37" i="43"/>
  <c r="AB39" i="43"/>
  <c r="AD39" i="43" s="1"/>
  <c r="U39" i="43"/>
  <c r="S31" i="43"/>
  <c r="U23" i="43"/>
  <c r="AB23" i="43"/>
  <c r="AD23" i="43" s="1"/>
  <c r="L39" i="43"/>
  <c r="V12" i="43"/>
  <c r="X8" i="43"/>
  <c r="V9" i="43"/>
  <c r="X9" i="43" s="1"/>
  <c r="X39" i="43"/>
  <c r="V31" i="43"/>
  <c r="X31" i="43" s="1"/>
  <c r="AB22" i="43"/>
  <c r="AD22" i="43" s="1"/>
  <c r="U22" i="43"/>
  <c r="X37" i="43"/>
  <c r="V29" i="43"/>
  <c r="X29" i="43" s="1"/>
  <c r="AB10" i="43"/>
  <c r="U10" i="43"/>
  <c r="U40" i="43"/>
  <c r="AB40" i="43"/>
  <c r="AD40" i="43" s="1"/>
  <c r="S32" i="43"/>
  <c r="P19" i="43"/>
  <c r="I19" i="43"/>
  <c r="G20" i="43"/>
  <c r="I20" i="43" s="1"/>
  <c r="L38" i="43"/>
  <c r="AB8" i="43"/>
  <c r="U8" i="43"/>
  <c r="S12" i="43"/>
  <c r="U12" i="43" s="1"/>
  <c r="S9" i="43"/>
  <c r="U9" i="43" s="1"/>
  <c r="V32" i="43"/>
  <c r="X32" i="43" s="1"/>
  <c r="X40" i="43"/>
  <c r="I35" i="43"/>
  <c r="P35" i="43"/>
  <c r="S17" i="43"/>
  <c r="U17" i="43" s="1"/>
  <c r="U13" i="43"/>
  <c r="S14" i="43"/>
  <c r="U14" i="43" s="1"/>
  <c r="AB13" i="43"/>
  <c r="I36" i="43"/>
  <c r="P36" i="43"/>
  <c r="L15" i="43"/>
  <c r="X13" i="43"/>
  <c r="V14" i="43"/>
  <c r="X14" i="43" s="1"/>
  <c r="V17" i="43"/>
  <c r="X17" i="43" s="1"/>
  <c r="L37" i="43"/>
  <c r="G41" i="43"/>
  <c r="I39" i="43"/>
  <c r="P39" i="43"/>
  <c r="AD18" i="43"/>
  <c r="AB20" i="43"/>
  <c r="AD20" i="43" s="1"/>
  <c r="AB37" i="43"/>
  <c r="AD37" i="43" s="1"/>
  <c r="S29" i="43"/>
  <c r="U37" i="43"/>
  <c r="U38" i="43"/>
  <c r="S30" i="43"/>
  <c r="AB38" i="43"/>
  <c r="AD38" i="43" s="1"/>
  <c r="I38" i="43"/>
  <c r="P38" i="43"/>
  <c r="L13" i="43"/>
  <c r="J17" i="43"/>
  <c r="L17" i="43" s="1"/>
  <c r="U15" i="43"/>
  <c r="S16" i="43"/>
  <c r="U16" i="43" s="1"/>
  <c r="AB15" i="43"/>
  <c r="V16" i="43"/>
  <c r="X16" i="43" s="1"/>
  <c r="X15" i="43"/>
  <c r="I13" i="43"/>
  <c r="P13" i="43"/>
  <c r="G17" i="43"/>
  <c r="I17" i="43" s="1"/>
  <c r="AB35" i="43"/>
  <c r="AD35" i="43" s="1"/>
  <c r="S41" i="43"/>
  <c r="U35" i="43"/>
  <c r="S27" i="43"/>
  <c r="L40" i="43"/>
  <c r="G32" i="43"/>
  <c r="I32" i="43" s="1"/>
  <c r="I40" i="43"/>
  <c r="P40" i="43"/>
  <c r="J20" i="43"/>
  <c r="L20" i="43" s="1"/>
  <c r="L18" i="43"/>
  <c r="P18" i="43"/>
  <c r="AB21" i="43"/>
  <c r="AD21" i="43" s="1"/>
  <c r="U21" i="43"/>
  <c r="J26" i="43"/>
  <c r="L26" i="43" s="1"/>
  <c r="G26" i="43"/>
  <c r="J25" i="43"/>
  <c r="J31" i="43" s="1"/>
  <c r="L31" i="43" s="1"/>
  <c r="G25" i="43"/>
  <c r="I25" i="43" s="1"/>
  <c r="J24" i="43"/>
  <c r="L24" i="43" s="1"/>
  <c r="G24" i="43"/>
  <c r="G30" i="43" s="1"/>
  <c r="I30" i="43" s="1"/>
  <c r="J23" i="43"/>
  <c r="L23" i="43" s="1"/>
  <c r="G23" i="43"/>
  <c r="J22" i="43"/>
  <c r="L22" i="43" s="1"/>
  <c r="G22" i="43"/>
  <c r="J21" i="43"/>
  <c r="L21" i="43" s="1"/>
  <c r="G21" i="43"/>
  <c r="J10" i="43"/>
  <c r="L10" i="43" s="1"/>
  <c r="G10" i="43"/>
  <c r="J8" i="43"/>
  <c r="J14" i="43" s="1"/>
  <c r="L14" i="43" s="1"/>
  <c r="G8" i="43"/>
  <c r="G14" i="43" s="1"/>
  <c r="I14" i="43" s="1"/>
  <c r="P20" i="43" l="1"/>
  <c r="R20" i="43" s="1"/>
  <c r="AH18" i="43"/>
  <c r="R18" i="43"/>
  <c r="J29" i="43"/>
  <c r="L29" i="43" s="1"/>
  <c r="AD8" i="43"/>
  <c r="AB12" i="43"/>
  <c r="V11" i="43"/>
  <c r="X11" i="43" s="1"/>
  <c r="X12" i="43"/>
  <c r="I23" i="43"/>
  <c r="P23" i="43"/>
  <c r="R40" i="43"/>
  <c r="AH40" i="43"/>
  <c r="J30" i="43"/>
  <c r="L30" i="43" s="1"/>
  <c r="J28" i="43"/>
  <c r="L28" i="43" s="1"/>
  <c r="P21" i="43"/>
  <c r="I21" i="43"/>
  <c r="P22" i="43"/>
  <c r="I22" i="43"/>
  <c r="R38" i="43"/>
  <c r="AH38" i="43"/>
  <c r="J32" i="43"/>
  <c r="L32" i="43" s="1"/>
  <c r="AH36" i="43"/>
  <c r="R36" i="43"/>
  <c r="R19" i="43"/>
  <c r="AH19" i="43"/>
  <c r="AJ19" i="43" s="1"/>
  <c r="AB31" i="43"/>
  <c r="AD31" i="43" s="1"/>
  <c r="U31" i="43"/>
  <c r="AB28" i="43"/>
  <c r="AD28" i="43" s="1"/>
  <c r="U28" i="43"/>
  <c r="R39" i="43"/>
  <c r="AH39" i="43"/>
  <c r="P25" i="43"/>
  <c r="L25" i="43"/>
  <c r="AB27" i="43"/>
  <c r="AD27" i="43" s="1"/>
  <c r="U27" i="43"/>
  <c r="AB30" i="43"/>
  <c r="AD30" i="43" s="1"/>
  <c r="U30" i="43"/>
  <c r="G28" i="43"/>
  <c r="I28" i="43" s="1"/>
  <c r="AB32" i="43"/>
  <c r="AD32" i="43" s="1"/>
  <c r="U32" i="43"/>
  <c r="I41" i="43"/>
  <c r="G42" i="43"/>
  <c r="P41" i="43"/>
  <c r="J16" i="43"/>
  <c r="L16" i="43" s="1"/>
  <c r="P26" i="43"/>
  <c r="I26" i="43"/>
  <c r="S42" i="43"/>
  <c r="AB41" i="43"/>
  <c r="U41" i="43"/>
  <c r="AD13" i="43"/>
  <c r="AB14" i="43"/>
  <c r="AD14" i="43" s="1"/>
  <c r="AB17" i="43"/>
  <c r="AD17" i="43" s="1"/>
  <c r="G29" i="43"/>
  <c r="I29" i="43" s="1"/>
  <c r="I10" i="43"/>
  <c r="P10" i="43"/>
  <c r="AH15" i="43"/>
  <c r="P16" i="43"/>
  <c r="R16" i="43" s="1"/>
  <c r="R15" i="43"/>
  <c r="U29" i="43"/>
  <c r="AB29" i="43"/>
  <c r="AD29" i="43" s="1"/>
  <c r="AH37" i="43"/>
  <c r="R37" i="43"/>
  <c r="J27" i="43"/>
  <c r="L27" i="43" s="1"/>
  <c r="I24" i="43"/>
  <c r="P24" i="43"/>
  <c r="AD10" i="43"/>
  <c r="AB11" i="43"/>
  <c r="AD11" i="43" s="1"/>
  <c r="J42" i="43"/>
  <c r="L41" i="43"/>
  <c r="S11" i="43"/>
  <c r="U11" i="43" s="1"/>
  <c r="R13" i="43"/>
  <c r="AH13" i="43"/>
  <c r="P17" i="43"/>
  <c r="R17" i="43" s="1"/>
  <c r="AH35" i="43"/>
  <c r="R35" i="43"/>
  <c r="I8" i="43"/>
  <c r="P8" i="43"/>
  <c r="G12" i="43"/>
  <c r="I12" i="43" s="1"/>
  <c r="AB16" i="43"/>
  <c r="AD16" i="43" s="1"/>
  <c r="AD15" i="43"/>
  <c r="G16" i="43"/>
  <c r="I16" i="43" s="1"/>
  <c r="V42" i="43"/>
  <c r="X41" i="43"/>
  <c r="J12" i="43"/>
  <c r="L8" i="43"/>
  <c r="J9" i="43"/>
  <c r="L9" i="43" s="1"/>
  <c r="G31" i="43"/>
  <c r="I31" i="43" s="1"/>
  <c r="G27" i="43"/>
  <c r="I27" i="43" s="1"/>
  <c r="AH21" i="43" l="1"/>
  <c r="AJ21" i="43" s="1"/>
  <c r="R21" i="43"/>
  <c r="AJ38" i="43"/>
  <c r="AJ15" i="43"/>
  <c r="AJ39" i="43"/>
  <c r="AH23" i="43"/>
  <c r="AJ23" i="43" s="1"/>
  <c r="R23" i="43"/>
  <c r="R8" i="43"/>
  <c r="AH8" i="43"/>
  <c r="P12" i="43"/>
  <c r="AB42" i="43"/>
  <c r="AD41" i="43"/>
  <c r="R10" i="43"/>
  <c r="AH10" i="43"/>
  <c r="AH16" i="43" s="1"/>
  <c r="AJ16" i="43" s="1"/>
  <c r="P11" i="43"/>
  <c r="R11" i="43" s="1"/>
  <c r="AH32" i="43"/>
  <c r="AJ32" i="43" s="1"/>
  <c r="AJ40" i="43"/>
  <c r="AH27" i="43"/>
  <c r="AJ27" i="43" s="1"/>
  <c r="AJ35" i="43"/>
  <c r="AH24" i="43"/>
  <c r="AJ24" i="43" s="1"/>
  <c r="R24" i="43"/>
  <c r="AB9" i="43"/>
  <c r="AD9" i="43" s="1"/>
  <c r="AD12" i="43"/>
  <c r="AH22" i="43"/>
  <c r="AJ22" i="43" s="1"/>
  <c r="R22" i="43"/>
  <c r="R26" i="43"/>
  <c r="AH26" i="43"/>
  <c r="AJ26" i="43" s="1"/>
  <c r="AH17" i="43"/>
  <c r="AJ17" i="43" s="1"/>
  <c r="AJ13" i="43"/>
  <c r="P14" i="43"/>
  <c r="R14" i="43" s="1"/>
  <c r="J11" i="43"/>
  <c r="L11" i="43" s="1"/>
  <c r="L12" i="43"/>
  <c r="G11" i="43"/>
  <c r="I11" i="43" s="1"/>
  <c r="AH29" i="43"/>
  <c r="AJ29" i="43" s="1"/>
  <c r="AJ37" i="43"/>
  <c r="AH28" i="43"/>
  <c r="AJ28" i="43" s="1"/>
  <c r="AJ36" i="43"/>
  <c r="AH20" i="43"/>
  <c r="AJ20" i="43" s="1"/>
  <c r="AJ18" i="43"/>
  <c r="R25" i="43"/>
  <c r="AH25" i="43"/>
  <c r="AJ25" i="43" s="1"/>
  <c r="P42" i="43"/>
  <c r="AH41" i="43"/>
  <c r="R41" i="43"/>
  <c r="G9" i="43"/>
  <c r="I9" i="43" s="1"/>
  <c r="AJ8" i="43" l="1"/>
  <c r="AH12" i="43"/>
  <c r="AH42" i="43"/>
  <c r="AJ41" i="43"/>
  <c r="AH31" i="43"/>
  <c r="AJ31" i="43" s="1"/>
  <c r="P9" i="43"/>
  <c r="R9" i="43" s="1"/>
  <c r="R12" i="43"/>
  <c r="AH30" i="43"/>
  <c r="AJ30" i="43" s="1"/>
  <c r="AH14" i="43"/>
  <c r="AJ14" i="43" s="1"/>
  <c r="AJ10" i="43"/>
  <c r="AH11" i="43"/>
  <c r="AJ11" i="43" s="1"/>
  <c r="AH9" i="43" l="1"/>
  <c r="AJ9" i="43" s="1"/>
  <c r="AJ12" i="43"/>
  <c r="AL12" i="43" l="1"/>
  <c r="AL13" i="43" s="1"/>
  <c r="AL17" i="43" l="1"/>
  <c r="AL18" i="43" s="1"/>
  <c r="AL20" i="43" l="1"/>
  <c r="AL22" i="43" l="1"/>
  <c r="AL21" i="43"/>
  <c r="AE4" i="43" l="1"/>
  <c r="AH4" i="43"/>
  <c r="V4" i="43" l="1"/>
  <c r="S4" i="43" l="1"/>
  <c r="P4" i="43" l="1"/>
  <c r="L13" i="29" l="1"/>
  <c r="L25" i="29"/>
  <c r="L16" i="29"/>
  <c r="M25" i="29" l="1"/>
  <c r="O25" i="29"/>
  <c r="O16" i="29"/>
  <c r="M16" i="29"/>
  <c r="L17" i="29"/>
  <c r="L20" i="29"/>
  <c r="M13" i="29"/>
  <c r="O13" i="29"/>
  <c r="L14" i="29"/>
  <c r="L24" i="29"/>
  <c r="M14" i="29" l="1"/>
  <c r="O14" i="29"/>
  <c r="L22" i="29"/>
  <c r="O24" i="29"/>
  <c r="L26" i="29"/>
  <c r="M24" i="29"/>
  <c r="L21" i="29"/>
  <c r="M20" i="29"/>
  <c r="O20" i="29"/>
  <c r="O17" i="29"/>
  <c r="M17" i="29"/>
  <c r="L36" i="29"/>
  <c r="M21" i="29" l="1"/>
  <c r="O21" i="29"/>
  <c r="M26" i="29"/>
  <c r="O26" i="29"/>
  <c r="O22" i="29"/>
  <c r="M22" i="29"/>
  <c r="L27" i="29"/>
  <c r="L23" i="29"/>
  <c r="M23" i="29" l="1"/>
  <c r="O23" i="29"/>
  <c r="L28" i="29"/>
  <c r="L37" i="29"/>
  <c r="O27" i="29"/>
  <c r="L38" i="29"/>
  <c r="M27" i="29"/>
  <c r="O28" i="29" l="1"/>
  <c r="M28" i="29"/>
  <c r="K8" i="1" l="1"/>
  <c r="AH8" i="1" l="1"/>
  <c r="L8" i="1"/>
  <c r="N8" i="1"/>
  <c r="K28" i="45"/>
  <c r="K28" i="42"/>
  <c r="N28" i="42" l="1"/>
  <c r="L28" i="42"/>
  <c r="G28" i="42"/>
  <c r="G28" i="45"/>
  <c r="N28" i="45"/>
  <c r="L28" i="45"/>
  <c r="AK8" i="1"/>
  <c r="AI8" i="1"/>
  <c r="K19" i="42" l="1"/>
  <c r="K19" i="45"/>
  <c r="K21" i="45"/>
  <c r="K21" i="42"/>
  <c r="K9" i="45"/>
  <c r="K9" i="42"/>
  <c r="P30" i="45"/>
  <c r="P30" i="42"/>
  <c r="K8" i="45"/>
  <c r="K8" i="42"/>
  <c r="K14" i="45"/>
  <c r="K14" i="42"/>
  <c r="K31" i="45"/>
  <c r="K31" i="42"/>
  <c r="K16" i="42"/>
  <c r="K16" i="45"/>
  <c r="K30" i="45"/>
  <c r="K30" i="42"/>
  <c r="P31" i="42"/>
  <c r="P31" i="45"/>
  <c r="K10" i="45"/>
  <c r="K10" i="42"/>
  <c r="K18" i="45"/>
  <c r="K18" i="42"/>
  <c r="K12" i="45"/>
  <c r="K12" i="42"/>
  <c r="K23" i="45"/>
  <c r="K23" i="42"/>
  <c r="K13" i="42"/>
  <c r="K13" i="45"/>
  <c r="K15" i="45"/>
  <c r="K15" i="42"/>
  <c r="K17" i="42"/>
  <c r="K17" i="45"/>
  <c r="K20" i="45"/>
  <c r="K20" i="42"/>
  <c r="K11" i="1"/>
  <c r="K10" i="1"/>
  <c r="K16" i="1"/>
  <c r="K9" i="1"/>
  <c r="K17" i="1"/>
  <c r="K12" i="1"/>
  <c r="K7" i="1"/>
  <c r="S31" i="42" l="1"/>
  <c r="Q31" i="42"/>
  <c r="K11" i="42"/>
  <c r="K11" i="45"/>
  <c r="K29" i="45"/>
  <c r="K29" i="42"/>
  <c r="P9" i="45"/>
  <c r="P9" i="42"/>
  <c r="P7" i="45"/>
  <c r="P7" i="42"/>
  <c r="N30" i="42"/>
  <c r="L30" i="42"/>
  <c r="N20" i="42"/>
  <c r="L20" i="42"/>
  <c r="G20" i="42"/>
  <c r="L16" i="45"/>
  <c r="G16" i="45"/>
  <c r="N16" i="45"/>
  <c r="S31" i="45"/>
  <c r="Q31" i="45"/>
  <c r="N30" i="45"/>
  <c r="L30" i="45"/>
  <c r="N20" i="45"/>
  <c r="L20" i="45"/>
  <c r="G20" i="45"/>
  <c r="N16" i="42"/>
  <c r="L16" i="42"/>
  <c r="G16" i="42"/>
  <c r="P29" i="42"/>
  <c r="P29" i="45"/>
  <c r="P13" i="45"/>
  <c r="P13" i="42"/>
  <c r="L17" i="45"/>
  <c r="N17" i="45"/>
  <c r="G17" i="45"/>
  <c r="L31" i="42"/>
  <c r="N31" i="42"/>
  <c r="P8" i="45"/>
  <c r="P8" i="42"/>
  <c r="P19" i="45"/>
  <c r="P19" i="42"/>
  <c r="K7" i="45"/>
  <c r="K7" i="42"/>
  <c r="G17" i="42"/>
  <c r="L17" i="42"/>
  <c r="N17" i="42"/>
  <c r="L31" i="45"/>
  <c r="N31" i="45"/>
  <c r="K21" i="1"/>
  <c r="AH11" i="1"/>
  <c r="N11" i="1"/>
  <c r="L11" i="1"/>
  <c r="G15" i="42"/>
  <c r="N15" i="42"/>
  <c r="L15" i="42"/>
  <c r="L14" i="42"/>
  <c r="G14" i="42"/>
  <c r="N14" i="42"/>
  <c r="L16" i="1"/>
  <c r="N16" i="1"/>
  <c r="P18" i="42"/>
  <c r="P18" i="45"/>
  <c r="N15" i="45"/>
  <c r="L15" i="45"/>
  <c r="G15" i="45"/>
  <c r="G14" i="45"/>
  <c r="N14" i="45"/>
  <c r="L14" i="45"/>
  <c r="N13" i="45"/>
  <c r="L13" i="45"/>
  <c r="G13" i="45"/>
  <c r="G8" i="42"/>
  <c r="N8" i="42"/>
  <c r="L8" i="42"/>
  <c r="P16" i="45"/>
  <c r="P16" i="42"/>
  <c r="K22" i="45"/>
  <c r="K22" i="42"/>
  <c r="K26" i="42" s="1"/>
  <c r="G13" i="42"/>
  <c r="N13" i="42"/>
  <c r="L13" i="42"/>
  <c r="N8" i="45"/>
  <c r="L8" i="45"/>
  <c r="G8" i="45"/>
  <c r="N23" i="42"/>
  <c r="L23" i="42"/>
  <c r="G23" i="42"/>
  <c r="S30" i="42"/>
  <c r="Q30" i="42"/>
  <c r="P22" i="42"/>
  <c r="P22" i="45"/>
  <c r="G23" i="45"/>
  <c r="N23" i="45"/>
  <c r="L23" i="45"/>
  <c r="S30" i="45"/>
  <c r="Q30" i="45"/>
  <c r="P12" i="42"/>
  <c r="P12" i="45"/>
  <c r="P17" i="45"/>
  <c r="P17" i="42"/>
  <c r="P20" i="42"/>
  <c r="P20" i="45"/>
  <c r="N12" i="42"/>
  <c r="L12" i="42"/>
  <c r="G12" i="42"/>
  <c r="G9" i="42"/>
  <c r="L9" i="42"/>
  <c r="N9" i="42"/>
  <c r="P14" i="45"/>
  <c r="P14" i="42"/>
  <c r="P10" i="45"/>
  <c r="P10" i="42"/>
  <c r="P23" i="42"/>
  <c r="P23" i="45"/>
  <c r="L12" i="45"/>
  <c r="N12" i="45"/>
  <c r="G12" i="45"/>
  <c r="N9" i="45"/>
  <c r="L9" i="45"/>
  <c r="G9" i="45"/>
  <c r="N7" i="1"/>
  <c r="B7" i="1"/>
  <c r="AH7" i="1"/>
  <c r="L7" i="1"/>
  <c r="AH10" i="1"/>
  <c r="L10" i="1"/>
  <c r="N10" i="1"/>
  <c r="N18" i="42"/>
  <c r="L18" i="42"/>
  <c r="G18" i="42"/>
  <c r="L21" i="42"/>
  <c r="G21" i="42"/>
  <c r="N21" i="42"/>
  <c r="P21" i="42"/>
  <c r="P21" i="45"/>
  <c r="AH12" i="1"/>
  <c r="L12" i="1"/>
  <c r="K22" i="1"/>
  <c r="N12" i="1"/>
  <c r="P15" i="42"/>
  <c r="P15" i="45"/>
  <c r="G18" i="45"/>
  <c r="N18" i="45"/>
  <c r="L18" i="45"/>
  <c r="N21" i="45"/>
  <c r="L21" i="45"/>
  <c r="G21" i="45"/>
  <c r="P11" i="42"/>
  <c r="P11" i="45"/>
  <c r="P28" i="42"/>
  <c r="P28" i="45"/>
  <c r="G10" i="42"/>
  <c r="N10" i="42"/>
  <c r="L10" i="42"/>
  <c r="N19" i="45"/>
  <c r="L19" i="45"/>
  <c r="K26" i="45"/>
  <c r="G19" i="45"/>
  <c r="AH9" i="1"/>
  <c r="N9" i="1"/>
  <c r="L9" i="1"/>
  <c r="L17" i="1"/>
  <c r="N17" i="1"/>
  <c r="N10" i="45"/>
  <c r="G10" i="45"/>
  <c r="L10" i="45"/>
  <c r="G19" i="42"/>
  <c r="N19" i="42"/>
  <c r="L19" i="42"/>
  <c r="U36" i="42"/>
  <c r="L26" i="42" l="1"/>
  <c r="N26" i="42"/>
  <c r="G26" i="42"/>
  <c r="V36" i="42"/>
  <c r="U59" i="42"/>
  <c r="V59" i="42" s="1"/>
  <c r="X36" i="42"/>
  <c r="S21" i="45"/>
  <c r="Q21" i="45"/>
  <c r="S12" i="42"/>
  <c r="Q12" i="42"/>
  <c r="N22" i="45"/>
  <c r="L22" i="45"/>
  <c r="G22" i="45"/>
  <c r="S21" i="42"/>
  <c r="Q21" i="42"/>
  <c r="Q16" i="42"/>
  <c r="S16" i="42"/>
  <c r="P34" i="42"/>
  <c r="P34" i="45"/>
  <c r="S8" i="45"/>
  <c r="Q8" i="45"/>
  <c r="S16" i="45"/>
  <c r="Q16" i="45"/>
  <c r="L22" i="1"/>
  <c r="N22" i="1"/>
  <c r="N26" i="45"/>
  <c r="L26" i="45"/>
  <c r="G26" i="45"/>
  <c r="S23" i="45"/>
  <c r="Q23" i="45"/>
  <c r="Q28" i="45"/>
  <c r="G29" i="45"/>
  <c r="S28" i="45"/>
  <c r="S23" i="42"/>
  <c r="Q23" i="42"/>
  <c r="Q12" i="45"/>
  <c r="S12" i="45"/>
  <c r="S28" i="42"/>
  <c r="G29" i="42"/>
  <c r="Q28" i="42"/>
  <c r="Q10" i="42"/>
  <c r="S10" i="42"/>
  <c r="S13" i="42"/>
  <c r="Q13" i="42"/>
  <c r="L22" i="42"/>
  <c r="G22" i="42"/>
  <c r="N22" i="42"/>
  <c r="Q11" i="45"/>
  <c r="P25" i="45"/>
  <c r="S11" i="45"/>
  <c r="Q10" i="45"/>
  <c r="S10" i="45"/>
  <c r="S22" i="45"/>
  <c r="Q22" i="45"/>
  <c r="Q13" i="45"/>
  <c r="S13" i="45"/>
  <c r="S17" i="45"/>
  <c r="Q17" i="45"/>
  <c r="P25" i="42"/>
  <c r="S11" i="42"/>
  <c r="Q11" i="42"/>
  <c r="Q14" i="42"/>
  <c r="S14" i="42"/>
  <c r="Q22" i="42"/>
  <c r="S22" i="42"/>
  <c r="AK11" i="1"/>
  <c r="AI11" i="1"/>
  <c r="S29" i="45"/>
  <c r="Q29" i="45"/>
  <c r="P32" i="45"/>
  <c r="P24" i="42"/>
  <c r="S7" i="42"/>
  <c r="Q7" i="42"/>
  <c r="Q14" i="45"/>
  <c r="S14" i="45"/>
  <c r="K32" i="1"/>
  <c r="L21" i="1"/>
  <c r="N21" i="1"/>
  <c r="Q29" i="42"/>
  <c r="P32" i="42"/>
  <c r="S29" i="42"/>
  <c r="S7" i="45"/>
  <c r="Q7" i="45"/>
  <c r="P24" i="45"/>
  <c r="P33" i="45"/>
  <c r="P33" i="42"/>
  <c r="S9" i="42"/>
  <c r="Q9" i="42"/>
  <c r="Q9" i="45"/>
  <c r="S9" i="45"/>
  <c r="Q8" i="42"/>
  <c r="S8" i="42"/>
  <c r="AI10" i="1"/>
  <c r="AK10" i="1"/>
  <c r="K32" i="42"/>
  <c r="N29" i="42"/>
  <c r="L29" i="42"/>
  <c r="K32" i="45"/>
  <c r="N29" i="45"/>
  <c r="L29" i="45"/>
  <c r="G11" i="45"/>
  <c r="K25" i="45"/>
  <c r="N11" i="45"/>
  <c r="L11" i="45"/>
  <c r="S15" i="45"/>
  <c r="Q15" i="45"/>
  <c r="AK7" i="1"/>
  <c r="AI7" i="1"/>
  <c r="G7" i="42"/>
  <c r="L7" i="42"/>
  <c r="K24" i="42"/>
  <c r="N7" i="42"/>
  <c r="K25" i="42"/>
  <c r="N11" i="42"/>
  <c r="L11" i="42"/>
  <c r="G11" i="42"/>
  <c r="S19" i="45"/>
  <c r="Q19" i="45"/>
  <c r="P26" i="45"/>
  <c r="S15" i="42"/>
  <c r="Q15" i="42"/>
  <c r="S20" i="45"/>
  <c r="Q20" i="45"/>
  <c r="S18" i="45"/>
  <c r="Q18" i="45"/>
  <c r="N7" i="45"/>
  <c r="L7" i="45"/>
  <c r="G7" i="45"/>
  <c r="K24" i="45"/>
  <c r="Q17" i="42"/>
  <c r="S17" i="42"/>
  <c r="AI12" i="1"/>
  <c r="AK12" i="1"/>
  <c r="AI9" i="1"/>
  <c r="AK9" i="1"/>
  <c r="Q20" i="42"/>
  <c r="S20" i="42"/>
  <c r="Q18" i="42"/>
  <c r="S18" i="42"/>
  <c r="Q19" i="42"/>
  <c r="P26" i="42"/>
  <c r="S19" i="42"/>
  <c r="K26" i="1"/>
  <c r="K27" i="1"/>
  <c r="AM17" i="43" l="1"/>
  <c r="AM18" i="43" s="1"/>
  <c r="Q34" i="45"/>
  <c r="S34" i="45"/>
  <c r="S34" i="42"/>
  <c r="Q34" i="42"/>
  <c r="K46" i="42"/>
  <c r="K47" i="42" s="1"/>
  <c r="K45" i="45"/>
  <c r="U21" i="42"/>
  <c r="U21" i="45"/>
  <c r="G25" i="42"/>
  <c r="N25" i="42"/>
  <c r="L25" i="42"/>
  <c r="U15" i="45"/>
  <c r="U15" i="42"/>
  <c r="U12" i="42"/>
  <c r="U12" i="45"/>
  <c r="L32" i="45"/>
  <c r="N32" i="45"/>
  <c r="G32" i="45"/>
  <c r="L24" i="42"/>
  <c r="N24" i="42"/>
  <c r="G24" i="42"/>
  <c r="K27" i="42"/>
  <c r="U9" i="42"/>
  <c r="U9" i="45"/>
  <c r="N27" i="1"/>
  <c r="L27" i="1"/>
  <c r="L26" i="1"/>
  <c r="N26" i="1"/>
  <c r="S24" i="42"/>
  <c r="Q24" i="42"/>
  <c r="P27" i="42"/>
  <c r="U20" i="45"/>
  <c r="U20" i="42"/>
  <c r="U19" i="42"/>
  <c r="U19" i="45"/>
  <c r="N24" i="45"/>
  <c r="K27" i="45"/>
  <c r="G24" i="45"/>
  <c r="L24" i="45"/>
  <c r="Q32" i="45"/>
  <c r="S32" i="45"/>
  <c r="U31" i="45"/>
  <c r="U31" i="42"/>
  <c r="Q25" i="45"/>
  <c r="S25" i="45"/>
  <c r="U13" i="45"/>
  <c r="U13" i="42"/>
  <c r="AH17" i="1"/>
  <c r="N32" i="1"/>
  <c r="L32" i="1"/>
  <c r="U10" i="45"/>
  <c r="U10" i="42"/>
  <c r="G32" i="42"/>
  <c r="N32" i="42"/>
  <c r="L32" i="42"/>
  <c r="S33" i="42"/>
  <c r="Q33" i="42"/>
  <c r="U35" i="42"/>
  <c r="U35" i="45"/>
  <c r="U23" i="42"/>
  <c r="U23" i="45"/>
  <c r="S33" i="45"/>
  <c r="Q33" i="45"/>
  <c r="U37" i="42"/>
  <c r="U36" i="45"/>
  <c r="S24" i="45"/>
  <c r="P27" i="45"/>
  <c r="Q24" i="45"/>
  <c r="U14" i="45"/>
  <c r="U14" i="42"/>
  <c r="L25" i="45"/>
  <c r="G25" i="45"/>
  <c r="N25" i="45"/>
  <c r="K33" i="1"/>
  <c r="Q25" i="42"/>
  <c r="S25" i="42"/>
  <c r="U11" i="45"/>
  <c r="U11" i="42"/>
  <c r="U16" i="42"/>
  <c r="U16" i="45"/>
  <c r="U30" i="42"/>
  <c r="U30" i="45"/>
  <c r="Q26" i="42"/>
  <c r="S26" i="42"/>
  <c r="U8" i="45"/>
  <c r="U8" i="42"/>
  <c r="U17" i="42"/>
  <c r="U17" i="45"/>
  <c r="AM12" i="43"/>
  <c r="AM13" i="43" s="1"/>
  <c r="U18" i="42"/>
  <c r="U18" i="45"/>
  <c r="S26" i="45"/>
  <c r="Q26" i="45"/>
  <c r="S32" i="42"/>
  <c r="Q32" i="42"/>
  <c r="K25" i="1"/>
  <c r="K13" i="1"/>
  <c r="X19" i="45" l="1"/>
  <c r="V19" i="45"/>
  <c r="F19" i="45"/>
  <c r="X12" i="45"/>
  <c r="V12" i="45"/>
  <c r="F12" i="45"/>
  <c r="L13" i="1"/>
  <c r="AH13" i="1"/>
  <c r="N13" i="1"/>
  <c r="K14" i="1"/>
  <c r="U29" i="45"/>
  <c r="U29" i="42"/>
  <c r="V18" i="42"/>
  <c r="AJ18" i="42"/>
  <c r="F18" i="42"/>
  <c r="AI18" i="42"/>
  <c r="X18" i="42"/>
  <c r="F20" i="42"/>
  <c r="AI20" i="42"/>
  <c r="V20" i="42"/>
  <c r="X20" i="42"/>
  <c r="F15" i="42"/>
  <c r="V15" i="42"/>
  <c r="AI15" i="42"/>
  <c r="X15" i="42"/>
  <c r="X14" i="42"/>
  <c r="F14" i="42"/>
  <c r="AI14" i="42"/>
  <c r="V14" i="42"/>
  <c r="F10" i="42"/>
  <c r="X10" i="42"/>
  <c r="V10" i="42"/>
  <c r="AI10" i="42"/>
  <c r="F20" i="45"/>
  <c r="X20" i="45"/>
  <c r="V20" i="45"/>
  <c r="F15" i="45"/>
  <c r="X15" i="45"/>
  <c r="V15" i="45"/>
  <c r="G27" i="45"/>
  <c r="L27" i="45"/>
  <c r="N27" i="45"/>
  <c r="AI19" i="42"/>
  <c r="F19" i="42"/>
  <c r="V19" i="42"/>
  <c r="AJ19" i="42"/>
  <c r="X19" i="42"/>
  <c r="U26" i="42"/>
  <c r="V14" i="45"/>
  <c r="X14" i="45"/>
  <c r="F14" i="45"/>
  <c r="F10" i="45"/>
  <c r="X10" i="45"/>
  <c r="V10" i="45"/>
  <c r="S27" i="42"/>
  <c r="Q27" i="42"/>
  <c r="V18" i="45"/>
  <c r="F18" i="45"/>
  <c r="X18" i="45"/>
  <c r="U22" i="45"/>
  <c r="U22" i="42"/>
  <c r="U33" i="45"/>
  <c r="U33" i="42"/>
  <c r="F17" i="45"/>
  <c r="V17" i="45"/>
  <c r="X17" i="45"/>
  <c r="X17" i="42"/>
  <c r="V17" i="42"/>
  <c r="AI17" i="42"/>
  <c r="F17" i="42"/>
  <c r="Q27" i="45"/>
  <c r="S27" i="45"/>
  <c r="F8" i="42"/>
  <c r="X8" i="42"/>
  <c r="V8" i="42"/>
  <c r="AI8" i="42"/>
  <c r="AK17" i="1"/>
  <c r="AI17" i="1"/>
  <c r="F21" i="45"/>
  <c r="X21" i="45"/>
  <c r="V21" i="45"/>
  <c r="V8" i="45"/>
  <c r="X8" i="45"/>
  <c r="F8" i="45"/>
  <c r="X36" i="45"/>
  <c r="V36" i="45"/>
  <c r="V13" i="42"/>
  <c r="F13" i="42"/>
  <c r="AI13" i="42"/>
  <c r="X13" i="42"/>
  <c r="F21" i="42"/>
  <c r="AJ21" i="42"/>
  <c r="V21" i="42"/>
  <c r="AI21" i="42"/>
  <c r="X21" i="42"/>
  <c r="AH21" i="1"/>
  <c r="U60" i="42"/>
  <c r="V60" i="42" s="1"/>
  <c r="V37" i="42"/>
  <c r="X37" i="42"/>
  <c r="V13" i="45"/>
  <c r="F13" i="45"/>
  <c r="X13" i="45"/>
  <c r="K46" i="45"/>
  <c r="V12" i="42"/>
  <c r="AI12" i="42"/>
  <c r="F12" i="42"/>
  <c r="X12" i="42"/>
  <c r="X30" i="45"/>
  <c r="V30" i="45"/>
  <c r="X9" i="45"/>
  <c r="V9" i="45"/>
  <c r="F9" i="45"/>
  <c r="L25" i="1"/>
  <c r="N25" i="1"/>
  <c r="AJ30" i="42"/>
  <c r="X30" i="42"/>
  <c r="V30" i="42"/>
  <c r="AK30" i="42" s="1"/>
  <c r="AJ31" i="42"/>
  <c r="X31" i="42"/>
  <c r="V31" i="42"/>
  <c r="AK31" i="42" s="1"/>
  <c r="X9" i="42"/>
  <c r="V9" i="42"/>
  <c r="AI9" i="42"/>
  <c r="F9" i="42"/>
  <c r="N33" i="1"/>
  <c r="AH18" i="1"/>
  <c r="L33" i="1"/>
  <c r="U37" i="45"/>
  <c r="U38" i="42"/>
  <c r="F16" i="45"/>
  <c r="V16" i="45"/>
  <c r="X16" i="45"/>
  <c r="F23" i="45"/>
  <c r="X23" i="45"/>
  <c r="V23" i="45"/>
  <c r="X31" i="45"/>
  <c r="V31" i="45"/>
  <c r="G27" i="42"/>
  <c r="N27" i="42"/>
  <c r="L27" i="42"/>
  <c r="X16" i="42"/>
  <c r="V16" i="42"/>
  <c r="AI16" i="42"/>
  <c r="F16" i="42"/>
  <c r="AI23" i="42"/>
  <c r="V23" i="42"/>
  <c r="AJ23" i="42"/>
  <c r="F23" i="42"/>
  <c r="X23" i="42"/>
  <c r="P46" i="42"/>
  <c r="P45" i="45"/>
  <c r="U28" i="45"/>
  <c r="U28" i="42"/>
  <c r="X11" i="42"/>
  <c r="V11" i="42"/>
  <c r="AI11" i="42"/>
  <c r="F11" i="42"/>
  <c r="U25" i="42"/>
  <c r="V35" i="45"/>
  <c r="X35" i="45"/>
  <c r="U25" i="45"/>
  <c r="F11" i="45"/>
  <c r="X11" i="45"/>
  <c r="V11" i="45"/>
  <c r="X35" i="42"/>
  <c r="V35" i="42"/>
  <c r="AH19" i="1"/>
  <c r="P39" i="42"/>
  <c r="P38" i="45"/>
  <c r="S38" i="45" l="1"/>
  <c r="Q38" i="45"/>
  <c r="P40" i="45"/>
  <c r="V38" i="42"/>
  <c r="U61" i="42"/>
  <c r="V61" i="42" s="1"/>
  <c r="X38" i="42"/>
  <c r="S39" i="42"/>
  <c r="Q39" i="42"/>
  <c r="P41" i="42"/>
  <c r="X37" i="45"/>
  <c r="V37" i="45"/>
  <c r="X29" i="42"/>
  <c r="AJ29" i="42"/>
  <c r="AJ32" i="42" s="1"/>
  <c r="V29" i="42"/>
  <c r="AK29" i="42" s="1"/>
  <c r="AK32" i="42" s="1"/>
  <c r="U32" i="42"/>
  <c r="U34" i="45"/>
  <c r="U34" i="42"/>
  <c r="AK19" i="1"/>
  <c r="AI19" i="1"/>
  <c r="U32" i="45"/>
  <c r="V29" i="45"/>
  <c r="X29" i="45"/>
  <c r="AK18" i="1"/>
  <c r="AI18" i="1"/>
  <c r="L14" i="1"/>
  <c r="N14" i="1"/>
  <c r="B14" i="1"/>
  <c r="V28" i="45"/>
  <c r="U50" i="45"/>
  <c r="V50" i="45" s="1"/>
  <c r="X28" i="45"/>
  <c r="X26" i="42"/>
  <c r="F26" i="42"/>
  <c r="AI26" i="42"/>
  <c r="V26" i="42"/>
  <c r="AK13" i="1"/>
  <c r="AI13" i="1"/>
  <c r="AH14" i="1"/>
  <c r="V28" i="42"/>
  <c r="U51" i="42"/>
  <c r="V51" i="42" s="1"/>
  <c r="X28" i="42"/>
  <c r="K28" i="1"/>
  <c r="F25" i="45"/>
  <c r="V25" i="45"/>
  <c r="X25" i="45"/>
  <c r="X33" i="42"/>
  <c r="V33" i="42"/>
  <c r="V33" i="45"/>
  <c r="X33" i="45"/>
  <c r="AI22" i="42"/>
  <c r="X22" i="42"/>
  <c r="V22" i="42"/>
  <c r="AJ22" i="42"/>
  <c r="F22" i="42"/>
  <c r="AI25" i="42"/>
  <c r="X25" i="42"/>
  <c r="V25" i="42"/>
  <c r="F25" i="42"/>
  <c r="F22" i="45"/>
  <c r="X22" i="45"/>
  <c r="V22" i="45"/>
  <c r="U26" i="45"/>
  <c r="AI21" i="1"/>
  <c r="AK21" i="1"/>
  <c r="AM20" i="43"/>
  <c r="X34" i="45" l="1"/>
  <c r="V34" i="45"/>
  <c r="AI14" i="1"/>
  <c r="AK14" i="1"/>
  <c r="U52" i="45"/>
  <c r="V52" i="45" s="1"/>
  <c r="U58" i="42"/>
  <c r="S41" i="42"/>
  <c r="Q41" i="42"/>
  <c r="P43" i="42"/>
  <c r="U53" i="42"/>
  <c r="AH20" i="1"/>
  <c r="V34" i="42"/>
  <c r="X34" i="42"/>
  <c r="AM22" i="43"/>
  <c r="AM21" i="43"/>
  <c r="Q40" i="45"/>
  <c r="S40" i="45"/>
  <c r="P42" i="45"/>
  <c r="F26" i="45"/>
  <c r="X26" i="45"/>
  <c r="V26" i="45"/>
  <c r="N28" i="1"/>
  <c r="L28" i="1"/>
  <c r="K29" i="1"/>
  <c r="X32" i="45"/>
  <c r="V32" i="45"/>
  <c r="U51" i="45"/>
  <c r="V51" i="45" s="1"/>
  <c r="U52" i="42"/>
  <c r="V52" i="42" s="1"/>
  <c r="V32" i="42"/>
  <c r="X32" i="42"/>
  <c r="AK20" i="1" l="1"/>
  <c r="AI20" i="1"/>
  <c r="P44" i="42"/>
  <c r="G43" i="42"/>
  <c r="S43" i="42"/>
  <c r="Q43" i="42"/>
  <c r="P47" i="42"/>
  <c r="V53" i="42"/>
  <c r="Q42" i="45"/>
  <c r="G42" i="45"/>
  <c r="S42" i="45"/>
  <c r="P43" i="45"/>
  <c r="P46" i="45"/>
  <c r="V58" i="42"/>
  <c r="N29" i="1"/>
  <c r="L29" i="1"/>
  <c r="K15" i="1" l="1"/>
  <c r="N15" i="1" l="1"/>
  <c r="L15" i="1"/>
  <c r="K20" i="1"/>
  <c r="N20" i="1" l="1"/>
  <c r="L20" i="1"/>
  <c r="K30" i="1"/>
  <c r="K18" i="1"/>
  <c r="U7" i="45" l="1"/>
  <c r="U7" i="42"/>
  <c r="K31" i="1"/>
  <c r="L30" i="1"/>
  <c r="N30" i="1"/>
  <c r="AH15" i="1"/>
  <c r="L18" i="1"/>
  <c r="N18" i="1"/>
  <c r="K23" i="1"/>
  <c r="K19" i="1"/>
  <c r="L23" i="1" l="1"/>
  <c r="N23" i="1"/>
  <c r="K34" i="1"/>
  <c r="K24" i="1"/>
  <c r="AK15" i="1"/>
  <c r="AI15" i="1"/>
  <c r="N31" i="1"/>
  <c r="L31" i="1"/>
  <c r="AH16" i="1"/>
  <c r="V7" i="42"/>
  <c r="X7" i="42"/>
  <c r="U24" i="42"/>
  <c r="AJ7" i="42"/>
  <c r="AI7" i="42"/>
  <c r="F7" i="42"/>
  <c r="L19" i="1"/>
  <c r="N19" i="1"/>
  <c r="V7" i="45"/>
  <c r="U24" i="45"/>
  <c r="F7" i="45"/>
  <c r="X7" i="45"/>
  <c r="AK16" i="1" l="1"/>
  <c r="AI16" i="1"/>
  <c r="F24" i="45"/>
  <c r="V24" i="45"/>
  <c r="X24" i="45"/>
  <c r="U27" i="45"/>
  <c r="F24" i="42"/>
  <c r="U27" i="42"/>
  <c r="AI24" i="42"/>
  <c r="X24" i="42"/>
  <c r="V24" i="42"/>
  <c r="N24" i="1"/>
  <c r="L24" i="1"/>
  <c r="N34" i="1"/>
  <c r="L34" i="1"/>
  <c r="K35" i="1"/>
  <c r="U49" i="45" l="1"/>
  <c r="X27" i="45"/>
  <c r="F27" i="45"/>
  <c r="V27" i="45"/>
  <c r="N35" i="1"/>
  <c r="L35" i="1"/>
  <c r="K36" i="1"/>
  <c r="X27" i="42"/>
  <c r="AI27" i="42"/>
  <c r="V27" i="42"/>
  <c r="F27" i="42"/>
  <c r="U50" i="42"/>
  <c r="V50" i="42" l="1"/>
  <c r="W50" i="42"/>
  <c r="AH24" i="1"/>
  <c r="N36" i="1"/>
  <c r="AK24" i="1" s="1"/>
  <c r="L36" i="1"/>
  <c r="AI24" i="1" s="1"/>
  <c r="V49" i="45"/>
  <c r="W49" i="45"/>
  <c r="K38" i="1"/>
  <c r="U38" i="45" l="1"/>
  <c r="U39" i="42"/>
  <c r="U46" i="42"/>
  <c r="U45" i="45"/>
  <c r="K39" i="1"/>
  <c r="K40" i="1"/>
  <c r="U53" i="45" l="1"/>
  <c r="V53" i="45" s="1"/>
  <c r="U62" i="42"/>
  <c r="X39" i="42"/>
  <c r="V39" i="42"/>
  <c r="U41" i="42"/>
  <c r="U54" i="42"/>
  <c r="X38" i="45"/>
  <c r="V38" i="45"/>
  <c r="U40" i="45"/>
  <c r="V40" i="45" l="1"/>
  <c r="X40" i="45"/>
  <c r="U42" i="45"/>
  <c r="V54" i="42"/>
  <c r="V55" i="42" s="1"/>
  <c r="U55" i="42"/>
  <c r="U56" i="42"/>
  <c r="V56" i="42" s="1"/>
  <c r="X41" i="42"/>
  <c r="AH26" i="1"/>
  <c r="AH22" i="1" s="1"/>
  <c r="V41" i="42"/>
  <c r="U43" i="42"/>
  <c r="V62" i="42"/>
  <c r="V63" i="42" s="1"/>
  <c r="U63" i="42"/>
  <c r="G44" i="42" l="1"/>
  <c r="U44" i="42"/>
  <c r="V43" i="42"/>
  <c r="X43" i="42"/>
  <c r="U47" i="42"/>
  <c r="AI22" i="1"/>
  <c r="AK22" i="1"/>
  <c r="AH23" i="1"/>
  <c r="U43" i="45"/>
  <c r="G43" i="45"/>
  <c r="X42" i="45"/>
  <c r="V42" i="45"/>
  <c r="U46" i="45"/>
  <c r="AI23" i="1" l="1"/>
  <c r="AK23" i="1"/>
  <c r="Y8" i="45" l="1"/>
  <c r="Y8" i="42"/>
  <c r="Y19" i="42"/>
  <c r="Y19" i="45"/>
  <c r="Y17" i="42"/>
  <c r="Y17" i="45"/>
  <c r="Y22" i="42"/>
  <c r="Y22" i="45"/>
  <c r="Y9" i="42"/>
  <c r="Y9" i="45"/>
  <c r="Z13" i="45"/>
  <c r="Z13" i="42"/>
  <c r="Y14" i="45"/>
  <c r="Y14" i="42"/>
  <c r="Z17" i="42"/>
  <c r="Z17" i="45"/>
  <c r="Y18" i="45"/>
  <c r="Y18" i="42"/>
  <c r="Y7" i="45"/>
  <c r="Y7" i="42"/>
  <c r="Y12" i="42"/>
  <c r="Y12" i="45"/>
  <c r="Z23" i="45"/>
  <c r="Z23" i="42"/>
  <c r="Y15" i="45"/>
  <c r="Y15" i="42"/>
  <c r="Y10" i="45"/>
  <c r="Y10" i="42"/>
  <c r="Y16" i="45"/>
  <c r="Y16" i="42"/>
  <c r="Y20" i="45"/>
  <c r="Y20" i="42"/>
  <c r="Y21" i="45"/>
  <c r="Y21" i="42"/>
  <c r="Y11" i="45"/>
  <c r="Y11" i="42"/>
  <c r="Y13" i="45"/>
  <c r="Y13" i="42"/>
  <c r="Y23" i="45"/>
  <c r="Y23" i="42"/>
  <c r="Z15" i="42" l="1"/>
  <c r="Z15" i="45"/>
  <c r="Z24" i="42"/>
  <c r="Z24" i="45"/>
  <c r="Z25" i="45"/>
  <c r="Z25" i="42"/>
  <c r="Y24" i="45"/>
  <c r="Y24" i="42"/>
  <c r="Z7" i="42"/>
  <c r="Z7" i="45"/>
  <c r="Z18" i="45"/>
  <c r="Z18" i="42"/>
  <c r="Z26" i="42"/>
  <c r="Z26" i="45"/>
  <c r="Z20" i="45"/>
  <c r="Z20" i="42"/>
  <c r="Z22" i="42"/>
  <c r="Z22" i="45"/>
  <c r="Y25" i="45"/>
  <c r="Y25" i="42"/>
  <c r="Z8" i="45"/>
  <c r="Z8" i="42"/>
  <c r="Z12" i="42"/>
  <c r="Z12" i="45"/>
  <c r="Z14" i="45"/>
  <c r="Z14" i="42"/>
  <c r="Z27" i="45"/>
  <c r="Z27" i="42"/>
  <c r="Z11" i="45"/>
  <c r="Z11" i="42"/>
  <c r="Z9" i="42"/>
  <c r="Z9" i="45"/>
  <c r="Z16" i="45"/>
  <c r="Z16" i="42"/>
  <c r="Y27" i="42"/>
  <c r="Y27" i="45"/>
  <c r="Z10" i="45"/>
  <c r="Z10" i="42"/>
  <c r="AK13" i="42"/>
  <c r="Z21" i="45"/>
  <c r="Z21" i="42"/>
  <c r="Z19" i="42"/>
  <c r="Z19" i="45"/>
  <c r="AK17" i="42"/>
  <c r="AK24" i="42" l="1"/>
  <c r="AK7" i="42"/>
  <c r="AK12" i="42"/>
  <c r="AK26" i="42"/>
  <c r="AK25" i="42"/>
  <c r="AB18" i="42"/>
  <c r="AE18" i="42" s="1"/>
  <c r="AB18" i="45"/>
  <c r="AE18" i="45" s="1"/>
  <c r="AK15" i="42"/>
  <c r="AK27" i="42"/>
  <c r="AK8" i="42"/>
  <c r="AK18" i="42"/>
  <c r="AK11" i="42"/>
  <c r="AK10" i="42"/>
  <c r="AK9" i="42"/>
  <c r="AK14" i="42"/>
  <c r="Y26" i="42"/>
  <c r="Y26" i="45"/>
  <c r="AB14" i="45"/>
  <c r="AE14" i="45" s="1"/>
  <c r="AB14" i="42"/>
  <c r="AE14" i="42" s="1"/>
  <c r="AB22" i="42"/>
  <c r="AE22" i="42" s="1"/>
  <c r="AB22" i="45"/>
  <c r="AE22" i="45" s="1"/>
  <c r="AK16" i="42"/>
  <c r="AB21" i="45" l="1"/>
  <c r="AE21" i="45" s="1"/>
  <c r="AB21" i="42"/>
  <c r="AE21" i="42" s="1"/>
  <c r="AB8" i="42"/>
  <c r="AE8" i="42" s="1"/>
  <c r="AB8" i="45"/>
  <c r="AE8" i="45" s="1"/>
  <c r="AB12" i="42"/>
  <c r="AE12" i="42" s="1"/>
  <c r="AB12" i="45"/>
  <c r="AE12" i="45" s="1"/>
  <c r="AB19" i="45"/>
  <c r="AE19" i="45" s="1"/>
  <c r="AB19" i="42"/>
  <c r="AE19" i="42" s="1"/>
  <c r="AB10" i="42"/>
  <c r="AE10" i="42" s="1"/>
  <c r="AB10" i="45"/>
  <c r="AE10" i="45" s="1"/>
  <c r="AC21" i="42" l="1"/>
  <c r="AF21" i="42" s="1"/>
  <c r="AC21" i="45"/>
  <c r="AF21" i="45" s="1"/>
  <c r="AB23" i="45"/>
  <c r="AE23" i="45" s="1"/>
  <c r="AB23" i="42"/>
  <c r="AE23" i="42" s="1"/>
  <c r="AB9" i="45"/>
  <c r="AE9" i="45" s="1"/>
  <c r="AB9" i="42"/>
  <c r="AE9" i="42" s="1"/>
  <c r="AB16" i="45"/>
  <c r="AE16" i="45" s="1"/>
  <c r="AB16" i="42"/>
  <c r="AE16" i="42" s="1"/>
  <c r="AC7" i="45"/>
  <c r="AF7" i="45" s="1"/>
  <c r="AC7" i="42"/>
  <c r="AB13" i="45"/>
  <c r="AE13" i="45" s="1"/>
  <c r="AB13" i="42"/>
  <c r="AE13" i="42" s="1"/>
  <c r="AB20" i="42"/>
  <c r="AE20" i="42" s="1"/>
  <c r="AB20" i="45"/>
  <c r="AE20" i="45" s="1"/>
  <c r="AB25" i="42"/>
  <c r="AE25" i="42" s="1"/>
  <c r="AB25" i="45"/>
  <c r="AE25" i="45" s="1"/>
  <c r="AB27" i="42"/>
  <c r="AE27" i="42" s="1"/>
  <c r="AB27" i="45"/>
  <c r="AE27" i="45" s="1"/>
  <c r="AB7" i="45"/>
  <c r="AE7" i="45" s="1"/>
  <c r="AB7" i="42"/>
  <c r="AE7" i="42" s="1"/>
  <c r="AC17" i="45"/>
  <c r="AF17" i="45" s="1"/>
  <c r="AC17" i="42"/>
  <c r="AB17" i="45"/>
  <c r="AE17" i="45" s="1"/>
  <c r="AB17" i="42"/>
  <c r="AE17" i="42" s="1"/>
  <c r="AC18" i="42"/>
  <c r="AC18" i="45"/>
  <c r="AF18" i="45" s="1"/>
  <c r="AC9" i="45"/>
  <c r="AF9" i="45" s="1"/>
  <c r="AC9" i="42"/>
  <c r="AC11" i="45"/>
  <c r="AF11" i="45" s="1"/>
  <c r="AC11" i="42"/>
  <c r="AB15" i="42"/>
  <c r="AE15" i="42" s="1"/>
  <c r="AB15" i="45"/>
  <c r="AE15" i="45" s="1"/>
  <c r="AB11" i="45"/>
  <c r="AE11" i="45" s="1"/>
  <c r="AB11" i="42"/>
  <c r="AE11" i="42" s="1"/>
  <c r="AB24" i="45"/>
  <c r="AE24" i="45" s="1"/>
  <c r="AB24" i="42"/>
  <c r="AE24" i="42" s="1"/>
  <c r="AC12" i="42"/>
  <c r="AC12" i="45"/>
  <c r="AF12" i="45" s="1"/>
  <c r="AC20" i="45" l="1"/>
  <c r="AF20" i="45" s="1"/>
  <c r="AC20" i="42"/>
  <c r="AF20" i="42" s="1"/>
  <c r="AC14" i="45"/>
  <c r="AF14" i="45" s="1"/>
  <c r="AC14" i="42"/>
  <c r="AL11" i="42"/>
  <c r="AF11" i="42"/>
  <c r="AM11" i="42" s="1"/>
  <c r="AL18" i="42"/>
  <c r="AF18" i="42"/>
  <c r="AM18" i="42" s="1"/>
  <c r="AM9" i="42"/>
  <c r="AC26" i="42"/>
  <c r="AC26" i="45"/>
  <c r="AF26" i="45" s="1"/>
  <c r="AB26" i="45"/>
  <c r="AE26" i="45" s="1"/>
  <c r="AB26" i="42"/>
  <c r="AE26" i="42" s="1"/>
  <c r="AL7" i="42"/>
  <c r="AF7" i="42"/>
  <c r="AM7" i="42" s="1"/>
  <c r="AC10" i="45"/>
  <c r="AF10" i="45" s="1"/>
  <c r="AC10" i="42"/>
  <c r="AC24" i="45"/>
  <c r="AF24" i="45" s="1"/>
  <c r="AC24" i="42"/>
  <c r="AC22" i="42"/>
  <c r="AF22" i="42" s="1"/>
  <c r="AC22" i="45"/>
  <c r="AF22" i="45" s="1"/>
  <c r="AC16" i="45"/>
  <c r="AF16" i="45" s="1"/>
  <c r="AC16" i="42"/>
  <c r="AL12" i="42"/>
  <c r="AF12" i="42"/>
  <c r="AM12" i="42" s="1"/>
  <c r="AC8" i="42"/>
  <c r="AC8" i="45"/>
  <c r="AF8" i="45" s="1"/>
  <c r="AC13" i="45"/>
  <c r="AF13" i="45" s="1"/>
  <c r="AC13" i="42"/>
  <c r="AC15" i="42"/>
  <c r="AC15" i="45"/>
  <c r="AF15" i="45" s="1"/>
  <c r="AL9" i="42"/>
  <c r="AF9" i="42"/>
  <c r="AC25" i="42"/>
  <c r="AC25" i="45"/>
  <c r="AF25" i="45" s="1"/>
  <c r="AC19" i="45"/>
  <c r="AF19" i="45" s="1"/>
  <c r="AC19" i="42"/>
  <c r="AF19" i="42" s="1"/>
  <c r="AC23" i="42"/>
  <c r="AF23" i="42" s="1"/>
  <c r="AC23" i="45"/>
  <c r="AF23" i="45" s="1"/>
  <c r="AL17" i="42"/>
  <c r="AF17" i="42"/>
  <c r="AM17" i="42" s="1"/>
  <c r="AC27" i="42" l="1"/>
  <c r="AC27" i="45"/>
  <c r="AF27" i="45" s="1"/>
  <c r="AL13" i="42"/>
  <c r="AF13" i="42"/>
  <c r="AM13" i="42" s="1"/>
  <c r="AL26" i="42"/>
  <c r="AF26" i="42"/>
  <c r="AM26" i="42" s="1"/>
  <c r="AL14" i="42"/>
  <c r="AF14" i="42"/>
  <c r="AM14" i="42" s="1"/>
  <c r="AL25" i="42"/>
  <c r="AF25" i="42"/>
  <c r="AM25" i="42" s="1"/>
  <c r="AL16" i="42"/>
  <c r="AF16" i="42"/>
  <c r="AM16" i="42" s="1"/>
  <c r="AL24" i="42"/>
  <c r="AF24" i="42"/>
  <c r="AM24" i="42" s="1"/>
  <c r="AL15" i="42"/>
  <c r="AF15" i="42"/>
  <c r="AM15" i="42" s="1"/>
  <c r="AL8" i="42"/>
  <c r="AF8" i="42"/>
  <c r="AM8" i="42" s="1"/>
  <c r="AL10" i="42"/>
  <c r="AF10" i="42"/>
  <c r="AM10" i="42" s="1"/>
  <c r="AL27" i="42" l="1"/>
  <c r="AF27" i="42"/>
  <c r="AM27" i="42" s="1"/>
</calcChain>
</file>

<file path=xl/sharedStrings.xml><?xml version="1.0" encoding="utf-8"?>
<sst xmlns="http://schemas.openxmlformats.org/spreadsheetml/2006/main" count="1043" uniqueCount="257">
  <si>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</si>
  <si>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</si>
  <si>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</si>
  <si>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</si>
  <si>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</si>
  <si>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</si>
  <si>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</si>
  <si>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</si>
  <si>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</si>
  <si>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</si>
  <si>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</si>
  <si>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</si>
  <si>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</si>
  <si>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</si>
  <si>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</si>
  <si>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</si>
  <si>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</si>
  <si>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</si>
  <si>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</si>
  <si>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</si>
  <si>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</si>
  <si>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</si>
  <si>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</si>
  <si>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</si>
  <si>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</si>
  <si>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</si>
  <si>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</si>
  <si>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</si>
  <si>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</si>
  <si>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</si>
  <si>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</si>
  <si>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</si>
  <si>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</si>
  <si>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</si>
  <si>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</si>
  <si>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</si>
  <si>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</si>
  <si>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</si>
  <si>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</si>
  <si>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</si>
  <si>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</si>
  <si>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</si>
  <si>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</si>
  <si>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</si>
  <si>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</si>
  <si>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</si>
  <si>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</si>
  <si>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</si>
  <si>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</si>
  <si>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</si>
  <si>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</si>
  <si>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</si>
  <si>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</si>
  <si>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</si>
  <si>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</si>
  <si>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</si>
  <si>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</si>
  <si>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</si>
  <si>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</si>
  <si>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</si>
  <si>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</si>
  <si>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</si>
  <si>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</si>
  <si>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</si>
  <si>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</si>
  <si>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</si>
  <si>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</si>
  <si>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</si>
  <si>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</si>
  <si>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</si>
  <si>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</si>
  <si>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</si>
  <si>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</si>
  <si>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</si>
  <si>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</si>
  <si>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</si>
  <si>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</si>
  <si>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</si>
  <si>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</si>
  <si>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</si>
  <si>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</si>
  <si>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</si>
  <si>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</si>
  <si>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</si>
  <si>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</si>
  <si>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</si>
  <si>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</si>
  <si>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</si>
  <si>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</si>
  <si>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</si>
  <si>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</si>
  <si>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</si>
  <si>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</si>
  <si>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</si>
  <si>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</si>
  <si>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</si>
  <si>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</si>
  <si>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</si>
  <si>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</si>
  <si>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</si>
  <si>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</si>
  <si>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</si>
  <si>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</si>
  <si>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</si>
  <si>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</si>
  <si>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</si>
  <si>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</si>
  <si>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</si>
  <si>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</si>
  <si>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</si>
  <si>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</si>
  <si>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</si>
  <si>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</si>
  <si>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</si>
  <si>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</si>
  <si>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</si>
  <si>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</si>
  <si>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</si>
  <si>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</si>
  <si>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</si>
  <si>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</si>
  <si>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</si>
  <si>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</si>
  <si>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</si>
  <si>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</si>
  <si>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</si>
  <si>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</si>
  <si>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</si>
  <si>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</si>
  <si>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</si>
  <si>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</si>
  <si>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</si>
  <si>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</si>
  <si>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</si>
  <si>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</si>
  <si>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</si>
  <si>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</si>
  <si>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</si>
  <si>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</si>
  <si>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</si>
  <si>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</si>
  <si>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</si>
  <si>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</si>
  <si>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</si>
  <si>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</si>
  <si>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</si>
  <si>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</si>
  <si>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</si>
  <si>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</si>
  <si>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</si>
  <si>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</si>
  <si>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</si>
  <si>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</si>
  <si>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</si>
  <si>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</si>
  <si>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</si>
  <si>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</si>
  <si>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</si>
  <si>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</si>
  <si>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</si>
  <si>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</si>
  <si>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</si>
  <si>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</si>
  <si>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</si>
  <si>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</si>
  <si>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</si>
  <si>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</si>
  <si>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</si>
  <si>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</si>
  <si>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</si>
  <si>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</si>
  <si>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</si>
  <si>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</si>
  <si>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</si>
  <si>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</si>
  <si>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</si>
  <si>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</si>
  <si>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</si>
  <si>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</si>
  <si>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</si>
  <si>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</si>
  <si>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</si>
  <si>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6월</t>
  </si>
  <si>
    <t>□ 기타내역(영업이익)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</si>
  <si>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</si>
  <si>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</si>
  <si>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</si>
  <si>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</si>
  <si>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</si>
  <si>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</si>
  <si>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</si>
  <si>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</si>
  <si>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</si>
  <si>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</si>
  <si>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</si>
  <si>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</si>
  <si>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</si>
  <si>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</si>
  <si>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</si>
  <si>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</si>
  <si>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</si>
  <si>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</si>
  <si>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2월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</si>
  <si>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</si>
  <si>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</si>
  <si>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</si>
  <si>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</si>
  <si>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</si>
  <si>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</si>
  <si>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3월</t>
  </si>
  <si>
    <t>4월</t>
  </si>
  <si>
    <t>5월</t>
  </si>
  <si>
    <t>혼합석(25mm)</t>
  </si>
  <si>
    <t>혼합석(25mm)</t>
    <phoneticPr fontId="1" type="noConversion"/>
  </si>
  <si>
    <t>양산</t>
    <phoneticPr fontId="1" type="noConversion"/>
  </si>
  <si>
    <t>시그마 5백만원</t>
    <phoneticPr fontId="1" type="noConversion"/>
  </si>
  <si>
    <t>공통 상각비 7천만원</t>
    <phoneticPr fontId="1" type="noConversion"/>
  </si>
  <si>
    <t>회계팀 재고자산평가손실 8.3천만원</t>
    <phoneticPr fontId="1" type="noConversion"/>
  </si>
  <si>
    <t>서부산CR</t>
  </si>
  <si>
    <t>서부산CR</t>
    <phoneticPr fontId="1" type="noConversion"/>
  </si>
  <si>
    <t>부산CR</t>
  </si>
  <si>
    <t>부산CR</t>
    <phoneticPr fontId="1" type="noConversion"/>
  </si>
  <si>
    <t>부산모래장</t>
  </si>
  <si>
    <t>㎥</t>
    <phoneticPr fontId="1" type="noConversion"/>
  </si>
  <si>
    <t>서해사1</t>
    <phoneticPr fontId="1" type="noConversion"/>
  </si>
  <si>
    <t>공통비</t>
    <phoneticPr fontId="1" type="noConversion"/>
  </si>
  <si>
    <t>8월</t>
  </si>
  <si>
    <t>7월</t>
    <phoneticPr fontId="1" type="noConversion"/>
  </si>
  <si>
    <t xml:space="preserve">  - OPC 소급분 : 삼표 2.5억(총 9.9억 中 1회차) → 8~11월 총 4회 소급예정</t>
    <phoneticPr fontId="1" type="noConversion"/>
  </si>
  <si>
    <t>9월</t>
    <phoneticPr fontId="1" type="noConversion"/>
  </si>
  <si>
    <t xml:space="preserve">  □ 3분기 총 대손 : 5.7억</t>
    <phoneticPr fontId="1" type="noConversion"/>
  </si>
  <si>
    <t xml:space="preserve">    - 집합대손 : 0.4억</t>
    <phoneticPr fontId="1" type="noConversion"/>
  </si>
  <si>
    <t xml:space="preserve">    - 개별 대손 : 11.7억(송학 0.9억, 계원토건 1.2억, 남양건설 1.7억, 선원건설 7.9억)</t>
    <phoneticPr fontId="1" type="noConversion"/>
  </si>
  <si>
    <t xml:space="preserve">    - 개별 대손환입 : -6.4억(신일 1.8억, 태영건설 3.1억, 남양건설 1.1억 등)</t>
    <phoneticPr fontId="1" type="noConversion"/>
  </si>
  <si>
    <t>□ 2024년 골재사업소 손익(2024-10누계)</t>
    <phoneticPr fontId="1" type="noConversion"/>
  </si>
  <si>
    <t>2024년 11월 마감 손익</t>
    <phoneticPr fontId="1" type="noConversion"/>
  </si>
  <si>
    <t>□ 건재사업본부 손익실적(2024-11)</t>
    <phoneticPr fontId="1" type="noConversion"/>
  </si>
  <si>
    <t>11월 누계</t>
    <phoneticPr fontId="1" type="noConversion"/>
  </si>
  <si>
    <t>11월 주요지표</t>
  </si>
  <si>
    <t>□ 사업장별 손익실적(2024-11)</t>
  </si>
  <si>
    <t>□ 사업장별 손익실적(2024-11누계)</t>
    <phoneticPr fontId="1" type="noConversion"/>
  </si>
  <si>
    <t>□ 레미콘 영업이익 차이분석(2024-11)</t>
  </si>
  <si>
    <t>□ 레미콘 원재료 원단위(2024-11)</t>
  </si>
  <si>
    <t>□ 2024년 레미콘 원재료단가(2024-11)</t>
  </si>
  <si>
    <t>□ 레미콘 단위당 공헌이익(2024-11)</t>
  </si>
  <si>
    <t>□ 건자재 손익실적(2024-11)</t>
    <phoneticPr fontId="1" type="noConversion"/>
  </si>
  <si>
    <t>11월</t>
    <phoneticPr fontId="1" type="noConversion"/>
  </si>
  <si>
    <t>11월누계</t>
    <phoneticPr fontId="1" type="noConversion"/>
  </si>
  <si>
    <t>11월</t>
    <phoneticPr fontId="1" type="noConversion"/>
  </si>
  <si>
    <t>□ 2024년 골재사업소 손익(2024-11)</t>
  </si>
  <si>
    <t xml:space="preserve"> - 1군단가 소급분 : 233백만원</t>
    <phoneticPr fontId="1" type="noConversion"/>
  </si>
  <si>
    <t>□ 건재부문 실적(11월)</t>
    <phoneticPr fontId="1" type="noConversion"/>
  </si>
  <si>
    <t xml:space="preserve">  ▶ 운반비 소급</t>
    <phoneticPr fontId="1" type="noConversion"/>
  </si>
  <si>
    <t xml:space="preserve">    - 인천 : 6,598만원</t>
    <phoneticPr fontId="1" type="noConversion"/>
  </si>
  <si>
    <t xml:space="preserve">    - 김포 : 2,914만원</t>
    <phoneticPr fontId="1" type="noConversion"/>
  </si>
  <si>
    <t xml:space="preserve">   (두산건설 117백만원, 롯데건설 113백만원, 계룡건설산업 1.7백만원, 동아건설산업 0.6백만원)</t>
    <phoneticPr fontId="1" type="noConversion"/>
  </si>
  <si>
    <t>□ 사업장별 손익실적(2024-11누계)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</si>
</sst>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  <numFmt numFmtId="183" formatCode="_-* #,##0.0_-;\-* #,##0.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859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24" xfId="1" applyNumberFormat="1" applyFont="1" applyBorder="1" applyAlignment="1">
      <alignment horizontal="right" vertical="center"/>
    </xf>
    <xf numFmtId="178" fontId="15" fillId="0" borderId="125" xfId="1" applyNumberFormat="1" applyFont="1" applyBorder="1" applyAlignment="1">
      <alignment horizontal="right" vertical="center"/>
    </xf>
    <xf numFmtId="179" fontId="15" fillId="0" borderId="124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30" xfId="1" applyNumberFormat="1" applyFont="1" applyBorder="1" applyAlignment="1">
      <alignment horizontal="right" vertical="center"/>
    </xf>
    <xf numFmtId="178" fontId="15" fillId="0" borderId="131" xfId="1" applyNumberFormat="1" applyFont="1" applyBorder="1" applyAlignment="1">
      <alignment horizontal="right" vertical="center"/>
    </xf>
    <xf numFmtId="179" fontId="15" fillId="0" borderId="130" xfId="0" applyNumberFormat="1" applyFont="1" applyBorder="1" applyAlignment="1">
      <alignment horizontal="right" vertical="center"/>
    </xf>
    <xf numFmtId="0" fontId="14" fillId="15" borderId="133" xfId="0" applyFont="1" applyFill="1" applyBorder="1" applyAlignment="1">
      <alignment horizontal="center" vertical="center"/>
    </xf>
    <xf numFmtId="0" fontId="14" fillId="15" borderId="134" xfId="0" applyFont="1" applyFill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4" fillId="15" borderId="136" xfId="0" applyFont="1" applyFill="1" applyBorder="1" applyAlignment="1">
      <alignment horizontal="center" vertical="center"/>
    </xf>
    <xf numFmtId="0" fontId="14" fillId="15" borderId="1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2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30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6" borderId="55" xfId="0" applyFont="1" applyFill="1" applyBorder="1" applyAlignment="1">
      <alignment horizontal="center" vertical="center"/>
    </xf>
    <xf numFmtId="178" fontId="7" fillId="16" borderId="48" xfId="1" applyNumberFormat="1" applyFont="1" applyFill="1" applyBorder="1" applyAlignment="1">
      <alignment horizontal="right" vertical="center"/>
    </xf>
    <xf numFmtId="178" fontId="7" fillId="16" borderId="55" xfId="1" applyNumberFormat="1" applyFont="1" applyFill="1" applyBorder="1" applyAlignment="1">
      <alignment horizontal="right" vertical="center"/>
    </xf>
    <xf numFmtId="178" fontId="7" fillId="16" borderId="67" xfId="1" applyNumberFormat="1" applyFont="1" applyFill="1" applyBorder="1" applyAlignment="1">
      <alignment horizontal="right" vertical="center"/>
    </xf>
    <xf numFmtId="178" fontId="7" fillId="16" borderId="129" xfId="1" applyNumberFormat="1" applyFont="1" applyFill="1" applyBorder="1" applyAlignment="1">
      <alignment horizontal="right" vertical="center"/>
    </xf>
    <xf numFmtId="178" fontId="7" fillId="16" borderId="69" xfId="1" applyNumberFormat="1" applyFont="1" applyFill="1" applyBorder="1" applyAlignment="1">
      <alignment horizontal="right" vertical="center"/>
    </xf>
    <xf numFmtId="178" fontId="7" fillId="16" borderId="3" xfId="0" applyNumberFormat="1" applyFont="1" applyFill="1" applyBorder="1" applyAlignment="1">
      <alignment horizontal="center" vertical="center"/>
    </xf>
    <xf numFmtId="179" fontId="7" fillId="16" borderId="1" xfId="0" applyNumberFormat="1" applyFont="1" applyFill="1" applyBorder="1" applyAlignment="1">
      <alignment horizontal="right" vertical="center"/>
    </xf>
    <xf numFmtId="179" fontId="7" fillId="16" borderId="3" xfId="0" applyNumberFormat="1" applyFont="1" applyFill="1" applyBorder="1" applyAlignment="1">
      <alignment horizontal="right" vertical="center"/>
    </xf>
    <xf numFmtId="179" fontId="7" fillId="16" borderId="70" xfId="0" applyNumberFormat="1" applyFont="1" applyFill="1" applyBorder="1" applyAlignment="1">
      <alignment horizontal="right" vertical="center"/>
    </xf>
    <xf numFmtId="179" fontId="7" fillId="16" borderId="128" xfId="0" applyNumberFormat="1" applyFont="1" applyFill="1" applyBorder="1" applyAlignment="1">
      <alignment horizontal="right" vertical="center"/>
    </xf>
    <xf numFmtId="179" fontId="7" fillId="16" borderId="2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center" vertical="center"/>
    </xf>
    <xf numFmtId="177" fontId="6" fillId="9" borderId="139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right" vertical="center"/>
    </xf>
    <xf numFmtId="177" fontId="6" fillId="9" borderId="140" xfId="0" applyNumberFormat="1" applyFont="1" applyFill="1" applyBorder="1" applyAlignment="1">
      <alignment horizontal="right" vertical="center"/>
    </xf>
    <xf numFmtId="177" fontId="6" fillId="9" borderId="141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26" xfId="1" applyNumberFormat="1" applyFont="1" applyFill="1" applyBorder="1" applyAlignment="1">
      <alignment horizontal="right" vertical="center"/>
    </xf>
    <xf numFmtId="179" fontId="14" fillId="5" borderId="123" xfId="0" applyNumberFormat="1" applyFont="1" applyFill="1" applyBorder="1" applyAlignment="1">
      <alignment horizontal="right" vertical="center"/>
    </xf>
    <xf numFmtId="177" fontId="6" fillId="9" borderId="127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24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30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24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30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23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28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183" fontId="6" fillId="0" borderId="0" xfId="1" applyNumberFormat="1" applyFont="1">
      <alignment vertical="center"/>
    </xf>
    <xf numFmtId="183" fontId="2" fillId="0" borderId="0" xfId="1" applyNumberFormat="1" applyFont="1">
      <alignment vertical="center"/>
    </xf>
    <xf numFmtId="183" fontId="0" fillId="0" borderId="0" xfId="1" applyNumberFormat="1" applyFont="1">
      <alignment vertical="center"/>
    </xf>
    <xf numFmtId="41" fontId="2" fillId="0" borderId="0" xfId="0" applyNumberFormat="1" applyFont="1">
      <alignment vertical="center"/>
    </xf>
    <xf numFmtId="179" fontId="6" fillId="0" borderId="4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7" fontId="0" fillId="0" borderId="0" xfId="0" applyNumberFormat="1" applyFont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9" fontId="6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78" fontId="2" fillId="9" borderId="4" xfId="1" applyNumberFormat="1" applyFont="1" applyFill="1" applyBorder="1" applyAlignment="1">
      <alignment vertical="center"/>
    </xf>
    <xf numFmtId="178" fontId="0" fillId="12" borderId="0" xfId="0" applyNumberFormat="1" applyFont="1" applyFill="1">
      <alignment vertical="center"/>
    </xf>
    <xf numFmtId="9" fontId="6" fillId="0" borderId="0" xfId="1" applyNumberFormat="1" applyFont="1" applyFill="1" applyBorder="1" applyAlignment="1">
      <alignment vertical="center"/>
    </xf>
    <xf numFmtId="9" fontId="0" fillId="0" borderId="0" xfId="1" applyNumberFormat="1" applyFont="1">
      <alignment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15" borderId="67" xfId="0" applyFont="1" applyFill="1" applyBorder="1" applyAlignment="1">
      <alignment horizontal="center" vertical="center"/>
    </xf>
    <xf numFmtId="0" fontId="14" fillId="15" borderId="70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5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건자재!$Z$37:$AO$37</c:f>
              <c:strCache>
                <c:ptCount val="11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</c:strCache>
            </c:strRef>
          </c:cat>
          <c:val>
            <c:numRef>
              <c:f>건자재!$Z$38:$AO$38</c:f>
              <c:numCache>
                <c:formatCode>#,##0_);[Red]\(#,##0\)</c:formatCode>
                <c:ptCount val="11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  <c:pt idx="9">
                  <c:v>818946.47731031897</c:v>
                </c:pt>
                <c:pt idx="10">
                  <c:v>818946.47731031897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건자재!$Z$37:$AO$37</c:f>
              <c:strCache>
                <c:ptCount val="11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</c:strCache>
            </c:strRef>
          </c:cat>
          <c:val>
            <c:numRef>
              <c:f>건자재!$Z$39:$AO$39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302559</xdr:colOff>
      <xdr:row>30</xdr:row>
      <xdr:rowOff>11206</xdr:rowOff>
    </xdr:from>
    <xdr:to>
      <xdr:col>36</xdr:col>
      <xdr:colOff>250759</xdr:colOff>
      <xdr:row>42</xdr:row>
      <xdr:rowOff>225121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2D9DF8-F762-4BB9-AD34-6DBB3AA6A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41353" y="7429500"/>
          <a:ext cx="2200582" cy="3172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27</xdr:row>
      <xdr:rowOff>299358</xdr:rowOff>
    </xdr:from>
    <xdr:to>
      <xdr:col>13</xdr:col>
      <xdr:colOff>966107</xdr:colOff>
      <xdr:row>34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10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1_&#47112;&#48120;&#53080;/&#47112;&#48120;&#53080;&#50896;&#44032;&#49552;&#51061;(2024-11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1_&#47112;&#48120;&#53080;/&#47112;&#48120;&#53080;&#50896;&#44032;&#49552;&#51061;(2024-11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3_&#44264;&#51116;/&#44264;&#51116;&#50896;&#44032;&#49552;&#51061;(2024-11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11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1_&#47112;&#48120;&#53080;/&#47112;&#48120;&#53080;&#50896;&#44032;&#49552;&#51061;(2024-11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1_&#47112;&#48120;&#53080;/&#47112;&#48120;&#53080;&#50896;&#44032;&#49552;&#51061;(2024-11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3_&#44264;&#51116;/&#44264;&#51116;&#49892;&#51201;(2024-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D6" t="str">
            <v>구분</v>
          </cell>
        </row>
      </sheetData>
      <sheetData sheetId="8"/>
      <sheetData sheetId="9"/>
      <sheetData sheetId="10"/>
      <sheetData sheetId="11"/>
      <sheetData sheetId="12">
        <row r="6">
          <cell r="D6" t="str">
            <v>구분</v>
          </cell>
        </row>
      </sheetData>
      <sheetData sheetId="13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45000</v>
          </cell>
          <cell r="G7">
            <v>36000</v>
          </cell>
          <cell r="H7">
            <v>23000</v>
          </cell>
          <cell r="I7">
            <v>17500</v>
          </cell>
          <cell r="J7">
            <v>24000</v>
          </cell>
          <cell r="K7">
            <v>26000</v>
          </cell>
          <cell r="L7">
            <v>14000</v>
          </cell>
          <cell r="M7">
            <v>19000</v>
          </cell>
          <cell r="N7">
            <v>12000</v>
          </cell>
          <cell r="O7">
            <v>16000</v>
          </cell>
          <cell r="P7">
            <v>16500</v>
          </cell>
          <cell r="Q7">
            <v>12000</v>
          </cell>
          <cell r="R7">
            <v>28000</v>
          </cell>
          <cell r="S7">
            <v>12000</v>
          </cell>
          <cell r="T7">
            <v>7000</v>
          </cell>
          <cell r="U7">
            <v>5000</v>
          </cell>
          <cell r="V7">
            <v>7000</v>
          </cell>
          <cell r="W7">
            <v>0</v>
          </cell>
          <cell r="X7">
            <v>0</v>
          </cell>
          <cell r="Y7">
            <v>0</v>
          </cell>
          <cell r="Z7">
            <v>320000</v>
          </cell>
          <cell r="AA7">
            <v>9200</v>
          </cell>
          <cell r="AB7">
            <v>51375.563333333332</v>
          </cell>
          <cell r="AC7">
            <v>43490.335385892016</v>
          </cell>
          <cell r="AD7">
            <v>29768.648431551352</v>
          </cell>
          <cell r="AE7">
            <v>124634.54715077669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46651283.523954183</v>
          </cell>
          <cell r="F8">
            <v>4576789.6999999993</v>
          </cell>
          <cell r="G8">
            <v>3840623.51</v>
          </cell>
          <cell r="H8">
            <v>2308813.4706053077</v>
          </cell>
          <cell r="I8">
            <v>1690576.5</v>
          </cell>
          <cell r="J8">
            <v>2582396.0619999999</v>
          </cell>
          <cell r="K8">
            <v>2719003.52</v>
          </cell>
          <cell r="L8">
            <v>1414005.6</v>
          </cell>
          <cell r="M8">
            <v>1976000</v>
          </cell>
          <cell r="N8">
            <v>1166521.8300000003</v>
          </cell>
          <cell r="O8">
            <v>1628601.5</v>
          </cell>
          <cell r="P8">
            <v>1613040</v>
          </cell>
          <cell r="Q8">
            <v>1215058</v>
          </cell>
          <cell r="R8">
            <v>2828015</v>
          </cell>
          <cell r="S8">
            <v>1221559.2599999998</v>
          </cell>
          <cell r="T8">
            <v>762999.02899999998</v>
          </cell>
          <cell r="U8">
            <v>539500</v>
          </cell>
          <cell r="V8">
            <v>887600</v>
          </cell>
          <cell r="W8">
            <v>0</v>
          </cell>
          <cell r="X8">
            <v>0</v>
          </cell>
          <cell r="Y8">
            <v>0</v>
          </cell>
          <cell r="Z8">
            <v>32971102.981605306</v>
          </cell>
          <cell r="AA8">
            <v>11242202.105263157</v>
          </cell>
          <cell r="AB8">
            <v>637614.1166666667</v>
          </cell>
          <cell r="AC8">
            <v>789095.04991640872</v>
          </cell>
          <cell r="AD8">
            <v>846361.77016930934</v>
          </cell>
          <cell r="AE8">
            <v>2273070.9367523845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101706.43777777777</v>
          </cell>
          <cell r="G9">
            <v>106683.98638888888</v>
          </cell>
          <cell r="H9">
            <v>100383.19437414382</v>
          </cell>
          <cell r="I9">
            <v>96604.371428571423</v>
          </cell>
          <cell r="J9">
            <v>107599.83591666666</v>
          </cell>
          <cell r="K9">
            <v>104577.05846153846</v>
          </cell>
          <cell r="L9">
            <v>101000.40000000001</v>
          </cell>
          <cell r="M9">
            <v>104000</v>
          </cell>
          <cell r="N9">
            <v>97210.152500000026</v>
          </cell>
          <cell r="O9">
            <v>101787.59375</v>
          </cell>
          <cell r="P9">
            <v>97760</v>
          </cell>
          <cell r="Q9">
            <v>101254.83333333334</v>
          </cell>
          <cell r="R9">
            <v>101000.53571428572</v>
          </cell>
          <cell r="S9">
            <v>101796.60499999998</v>
          </cell>
          <cell r="T9">
            <v>108999.86128571429</v>
          </cell>
          <cell r="U9">
            <v>107900</v>
          </cell>
          <cell r="V9">
            <v>126800</v>
          </cell>
          <cell r="W9">
            <v>0</v>
          </cell>
          <cell r="X9">
            <v>0</v>
          </cell>
          <cell r="Y9">
            <v>0</v>
          </cell>
          <cell r="Z9">
            <v>103034.69681751658</v>
          </cell>
          <cell r="AA9">
            <v>1221978.4897025169</v>
          </cell>
          <cell r="AB9">
            <v>12410.84428660604</v>
          </cell>
          <cell r="AC9">
            <v>18144.147266622047</v>
          </cell>
          <cell r="AD9">
            <v>28431.313303168408</v>
          </cell>
          <cell r="AE9">
            <v>18237.88819967016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39570847.88930627</v>
          </cell>
          <cell r="F10">
            <v>3812040.895176148</v>
          </cell>
          <cell r="G10">
            <v>3114203.3187563731</v>
          </cell>
          <cell r="H10">
            <v>1952525.3012841821</v>
          </cell>
          <cell r="I10">
            <v>1374235.0933377829</v>
          </cell>
          <cell r="J10">
            <v>2041581.1131997618</v>
          </cell>
          <cell r="K10">
            <v>2132509.5470689312</v>
          </cell>
          <cell r="L10">
            <v>1168136.5364989613</v>
          </cell>
          <cell r="M10">
            <v>1619432.0617628009</v>
          </cell>
          <cell r="N10">
            <v>948455.99459827028</v>
          </cell>
          <cell r="O10">
            <v>1272980.839749048</v>
          </cell>
          <cell r="P10">
            <v>1279454.1517430542</v>
          </cell>
          <cell r="Q10">
            <v>1056565.2040574769</v>
          </cell>
          <cell r="R10">
            <v>2307830.4760074285</v>
          </cell>
          <cell r="S10">
            <v>969474.12182197021</v>
          </cell>
          <cell r="T10">
            <v>549432.69004828797</v>
          </cell>
          <cell r="U10">
            <v>427342.50021246332</v>
          </cell>
          <cell r="V10">
            <v>697766.3577062547</v>
          </cell>
          <cell r="W10">
            <v>0</v>
          </cell>
          <cell r="X10">
            <v>0</v>
          </cell>
          <cell r="Y10">
            <v>0</v>
          </cell>
          <cell r="Z10">
            <v>26723966.2030292</v>
          </cell>
          <cell r="AA10">
            <v>10954962.716042105</v>
          </cell>
          <cell r="AB10">
            <v>476267.43333333329</v>
          </cell>
          <cell r="AC10">
            <v>647596.72770124406</v>
          </cell>
          <cell r="AD10">
            <v>729860.44520038762</v>
          </cell>
          <cell r="AE10">
            <v>1853724.6062349649</v>
          </cell>
          <cell r="AF10">
            <v>137.01400000000001</v>
          </cell>
          <cell r="AG10">
            <v>755.50800000000004</v>
          </cell>
          <cell r="AH10">
            <v>444.46899999999999</v>
          </cell>
          <cell r="AI10">
            <v>264.589</v>
          </cell>
          <cell r="AJ10">
            <v>184.95400000000001</v>
          </cell>
          <cell r="AK10">
            <v>0</v>
          </cell>
          <cell r="AL10">
            <v>1786.5339999999999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36407.829999999994</v>
          </cell>
          <cell r="AS10">
            <v>0</v>
          </cell>
          <cell r="AT10">
            <v>0</v>
          </cell>
          <cell r="AU10">
            <v>36407.829999999994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84712.019892803277</v>
          </cell>
          <cell r="G11">
            <v>86505.647743232592</v>
          </cell>
          <cell r="H11">
            <v>84892.404403660097</v>
          </cell>
          <cell r="I11">
            <v>78527.719619301875</v>
          </cell>
          <cell r="J11">
            <v>85065.879716656738</v>
          </cell>
          <cell r="K11">
            <v>82019.597964189656</v>
          </cell>
          <cell r="L11">
            <v>83438.324035640093</v>
          </cell>
          <cell r="M11">
            <v>85233.266408568466</v>
          </cell>
          <cell r="N11">
            <v>79037.999549855856</v>
          </cell>
          <cell r="O11">
            <v>79561.3024843155</v>
          </cell>
          <cell r="P11">
            <v>77542.675863215409</v>
          </cell>
          <cell r="Q11">
            <v>88047.100338123069</v>
          </cell>
          <cell r="R11">
            <v>82422.517000265303</v>
          </cell>
          <cell r="S11">
            <v>80789.510151830851</v>
          </cell>
          <cell r="T11">
            <v>78490.384292612565</v>
          </cell>
          <cell r="U11">
            <v>85468.500042492669</v>
          </cell>
          <cell r="V11">
            <v>99680.908243750659</v>
          </cell>
          <cell r="W11">
            <v>0</v>
          </cell>
          <cell r="X11">
            <v>0</v>
          </cell>
          <cell r="Y11">
            <v>0</v>
          </cell>
          <cell r="Z11">
            <v>83512.394384466243</v>
          </cell>
          <cell r="AA11">
            <v>1190756.8169610985</v>
          </cell>
          <cell r="AB11">
            <v>9270.3106775341766</v>
          </cell>
          <cell r="AC11">
            <v>14890.589413833775</v>
          </cell>
          <cell r="AD11">
            <v>24517.755546698561</v>
          </cell>
          <cell r="AE11">
            <v>14873.280712388843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7080435.6346479133</v>
          </cell>
          <cell r="F12">
            <v>764748.80482385121</v>
          </cell>
          <cell r="G12">
            <v>726420.19124362664</v>
          </cell>
          <cell r="H12">
            <v>356288.16932112561</v>
          </cell>
          <cell r="I12">
            <v>316341.40666221711</v>
          </cell>
          <cell r="J12">
            <v>540814.94880023808</v>
          </cell>
          <cell r="K12">
            <v>586493.97293106886</v>
          </cell>
          <cell r="L12">
            <v>245869.06350103882</v>
          </cell>
          <cell r="M12">
            <v>356567.93823719909</v>
          </cell>
          <cell r="N12">
            <v>218065.83540173003</v>
          </cell>
          <cell r="O12">
            <v>355620.660250952</v>
          </cell>
          <cell r="P12">
            <v>333585.84825694584</v>
          </cell>
          <cell r="Q12">
            <v>158492.79594252305</v>
          </cell>
          <cell r="R12">
            <v>520184.52399257151</v>
          </cell>
          <cell r="S12">
            <v>252085.13817802956</v>
          </cell>
          <cell r="T12">
            <v>213566.33895171201</v>
          </cell>
          <cell r="U12">
            <v>112157.49978753668</v>
          </cell>
          <cell r="V12">
            <v>189833.6422937453</v>
          </cell>
          <cell r="W12">
            <v>0</v>
          </cell>
          <cell r="X12">
            <v>0</v>
          </cell>
          <cell r="Y12">
            <v>0</v>
          </cell>
          <cell r="Z12">
            <v>6247136.7785761058</v>
          </cell>
          <cell r="AA12">
            <v>287239.38922105171</v>
          </cell>
          <cell r="AB12">
            <v>161346.68333333341</v>
          </cell>
          <cell r="AC12">
            <v>141498.32221516466</v>
          </cell>
          <cell r="AD12">
            <v>116501.32496892172</v>
          </cell>
          <cell r="AE12">
            <v>419346.33051741961</v>
          </cell>
          <cell r="AF12">
            <v>12362.986000000001</v>
          </cell>
          <cell r="AG12">
            <v>49244.491999999998</v>
          </cell>
          <cell r="AH12">
            <v>27895.530999999999</v>
          </cell>
          <cell r="AI12">
            <v>66782.911333333323</v>
          </cell>
          <cell r="AJ12">
            <v>5065.0460000000003</v>
          </cell>
          <cell r="AK12">
            <v>0</v>
          </cell>
          <cell r="AL12">
            <v>161350.96633333332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-36407.829999999994</v>
          </cell>
          <cell r="AS12">
            <v>0</v>
          </cell>
          <cell r="AT12">
            <v>1770</v>
          </cell>
          <cell r="AU12">
            <v>-34637.829999999994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764671.84300000011</v>
          </cell>
          <cell r="F13">
            <v>65046.599999999991</v>
          </cell>
          <cell r="G13">
            <v>60681.440000000002</v>
          </cell>
          <cell r="H13">
            <v>45685.41</v>
          </cell>
          <cell r="I13">
            <v>32843.03</v>
          </cell>
          <cell r="J13">
            <v>52997.16</v>
          </cell>
          <cell r="K13">
            <v>45480</v>
          </cell>
          <cell r="L13">
            <v>33527.57</v>
          </cell>
          <cell r="M13">
            <v>43119.53</v>
          </cell>
          <cell r="N13">
            <v>34266.870000000003</v>
          </cell>
          <cell r="O13">
            <v>39206.69</v>
          </cell>
          <cell r="P13">
            <v>34021.94</v>
          </cell>
          <cell r="Q13">
            <v>25635.420000000002</v>
          </cell>
          <cell r="R13">
            <v>39911.259999999995</v>
          </cell>
          <cell r="S13">
            <v>24365.47</v>
          </cell>
          <cell r="T13">
            <v>9853.1500000000015</v>
          </cell>
          <cell r="U13">
            <v>9776.630000000001</v>
          </cell>
          <cell r="V13">
            <v>14381.390000000001</v>
          </cell>
          <cell r="W13">
            <v>0</v>
          </cell>
          <cell r="X13">
            <v>0</v>
          </cell>
          <cell r="Y13">
            <v>0</v>
          </cell>
          <cell r="Z13">
            <v>610799.56000000006</v>
          </cell>
          <cell r="AA13">
            <v>116595.95999999999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410.08199999999999</v>
          </cell>
          <cell r="AN13">
            <v>236.14099999999999</v>
          </cell>
          <cell r="AO13">
            <v>145.001</v>
          </cell>
          <cell r="AP13">
            <v>150</v>
          </cell>
          <cell r="AQ13">
            <v>9446.5290000000005</v>
          </cell>
          <cell r="AR13">
            <v>26888.569999999996</v>
          </cell>
          <cell r="AS13">
            <v>0</v>
          </cell>
          <cell r="AT13">
            <v>0</v>
          </cell>
          <cell r="AU13">
            <v>37276.322999999997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565788.56000000006</v>
          </cell>
          <cell r="F14">
            <v>48296.539999999994</v>
          </cell>
          <cell r="G14">
            <v>46077.93</v>
          </cell>
          <cell r="H14">
            <v>34163.040000000001</v>
          </cell>
          <cell r="I14">
            <v>25384.5</v>
          </cell>
          <cell r="J14">
            <v>40364</v>
          </cell>
          <cell r="K14">
            <v>33482.83</v>
          </cell>
          <cell r="L14">
            <v>25437.74</v>
          </cell>
          <cell r="M14">
            <v>33056.31</v>
          </cell>
          <cell r="N14">
            <v>26198.02</v>
          </cell>
          <cell r="O14">
            <v>30100.890000000003</v>
          </cell>
          <cell r="P14">
            <v>25518.92</v>
          </cell>
          <cell r="Q14">
            <v>18858.050000000003</v>
          </cell>
          <cell r="R14">
            <v>29242.879999999997</v>
          </cell>
          <cell r="S14">
            <v>17960.63</v>
          </cell>
          <cell r="T14">
            <v>6740.76</v>
          </cell>
          <cell r="U14">
            <v>5981.55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457418.12000000005</v>
          </cell>
          <cell r="AA14">
            <v>83504.47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24865.969999999998</v>
          </cell>
          <cell r="AS14">
            <v>0</v>
          </cell>
          <cell r="AT14">
            <v>0</v>
          </cell>
          <cell r="AU14">
            <v>24865.969999999998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198883.283</v>
          </cell>
          <cell r="F15">
            <v>16750.059999999998</v>
          </cell>
          <cell r="G15">
            <v>14603.51</v>
          </cell>
          <cell r="H15">
            <v>11522.37</v>
          </cell>
          <cell r="I15">
            <v>7458.53</v>
          </cell>
          <cell r="J15">
            <v>12633.16</v>
          </cell>
          <cell r="K15">
            <v>11997.17</v>
          </cell>
          <cell r="L15">
            <v>8089.83</v>
          </cell>
          <cell r="M15">
            <v>10063.220000000001</v>
          </cell>
          <cell r="N15">
            <v>8068.85</v>
          </cell>
          <cell r="O15">
            <v>9105.7999999999993</v>
          </cell>
          <cell r="P15">
            <v>8503.02</v>
          </cell>
          <cell r="Q15">
            <v>6777.37</v>
          </cell>
          <cell r="R15">
            <v>10668.380000000001</v>
          </cell>
          <cell r="S15">
            <v>6404.84</v>
          </cell>
          <cell r="T15">
            <v>3112.3900000000003</v>
          </cell>
          <cell r="U15">
            <v>3795.08</v>
          </cell>
          <cell r="V15">
            <v>3827.86</v>
          </cell>
          <cell r="W15">
            <v>0</v>
          </cell>
          <cell r="X15">
            <v>0</v>
          </cell>
          <cell r="Y15">
            <v>0</v>
          </cell>
          <cell r="Z15">
            <v>153381.44</v>
          </cell>
          <cell r="AA15">
            <v>33091.49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410.08199999999999</v>
          </cell>
          <cell r="AN15">
            <v>236.14099999999999</v>
          </cell>
          <cell r="AO15">
            <v>145.001</v>
          </cell>
          <cell r="AP15">
            <v>150</v>
          </cell>
          <cell r="AQ15">
            <v>9446.5290000000005</v>
          </cell>
          <cell r="AR15">
            <v>2022.6</v>
          </cell>
          <cell r="AS15">
            <v>0</v>
          </cell>
          <cell r="AT15">
            <v>0</v>
          </cell>
          <cell r="AU15">
            <v>12410.353000000001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6315763.7916479129</v>
          </cell>
          <cell r="F17">
            <v>699702.20482385124</v>
          </cell>
          <cell r="G17">
            <v>665738.7512436267</v>
          </cell>
          <cell r="H17">
            <v>310602.75932112557</v>
          </cell>
          <cell r="I17">
            <v>283498.37666221708</v>
          </cell>
          <cell r="J17">
            <v>487817.78880023805</v>
          </cell>
          <cell r="K17">
            <v>541013.97293106886</v>
          </cell>
          <cell r="L17">
            <v>212341.49350103881</v>
          </cell>
          <cell r="M17">
            <v>313448.40823719907</v>
          </cell>
          <cell r="N17">
            <v>183798.96540173003</v>
          </cell>
          <cell r="O17">
            <v>316413.970250952</v>
          </cell>
          <cell r="P17">
            <v>299563.90825694584</v>
          </cell>
          <cell r="Q17">
            <v>132857.37594252304</v>
          </cell>
          <cell r="R17">
            <v>480273.2639925715</v>
          </cell>
          <cell r="S17">
            <v>227719.66817802956</v>
          </cell>
          <cell r="T17">
            <v>203713.18895171201</v>
          </cell>
          <cell r="U17">
            <v>102380.86978753668</v>
          </cell>
          <cell r="V17">
            <v>175452.25229374529</v>
          </cell>
          <cell r="W17">
            <v>0</v>
          </cell>
          <cell r="X17">
            <v>0</v>
          </cell>
          <cell r="Y17">
            <v>0</v>
          </cell>
          <cell r="Z17">
            <v>5636337.2185761053</v>
          </cell>
          <cell r="AA17">
            <v>170643.42922105172</v>
          </cell>
          <cell r="AB17">
            <v>161346.68333333341</v>
          </cell>
          <cell r="AC17">
            <v>141498.32221516466</v>
          </cell>
          <cell r="AD17">
            <v>116501.32496892172</v>
          </cell>
          <cell r="AE17">
            <v>419346.33051741961</v>
          </cell>
          <cell r="AF17">
            <v>12362.986000000001</v>
          </cell>
          <cell r="AG17">
            <v>49244.491999999998</v>
          </cell>
          <cell r="AH17">
            <v>27895.530999999999</v>
          </cell>
          <cell r="AI17">
            <v>66782.911333333323</v>
          </cell>
          <cell r="AJ17">
            <v>5065.0460000000003</v>
          </cell>
          <cell r="AK17">
            <v>0</v>
          </cell>
          <cell r="AL17">
            <v>161350.96633333332</v>
          </cell>
          <cell r="AM17">
            <v>-410.08199999999999</v>
          </cell>
          <cell r="AN17">
            <v>-236.14099999999999</v>
          </cell>
          <cell r="AO17">
            <v>-145.001</v>
          </cell>
          <cell r="AP17">
            <v>-150</v>
          </cell>
          <cell r="AQ17">
            <v>-9446.5290000000005</v>
          </cell>
          <cell r="AR17">
            <v>-63296.399999999994</v>
          </cell>
          <cell r="AS17">
            <v>0</v>
          </cell>
          <cell r="AT17">
            <v>1770</v>
          </cell>
          <cell r="AU17">
            <v>-71914.152999999991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573485.18344528344</v>
          </cell>
          <cell r="F18">
            <v>30258.43844444444</v>
          </cell>
          <cell r="G18">
            <v>34461.201683911124</v>
          </cell>
          <cell r="H18">
            <v>19365.797555555557</v>
          </cell>
          <cell r="I18">
            <v>19446.767777777775</v>
          </cell>
          <cell r="J18">
            <v>47248.159333333337</v>
          </cell>
          <cell r="K18">
            <v>29220.166777777777</v>
          </cell>
          <cell r="L18">
            <v>13037.444888888889</v>
          </cell>
          <cell r="M18">
            <v>24735.857777777783</v>
          </cell>
          <cell r="N18">
            <v>11475.898111111112</v>
          </cell>
          <cell r="O18">
            <v>32560.991888888886</v>
          </cell>
          <cell r="P18">
            <v>14967.475474676306</v>
          </cell>
          <cell r="Q18">
            <v>12710.483222222223</v>
          </cell>
          <cell r="R18">
            <v>34097.991222222219</v>
          </cell>
          <cell r="S18">
            <v>23608.662666666667</v>
          </cell>
          <cell r="T18">
            <v>10301.92511111111</v>
          </cell>
          <cell r="U18">
            <v>5428.9927777777775</v>
          </cell>
          <cell r="V18">
            <v>10192.983842236315</v>
          </cell>
          <cell r="W18">
            <v>0</v>
          </cell>
          <cell r="X18">
            <v>0</v>
          </cell>
          <cell r="Y18">
            <v>0</v>
          </cell>
          <cell r="Z18">
            <v>373119.23855637922</v>
          </cell>
          <cell r="AA18">
            <v>4908.0999999999995</v>
          </cell>
          <cell r="AB18">
            <v>33318.322555555562</v>
          </cell>
          <cell r="AC18">
            <v>56856.659666666674</v>
          </cell>
          <cell r="AD18">
            <v>35106.999222222221</v>
          </cell>
          <cell r="AE18">
            <v>125281.98144444445</v>
          </cell>
          <cell r="AF18">
            <v>3388.672</v>
          </cell>
          <cell r="AG18">
            <v>5622.5950000000003</v>
          </cell>
          <cell r="AH18">
            <v>8281.2160000000003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27094.983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18257.885000000002</v>
          </cell>
          <cell r="AR18">
            <v>0</v>
          </cell>
          <cell r="AS18">
            <v>0</v>
          </cell>
          <cell r="AT18">
            <v>17755.408000000003</v>
          </cell>
          <cell r="AU18">
            <v>43080.880444459646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500129.20300082373</v>
          </cell>
          <cell r="F19">
            <v>27930.816444444441</v>
          </cell>
          <cell r="G19">
            <v>31851.319683911126</v>
          </cell>
          <cell r="H19">
            <v>17300.203555555556</v>
          </cell>
          <cell r="I19">
            <v>18254.779777777774</v>
          </cell>
          <cell r="J19">
            <v>44145.857333333333</v>
          </cell>
          <cell r="K19">
            <v>27655.764777777778</v>
          </cell>
          <cell r="L19">
            <v>11843.845888888889</v>
          </cell>
          <cell r="M19">
            <v>22878.205777777781</v>
          </cell>
          <cell r="N19">
            <v>9988.6461111111112</v>
          </cell>
          <cell r="O19">
            <v>31342.225888888886</v>
          </cell>
          <cell r="P19">
            <v>13762.087474676306</v>
          </cell>
          <cell r="Q19">
            <v>11608.328222222222</v>
          </cell>
          <cell r="R19">
            <v>32509.790222222218</v>
          </cell>
          <cell r="S19">
            <v>22765.504666666668</v>
          </cell>
          <cell r="T19">
            <v>9859.0561111111092</v>
          </cell>
          <cell r="U19">
            <v>5058.5927777777779</v>
          </cell>
          <cell r="V19">
            <v>9367.6138422363147</v>
          </cell>
          <cell r="W19">
            <v>0</v>
          </cell>
          <cell r="X19">
            <v>0</v>
          </cell>
          <cell r="Y19">
            <v>0</v>
          </cell>
          <cell r="Z19">
            <v>348122.63855637924</v>
          </cell>
          <cell r="AA19">
            <v>0</v>
          </cell>
          <cell r="AB19">
            <v>33318.322555555562</v>
          </cell>
          <cell r="AC19">
            <v>56856.659666666674</v>
          </cell>
          <cell r="AD19">
            <v>34736.599222222219</v>
          </cell>
          <cell r="AE19">
            <v>124911.58144444445</v>
          </cell>
          <cell r="AF19">
            <v>3388.672</v>
          </cell>
          <cell r="AG19">
            <v>5622.5950000000003</v>
          </cell>
          <cell r="AH19">
            <v>8281.2160000000003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27094.983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73355.980444459652</v>
          </cell>
          <cell r="F20">
            <v>2327.6220000000003</v>
          </cell>
          <cell r="G20">
            <v>2609.8820000000001</v>
          </cell>
          <cell r="H20">
            <v>2065.5940000000001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24996.6</v>
          </cell>
          <cell r="AA20">
            <v>4908.0999999999995</v>
          </cell>
          <cell r="AB20">
            <v>0</v>
          </cell>
          <cell r="AC20">
            <v>0</v>
          </cell>
          <cell r="AD20">
            <v>370.4</v>
          </cell>
          <cell r="AE20">
            <v>370.4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18257.885000000002</v>
          </cell>
          <cell r="AR20">
            <v>0</v>
          </cell>
          <cell r="AS20">
            <v>0</v>
          </cell>
          <cell r="AT20">
            <v>17755.408000000003</v>
          </cell>
          <cell r="AU20">
            <v>43080.880444459646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5742278.6082026297</v>
          </cell>
          <cell r="F21">
            <v>669443.76637940679</v>
          </cell>
          <cell r="G21">
            <v>631277.54955971555</v>
          </cell>
          <cell r="H21">
            <v>291236.96176557004</v>
          </cell>
          <cell r="I21">
            <v>264051.60888443928</v>
          </cell>
          <cell r="J21">
            <v>440569.62946690473</v>
          </cell>
          <cell r="K21">
            <v>511793.80615329108</v>
          </cell>
          <cell r="L21">
            <v>199304.04861214993</v>
          </cell>
          <cell r="M21">
            <v>288712.5504594213</v>
          </cell>
          <cell r="N21">
            <v>172323.06729061893</v>
          </cell>
          <cell r="O21">
            <v>283852.97836206312</v>
          </cell>
          <cell r="P21">
            <v>284596.43278226955</v>
          </cell>
          <cell r="Q21">
            <v>120146.89272030082</v>
          </cell>
          <cell r="R21">
            <v>446175.27277034929</v>
          </cell>
          <cell r="S21">
            <v>204111.00551136289</v>
          </cell>
          <cell r="T21">
            <v>193411.26384060091</v>
          </cell>
          <cell r="U21">
            <v>96951.8770097589</v>
          </cell>
          <cell r="V21">
            <v>165259.26845150898</v>
          </cell>
          <cell r="W21">
            <v>0</v>
          </cell>
          <cell r="X21">
            <v>0</v>
          </cell>
          <cell r="Y21">
            <v>0</v>
          </cell>
          <cell r="Z21">
            <v>5263217.9800197259</v>
          </cell>
          <cell r="AA21">
            <v>165735.32922105171</v>
          </cell>
          <cell r="AB21">
            <v>128028.36077777785</v>
          </cell>
          <cell r="AC21">
            <v>84641.662548497989</v>
          </cell>
          <cell r="AD21">
            <v>81394.325746699498</v>
          </cell>
          <cell r="AE21">
            <v>294064.34907297516</v>
          </cell>
          <cell r="AF21">
            <v>8974.3140000000003</v>
          </cell>
          <cell r="AG21">
            <v>43621.896999999997</v>
          </cell>
          <cell r="AH21">
            <v>19614.314999999999</v>
          </cell>
          <cell r="AI21">
            <v>58293.303333333322</v>
          </cell>
          <cell r="AJ21">
            <v>3752.1540000000005</v>
          </cell>
          <cell r="AK21">
            <v>0</v>
          </cell>
          <cell r="AL21">
            <v>134255.98333333331</v>
          </cell>
          <cell r="AM21">
            <v>-5635.3704444596397</v>
          </cell>
          <cell r="AN21">
            <v>-1292.5980000000002</v>
          </cell>
          <cell r="AO21">
            <v>-498.673</v>
          </cell>
          <cell r="AP21">
            <v>-582.17000000000007</v>
          </cell>
          <cell r="AQ21">
            <v>-27704.414000000004</v>
          </cell>
          <cell r="AR21">
            <v>-63296.399999999994</v>
          </cell>
          <cell r="AS21">
            <v>0</v>
          </cell>
          <cell r="AT21">
            <v>-15985.408000000003</v>
          </cell>
          <cell r="AU21">
            <v>-114995.03344445964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1208730.1317876601</v>
          </cell>
          <cell r="F22">
            <v>164257.89289953603</v>
          </cell>
          <cell r="G22">
            <v>137837.38526876603</v>
          </cell>
          <cell r="H22">
            <v>82861.756960275612</v>
          </cell>
          <cell r="I22">
            <v>60673.649408770638</v>
          </cell>
          <cell r="J22">
            <v>92658.70984536648</v>
          </cell>
          <cell r="K22">
            <v>97560.309177783332</v>
          </cell>
          <cell r="L22">
            <v>50735.801737806149</v>
          </cell>
          <cell r="M22">
            <v>70900.66986573812</v>
          </cell>
          <cell r="N22">
            <v>41855.859898788811</v>
          </cell>
          <cell r="O22">
            <v>58435.697011308657</v>
          </cell>
          <cell r="P22">
            <v>57877.336295663059</v>
          </cell>
          <cell r="Q22">
            <v>43597.381642572887</v>
          </cell>
          <cell r="R22">
            <v>97292.132791743061</v>
          </cell>
          <cell r="S22">
            <v>42025.274171778925</v>
          </cell>
          <cell r="T22">
            <v>26249.437449744437</v>
          </cell>
          <cell r="U22">
            <v>18560.4056701062</v>
          </cell>
          <cell r="V22">
            <v>30536.081691911517</v>
          </cell>
          <cell r="W22">
            <v>0</v>
          </cell>
          <cell r="X22">
            <v>0</v>
          </cell>
          <cell r="Y22">
            <v>0</v>
          </cell>
          <cell r="Z22">
            <v>1173915.78178766</v>
          </cell>
          <cell r="AA22">
            <v>0</v>
          </cell>
          <cell r="AB22">
            <v>9765.6965577543269</v>
          </cell>
          <cell r="AC22">
            <v>12085.778233699686</v>
          </cell>
          <cell r="AD22">
            <v>12962.875208545989</v>
          </cell>
          <cell r="AE22">
            <v>34814.350000000006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217740.24333333338</v>
          </cell>
          <cell r="F23">
            <v>26696.455636963688</v>
          </cell>
          <cell r="G23">
            <v>22402.391604970351</v>
          </cell>
          <cell r="H23">
            <v>13467.329816801233</v>
          </cell>
          <cell r="I23">
            <v>9861.1479861404496</v>
          </cell>
          <cell r="J23">
            <v>15041.397896354076</v>
          </cell>
          <cell r="K23">
            <v>15837.080309916972</v>
          </cell>
          <cell r="L23">
            <v>8236.0026683129618</v>
          </cell>
          <cell r="M23">
            <v>11509.389547386807</v>
          </cell>
          <cell r="N23">
            <v>6794.5112130569505</v>
          </cell>
          <cell r="O23">
            <v>9485.9357697158284</v>
          </cell>
          <cell r="P23">
            <v>9395.2964147352304</v>
          </cell>
          <cell r="Q23">
            <v>7077.2144962898383</v>
          </cell>
          <cell r="R23">
            <v>12292.420438756084</v>
          </cell>
          <cell r="S23">
            <v>5309.7031008589965</v>
          </cell>
          <cell r="T23">
            <v>3316.4975641326673</v>
          </cell>
          <cell r="U23">
            <v>2345.0232147668617</v>
          </cell>
          <cell r="V23">
            <v>3858.095654174359</v>
          </cell>
          <cell r="W23">
            <v>0</v>
          </cell>
          <cell r="X23">
            <v>0</v>
          </cell>
          <cell r="Y23">
            <v>0</v>
          </cell>
          <cell r="Z23">
            <v>182925.89333333337</v>
          </cell>
          <cell r="AA23">
            <v>0</v>
          </cell>
          <cell r="AB23">
            <v>9765.6965577543269</v>
          </cell>
          <cell r="AC23">
            <v>12085.778233699686</v>
          </cell>
          <cell r="AD23">
            <v>12962.875208545989</v>
          </cell>
          <cell r="AE23">
            <v>34814.350000000006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348713.67766666663</v>
          </cell>
          <cell r="F24">
            <v>48405.695408016152</v>
          </cell>
          <cell r="G24">
            <v>40619.749647209239</v>
          </cell>
          <cell r="H24">
            <v>24418.802028864291</v>
          </cell>
          <cell r="I24">
            <v>17880.11608288448</v>
          </cell>
          <cell r="J24">
            <v>27312.305216914905</v>
          </cell>
          <cell r="K24">
            <v>28757.112480489057</v>
          </cell>
          <cell r="L24">
            <v>14955.007519534738</v>
          </cell>
          <cell r="M24">
            <v>20898.852775831045</v>
          </cell>
          <cell r="N24">
            <v>12337.534405345656</v>
          </cell>
          <cell r="O24">
            <v>17224.647256577733</v>
          </cell>
          <cell r="P24">
            <v>17060.063502796816</v>
          </cell>
          <cell r="Q24">
            <v>12850.869562801478</v>
          </cell>
          <cell r="R24">
            <v>29910.055229170968</v>
          </cell>
          <cell r="S24">
            <v>12919.629115229307</v>
          </cell>
          <cell r="T24">
            <v>8069.7390562616602</v>
          </cell>
          <cell r="U24">
            <v>5705.9367776117651</v>
          </cell>
          <cell r="V24">
            <v>9387.5616011273451</v>
          </cell>
          <cell r="W24">
            <v>0</v>
          </cell>
          <cell r="X24">
            <v>0</v>
          </cell>
          <cell r="Y24">
            <v>0</v>
          </cell>
          <cell r="Z24">
            <v>348713.67766666663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642276.21078766009</v>
          </cell>
          <cell r="F25">
            <v>89155.741854556196</v>
          </cell>
          <cell r="G25">
            <v>74815.244016586454</v>
          </cell>
          <cell r="H25">
            <v>44975.625114610091</v>
          </cell>
          <cell r="I25">
            <v>32932.385339745706</v>
          </cell>
          <cell r="J25">
            <v>50305.006732097499</v>
          </cell>
          <cell r="K25">
            <v>52966.116387377304</v>
          </cell>
          <cell r="L25">
            <v>27544.791549958452</v>
          </cell>
          <cell r="M25">
            <v>38492.427542520265</v>
          </cell>
          <cell r="N25">
            <v>22723.81428038621</v>
          </cell>
          <cell r="O25">
            <v>31725.11398501509</v>
          </cell>
          <cell r="P25">
            <v>31421.976378131014</v>
          </cell>
          <cell r="Q25">
            <v>23669.297583481573</v>
          </cell>
          <cell r="R25">
            <v>55089.657123816018</v>
          </cell>
          <cell r="S25">
            <v>23795.941955690621</v>
          </cell>
          <cell r="T25">
            <v>14863.200829350111</v>
          </cell>
          <cell r="U25">
            <v>10509.445677727572</v>
          </cell>
          <cell r="V25">
            <v>17290.424436609814</v>
          </cell>
          <cell r="W25">
            <v>0</v>
          </cell>
          <cell r="X25">
            <v>0</v>
          </cell>
          <cell r="Y25">
            <v>0</v>
          </cell>
          <cell r="Z25">
            <v>642276.21078766009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4533548.4764149692</v>
          </cell>
          <cell r="F26">
            <v>505185.87347987073</v>
          </cell>
          <cell r="G26">
            <v>493440.16429094953</v>
          </cell>
          <cell r="H26">
            <v>208375.20480529443</v>
          </cell>
          <cell r="I26">
            <v>203377.95947566864</v>
          </cell>
          <cell r="J26">
            <v>347910.91962153825</v>
          </cell>
          <cell r="K26">
            <v>414233.49697550776</v>
          </cell>
          <cell r="L26">
            <v>148568.24687434378</v>
          </cell>
          <cell r="M26">
            <v>217811.88059368316</v>
          </cell>
          <cell r="N26">
            <v>130467.20739183012</v>
          </cell>
          <cell r="O26">
            <v>225417.28135075446</v>
          </cell>
          <cell r="P26">
            <v>226719.09648660649</v>
          </cell>
          <cell r="Q26">
            <v>76549.511077727933</v>
          </cell>
          <cell r="R26">
            <v>348883.13997860625</v>
          </cell>
          <cell r="S26">
            <v>162085.73133958396</v>
          </cell>
          <cell r="T26">
            <v>167161.82639085647</v>
          </cell>
          <cell r="U26">
            <v>78391.471339652693</v>
          </cell>
          <cell r="V26">
            <v>134723.18675959745</v>
          </cell>
          <cell r="W26">
            <v>0</v>
          </cell>
          <cell r="X26">
            <v>0</v>
          </cell>
          <cell r="Y26">
            <v>0</v>
          </cell>
          <cell r="Z26">
            <v>4089302.1982320659</v>
          </cell>
          <cell r="AA26">
            <v>165735.32922105171</v>
          </cell>
          <cell r="AB26">
            <v>118262.66422002352</v>
          </cell>
          <cell r="AC26">
            <v>72555.884314798299</v>
          </cell>
          <cell r="AD26">
            <v>68431.450538153513</v>
          </cell>
          <cell r="AE26">
            <v>259249.99907297516</v>
          </cell>
          <cell r="AF26">
            <v>8974.3140000000003</v>
          </cell>
          <cell r="AG26">
            <v>43621.896999999997</v>
          </cell>
          <cell r="AH26">
            <v>19614.314999999999</v>
          </cell>
          <cell r="AI26">
            <v>58293.303333333322</v>
          </cell>
          <cell r="AJ26">
            <v>3752.1540000000005</v>
          </cell>
          <cell r="AK26">
            <v>0</v>
          </cell>
          <cell r="AL26">
            <v>134255.98333333331</v>
          </cell>
          <cell r="AM26">
            <v>-5635.3704444596397</v>
          </cell>
          <cell r="AN26">
            <v>-1292.5980000000002</v>
          </cell>
          <cell r="AO26">
            <v>-498.673</v>
          </cell>
          <cell r="AP26">
            <v>-582.17000000000007</v>
          </cell>
          <cell r="AQ26">
            <v>-27704.414000000004</v>
          </cell>
          <cell r="AR26">
            <v>-63296.399999999994</v>
          </cell>
          <cell r="AS26">
            <v>0</v>
          </cell>
          <cell r="AT26">
            <v>-15985.408000000003</v>
          </cell>
          <cell r="AU26">
            <v>-114995.03344445964</v>
          </cell>
          <cell r="AV26"/>
          <cell r="AW26"/>
          <cell r="AX26"/>
          <cell r="AY26"/>
          <cell r="AZ26"/>
        </row>
        <row r="27">
          <cell r="E27">
            <v>4598741.5634149751</v>
          </cell>
          <cell r="F27">
            <v>505185.87347987073</v>
          </cell>
          <cell r="G27">
            <v>493440.16429094953</v>
          </cell>
          <cell r="H27">
            <v>208375.20480529443</v>
          </cell>
          <cell r="I27">
            <v>203377.9594756687</v>
          </cell>
          <cell r="J27">
            <v>347910.91962153825</v>
          </cell>
          <cell r="K27">
            <v>414233.49697550776</v>
          </cell>
          <cell r="L27">
            <v>148568.24687434378</v>
          </cell>
          <cell r="M27">
            <v>217811.88059368316</v>
          </cell>
          <cell r="N27">
            <v>130467.20739183009</v>
          </cell>
          <cell r="O27">
            <v>225417.28135075446</v>
          </cell>
          <cell r="P27">
            <v>226719.09648660649</v>
          </cell>
          <cell r="Q27">
            <v>76549.511077727933</v>
          </cell>
          <cell r="R27">
            <v>348883.13997860625</v>
          </cell>
          <cell r="S27">
            <v>162085.73133958396</v>
          </cell>
          <cell r="T27">
            <v>167161.82639085647</v>
          </cell>
          <cell r="U27">
            <v>78391.471339652693</v>
          </cell>
          <cell r="V27">
            <v>134723.18675959745</v>
          </cell>
          <cell r="W27">
            <v>0</v>
          </cell>
          <cell r="X27">
            <v>0</v>
          </cell>
          <cell r="Y27">
            <v>0</v>
          </cell>
          <cell r="Z27">
            <v>4089302.1982320729</v>
          </cell>
          <cell r="AA27">
            <v>165735.32922105171</v>
          </cell>
          <cell r="AB27">
            <v>118262.66422002352</v>
          </cell>
          <cell r="AC27">
            <v>72555.884314798299</v>
          </cell>
          <cell r="AD27">
            <v>68431.450538153513</v>
          </cell>
          <cell r="AE27">
            <v>259249.99907297536</v>
          </cell>
          <cell r="AF27">
            <v>8974.3140000000003</v>
          </cell>
          <cell r="AG27">
            <v>43621.896999999997</v>
          </cell>
          <cell r="AH27">
            <v>19614.314999999999</v>
          </cell>
          <cell r="AI27">
            <v>58293.303333333322</v>
          </cell>
          <cell r="AJ27">
            <v>3752.1540000000005</v>
          </cell>
          <cell r="AK27">
            <v>0</v>
          </cell>
          <cell r="AL27">
            <v>134255.98333333334</v>
          </cell>
          <cell r="AM27">
            <v>-5635.3704444596397</v>
          </cell>
          <cell r="AN27">
            <v>-1292.5980000000002</v>
          </cell>
          <cell r="AO27">
            <v>0</v>
          </cell>
          <cell r="AP27">
            <v>0</v>
          </cell>
          <cell r="AQ27">
            <v>-17755.408000000003</v>
          </cell>
          <cell r="AR27">
            <v>0</v>
          </cell>
          <cell r="AS27">
            <v>0</v>
          </cell>
          <cell r="AT27">
            <v>-25118.569999999996</v>
          </cell>
          <cell r="AU27">
            <v>-49801.946444459638</v>
          </cell>
          <cell r="AV27"/>
          <cell r="AW27"/>
          <cell r="AX27"/>
          <cell r="AY27"/>
          <cell r="AZ27"/>
        </row>
        <row r="28">
          <cell r="E28">
            <v>-65193.087000005879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-6.9849193096160889E-9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-498.673</v>
          </cell>
          <cell r="AP28">
            <v>-582.17000000000007</v>
          </cell>
          <cell r="AQ28">
            <v>-9949.0060000000012</v>
          </cell>
          <cell r="AR28">
            <v>-63296.399999999994</v>
          </cell>
          <cell r="AS28">
            <v>0</v>
          </cell>
          <cell r="AT28">
            <v>9133.161999999993</v>
          </cell>
          <cell r="AU28">
            <v>-65193.087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453834.54715077672</v>
          </cell>
          <cell r="F30">
            <v>45000</v>
          </cell>
          <cell r="G30">
            <v>36000</v>
          </cell>
          <cell r="H30">
            <v>23000</v>
          </cell>
          <cell r="I30">
            <v>17500</v>
          </cell>
          <cell r="J30">
            <v>24000</v>
          </cell>
          <cell r="K30">
            <v>26000</v>
          </cell>
          <cell r="L30">
            <v>14000</v>
          </cell>
          <cell r="M30">
            <v>19000</v>
          </cell>
          <cell r="N30">
            <v>12000</v>
          </cell>
          <cell r="O30">
            <v>16000</v>
          </cell>
          <cell r="P30">
            <v>16500</v>
          </cell>
          <cell r="Q30">
            <v>12000</v>
          </cell>
          <cell r="R30">
            <v>28000</v>
          </cell>
          <cell r="S30">
            <v>12000</v>
          </cell>
          <cell r="T30">
            <v>7000</v>
          </cell>
          <cell r="U30">
            <v>5000</v>
          </cell>
          <cell r="V30">
            <v>7000</v>
          </cell>
          <cell r="W30">
            <v>0</v>
          </cell>
          <cell r="X30">
            <v>0</v>
          </cell>
          <cell r="Y30">
            <v>0</v>
          </cell>
          <cell r="Z30">
            <v>320000</v>
          </cell>
          <cell r="AA30">
            <v>9200</v>
          </cell>
          <cell r="AB30">
            <v>51375.563333333332</v>
          </cell>
          <cell r="AC30">
            <v>43490.335385892016</v>
          </cell>
          <cell r="AD30">
            <v>29768.648431551352</v>
          </cell>
          <cell r="AE30">
            <v>124634.54715077669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46651283.523954183</v>
          </cell>
          <cell r="F31">
            <v>4576789.6999999993</v>
          </cell>
          <cell r="G31">
            <v>3840623.51</v>
          </cell>
          <cell r="H31">
            <v>2308813.4706053077</v>
          </cell>
          <cell r="I31">
            <v>1690576.5</v>
          </cell>
          <cell r="J31">
            <v>2582396.0619999999</v>
          </cell>
          <cell r="K31">
            <v>2719003.52</v>
          </cell>
          <cell r="L31">
            <v>1414005.6</v>
          </cell>
          <cell r="M31">
            <v>1976000</v>
          </cell>
          <cell r="N31">
            <v>1166521.8300000003</v>
          </cell>
          <cell r="O31">
            <v>1628601.5</v>
          </cell>
          <cell r="P31">
            <v>1613040</v>
          </cell>
          <cell r="Q31">
            <v>1215058</v>
          </cell>
          <cell r="R31">
            <v>2828015</v>
          </cell>
          <cell r="S31">
            <v>1221559.2599999998</v>
          </cell>
          <cell r="T31">
            <v>762999.02899999998</v>
          </cell>
          <cell r="U31">
            <v>539500</v>
          </cell>
          <cell r="V31">
            <v>887600</v>
          </cell>
          <cell r="W31">
            <v>0</v>
          </cell>
          <cell r="X31">
            <v>0</v>
          </cell>
          <cell r="Y31">
            <v>0</v>
          </cell>
          <cell r="Z31">
            <v>32971102.981605306</v>
          </cell>
          <cell r="AA31">
            <v>11242202.105263157</v>
          </cell>
          <cell r="AB31">
            <v>637614.1166666667</v>
          </cell>
          <cell r="AC31">
            <v>789095.04991640872</v>
          </cell>
          <cell r="AD31">
            <v>846361.77016930934</v>
          </cell>
          <cell r="AE31">
            <v>2273070.9367523845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40070977.092307091</v>
          </cell>
          <cell r="F32">
            <v>3839971.7116205925</v>
          </cell>
          <cell r="G32">
            <v>3146054.6384402844</v>
          </cell>
          <cell r="H32">
            <v>1969825.5048397377</v>
          </cell>
          <cell r="I32">
            <v>1392489.8731155607</v>
          </cell>
          <cell r="J32">
            <v>2085726.9705330951</v>
          </cell>
          <cell r="K32">
            <v>2160165.3118467089</v>
          </cell>
          <cell r="L32">
            <v>1179980.3823878502</v>
          </cell>
          <cell r="M32">
            <v>1642310.2675405787</v>
          </cell>
          <cell r="N32">
            <v>958444.64070938143</v>
          </cell>
          <cell r="O32">
            <v>1304323.0656379368</v>
          </cell>
          <cell r="P32">
            <v>1293216.2392177305</v>
          </cell>
          <cell r="Q32">
            <v>1068173.5322796991</v>
          </cell>
          <cell r="R32">
            <v>2340340.2662296509</v>
          </cell>
          <cell r="S32">
            <v>992239.62648863683</v>
          </cell>
          <cell r="T32">
            <v>559291.74615939904</v>
          </cell>
          <cell r="U32">
            <v>432401.09299024107</v>
          </cell>
          <cell r="V32">
            <v>707133.97154849104</v>
          </cell>
          <cell r="W32">
            <v>0</v>
          </cell>
          <cell r="X32">
            <v>0</v>
          </cell>
          <cell r="Y32">
            <v>0</v>
          </cell>
          <cell r="Z32">
            <v>27072088.84158558</v>
          </cell>
          <cell r="AA32">
            <v>10954962.716042105</v>
          </cell>
          <cell r="AB32">
            <v>509585.75588888885</v>
          </cell>
          <cell r="AC32">
            <v>704453.38736791071</v>
          </cell>
          <cell r="AD32">
            <v>764597.04442260985</v>
          </cell>
          <cell r="AE32">
            <v>1978636.1876794093</v>
          </cell>
          <cell r="AF32">
            <v>3525.6860000000001</v>
          </cell>
          <cell r="AG32">
            <v>6378.1030000000001</v>
          </cell>
          <cell r="AH32">
            <v>8725.6849999999995</v>
          </cell>
          <cell r="AI32">
            <v>8754.1970000000001</v>
          </cell>
          <cell r="AJ32">
            <v>1497.846</v>
          </cell>
          <cell r="AK32">
            <v>0</v>
          </cell>
          <cell r="AL32">
            <v>28881.517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36407.829999999994</v>
          </cell>
          <cell r="AS32">
            <v>0</v>
          </cell>
          <cell r="AT32">
            <v>0</v>
          </cell>
          <cell r="AU32">
            <v>36407.829999999994</v>
          </cell>
        </row>
        <row r="33">
          <cell r="D33" t="str">
            <v>매출이익</v>
          </cell>
          <cell r="E33">
            <v>6580306.4316470865</v>
          </cell>
          <cell r="F33">
            <v>736817.98837940674</v>
          </cell>
          <cell r="G33">
            <v>694568.87155971536</v>
          </cell>
          <cell r="H33">
            <v>338987.96576557006</v>
          </cell>
          <cell r="I33">
            <v>298086.62688443926</v>
          </cell>
          <cell r="J33">
            <v>496669.09146690485</v>
          </cell>
          <cell r="K33">
            <v>558838.20815329114</v>
          </cell>
          <cell r="L33">
            <v>234025.21761214989</v>
          </cell>
          <cell r="M33">
            <v>333689.73245942127</v>
          </cell>
          <cell r="N33">
            <v>208077.18929061887</v>
          </cell>
          <cell r="O33">
            <v>324278.43436206318</v>
          </cell>
          <cell r="P33">
            <v>319823.76078226953</v>
          </cell>
          <cell r="Q33">
            <v>146884.46772030089</v>
          </cell>
          <cell r="R33">
            <v>487674.73377034906</v>
          </cell>
          <cell r="S33">
            <v>229319.63351136295</v>
          </cell>
          <cell r="T33">
            <v>203707.28284060094</v>
          </cell>
          <cell r="U33">
            <v>107098.90700975893</v>
          </cell>
          <cell r="V33">
            <v>180466.02845150896</v>
          </cell>
          <cell r="W33">
            <v>0</v>
          </cell>
          <cell r="X33">
            <v>0</v>
          </cell>
          <cell r="Y33">
            <v>0</v>
          </cell>
          <cell r="Z33">
            <v>5899014.140019726</v>
          </cell>
          <cell r="AA33">
            <v>287239.38922105171</v>
          </cell>
          <cell r="AB33">
            <v>128028.36077777785</v>
          </cell>
          <cell r="AC33">
            <v>84641.662548498018</v>
          </cell>
          <cell r="AD33">
            <v>81764.725746699492</v>
          </cell>
          <cell r="AE33">
            <v>294434.74907297525</v>
          </cell>
          <cell r="AF33">
            <v>8974.3140000000003</v>
          </cell>
          <cell r="AG33">
            <v>43621.896999999997</v>
          </cell>
          <cell r="AH33">
            <v>19614.315000000002</v>
          </cell>
          <cell r="AI33">
            <v>58293.30333333333</v>
          </cell>
          <cell r="AJ33">
            <v>3752.154</v>
          </cell>
          <cell r="AK33">
            <v>0</v>
          </cell>
          <cell r="AL33">
            <v>134255.98333333334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-36407.829999999994</v>
          </cell>
          <cell r="AS33">
            <v>0</v>
          </cell>
          <cell r="AT33">
            <v>1770</v>
          </cell>
          <cell r="AU33">
            <v>-34637.829999999994</v>
          </cell>
        </row>
        <row r="34">
          <cell r="D34" t="str">
            <v>판관비</v>
          </cell>
          <cell r="E34">
            <v>2046757.9552321199</v>
          </cell>
          <cell r="F34">
            <v>231632.11489953604</v>
          </cell>
          <cell r="G34">
            <v>201128.70726876604</v>
          </cell>
          <cell r="H34">
            <v>130612.76096027561</v>
          </cell>
          <cell r="I34">
            <v>94708.667408770634</v>
          </cell>
          <cell r="J34">
            <v>148758.17184536648</v>
          </cell>
          <cell r="K34">
            <v>144604.71117778332</v>
          </cell>
          <cell r="L34">
            <v>85456.970737806158</v>
          </cell>
          <cell r="M34">
            <v>115877.85186573812</v>
          </cell>
          <cell r="N34">
            <v>77609.981898788814</v>
          </cell>
          <cell r="O34">
            <v>98861.153011308663</v>
          </cell>
          <cell r="P34">
            <v>93104.664295663068</v>
          </cell>
          <cell r="Q34">
            <v>70334.956642572884</v>
          </cell>
          <cell r="R34">
            <v>138791.59379174304</v>
          </cell>
          <cell r="S34">
            <v>67233.902171778929</v>
          </cell>
          <cell r="T34">
            <v>36545.456449744437</v>
          </cell>
          <cell r="U34">
            <v>28707.435670106202</v>
          </cell>
          <cell r="V34">
            <v>45742.841691911519</v>
          </cell>
          <cell r="W34">
            <v>0</v>
          </cell>
          <cell r="X34">
            <v>0</v>
          </cell>
          <cell r="Y34">
            <v>0</v>
          </cell>
          <cell r="Z34">
            <v>1809711.9417876601</v>
          </cell>
          <cell r="AA34">
            <v>121504.06</v>
          </cell>
          <cell r="AB34">
            <v>9765.6965577543269</v>
          </cell>
          <cell r="AC34">
            <v>12085.778233699686</v>
          </cell>
          <cell r="AD34">
            <v>13333.275208545989</v>
          </cell>
          <cell r="AE34">
            <v>35184.750000000007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5635.3704444596397</v>
          </cell>
          <cell r="AN34">
            <v>1292.5980000000002</v>
          </cell>
          <cell r="AO34">
            <v>498.673</v>
          </cell>
          <cell r="AP34">
            <v>582.17000000000007</v>
          </cell>
          <cell r="AQ34">
            <v>27704.414000000004</v>
          </cell>
          <cell r="AR34">
            <v>26888.569999999996</v>
          </cell>
          <cell r="AS34">
            <v>0</v>
          </cell>
          <cell r="AT34">
            <v>17755.408000000003</v>
          </cell>
          <cell r="AU34">
            <v>80357.20344445965</v>
          </cell>
        </row>
        <row r="35">
          <cell r="D35" t="str">
            <v>영업이익</v>
          </cell>
          <cell r="E35">
            <v>4533548.4764149673</v>
          </cell>
          <cell r="F35">
            <v>505185.87347987073</v>
          </cell>
          <cell r="G35">
            <v>493440.16429094935</v>
          </cell>
          <cell r="H35">
            <v>208375.20480529446</v>
          </cell>
          <cell r="I35">
            <v>203377.95947566861</v>
          </cell>
          <cell r="J35">
            <v>347910.91962153837</v>
          </cell>
          <cell r="K35">
            <v>414233.49697550782</v>
          </cell>
          <cell r="L35">
            <v>148568.24687434372</v>
          </cell>
          <cell r="M35">
            <v>217811.88059368316</v>
          </cell>
          <cell r="N35">
            <v>130467.20739183006</v>
          </cell>
          <cell r="O35">
            <v>225417.28135075452</v>
          </cell>
          <cell r="P35">
            <v>226719.09648660646</v>
          </cell>
          <cell r="Q35">
            <v>76549.511077728006</v>
          </cell>
          <cell r="R35">
            <v>348883.13997860602</v>
          </cell>
          <cell r="S35">
            <v>162085.73133958402</v>
          </cell>
          <cell r="T35">
            <v>167161.8263908565</v>
          </cell>
          <cell r="U35">
            <v>78391.471339652722</v>
          </cell>
          <cell r="V35">
            <v>134723.18675959745</v>
          </cell>
          <cell r="W35">
            <v>0</v>
          </cell>
          <cell r="X35">
            <v>0</v>
          </cell>
          <cell r="Y35">
            <v>0</v>
          </cell>
          <cell r="Z35">
            <v>4089302.1982320659</v>
          </cell>
          <cell r="AA35">
            <v>165735.32922105171</v>
          </cell>
          <cell r="AB35">
            <v>118262.66422002352</v>
          </cell>
          <cell r="AC35">
            <v>72555.884314798328</v>
          </cell>
          <cell r="AD35">
            <v>68431.450538153498</v>
          </cell>
          <cell r="AE35">
            <v>259249.99907297525</v>
          </cell>
          <cell r="AF35">
            <v>8974.3140000000003</v>
          </cell>
          <cell r="AG35">
            <v>43621.896999999997</v>
          </cell>
          <cell r="AH35">
            <v>19614.315000000002</v>
          </cell>
          <cell r="AI35">
            <v>58293.30333333333</v>
          </cell>
          <cell r="AJ35">
            <v>3752.154</v>
          </cell>
          <cell r="AK35">
            <v>0</v>
          </cell>
          <cell r="AL35">
            <v>134255.98333333334</v>
          </cell>
          <cell r="AM35">
            <v>-5635.3704444596397</v>
          </cell>
          <cell r="AN35">
            <v>-1292.5980000000002</v>
          </cell>
          <cell r="AO35">
            <v>-498.673</v>
          </cell>
          <cell r="AP35">
            <v>-582.17000000000007</v>
          </cell>
          <cell r="AQ35">
            <v>-27704.414000000004</v>
          </cell>
          <cell r="AR35">
            <v>-63296.399999999994</v>
          </cell>
          <cell r="AS35">
            <v>0</v>
          </cell>
          <cell r="AT35">
            <v>-15985.408000000003</v>
          </cell>
          <cell r="AU35">
            <v>-114995.03344445964</v>
          </cell>
        </row>
      </sheetData>
      <sheetData sheetId="14">
        <row r="6">
          <cell r="D6" t="str">
            <v>구분</v>
          </cell>
        </row>
      </sheetData>
      <sheetData sheetId="15"/>
      <sheetData sheetId="16"/>
      <sheetData sheetId="17">
        <row r="26">
          <cell r="E26">
            <v>8767461.1192195099</v>
          </cell>
        </row>
      </sheetData>
      <sheetData sheetId="18">
        <row r="6">
          <cell r="D6" t="str">
            <v>구분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6">
          <cell r="D6" t="str">
            <v>구분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</row>
      </sheetData>
      <sheetData sheetId="6">
        <row r="6">
          <cell r="F6" t="str">
            <v>합계</v>
          </cell>
        </row>
      </sheetData>
      <sheetData sheetId="7">
        <row r="6">
          <cell r="G6" t="str">
            <v>안양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38566</v>
          </cell>
          <cell r="H7">
            <v>29507</v>
          </cell>
          <cell r="I7">
            <v>22349</v>
          </cell>
          <cell r="J7">
            <v>17224</v>
          </cell>
          <cell r="K7">
            <v>19120</v>
          </cell>
          <cell r="L7">
            <v>19932</v>
          </cell>
          <cell r="M7">
            <v>12286</v>
          </cell>
          <cell r="N7">
            <v>18063</v>
          </cell>
          <cell r="O7">
            <v>10320</v>
          </cell>
          <cell r="P7">
            <v>13393</v>
          </cell>
          <cell r="Q7">
            <v>15449</v>
          </cell>
          <cell r="R7">
            <v>12988</v>
          </cell>
          <cell r="S7">
            <v>27751</v>
          </cell>
          <cell r="T7">
            <v>4554</v>
          </cell>
          <cell r="U7">
            <v>7147</v>
          </cell>
          <cell r="V7">
            <v>9118.5</v>
          </cell>
          <cell r="W7">
            <v>2901</v>
          </cell>
          <cell r="X7"/>
          <cell r="Y7"/>
          <cell r="Z7">
            <v>280668.5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280668.5</v>
          </cell>
          <cell r="AJ7">
            <v>25492</v>
          </cell>
          <cell r="AK7">
            <v>1202</v>
          </cell>
          <cell r="AL7">
            <v>39432</v>
          </cell>
          <cell r="AM7"/>
          <cell r="AN7">
            <v>66126</v>
          </cell>
          <cell r="AO7">
            <v>10221.802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39591888.234000005</v>
          </cell>
          <cell r="G8">
            <v>3786524.2609999999</v>
          </cell>
          <cell r="H8">
            <v>2907401.4479999999</v>
          </cell>
          <cell r="I8">
            <v>2134520.9269999997</v>
          </cell>
          <cell r="J8">
            <v>1650733.8</v>
          </cell>
          <cell r="K8">
            <v>2100750.0060000001</v>
          </cell>
          <cell r="L8">
            <v>1883658.29</v>
          </cell>
          <cell r="M8">
            <v>1181501.6000000001</v>
          </cell>
          <cell r="N8">
            <v>1827778.409</v>
          </cell>
          <cell r="O8">
            <v>1034885.6</v>
          </cell>
          <cell r="P8">
            <v>1320888.5</v>
          </cell>
          <cell r="Q8">
            <v>1485465.25</v>
          </cell>
          <cell r="R8">
            <v>1407465.3</v>
          </cell>
          <cell r="S8">
            <v>2807135.1370000001</v>
          </cell>
          <cell r="T8">
            <v>521414.9</v>
          </cell>
          <cell r="U8">
            <v>764917.7</v>
          </cell>
          <cell r="V8">
            <v>903676.58199999994</v>
          </cell>
          <cell r="W8">
            <v>350951.435</v>
          </cell>
          <cell r="X8"/>
          <cell r="Y8"/>
          <cell r="Z8">
            <v>28069669.145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28160509.145</v>
          </cell>
          <cell r="AJ8">
            <v>701341.5</v>
          </cell>
          <cell r="AK8">
            <v>14424</v>
          </cell>
          <cell r="AL8">
            <v>698260</v>
          </cell>
          <cell r="AM8"/>
          <cell r="AN8">
            <v>1414025.5</v>
          </cell>
          <cell r="AO8">
            <v>9942869.0209999997</v>
          </cell>
          <cell r="AP8">
            <v>0</v>
          </cell>
          <cell r="AQ8"/>
          <cell r="AR8"/>
          <cell r="AS8">
            <v>9942869.0209999997</v>
          </cell>
          <cell r="AT8">
            <v>5512.5</v>
          </cell>
          <cell r="AU8">
            <v>5850</v>
          </cell>
          <cell r="AV8">
            <v>61301.468000000001</v>
          </cell>
          <cell r="AW8"/>
          <cell r="AX8"/>
          <cell r="AY8"/>
          <cell r="AZ8"/>
          <cell r="BA8">
            <v>72663.967999999993</v>
          </cell>
          <cell r="BB8">
            <v>0</v>
          </cell>
          <cell r="BC8">
            <v>1820.6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1820.6</v>
          </cell>
          <cell r="BK8"/>
          <cell r="BL8"/>
          <cell r="BM8"/>
          <cell r="BN8"/>
          <cell r="BO8"/>
        </row>
        <row r="9">
          <cell r="F9"/>
          <cell r="G9">
            <v>98182.965850749373</v>
          </cell>
          <cell r="H9">
            <v>98532.600671027205</v>
          </cell>
          <cell r="I9">
            <v>95508.565349680051</v>
          </cell>
          <cell r="J9">
            <v>95839.166279609854</v>
          </cell>
          <cell r="K9">
            <v>109871.86223849373</v>
          </cell>
          <cell r="L9">
            <v>94504.228878185822</v>
          </cell>
          <cell r="M9">
            <v>96166.498453524342</v>
          </cell>
          <cell r="N9">
            <v>101189.08315340753</v>
          </cell>
          <cell r="O9">
            <v>100279.61240310076</v>
          </cell>
          <cell r="P9">
            <v>98625.289330247149</v>
          </cell>
          <cell r="Q9">
            <v>96152.841607871058</v>
          </cell>
          <cell r="R9">
            <v>108366.59223898983</v>
          </cell>
          <cell r="S9">
            <v>101154.37775215309</v>
          </cell>
          <cell r="T9">
            <v>114496.02547211244</v>
          </cell>
          <cell r="U9">
            <v>107026.40268644186</v>
          </cell>
          <cell r="V9">
            <v>99103.644459066723</v>
          </cell>
          <cell r="W9">
            <v>120976.02033781455</v>
          </cell>
          <cell r="X9"/>
          <cell r="Y9"/>
          <cell r="Z9">
            <v>100010.0443940093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100333.70023711247</v>
          </cell>
          <cell r="AJ9">
            <v>27512.219519849365</v>
          </cell>
          <cell r="AK9">
            <v>12000</v>
          </cell>
          <cell r="AL9">
            <v>17707.952931629134</v>
          </cell>
          <cell r="AM9"/>
          <cell r="AN9"/>
          <cell r="AO9">
            <v>972711.95636542363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35758926.561319992</v>
          </cell>
          <cell r="G10">
            <v>3379745.5170700001</v>
          </cell>
          <cell r="H10">
            <v>2732531.9584999997</v>
          </cell>
          <cell r="I10">
            <v>1980235.4537899999</v>
          </cell>
          <cell r="J10">
            <v>1498893.92169</v>
          </cell>
          <cell r="K10">
            <v>1801715.8256600001</v>
          </cell>
          <cell r="L10">
            <v>1664009.3043800001</v>
          </cell>
          <cell r="M10">
            <v>1045390.01887</v>
          </cell>
          <cell r="N10">
            <v>1609254.3976199999</v>
          </cell>
          <cell r="O10">
            <v>894921.23048000003</v>
          </cell>
          <cell r="P10">
            <v>1116286.29632</v>
          </cell>
          <cell r="Q10">
            <v>1266814.7199899999</v>
          </cell>
          <cell r="R10">
            <v>1183004.22202</v>
          </cell>
          <cell r="S10">
            <v>2469721.5180199998</v>
          </cell>
          <cell r="T10">
            <v>407702.95891000004</v>
          </cell>
          <cell r="U10">
            <v>589665.60278999992</v>
          </cell>
          <cell r="V10">
            <v>790289.36904999986</v>
          </cell>
          <cell r="W10">
            <v>335417.50122000003</v>
          </cell>
          <cell r="X10"/>
          <cell r="Y10"/>
          <cell r="Z10">
            <v>24765599.816379994</v>
          </cell>
          <cell r="AA10">
            <v>574.45600000000002</v>
          </cell>
          <cell r="AB10">
            <v>0</v>
          </cell>
          <cell r="AC10">
            <v>4224.6419999999998</v>
          </cell>
          <cell r="AD10">
            <v>8524.61</v>
          </cell>
          <cell r="AE10"/>
          <cell r="AF10"/>
          <cell r="AG10"/>
          <cell r="AH10">
            <v>13323.708000000001</v>
          </cell>
          <cell r="AI10">
            <v>24778923.524379995</v>
          </cell>
          <cell r="AJ10">
            <v>644935.89446999994</v>
          </cell>
          <cell r="AK10">
            <v>43537.03832</v>
          </cell>
          <cell r="AL10">
            <v>836344.2281500001</v>
          </cell>
          <cell r="AM10"/>
          <cell r="AN10">
            <v>1524817.1609400001</v>
          </cell>
          <cell r="AO10">
            <v>9692775.4810000006</v>
          </cell>
          <cell r="AP10">
            <v>0</v>
          </cell>
          <cell r="AQ10"/>
          <cell r="AR10"/>
          <cell r="AS10">
            <v>9692775.4810000006</v>
          </cell>
          <cell r="AT10">
            <v>138.39099999999999</v>
          </cell>
          <cell r="AU10">
            <v>4060.2440000000001</v>
          </cell>
          <cell r="AV10">
            <v>0</v>
          </cell>
          <cell r="AW10"/>
          <cell r="AX10"/>
          <cell r="AY10"/>
          <cell r="AZ10"/>
          <cell r="BA10">
            <v>4198.6350000000002</v>
          </cell>
          <cell r="BB10">
            <v>0</v>
          </cell>
          <cell r="BC10">
            <v>0</v>
          </cell>
          <cell r="BD10">
            <v>-241788.24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-241788.24</v>
          </cell>
          <cell r="BK10"/>
          <cell r="BL10"/>
          <cell r="BM10"/>
          <cell r="BN10"/>
          <cell r="BO10"/>
        </row>
        <row r="11">
          <cell r="F11"/>
          <cell r="G11">
            <v>87635.365790333453</v>
          </cell>
          <cell r="H11">
            <v>92606.22762395363</v>
          </cell>
          <cell r="I11">
            <v>88605.103306188204</v>
          </cell>
          <cell r="J11">
            <v>87023.567213771486</v>
          </cell>
          <cell r="K11">
            <v>94231.999250000008</v>
          </cell>
          <cell r="L11">
            <v>83484.311879389934</v>
          </cell>
          <cell r="M11">
            <v>85087.906468337955</v>
          </cell>
          <cell r="N11">
            <v>89091.202879920282</v>
          </cell>
          <cell r="O11">
            <v>86717.173496124029</v>
          </cell>
          <cell r="P11">
            <v>83348.487741357414</v>
          </cell>
          <cell r="Q11">
            <v>81999.787687876233</v>
          </cell>
          <cell r="R11">
            <v>91084.402680936255</v>
          </cell>
          <cell r="S11">
            <v>88995.766567691244</v>
          </cell>
          <cell r="T11">
            <v>89526.341438296018</v>
          </cell>
          <cell r="U11">
            <v>82505.331298446894</v>
          </cell>
          <cell r="V11">
            <v>86668.790815375323</v>
          </cell>
          <cell r="W11">
            <v>115621.33789038264</v>
          </cell>
          <cell r="X11"/>
          <cell r="Y11"/>
          <cell r="Z11">
            <v>88237.902779898694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88285.37411351825</v>
          </cell>
          <cell r="AJ11">
            <v>25299.540815549975</v>
          </cell>
          <cell r="AK11">
            <v>36220.497770382695</v>
          </cell>
          <cell r="AL11">
            <v>21209.784645719214</v>
          </cell>
          <cell r="AM11"/>
          <cell r="AN11"/>
          <cell r="AO11">
            <v>948245.27818089223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3832961.6726800129</v>
          </cell>
          <cell r="G12">
            <v>406778.74392999988</v>
          </cell>
          <cell r="H12">
            <v>174869.48950000014</v>
          </cell>
          <cell r="I12">
            <v>154285.47320999973</v>
          </cell>
          <cell r="J12">
            <v>151839.87831000006</v>
          </cell>
          <cell r="K12">
            <v>299034.18033999996</v>
          </cell>
          <cell r="L12">
            <v>219648.98561999993</v>
          </cell>
          <cell r="M12">
            <v>136111.58113000006</v>
          </cell>
          <cell r="N12">
            <v>218524.01138000004</v>
          </cell>
          <cell r="O12">
            <v>139964.36951999995</v>
          </cell>
          <cell r="P12">
            <v>204602.20368000004</v>
          </cell>
          <cell r="Q12">
            <v>218650.5300100001</v>
          </cell>
          <cell r="R12">
            <v>224461.07798000006</v>
          </cell>
          <cell r="S12">
            <v>337413.61898000026</v>
          </cell>
          <cell r="T12">
            <v>113711.94108999998</v>
          </cell>
          <cell r="U12">
            <v>175252.09721000004</v>
          </cell>
          <cell r="V12">
            <v>113387.21295000007</v>
          </cell>
          <cell r="W12">
            <v>15533.933779999963</v>
          </cell>
          <cell r="X12"/>
          <cell r="Y12"/>
          <cell r="Z12">
            <v>3304069.3286200007</v>
          </cell>
          <cell r="AA12">
            <v>49425.544000000002</v>
          </cell>
          <cell r="AB12">
            <v>0</v>
          </cell>
          <cell r="AC12">
            <v>8275.3580000000002</v>
          </cell>
          <cell r="AD12">
            <v>19815.39</v>
          </cell>
          <cell r="AE12"/>
          <cell r="AF12"/>
          <cell r="AG12"/>
          <cell r="AH12">
            <v>77516.292000000001</v>
          </cell>
          <cell r="AI12">
            <v>3381585.6206200048</v>
          </cell>
          <cell r="AJ12">
            <v>56405.605530000059</v>
          </cell>
          <cell r="AK12">
            <v>-29113.03832</v>
          </cell>
          <cell r="AL12">
            <v>-138084.2281500001</v>
          </cell>
          <cell r="AM12"/>
          <cell r="AN12">
            <v>-110791.66094000009</v>
          </cell>
          <cell r="AO12">
            <v>250093.53999999911</v>
          </cell>
          <cell r="AP12">
            <v>0</v>
          </cell>
          <cell r="AQ12"/>
          <cell r="AR12"/>
          <cell r="AS12">
            <v>250093.53999999911</v>
          </cell>
          <cell r="AT12">
            <v>5374.1090000000004</v>
          </cell>
          <cell r="AU12">
            <v>1789.7559999999999</v>
          </cell>
          <cell r="AV12">
            <v>61301.468000000001</v>
          </cell>
          <cell r="AW12"/>
          <cell r="AX12"/>
          <cell r="AY12"/>
          <cell r="AZ12"/>
          <cell r="BA12">
            <v>68465.332999999999</v>
          </cell>
          <cell r="BB12">
            <v>0</v>
          </cell>
          <cell r="BC12">
            <v>1820.6</v>
          </cell>
          <cell r="BD12">
            <v>241788.24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243608.84</v>
          </cell>
          <cell r="BK12"/>
          <cell r="BL12"/>
          <cell r="BM12"/>
          <cell r="BN12"/>
          <cell r="BO12"/>
        </row>
        <row r="13">
          <cell r="F13">
            <v>848405.60199999996</v>
          </cell>
          <cell r="G13">
            <v>75036.324000000008</v>
          </cell>
          <cell r="H13">
            <v>66616.963000000003</v>
          </cell>
          <cell r="I13">
            <v>54351.604999999996</v>
          </cell>
          <cell r="J13">
            <v>35178.114000000001</v>
          </cell>
          <cell r="K13">
            <v>47036.375</v>
          </cell>
          <cell r="L13">
            <v>54139.122000000003</v>
          </cell>
          <cell r="M13">
            <v>35946.487000000001</v>
          </cell>
          <cell r="N13">
            <v>46168.803</v>
          </cell>
          <cell r="O13">
            <v>29053.135999999999</v>
          </cell>
          <cell r="P13">
            <v>39120.584000000003</v>
          </cell>
          <cell r="Q13">
            <v>36113.955000000002</v>
          </cell>
          <cell r="R13">
            <v>39682.161999999997</v>
          </cell>
          <cell r="S13">
            <v>56355.107000000004</v>
          </cell>
          <cell r="T13">
            <v>11636.177</v>
          </cell>
          <cell r="U13">
            <v>11147.190999999999</v>
          </cell>
          <cell r="V13">
            <v>28031.268</v>
          </cell>
          <cell r="W13">
            <v>14263.922</v>
          </cell>
          <cell r="X13"/>
          <cell r="Y13"/>
          <cell r="Z13">
            <v>679877.29499999993</v>
          </cell>
          <cell r="AA13">
            <v>0</v>
          </cell>
          <cell r="AB13">
            <v>175.04599999999999</v>
          </cell>
          <cell r="AC13">
            <v>3926.28</v>
          </cell>
          <cell r="AD13">
            <v>0</v>
          </cell>
          <cell r="AE13"/>
          <cell r="AF13"/>
          <cell r="AG13"/>
          <cell r="AH13">
            <v>4101.326</v>
          </cell>
          <cell r="AI13">
            <v>683978.62099999993</v>
          </cell>
          <cell r="AJ13">
            <v>0</v>
          </cell>
          <cell r="AK13">
            <v>28235.028999999995</v>
          </cell>
          <cell r="AL13">
            <v>0</v>
          </cell>
          <cell r="AM13"/>
          <cell r="AN13">
            <v>28235.028999999995</v>
          </cell>
          <cell r="AO13">
            <v>126301.10800000001</v>
          </cell>
          <cell r="AP13">
            <v>0</v>
          </cell>
          <cell r="AQ13"/>
          <cell r="AR13"/>
          <cell r="AS13">
            <v>126301.10800000001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9890.8439999999991</v>
          </cell>
          <cell r="BG13">
            <v>0</v>
          </cell>
          <cell r="BH13"/>
          <cell r="BI13"/>
          <cell r="BJ13">
            <v>9890.8439999999991</v>
          </cell>
          <cell r="BK13"/>
          <cell r="BL13"/>
          <cell r="BM13"/>
          <cell r="BN13"/>
          <cell r="BO13"/>
        </row>
        <row r="14">
          <cell r="F14">
            <v>523730.14799999993</v>
          </cell>
          <cell r="G14">
            <v>46555.866000000002</v>
          </cell>
          <cell r="H14">
            <v>40489.781000000003</v>
          </cell>
          <cell r="I14">
            <v>34217.773000000001</v>
          </cell>
          <cell r="J14">
            <v>24636.173999999999</v>
          </cell>
          <cell r="K14">
            <v>31131.732</v>
          </cell>
          <cell r="L14">
            <v>33388.815000000002</v>
          </cell>
          <cell r="M14">
            <v>25488.52</v>
          </cell>
          <cell r="N14">
            <v>32835.042000000001</v>
          </cell>
          <cell r="O14">
            <v>19146.393</v>
          </cell>
          <cell r="P14">
            <v>24977.370999999999</v>
          </cell>
          <cell r="Q14">
            <v>25692.546999999999</v>
          </cell>
          <cell r="R14">
            <v>25595.979999999996</v>
          </cell>
          <cell r="S14">
            <v>30561.451000000001</v>
          </cell>
          <cell r="T14">
            <v>7193.6619999999994</v>
          </cell>
          <cell r="U14">
            <v>6989.8949999999995</v>
          </cell>
          <cell r="V14">
            <v>20717.023000000001</v>
          </cell>
          <cell r="W14">
            <v>10264.529</v>
          </cell>
          <cell r="X14"/>
          <cell r="Y14"/>
          <cell r="Z14">
            <v>439882.55399999995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439882.55399999995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83862.614999999991</v>
          </cell>
          <cell r="AP14">
            <v>0</v>
          </cell>
          <cell r="AQ14"/>
          <cell r="AR14"/>
          <cell r="AS14">
            <v>83862.614999999991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-15.021000000000001</v>
          </cell>
          <cell r="BG14">
            <v>0</v>
          </cell>
          <cell r="BH14"/>
          <cell r="BI14"/>
          <cell r="BJ14">
            <v>-15.021000000000001</v>
          </cell>
          <cell r="BK14"/>
          <cell r="BL14"/>
          <cell r="BM14"/>
          <cell r="BN14"/>
          <cell r="BO14"/>
        </row>
        <row r="15">
          <cell r="F15">
            <v>324675.45399999997</v>
          </cell>
          <cell r="G15">
            <v>28480.458000000002</v>
          </cell>
          <cell r="H15">
            <v>26127.182000000004</v>
          </cell>
          <cell r="I15">
            <v>20133.831999999999</v>
          </cell>
          <cell r="J15">
            <v>10541.94</v>
          </cell>
          <cell r="K15">
            <v>15904.642999999998</v>
          </cell>
          <cell r="L15">
            <v>20750.306999999997</v>
          </cell>
          <cell r="M15">
            <v>10457.967000000001</v>
          </cell>
          <cell r="N15">
            <v>13333.761</v>
          </cell>
          <cell r="O15">
            <v>9906.7430000000004</v>
          </cell>
          <cell r="P15">
            <v>14143.213</v>
          </cell>
          <cell r="Q15">
            <v>10421.407999999999</v>
          </cell>
          <cell r="R15">
            <v>14086.182000000001</v>
          </cell>
          <cell r="S15">
            <v>25793.655999999999</v>
          </cell>
          <cell r="T15">
            <v>4442.5150000000003</v>
          </cell>
          <cell r="U15">
            <v>4157.2959999999994</v>
          </cell>
          <cell r="V15">
            <v>7314.2449999999999</v>
          </cell>
          <cell r="W15">
            <v>3999.3929999999996</v>
          </cell>
          <cell r="X15"/>
          <cell r="Y15"/>
          <cell r="Z15">
            <v>239994.74099999998</v>
          </cell>
          <cell r="AA15">
            <v>0</v>
          </cell>
          <cell r="AB15">
            <v>175.04599999999999</v>
          </cell>
          <cell r="AC15">
            <v>3926.28</v>
          </cell>
          <cell r="AD15">
            <v>0</v>
          </cell>
          <cell r="AE15"/>
          <cell r="AF15"/>
          <cell r="AG15"/>
          <cell r="AH15">
            <v>4101.326</v>
          </cell>
          <cell r="AI15">
            <v>244096.06699999998</v>
          </cell>
          <cell r="AJ15">
            <v>0</v>
          </cell>
          <cell r="AK15">
            <v>28235.028999999995</v>
          </cell>
          <cell r="AL15">
            <v>0</v>
          </cell>
          <cell r="AM15"/>
          <cell r="AN15">
            <v>28235.028999999995</v>
          </cell>
          <cell r="AO15">
            <v>42438.493000000009</v>
          </cell>
          <cell r="AP15">
            <v>0</v>
          </cell>
          <cell r="AQ15"/>
          <cell r="AR15"/>
          <cell r="AS15">
            <v>42438.493000000009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9905.8649999999998</v>
          </cell>
          <cell r="BG15">
            <v>0</v>
          </cell>
          <cell r="BH15"/>
          <cell r="BI15"/>
          <cell r="BJ15">
            <v>9905.8649999999998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2984556.0706800129</v>
          </cell>
          <cell r="G17">
            <v>331742.41992999986</v>
          </cell>
          <cell r="H17">
            <v>108252.52650000014</v>
          </cell>
          <cell r="I17">
            <v>99933.868209999739</v>
          </cell>
          <cell r="J17">
            <v>116661.76431000006</v>
          </cell>
          <cell r="K17">
            <v>251997.80533999996</v>
          </cell>
          <cell r="L17">
            <v>165509.86361999993</v>
          </cell>
          <cell r="M17">
            <v>100165.09413000007</v>
          </cell>
          <cell r="N17">
            <v>172355.20838000003</v>
          </cell>
          <cell r="O17">
            <v>110911.23351999995</v>
          </cell>
          <cell r="P17">
            <v>165481.61968000003</v>
          </cell>
          <cell r="Q17">
            <v>182536.57501000009</v>
          </cell>
          <cell r="R17">
            <v>184778.91598000005</v>
          </cell>
          <cell r="S17">
            <v>281058.51198000024</v>
          </cell>
          <cell r="T17">
            <v>102075.76408999998</v>
          </cell>
          <cell r="U17">
            <v>164104.90621000004</v>
          </cell>
          <cell r="V17">
            <v>85355.944950000077</v>
          </cell>
          <cell r="W17">
            <v>1270.0117799999625</v>
          </cell>
          <cell r="X17"/>
          <cell r="Y17"/>
          <cell r="Z17">
            <v>2624192.0336200008</v>
          </cell>
          <cell r="AA17">
            <v>49425.544000000002</v>
          </cell>
          <cell r="AB17">
            <v>-175.04599999999999</v>
          </cell>
          <cell r="AC17">
            <v>4349.0779999999995</v>
          </cell>
          <cell r="AD17">
            <v>19815.39</v>
          </cell>
          <cell r="AE17"/>
          <cell r="AF17"/>
          <cell r="AG17"/>
          <cell r="AH17">
            <v>73414.966</v>
          </cell>
          <cell r="AI17">
            <v>2697606.999620005</v>
          </cell>
          <cell r="AJ17">
            <v>56405.605530000059</v>
          </cell>
          <cell r="AK17">
            <v>-57348.067319999995</v>
          </cell>
          <cell r="AL17">
            <v>-138084.2281500001</v>
          </cell>
          <cell r="AM17"/>
          <cell r="AN17">
            <v>-139026.68994000007</v>
          </cell>
          <cell r="AO17">
            <v>123792.4319999991</v>
          </cell>
          <cell r="AP17">
            <v>0</v>
          </cell>
          <cell r="AQ17"/>
          <cell r="AR17"/>
          <cell r="AS17">
            <v>123792.4319999991</v>
          </cell>
          <cell r="AT17">
            <v>5374.1090000000004</v>
          </cell>
          <cell r="AU17">
            <v>1789.7559999999999</v>
          </cell>
          <cell r="AV17">
            <v>61301.468000000001</v>
          </cell>
          <cell r="AW17"/>
          <cell r="AX17"/>
          <cell r="AY17"/>
          <cell r="AZ17"/>
          <cell r="BA17">
            <v>68465.332999999999</v>
          </cell>
          <cell r="BB17">
            <v>0</v>
          </cell>
          <cell r="BC17">
            <v>1820.6</v>
          </cell>
          <cell r="BD17">
            <v>241788.24</v>
          </cell>
          <cell r="BE17">
            <v>0</v>
          </cell>
          <cell r="BF17">
            <v>-9890.8439999999991</v>
          </cell>
          <cell r="BG17">
            <v>0</v>
          </cell>
          <cell r="BH17"/>
          <cell r="BI17"/>
          <cell r="BJ17">
            <v>233717.99599999998</v>
          </cell>
          <cell r="BK17"/>
          <cell r="BL17"/>
          <cell r="BM17"/>
          <cell r="BN17"/>
          <cell r="BO17"/>
        </row>
        <row r="18">
          <cell r="F18">
            <v>599641.55268000008</v>
          </cell>
          <cell r="G18">
            <v>29467.261930000001</v>
          </cell>
          <cell r="H18">
            <v>35915.869500000001</v>
          </cell>
          <cell r="I18">
            <v>20311.159210000002</v>
          </cell>
          <cell r="J18">
            <v>17783.516310000003</v>
          </cell>
          <cell r="K18">
            <v>76818.714340000006</v>
          </cell>
          <cell r="L18">
            <v>40634.067620000002</v>
          </cell>
          <cell r="M18">
            <v>15700.772130000001</v>
          </cell>
          <cell r="N18">
            <v>31183.736379999998</v>
          </cell>
          <cell r="O18">
            <v>12200.202519999999</v>
          </cell>
          <cell r="P18">
            <v>31395.99768</v>
          </cell>
          <cell r="Q18">
            <v>15779.691009999999</v>
          </cell>
          <cell r="R18">
            <v>14921.166980000002</v>
          </cell>
          <cell r="S18">
            <v>35507.37298</v>
          </cell>
          <cell r="T18">
            <v>5700.1950899999993</v>
          </cell>
          <cell r="U18">
            <v>10911.429210000002</v>
          </cell>
          <cell r="V18">
            <v>21109.467950000002</v>
          </cell>
          <cell r="W18">
            <v>12928.01578</v>
          </cell>
          <cell r="X18"/>
          <cell r="Y18"/>
          <cell r="Z18">
            <v>428268.63661999995</v>
          </cell>
          <cell r="AA18">
            <v>5669.0559999999996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6022.7279999999992</v>
          </cell>
          <cell r="AI18">
            <v>434291.36462000007</v>
          </cell>
          <cell r="AJ18">
            <v>33391.398529999999</v>
          </cell>
          <cell r="AK18">
            <v>12575.910679999999</v>
          </cell>
          <cell r="AL18">
            <v>62492.487850000005</v>
          </cell>
          <cell r="AM18"/>
          <cell r="AN18">
            <v>108459.79706000001</v>
          </cell>
          <cell r="AO18">
            <v>5435.7830000000004</v>
          </cell>
          <cell r="AP18">
            <v>855.83600000000001</v>
          </cell>
          <cell r="AQ18"/>
          <cell r="AR18"/>
          <cell r="AS18">
            <v>6291.6190000000006</v>
          </cell>
          <cell r="AT18">
            <v>1312.8920000000001</v>
          </cell>
          <cell r="AU18">
            <v>8489.6080000000002</v>
          </cell>
          <cell r="AV18">
            <v>0</v>
          </cell>
          <cell r="AW18"/>
          <cell r="AX18"/>
          <cell r="AY18"/>
          <cell r="AZ18"/>
          <cell r="BA18">
            <v>9802.5</v>
          </cell>
          <cell r="BB18">
            <v>0</v>
          </cell>
          <cell r="BC18">
            <v>17710.448</v>
          </cell>
          <cell r="BD18">
            <v>0</v>
          </cell>
          <cell r="BE18">
            <v>0</v>
          </cell>
          <cell r="BF18">
            <v>23085.823999999997</v>
          </cell>
          <cell r="BG18">
            <v>0</v>
          </cell>
          <cell r="BH18"/>
          <cell r="BI18"/>
          <cell r="BJ18">
            <v>40796.271999999997</v>
          </cell>
          <cell r="BK18"/>
          <cell r="BL18"/>
          <cell r="BM18"/>
          <cell r="BN18"/>
          <cell r="BO18"/>
        </row>
        <row r="19">
          <cell r="F19">
            <v>530136.57668000006</v>
          </cell>
          <cell r="G19">
            <v>27139.639930000001</v>
          </cell>
          <cell r="H19">
            <v>33970.734499999999</v>
          </cell>
          <cell r="I19">
            <v>18539.912210000002</v>
          </cell>
          <cell r="J19">
            <v>16591.528310000002</v>
          </cell>
          <cell r="K19">
            <v>74942.64834</v>
          </cell>
          <cell r="L19">
            <v>39069.66562</v>
          </cell>
          <cell r="M19">
            <v>14507.173130000001</v>
          </cell>
          <cell r="N19">
            <v>29620.431379999998</v>
          </cell>
          <cell r="O19">
            <v>11450.166519999999</v>
          </cell>
          <cell r="P19">
            <v>30177.231680000001</v>
          </cell>
          <cell r="Q19">
            <v>14574.30301</v>
          </cell>
          <cell r="R19">
            <v>13819.011980000001</v>
          </cell>
          <cell r="S19">
            <v>33919.171979999999</v>
          </cell>
          <cell r="T19">
            <v>5329.7950899999996</v>
          </cell>
          <cell r="U19">
            <v>10468.560210000001</v>
          </cell>
          <cell r="V19">
            <v>19982.603950000001</v>
          </cell>
          <cell r="W19">
            <v>12102.645779999999</v>
          </cell>
          <cell r="X19"/>
          <cell r="Y19"/>
          <cell r="Z19">
            <v>406205.22362000006</v>
          </cell>
          <cell r="AA19">
            <v>5669.0559999999996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5669.0559999999996</v>
          </cell>
          <cell r="AI19">
            <v>411874.27962000004</v>
          </cell>
          <cell r="AJ19">
            <v>33391.398529999999</v>
          </cell>
          <cell r="AK19">
            <v>12575.910679999999</v>
          </cell>
          <cell r="AL19">
            <v>62492.487850000005</v>
          </cell>
          <cell r="AM19"/>
          <cell r="AN19">
            <v>108459.79706000001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/>
          <cell r="AX19"/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69504.975999999995</v>
          </cell>
          <cell r="G20">
            <v>2327.6219999999998</v>
          </cell>
          <cell r="H20">
            <v>1945.135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X20"/>
          <cell r="Y20"/>
          <cell r="Z20">
            <v>22063.413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22417.084999999999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5435.7830000000004</v>
          </cell>
          <cell r="AP20">
            <v>855.83600000000001</v>
          </cell>
          <cell r="AQ20"/>
          <cell r="AR20"/>
          <cell r="AS20">
            <v>6291.6190000000006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17710.448</v>
          </cell>
          <cell r="BD20">
            <v>0</v>
          </cell>
          <cell r="BE20">
            <v>0</v>
          </cell>
          <cell r="BF20">
            <v>23085.823999999997</v>
          </cell>
          <cell r="BG20">
            <v>0</v>
          </cell>
          <cell r="BH20"/>
          <cell r="BI20"/>
          <cell r="BJ20">
            <v>40796.271999999997</v>
          </cell>
          <cell r="BK20"/>
          <cell r="BL20"/>
          <cell r="BM20"/>
          <cell r="BN20"/>
          <cell r="BO20"/>
        </row>
        <row r="21">
          <cell r="F21">
            <v>2384914.5180000127</v>
          </cell>
          <cell r="G21">
            <v>302275.15799999988</v>
          </cell>
          <cell r="H21">
            <v>72336.657000000137</v>
          </cell>
          <cell r="I21">
            <v>79622.708999999741</v>
          </cell>
          <cell r="J21">
            <v>98878.248000000051</v>
          </cell>
          <cell r="K21">
            <v>175179.09099999996</v>
          </cell>
          <cell r="L21">
            <v>124875.79599999993</v>
          </cell>
          <cell r="M21">
            <v>84464.322000000073</v>
          </cell>
          <cell r="N21">
            <v>141171.47200000004</v>
          </cell>
          <cell r="O21">
            <v>98711.030999999959</v>
          </cell>
          <cell r="P21">
            <v>134085.62200000003</v>
          </cell>
          <cell r="Q21">
            <v>166756.88400000008</v>
          </cell>
          <cell r="R21">
            <v>169857.74900000004</v>
          </cell>
          <cell r="S21">
            <v>245551.13900000026</v>
          </cell>
          <cell r="T21">
            <v>96375.568999999989</v>
          </cell>
          <cell r="U21">
            <v>153193.47700000004</v>
          </cell>
          <cell r="V21">
            <v>64246.477000000072</v>
          </cell>
          <cell r="W21">
            <v>-11658.004000000037</v>
          </cell>
          <cell r="X21"/>
          <cell r="Y21"/>
          <cell r="Z21">
            <v>2195923.3970000008</v>
          </cell>
          <cell r="AA21">
            <v>43756.488000000005</v>
          </cell>
          <cell r="AB21">
            <v>-528.71800000000007</v>
          </cell>
          <cell r="AC21">
            <v>4349.0779999999995</v>
          </cell>
          <cell r="AD21">
            <v>19815.39</v>
          </cell>
          <cell r="AE21"/>
          <cell r="AF21"/>
          <cell r="AG21"/>
          <cell r="AH21">
            <v>67392.237999999998</v>
          </cell>
          <cell r="AI21">
            <v>2263315.6350000049</v>
          </cell>
          <cell r="AJ21">
            <v>23014.20700000006</v>
          </cell>
          <cell r="AK21">
            <v>-69923.977999999988</v>
          </cell>
          <cell r="AL21">
            <v>-200576.7160000001</v>
          </cell>
          <cell r="AM21"/>
          <cell r="AN21">
            <v>-247486.48700000008</v>
          </cell>
          <cell r="AO21">
            <v>118356.6489999991</v>
          </cell>
          <cell r="AP21">
            <v>-855.83600000000001</v>
          </cell>
          <cell r="AQ21"/>
          <cell r="AR21"/>
          <cell r="AS21">
            <v>117500.81299999909</v>
          </cell>
          <cell r="AT21">
            <v>4061.2170000000006</v>
          </cell>
          <cell r="AU21">
            <v>-6699.8520000000008</v>
          </cell>
          <cell r="AV21">
            <v>61301.468000000001</v>
          </cell>
          <cell r="AW21"/>
          <cell r="AX21"/>
          <cell r="AY21"/>
          <cell r="AZ21"/>
          <cell r="BA21">
            <v>58662.832999999999</v>
          </cell>
          <cell r="BB21">
            <v>0</v>
          </cell>
          <cell r="BC21">
            <v>-15889.848</v>
          </cell>
          <cell r="BD21">
            <v>241788.24</v>
          </cell>
          <cell r="BE21">
            <v>0</v>
          </cell>
          <cell r="BF21">
            <v>-32976.667999999998</v>
          </cell>
          <cell r="BG21">
            <v>0</v>
          </cell>
          <cell r="BH21"/>
          <cell r="BI21"/>
          <cell r="BJ21">
            <v>192921.72399999999</v>
          </cell>
          <cell r="BK21"/>
          <cell r="BL21"/>
          <cell r="BM21"/>
          <cell r="BN21"/>
          <cell r="BO21"/>
        </row>
        <row r="22">
          <cell r="F22">
            <v>1308053.490003047</v>
          </cell>
          <cell r="G22">
            <v>170542.86093928176</v>
          </cell>
          <cell r="H22">
            <v>130947.67830960172</v>
          </cell>
          <cell r="I22">
            <v>96137.587014749559</v>
          </cell>
          <cell r="J22">
            <v>74348.094848024048</v>
          </cell>
          <cell r="K22">
            <v>96559.605917861161</v>
          </cell>
          <cell r="L22">
            <v>86581.126572331545</v>
          </cell>
          <cell r="M22">
            <v>54306.951594183382</v>
          </cell>
          <cell r="N22">
            <v>84012.644233792395</v>
          </cell>
          <cell r="O22">
            <v>47567.842637468631</v>
          </cell>
          <cell r="P22">
            <v>60713.779677330509</v>
          </cell>
          <cell r="Q22">
            <v>68278.442810903929</v>
          </cell>
          <cell r="R22">
            <v>64693.225906416701</v>
          </cell>
          <cell r="S22">
            <v>121112.6167861305</v>
          </cell>
          <cell r="T22">
            <v>22496.217634099085</v>
          </cell>
          <cell r="U22">
            <v>33002.039357476198</v>
          </cell>
          <cell r="V22">
            <v>38988.730585778787</v>
          </cell>
          <cell r="W22">
            <v>15141.646049545918</v>
          </cell>
          <cell r="X22"/>
          <cell r="Y22"/>
          <cell r="Z22">
            <v>1265431.0908749755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1265431.0908749755</v>
          </cell>
          <cell r="AJ22">
            <v>21140.253365970475</v>
          </cell>
          <cell r="AK22">
            <v>434.77680210105655</v>
          </cell>
          <cell r="AL22">
            <v>21047.36896</v>
          </cell>
          <cell r="AM22"/>
          <cell r="AN22">
            <v>42622.399128071527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270848.64100304741</v>
          </cell>
          <cell r="G23">
            <v>30626.665131005815</v>
          </cell>
          <cell r="H23">
            <v>23516.028001305185</v>
          </cell>
          <cell r="I23">
            <v>17264.713795624379</v>
          </cell>
          <cell r="J23">
            <v>13351.682922977245</v>
          </cell>
          <cell r="K23">
            <v>18934.605013705368</v>
          </cell>
          <cell r="L23">
            <v>16977.901035379873</v>
          </cell>
          <cell r="M23">
            <v>10649.180557022886</v>
          </cell>
          <cell r="N23">
            <v>16474.24116536873</v>
          </cell>
          <cell r="O23">
            <v>9327.6924976343344</v>
          </cell>
          <cell r="P23">
            <v>11905.510861936305</v>
          </cell>
          <cell r="Q23">
            <v>13388.883822445216</v>
          </cell>
          <cell r="R23">
            <v>12685.850029694742</v>
          </cell>
          <cell r="S23">
            <v>17385.915881523917</v>
          </cell>
          <cell r="T23">
            <v>3229.3691426844921</v>
          </cell>
          <cell r="U23">
            <v>4737.4971775321219</v>
          </cell>
          <cell r="V23">
            <v>5596.8965767518193</v>
          </cell>
          <cell r="W23">
            <v>2173.6082623834536</v>
          </cell>
          <cell r="X23"/>
          <cell r="Y23"/>
          <cell r="Z23">
            <v>228226.24187497588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228226.24187497588</v>
          </cell>
          <cell r="AJ23">
            <v>21140.253365970475</v>
          </cell>
          <cell r="AK23">
            <v>434.77680210105655</v>
          </cell>
          <cell r="AL23">
            <v>21047.36896</v>
          </cell>
          <cell r="AM23"/>
          <cell r="AN23">
            <v>42622.399128071527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435151.77799999993</v>
          </cell>
          <cell r="G24">
            <v>58700.826009122728</v>
          </cell>
          <cell r="H24">
            <v>45072.170353042267</v>
          </cell>
          <cell r="I24">
            <v>33090.542384526489</v>
          </cell>
          <cell r="J24">
            <v>25590.602595422803</v>
          </cell>
          <cell r="K24">
            <v>32567.006597840347</v>
          </cell>
          <cell r="L24">
            <v>29201.528874591215</v>
          </cell>
          <cell r="M24">
            <v>18316.301460269486</v>
          </cell>
          <cell r="N24">
            <v>28335.247571239623</v>
          </cell>
          <cell r="O24">
            <v>16043.377873116598</v>
          </cell>
          <cell r="P24">
            <v>20477.155478590266</v>
          </cell>
          <cell r="Q24">
            <v>23028.516700912271</v>
          </cell>
          <cell r="R24">
            <v>21819.317662937254</v>
          </cell>
          <cell r="S24">
            <v>43517.785679686654</v>
          </cell>
          <cell r="T24">
            <v>8083.2666619124893</v>
          </cell>
          <cell r="U24">
            <v>11858.183844605859</v>
          </cell>
          <cell r="V24">
            <v>14009.301975128883</v>
          </cell>
          <cell r="W24">
            <v>5440.6462770546996</v>
          </cell>
          <cell r="X24"/>
          <cell r="Y24"/>
          <cell r="Z24">
            <v>435151.77799999993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435151.77799999993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602053.07099999988</v>
          </cell>
          <cell r="G25">
            <v>81215.369799153195</v>
          </cell>
          <cell r="H25">
            <v>62359.479955254268</v>
          </cell>
          <cell r="I25">
            <v>45782.330834598681</v>
          </cell>
          <cell r="J25">
            <v>35405.809329623997</v>
          </cell>
          <cell r="K25">
            <v>45057.994306315457</v>
          </cell>
          <cell r="L25">
            <v>40401.696662360453</v>
          </cell>
          <cell r="M25">
            <v>25341.469576891006</v>
          </cell>
          <cell r="N25">
            <v>39203.155497184038</v>
          </cell>
          <cell r="O25">
            <v>22196.7722667177</v>
          </cell>
          <cell r="P25">
            <v>28331.113336803937</v>
          </cell>
          <cell r="Q25">
            <v>31861.042287546446</v>
          </cell>
          <cell r="R25">
            <v>30188.058213784705</v>
          </cell>
          <cell r="S25">
            <v>60208.915224919932</v>
          </cell>
          <cell r="T25">
            <v>11183.581829502105</v>
          </cell>
          <cell r="U25">
            <v>16406.358335338216</v>
          </cell>
          <cell r="V25">
            <v>19382.532033898089</v>
          </cell>
          <cell r="W25">
            <v>7527.3915101077655</v>
          </cell>
          <cell r="X25"/>
          <cell r="Y25"/>
          <cell r="Z25">
            <v>602053.07099999988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602053.07099999988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1076861.0279969657</v>
          </cell>
          <cell r="G26">
            <v>131732.29706071812</v>
          </cell>
          <cell r="H26">
            <v>-58611.02130960158</v>
          </cell>
          <cell r="I26">
            <v>-16514.878014749818</v>
          </cell>
          <cell r="J26">
            <v>24530.153151976003</v>
          </cell>
          <cell r="K26">
            <v>78619.485082138795</v>
          </cell>
          <cell r="L26">
            <v>38294.669427668385</v>
          </cell>
          <cell r="M26">
            <v>30157.370405816691</v>
          </cell>
          <cell r="N26">
            <v>57158.827766207643</v>
          </cell>
          <cell r="O26">
            <v>51143.188362531328</v>
          </cell>
          <cell r="P26">
            <v>73371.842322669516</v>
          </cell>
          <cell r="Q26">
            <v>98478.441189096149</v>
          </cell>
          <cell r="R26">
            <v>105164.52309358334</v>
          </cell>
          <cell r="S26">
            <v>124438.52221386976</v>
          </cell>
          <cell r="T26">
            <v>73879.351365900904</v>
          </cell>
          <cell r="U26">
            <v>120191.43764252384</v>
          </cell>
          <cell r="V26">
            <v>25257.746414221285</v>
          </cell>
          <cell r="W26">
            <v>-26799.650049545955</v>
          </cell>
          <cell r="X26"/>
          <cell r="Y26"/>
          <cell r="Z26">
            <v>930492.30612502526</v>
          </cell>
          <cell r="AA26">
            <v>43756.488000000005</v>
          </cell>
          <cell r="AB26">
            <v>-528.71800000000007</v>
          </cell>
          <cell r="AC26">
            <v>4349.0779999999995</v>
          </cell>
          <cell r="AD26">
            <v>19815.39</v>
          </cell>
          <cell r="AE26"/>
          <cell r="AF26"/>
          <cell r="AG26"/>
          <cell r="AH26">
            <v>67392.237999999998</v>
          </cell>
          <cell r="AI26">
            <v>997884.54412502935</v>
          </cell>
          <cell r="AJ26">
            <v>1873.9536340295854</v>
          </cell>
          <cell r="AK26">
            <v>-70358.754802101044</v>
          </cell>
          <cell r="AL26">
            <v>-221624.08496000009</v>
          </cell>
          <cell r="AM26"/>
          <cell r="AN26">
            <v>-290108.88612807158</v>
          </cell>
          <cell r="AO26">
            <v>118356.6489999991</v>
          </cell>
          <cell r="AP26">
            <v>-855.83600000000001</v>
          </cell>
          <cell r="AQ26"/>
          <cell r="AR26"/>
          <cell r="AS26">
            <v>117500.81299999909</v>
          </cell>
          <cell r="AT26">
            <v>4061.2170000000006</v>
          </cell>
          <cell r="AU26">
            <v>-6699.8520000000008</v>
          </cell>
          <cell r="AV26">
            <v>61301.468000000001</v>
          </cell>
          <cell r="AW26"/>
          <cell r="AX26"/>
          <cell r="AY26"/>
          <cell r="AZ26"/>
          <cell r="BA26">
            <v>58662.832999999999</v>
          </cell>
          <cell r="BB26">
            <v>0</v>
          </cell>
          <cell r="BC26">
            <v>-15889.848</v>
          </cell>
          <cell r="BD26">
            <v>241788.24</v>
          </cell>
          <cell r="BE26">
            <v>0</v>
          </cell>
          <cell r="BF26">
            <v>-32976.667999999998</v>
          </cell>
          <cell r="BG26">
            <v>0</v>
          </cell>
          <cell r="BH26"/>
          <cell r="BI26"/>
          <cell r="BJ26">
            <v>192921.72399999999</v>
          </cell>
          <cell r="BK26"/>
          <cell r="BL26"/>
          <cell r="BM26"/>
          <cell r="BN26"/>
          <cell r="BO26"/>
        </row>
        <row r="27">
          <cell r="F27">
            <v>1076861.0279969517</v>
          </cell>
          <cell r="G27">
            <v>131732.29706071821</v>
          </cell>
          <cell r="H27">
            <v>-58611.021309601594</v>
          </cell>
          <cell r="I27">
            <v>-16514.878014749815</v>
          </cell>
          <cell r="J27">
            <v>24530.153151976006</v>
          </cell>
          <cell r="K27">
            <v>78619.485082138766</v>
          </cell>
          <cell r="L27">
            <v>38294.669427668385</v>
          </cell>
          <cell r="M27">
            <v>30157.370405816673</v>
          </cell>
          <cell r="N27">
            <v>57158.827766207636</v>
          </cell>
          <cell r="O27">
            <v>51143.188362531328</v>
          </cell>
          <cell r="P27">
            <v>73371.842322669545</v>
          </cell>
          <cell r="Q27">
            <v>98478.441189096193</v>
          </cell>
          <cell r="R27">
            <v>105164.5230935834</v>
          </cell>
          <cell r="S27">
            <v>124438.52221386974</v>
          </cell>
          <cell r="T27">
            <v>73879.351365900904</v>
          </cell>
          <cell r="U27">
            <v>120191.43764252384</v>
          </cell>
          <cell r="V27">
            <v>25257.746414221281</v>
          </cell>
          <cell r="W27">
            <v>-26799.650049545951</v>
          </cell>
          <cell r="X27"/>
          <cell r="Y27"/>
          <cell r="Z27">
            <v>930492.30612502457</v>
          </cell>
          <cell r="AA27">
            <v>43756.488000000005</v>
          </cell>
          <cell r="AB27">
            <v>-528.71800000000007</v>
          </cell>
          <cell r="AC27">
            <v>4349.0779999999995</v>
          </cell>
          <cell r="AD27">
            <v>19815.39</v>
          </cell>
          <cell r="AE27"/>
          <cell r="AF27"/>
          <cell r="AG27"/>
          <cell r="AH27">
            <v>67392.238000000012</v>
          </cell>
          <cell r="AI27">
            <v>997884.54412502458</v>
          </cell>
          <cell r="AJ27">
            <v>1873.9536340295817</v>
          </cell>
          <cell r="AK27">
            <v>-70358.754802101044</v>
          </cell>
          <cell r="AL27">
            <v>-221624.08496000009</v>
          </cell>
          <cell r="AM27"/>
          <cell r="AN27">
            <v>-290108.88612807158</v>
          </cell>
          <cell r="AO27">
            <v>118356.6489999991</v>
          </cell>
          <cell r="AP27">
            <v>-855.83600000000001</v>
          </cell>
          <cell r="AQ27"/>
          <cell r="AR27"/>
          <cell r="AS27">
            <v>117500.81299999911</v>
          </cell>
          <cell r="AT27">
            <v>4061.2170000000006</v>
          </cell>
          <cell r="AU27">
            <v>-6699.8520000000008</v>
          </cell>
          <cell r="AV27">
            <v>61301.468000000001</v>
          </cell>
          <cell r="AW27"/>
          <cell r="AX27"/>
          <cell r="AY27"/>
          <cell r="AZ27"/>
          <cell r="BA27">
            <v>58662.832999999999</v>
          </cell>
          <cell r="BB27">
            <v>0</v>
          </cell>
          <cell r="BC27">
            <v>-15889.848</v>
          </cell>
          <cell r="BD27">
            <v>241788.24</v>
          </cell>
          <cell r="BE27">
            <v>0</v>
          </cell>
          <cell r="BF27">
            <v>-32976.667999999998</v>
          </cell>
          <cell r="BG27">
            <v>0</v>
          </cell>
          <cell r="BH27"/>
          <cell r="BI27"/>
          <cell r="BJ27">
            <v>192921.72399999999</v>
          </cell>
          <cell r="BK27"/>
          <cell r="BL27"/>
          <cell r="BM27"/>
          <cell r="BN27"/>
          <cell r="BO27"/>
        </row>
        <row r="28">
          <cell r="F28">
            <v>1.3969838619232178E-8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4.7730281949043274E-9</v>
          </cell>
          <cell r="AJ28">
            <v>3.637978807091713E-12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38566</v>
          </cell>
          <cell r="H31">
            <v>29507</v>
          </cell>
          <cell r="I31">
            <v>22349</v>
          </cell>
          <cell r="J31">
            <v>17224</v>
          </cell>
          <cell r="K31">
            <v>19120</v>
          </cell>
          <cell r="L31">
            <v>19932</v>
          </cell>
          <cell r="M31">
            <v>12286</v>
          </cell>
          <cell r="N31">
            <v>18063</v>
          </cell>
          <cell r="O31">
            <v>10320</v>
          </cell>
          <cell r="P31">
            <v>13393</v>
          </cell>
          <cell r="Q31">
            <v>15449</v>
          </cell>
          <cell r="R31">
            <v>12988</v>
          </cell>
          <cell r="S31">
            <v>27751</v>
          </cell>
          <cell r="T31">
            <v>4554</v>
          </cell>
          <cell r="U31">
            <v>7147</v>
          </cell>
          <cell r="V31">
            <v>9118.5</v>
          </cell>
          <cell r="W31">
            <v>2901</v>
          </cell>
          <cell r="X31">
            <v>0</v>
          </cell>
          <cell r="Y31">
            <v>0</v>
          </cell>
          <cell r="Z31">
            <v>280668.5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280668.5</v>
          </cell>
          <cell r="AJ31">
            <v>25492</v>
          </cell>
          <cell r="AK31">
            <v>1202</v>
          </cell>
          <cell r="AL31">
            <v>39432</v>
          </cell>
          <cell r="AM31"/>
          <cell r="AN31">
            <v>66126</v>
          </cell>
          <cell r="AO31">
            <v>10221.802</v>
          </cell>
          <cell r="AP31">
            <v>0</v>
          </cell>
          <cell r="AQ31"/>
          <cell r="AR31"/>
          <cell r="AS31">
            <v>10221.802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39591888.234000005</v>
          </cell>
          <cell r="G32">
            <v>3786524.2609999999</v>
          </cell>
          <cell r="H32">
            <v>2907401.4479999999</v>
          </cell>
          <cell r="I32">
            <v>2134520.9269999997</v>
          </cell>
          <cell r="J32">
            <v>1650733.8</v>
          </cell>
          <cell r="K32">
            <v>2100750.0060000001</v>
          </cell>
          <cell r="L32">
            <v>1883658.29</v>
          </cell>
          <cell r="M32">
            <v>1181501.6000000001</v>
          </cell>
          <cell r="N32">
            <v>1827778.409</v>
          </cell>
          <cell r="O32">
            <v>1034885.6</v>
          </cell>
          <cell r="P32">
            <v>1320888.5</v>
          </cell>
          <cell r="Q32">
            <v>1485465.25</v>
          </cell>
          <cell r="R32">
            <v>1407465.3</v>
          </cell>
          <cell r="S32">
            <v>2807135.1370000001</v>
          </cell>
          <cell r="T32">
            <v>521414.9</v>
          </cell>
          <cell r="U32">
            <v>764917.7</v>
          </cell>
          <cell r="V32">
            <v>903676.58199999994</v>
          </cell>
          <cell r="W32">
            <v>350951.435</v>
          </cell>
          <cell r="X32">
            <v>0</v>
          </cell>
          <cell r="Y32">
            <v>0</v>
          </cell>
          <cell r="Z32">
            <v>28069669.145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28160509.145</v>
          </cell>
          <cell r="AJ32">
            <v>701341.5</v>
          </cell>
          <cell r="AK32">
            <v>14424</v>
          </cell>
          <cell r="AL32">
            <v>698260</v>
          </cell>
          <cell r="AM32"/>
          <cell r="AN32">
            <v>1414025.5</v>
          </cell>
          <cell r="AO32">
            <v>9942869.0209999997</v>
          </cell>
          <cell r="AP32">
            <v>0</v>
          </cell>
          <cell r="AQ32"/>
          <cell r="AR32"/>
          <cell r="AS32">
            <v>9942869.0209999997</v>
          </cell>
          <cell r="AT32">
            <v>5512.5</v>
          </cell>
          <cell r="AU32">
            <v>5850</v>
          </cell>
          <cell r="AV32">
            <v>61301.468000000001</v>
          </cell>
          <cell r="AW32"/>
          <cell r="AX32"/>
          <cell r="AY32"/>
          <cell r="AZ32"/>
          <cell r="BA32">
            <v>72663.967999999993</v>
          </cell>
          <cell r="BB32">
            <v>0</v>
          </cell>
          <cell r="BC32">
            <v>1820.6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1820.6</v>
          </cell>
        </row>
        <row r="33">
          <cell r="F33">
            <v>36289063.137999997</v>
          </cell>
          <cell r="G33">
            <v>3406885.1570000001</v>
          </cell>
          <cell r="H33">
            <v>2766502.6929999995</v>
          </cell>
          <cell r="I33">
            <v>1998775.3659999999</v>
          </cell>
          <cell r="J33">
            <v>1515485.45</v>
          </cell>
          <cell r="K33">
            <v>1876658.4740000002</v>
          </cell>
          <cell r="L33">
            <v>1703078.9700000002</v>
          </cell>
          <cell r="M33">
            <v>1059897.192</v>
          </cell>
          <cell r="N33">
            <v>1638874.8289999999</v>
          </cell>
          <cell r="O33">
            <v>906371.397</v>
          </cell>
          <cell r="P33">
            <v>1146463.5279999999</v>
          </cell>
          <cell r="Q33">
            <v>1281389.0229999998</v>
          </cell>
          <cell r="R33">
            <v>1196823.2339999999</v>
          </cell>
          <cell r="S33">
            <v>2503640.69</v>
          </cell>
          <cell r="T33">
            <v>413032.75400000007</v>
          </cell>
          <cell r="U33">
            <v>600134.16299999994</v>
          </cell>
          <cell r="V33">
            <v>810271.97299999988</v>
          </cell>
          <cell r="W33">
            <v>347520.14700000006</v>
          </cell>
          <cell r="X33">
            <v>0</v>
          </cell>
          <cell r="Y33">
            <v>0</v>
          </cell>
          <cell r="Z33">
            <v>25171805.040000003</v>
          </cell>
          <cell r="AA33">
            <v>6243.5119999999997</v>
          </cell>
          <cell r="AB33">
            <v>0</v>
          </cell>
          <cell r="AC33">
            <v>4224.6419999999998</v>
          </cell>
          <cell r="AD33">
            <v>8524.61</v>
          </cell>
          <cell r="AE33"/>
          <cell r="AF33"/>
          <cell r="AG33"/>
          <cell r="AH33">
            <v>18992.763999999999</v>
          </cell>
          <cell r="AI33">
            <v>25190797.804000001</v>
          </cell>
          <cell r="AJ33">
            <v>678327.29299999995</v>
          </cell>
          <cell r="AK33">
            <v>56112.949000000001</v>
          </cell>
          <cell r="AL33">
            <v>898836.71600000013</v>
          </cell>
          <cell r="AM33"/>
          <cell r="AN33">
            <v>1633276.9580000001</v>
          </cell>
          <cell r="AO33">
            <v>9692775.4810000006</v>
          </cell>
          <cell r="AP33">
            <v>0</v>
          </cell>
          <cell r="AQ33"/>
          <cell r="AR33"/>
          <cell r="AS33">
            <v>9692775.4810000006</v>
          </cell>
          <cell r="AT33">
            <v>1451.2830000000001</v>
          </cell>
          <cell r="AU33">
            <v>12549.852000000001</v>
          </cell>
          <cell r="AV33">
            <v>0</v>
          </cell>
          <cell r="AW33"/>
          <cell r="AX33"/>
          <cell r="AY33"/>
          <cell r="AZ33"/>
          <cell r="BA33">
            <v>14001.135</v>
          </cell>
          <cell r="BB33">
            <v>0</v>
          </cell>
          <cell r="BC33">
            <v>0</v>
          </cell>
          <cell r="BD33">
            <v>-241788.24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-241788.24</v>
          </cell>
        </row>
        <row r="34">
          <cell r="F34">
            <v>3302825.0960000083</v>
          </cell>
          <cell r="G34">
            <v>379639.10399999982</v>
          </cell>
          <cell r="H34">
            <v>140898.75500000035</v>
          </cell>
          <cell r="I34">
            <v>135745.56099999975</v>
          </cell>
          <cell r="J34">
            <v>135248.35000000009</v>
          </cell>
          <cell r="K34">
            <v>224091.53199999989</v>
          </cell>
          <cell r="L34">
            <v>180579.31999999983</v>
          </cell>
          <cell r="M34">
            <v>121604.40800000005</v>
          </cell>
          <cell r="N34">
            <v>188903.58000000007</v>
          </cell>
          <cell r="O34">
            <v>128514.20299999998</v>
          </cell>
          <cell r="P34">
            <v>174424.97200000007</v>
          </cell>
          <cell r="Q34">
            <v>204076.22700000019</v>
          </cell>
          <cell r="R34">
            <v>210642.06600000011</v>
          </cell>
          <cell r="S34">
            <v>303494.44700000016</v>
          </cell>
          <cell r="T34">
            <v>108382.14599999995</v>
          </cell>
          <cell r="U34">
            <v>164783.53700000001</v>
          </cell>
          <cell r="V34">
            <v>93404.609000000055</v>
          </cell>
          <cell r="W34">
            <v>3431.2879999999423</v>
          </cell>
          <cell r="X34">
            <v>0</v>
          </cell>
          <cell r="Y34">
            <v>0</v>
          </cell>
          <cell r="Z34">
            <v>2897864.1049999967</v>
          </cell>
          <cell r="AA34">
            <v>43756.487999999998</v>
          </cell>
          <cell r="AB34">
            <v>0</v>
          </cell>
          <cell r="AC34">
            <v>8275.3580000000002</v>
          </cell>
          <cell r="AD34">
            <v>19815.39</v>
          </cell>
          <cell r="AE34"/>
          <cell r="AF34"/>
          <cell r="AG34"/>
          <cell r="AH34">
            <v>71847.236000000004</v>
          </cell>
          <cell r="AI34">
            <v>2969711.3409999982</v>
          </cell>
          <cell r="AJ34">
            <v>23014.207000000053</v>
          </cell>
          <cell r="AK34">
            <v>-41688.949000000001</v>
          </cell>
          <cell r="AL34">
            <v>-200576.71600000013</v>
          </cell>
          <cell r="AM34"/>
          <cell r="AN34">
            <v>-219251.4580000001</v>
          </cell>
          <cell r="AO34">
            <v>250093.53999999911</v>
          </cell>
          <cell r="AP34">
            <v>0</v>
          </cell>
          <cell r="AQ34"/>
          <cell r="AR34"/>
          <cell r="AS34">
            <v>250093.53999999911</v>
          </cell>
          <cell r="AT34">
            <v>4061.2169999999996</v>
          </cell>
          <cell r="AU34">
            <v>-6699.8520000000008</v>
          </cell>
          <cell r="AV34">
            <v>61301.468000000001</v>
          </cell>
          <cell r="AW34"/>
          <cell r="AX34"/>
          <cell r="AY34"/>
          <cell r="AZ34"/>
          <cell r="BA34">
            <v>58662.832999999991</v>
          </cell>
          <cell r="BB34">
            <v>0</v>
          </cell>
          <cell r="BC34">
            <v>1820.6</v>
          </cell>
          <cell r="BD34">
            <v>241788.24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243608.84</v>
          </cell>
        </row>
        <row r="35">
          <cell r="F35">
            <v>2225964.0680030473</v>
          </cell>
          <cell r="G35">
            <v>247906.80693928179</v>
          </cell>
          <cell r="H35">
            <v>199509.77630960173</v>
          </cell>
          <cell r="I35">
            <v>152260.43901474957</v>
          </cell>
          <cell r="J35">
            <v>110718.19684802405</v>
          </cell>
          <cell r="K35">
            <v>145472.04691786115</v>
          </cell>
          <cell r="L35">
            <v>142284.65057233156</v>
          </cell>
          <cell r="M35">
            <v>91447.037594183392</v>
          </cell>
          <cell r="N35">
            <v>131744.75223379239</v>
          </cell>
          <cell r="O35">
            <v>77371.014637468616</v>
          </cell>
          <cell r="P35">
            <v>101053.12967733052</v>
          </cell>
          <cell r="Q35">
            <v>105597.78581090394</v>
          </cell>
          <cell r="R35">
            <v>105477.5429064167</v>
          </cell>
          <cell r="S35">
            <v>179055.92478613049</v>
          </cell>
          <cell r="T35">
            <v>34502.794634099082</v>
          </cell>
          <cell r="U35">
            <v>44592.099357476196</v>
          </cell>
          <cell r="V35">
            <v>68146.862585778785</v>
          </cell>
          <cell r="W35">
            <v>30230.938049545915</v>
          </cell>
          <cell r="X35">
            <v>0</v>
          </cell>
          <cell r="Y35">
            <v>0</v>
          </cell>
          <cell r="Z35">
            <v>1967371.7988749759</v>
          </cell>
          <cell r="AA35">
            <v>0</v>
          </cell>
          <cell r="AB35">
            <v>528.71800000000007</v>
          </cell>
          <cell r="AC35">
            <v>3926.28</v>
          </cell>
          <cell r="AD35">
            <v>0</v>
          </cell>
          <cell r="AE35"/>
          <cell r="AF35"/>
          <cell r="AG35"/>
          <cell r="AH35">
            <v>4454.9980000000005</v>
          </cell>
          <cell r="AI35">
            <v>1971826.7968749758</v>
          </cell>
          <cell r="AJ35">
            <v>21140.253365970475</v>
          </cell>
          <cell r="AK35">
            <v>28669.805802101051</v>
          </cell>
          <cell r="AL35">
            <v>21047.36896</v>
          </cell>
          <cell r="AM35"/>
          <cell r="AN35">
            <v>70857.428128071537</v>
          </cell>
          <cell r="AO35">
            <v>131736.891</v>
          </cell>
          <cell r="AP35">
            <v>855.83600000000001</v>
          </cell>
          <cell r="AQ35"/>
          <cell r="AR35"/>
          <cell r="AS35">
            <v>132592.72700000001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17710.448</v>
          </cell>
          <cell r="BD35">
            <v>0</v>
          </cell>
          <cell r="BE35">
            <v>0</v>
          </cell>
          <cell r="BF35">
            <v>32976.667999999998</v>
          </cell>
          <cell r="BG35">
            <v>0</v>
          </cell>
          <cell r="BH35"/>
          <cell r="BI35"/>
          <cell r="BJ35">
            <v>50687.115999999995</v>
          </cell>
        </row>
        <row r="36">
          <cell r="F36">
            <v>1076861.027996961</v>
          </cell>
          <cell r="G36">
            <v>131732.29706071803</v>
          </cell>
          <cell r="H36">
            <v>-58611.021309601376</v>
          </cell>
          <cell r="I36">
            <v>-16514.878014749818</v>
          </cell>
          <cell r="J36">
            <v>24530.153151976047</v>
          </cell>
          <cell r="K36">
            <v>78619.485082138737</v>
          </cell>
          <cell r="L36">
            <v>38294.669427668268</v>
          </cell>
          <cell r="M36">
            <v>30157.370405816662</v>
          </cell>
          <cell r="N36">
            <v>57158.827766207687</v>
          </cell>
          <cell r="O36">
            <v>51143.188362531364</v>
          </cell>
          <cell r="P36">
            <v>73371.842322669545</v>
          </cell>
          <cell r="Q36">
            <v>98478.441189096251</v>
          </cell>
          <cell r="R36">
            <v>105164.52309358341</v>
          </cell>
          <cell r="S36">
            <v>124438.52221386967</v>
          </cell>
          <cell r="T36">
            <v>73879.35136590086</v>
          </cell>
          <cell r="U36">
            <v>120191.43764252382</v>
          </cell>
          <cell r="V36">
            <v>25257.74641422127</v>
          </cell>
          <cell r="W36">
            <v>-26799.650049545973</v>
          </cell>
          <cell r="X36">
            <v>0</v>
          </cell>
          <cell r="Y36">
            <v>0</v>
          </cell>
          <cell r="Z36">
            <v>930492.30612502084</v>
          </cell>
          <cell r="AA36">
            <v>43756.487999999998</v>
          </cell>
          <cell r="AB36">
            <v>-528.71800000000007</v>
          </cell>
          <cell r="AC36">
            <v>4349.0779999999995</v>
          </cell>
          <cell r="AD36">
            <v>19815.39</v>
          </cell>
          <cell r="AE36"/>
          <cell r="AF36"/>
          <cell r="AG36"/>
          <cell r="AH36">
            <v>67392.237999999998</v>
          </cell>
          <cell r="AI36">
            <v>997884.54412502237</v>
          </cell>
          <cell r="AJ36">
            <v>1873.9536340295781</v>
          </cell>
          <cell r="AK36">
            <v>-70358.754802101059</v>
          </cell>
          <cell r="AL36">
            <v>-221624.08496000012</v>
          </cell>
          <cell r="AM36"/>
          <cell r="AN36">
            <v>-290108.88612807164</v>
          </cell>
          <cell r="AO36">
            <v>118356.6489999991</v>
          </cell>
          <cell r="AP36">
            <v>-855.83600000000001</v>
          </cell>
          <cell r="AQ36"/>
          <cell r="AR36"/>
          <cell r="AS36">
            <v>117500.81299999909</v>
          </cell>
          <cell r="AT36">
            <v>4061.2169999999996</v>
          </cell>
          <cell r="AU36">
            <v>-6699.8520000000008</v>
          </cell>
          <cell r="AV36">
            <v>61301.468000000001</v>
          </cell>
          <cell r="AW36"/>
          <cell r="AX36"/>
          <cell r="AY36"/>
          <cell r="AZ36"/>
          <cell r="BA36">
            <v>58662.832999999991</v>
          </cell>
          <cell r="BB36">
            <v>0</v>
          </cell>
          <cell r="BC36">
            <v>-15889.848</v>
          </cell>
          <cell r="BD36">
            <v>241788.24</v>
          </cell>
          <cell r="BE36">
            <v>0</v>
          </cell>
          <cell r="BF36">
            <v>-32976.667999999998</v>
          </cell>
          <cell r="BG36">
            <v>0</v>
          </cell>
          <cell r="BH36"/>
          <cell r="BI36"/>
          <cell r="BJ36">
            <v>192921.72399999999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-12130</v>
          </cell>
          <cell r="AK38">
            <v>0</v>
          </cell>
          <cell r="AL38">
            <v>-24792</v>
          </cell>
          <cell r="AM38"/>
          <cell r="AN38">
            <v>-36922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-810844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-355400</v>
          </cell>
          <cell r="AK39">
            <v>0</v>
          </cell>
          <cell r="AL39">
            <v>-455444</v>
          </cell>
          <cell r="AM39"/>
          <cell r="AN39">
            <v>-810844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-810844</v>
          </cell>
          <cell r="G40"/>
          <cell r="H40"/>
          <cell r="I40"/>
          <cell r="J40"/>
          <cell r="K40">
            <v>17194.447</v>
          </cell>
          <cell r="L40">
            <v>62641.874000000003</v>
          </cell>
          <cell r="M40">
            <v>-2222.752</v>
          </cell>
          <cell r="N40">
            <v>-1922.634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75690.934999999998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75690.934999999998</v>
          </cell>
          <cell r="AJ40">
            <v>-319522.99800000002</v>
          </cell>
          <cell r="AK40">
            <v>0</v>
          </cell>
          <cell r="AL40">
            <v>-567011.93700000003</v>
          </cell>
          <cell r="AM40"/>
          <cell r="AN40">
            <v>-886534.93500000006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-17194.447</v>
          </cell>
          <cell r="L41">
            <v>-62641.874000000003</v>
          </cell>
          <cell r="M41">
            <v>2222.752</v>
          </cell>
          <cell r="N41">
            <v>1922.634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-75690.934999999998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-75690.934999999998</v>
          </cell>
          <cell r="AJ41">
            <v>-35877.001999999979</v>
          </cell>
          <cell r="AK41">
            <v>0</v>
          </cell>
          <cell r="AL41">
            <v>111567.93700000003</v>
          </cell>
          <cell r="AM41"/>
          <cell r="AN41">
            <v>75690.935000000056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-17194.447</v>
          </cell>
          <cell r="L43">
            <v>-62641.874000000003</v>
          </cell>
          <cell r="M43">
            <v>2222.752</v>
          </cell>
          <cell r="N43">
            <v>1922.634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-75690.934999999998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-75690.934999999998</v>
          </cell>
          <cell r="AJ43">
            <v>-35877.001999999979</v>
          </cell>
          <cell r="AK43">
            <v>0</v>
          </cell>
          <cell r="AL43">
            <v>111567.93700000003</v>
          </cell>
          <cell r="AM43"/>
          <cell r="AN43">
            <v>75690.935000000056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38566</v>
          </cell>
          <cell r="H45">
            <v>29507</v>
          </cell>
          <cell r="I45">
            <v>22349</v>
          </cell>
          <cell r="J45">
            <v>17224</v>
          </cell>
          <cell r="K45">
            <v>19120</v>
          </cell>
          <cell r="L45">
            <v>19932</v>
          </cell>
          <cell r="M45">
            <v>12286</v>
          </cell>
          <cell r="N45">
            <v>18063</v>
          </cell>
          <cell r="O45">
            <v>10320</v>
          </cell>
          <cell r="P45">
            <v>13393</v>
          </cell>
          <cell r="Q45">
            <v>15449</v>
          </cell>
          <cell r="R45">
            <v>12988</v>
          </cell>
          <cell r="S45">
            <v>27751</v>
          </cell>
          <cell r="T45">
            <v>4554</v>
          </cell>
          <cell r="U45">
            <v>7147</v>
          </cell>
          <cell r="V45">
            <v>9118.5</v>
          </cell>
          <cell r="W45">
            <v>2901</v>
          </cell>
          <cell r="X45">
            <v>0</v>
          </cell>
          <cell r="Y45">
            <v>0</v>
          </cell>
          <cell r="Z45">
            <v>280668.5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280668.5</v>
          </cell>
          <cell r="AJ45">
            <v>13362</v>
          </cell>
          <cell r="AK45">
            <v>1202</v>
          </cell>
          <cell r="AL45">
            <v>14640</v>
          </cell>
          <cell r="AM45"/>
          <cell r="AN45">
            <v>29204</v>
          </cell>
          <cell r="AO45">
            <v>10221.802</v>
          </cell>
          <cell r="AP45">
            <v>0</v>
          </cell>
          <cell r="AQ45"/>
          <cell r="AR45"/>
          <cell r="AS45">
            <v>10221.802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38781044.234000005</v>
          </cell>
          <cell r="G46">
            <v>3786524.2609999999</v>
          </cell>
          <cell r="H46">
            <v>2907401.4479999999</v>
          </cell>
          <cell r="I46">
            <v>2134520.9269999997</v>
          </cell>
          <cell r="J46">
            <v>1650733.8</v>
          </cell>
          <cell r="K46">
            <v>2100750.0060000001</v>
          </cell>
          <cell r="L46">
            <v>1883658.29</v>
          </cell>
          <cell r="M46">
            <v>1181501.6000000001</v>
          </cell>
          <cell r="N46">
            <v>1827778.409</v>
          </cell>
          <cell r="O46">
            <v>1034885.6</v>
          </cell>
          <cell r="P46">
            <v>1320888.5</v>
          </cell>
          <cell r="Q46">
            <v>1485465.25</v>
          </cell>
          <cell r="R46">
            <v>1407465.3</v>
          </cell>
          <cell r="S46">
            <v>2807135.1370000001</v>
          </cell>
          <cell r="T46">
            <v>521414.9</v>
          </cell>
          <cell r="U46">
            <v>764917.7</v>
          </cell>
          <cell r="V46">
            <v>903676.58199999994</v>
          </cell>
          <cell r="W46">
            <v>350951.435</v>
          </cell>
          <cell r="X46">
            <v>0</v>
          </cell>
          <cell r="Y46">
            <v>0</v>
          </cell>
          <cell r="Z46">
            <v>28069669.145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28160509.145</v>
          </cell>
          <cell r="AJ46">
            <v>345941.5</v>
          </cell>
          <cell r="AK46">
            <v>14424</v>
          </cell>
          <cell r="AL46">
            <v>242816</v>
          </cell>
          <cell r="AM46"/>
          <cell r="AN46">
            <v>603181.5</v>
          </cell>
          <cell r="AO46">
            <v>9942869.0209999997</v>
          </cell>
          <cell r="AP46">
            <v>0</v>
          </cell>
          <cell r="AQ46"/>
          <cell r="AR46"/>
          <cell r="AS46">
            <v>9942869.0209999997</v>
          </cell>
          <cell r="AT46">
            <v>5512.5</v>
          </cell>
          <cell r="AU46">
            <v>5850</v>
          </cell>
          <cell r="AV46">
            <v>61301.468000000001</v>
          </cell>
          <cell r="AW46"/>
          <cell r="AX46"/>
          <cell r="AY46"/>
          <cell r="AZ46"/>
          <cell r="BA46">
            <v>72663.967999999993</v>
          </cell>
          <cell r="BB46">
            <v>0</v>
          </cell>
          <cell r="BC46">
            <v>1820.6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1820.6</v>
          </cell>
        </row>
        <row r="47">
          <cell r="F47">
            <v>35478219.137999997</v>
          </cell>
          <cell r="G47">
            <v>3406885.1570000001</v>
          </cell>
          <cell r="H47">
            <v>2766502.6929999995</v>
          </cell>
          <cell r="I47">
            <v>1998775.3659999999</v>
          </cell>
          <cell r="J47">
            <v>1515485.45</v>
          </cell>
          <cell r="K47">
            <v>1893852.9210000001</v>
          </cell>
          <cell r="L47">
            <v>1765720.8440000003</v>
          </cell>
          <cell r="M47">
            <v>1057674.44</v>
          </cell>
          <cell r="N47">
            <v>1636952.1949999998</v>
          </cell>
          <cell r="O47">
            <v>906371.397</v>
          </cell>
          <cell r="P47">
            <v>1146463.5279999999</v>
          </cell>
          <cell r="Q47">
            <v>1281389.0229999998</v>
          </cell>
          <cell r="R47">
            <v>1196823.2339999999</v>
          </cell>
          <cell r="S47">
            <v>2503640.69</v>
          </cell>
          <cell r="T47">
            <v>413032.75400000007</v>
          </cell>
          <cell r="U47">
            <v>600134.16299999994</v>
          </cell>
          <cell r="V47">
            <v>810271.97299999988</v>
          </cell>
          <cell r="W47">
            <v>347520.14700000006</v>
          </cell>
          <cell r="X47">
            <v>0</v>
          </cell>
          <cell r="Y47">
            <v>0</v>
          </cell>
          <cell r="Z47">
            <v>25247495.975000001</v>
          </cell>
          <cell r="AA47">
            <v>6243.5119999999997</v>
          </cell>
          <cell r="AB47">
            <v>0</v>
          </cell>
          <cell r="AC47">
            <v>4224.6419999999998</v>
          </cell>
          <cell r="AD47">
            <v>8524.61</v>
          </cell>
          <cell r="AE47"/>
          <cell r="AF47"/>
          <cell r="AG47"/>
          <cell r="AH47">
            <v>18992.763999999999</v>
          </cell>
          <cell r="AI47">
            <v>25266488.739</v>
          </cell>
          <cell r="AJ47">
            <v>358804.29499999993</v>
          </cell>
          <cell r="AK47">
            <v>56112.949000000001</v>
          </cell>
          <cell r="AL47">
            <v>331824.7790000001</v>
          </cell>
          <cell r="AM47"/>
          <cell r="AN47">
            <v>746742.02300000004</v>
          </cell>
          <cell r="AO47">
            <v>9692775.4810000006</v>
          </cell>
          <cell r="AP47">
            <v>0</v>
          </cell>
          <cell r="AQ47"/>
          <cell r="AR47"/>
          <cell r="AS47">
            <v>9692775.4810000006</v>
          </cell>
          <cell r="AT47">
            <v>1451.2830000000001</v>
          </cell>
          <cell r="AU47">
            <v>12549.852000000001</v>
          </cell>
          <cell r="AV47">
            <v>0</v>
          </cell>
          <cell r="AW47"/>
          <cell r="AX47"/>
          <cell r="AY47"/>
          <cell r="AZ47"/>
          <cell r="BA47">
            <v>14001.135</v>
          </cell>
          <cell r="BB47">
            <v>0</v>
          </cell>
          <cell r="BC47">
            <v>0</v>
          </cell>
          <cell r="BD47">
            <v>-241788.24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-241788.24</v>
          </cell>
        </row>
        <row r="48">
          <cell r="F48">
            <v>3302825.0960000083</v>
          </cell>
          <cell r="G48">
            <v>379639.10399999982</v>
          </cell>
          <cell r="H48">
            <v>140898.75500000035</v>
          </cell>
          <cell r="I48">
            <v>135745.56099999975</v>
          </cell>
          <cell r="J48">
            <v>135248.35000000009</v>
          </cell>
          <cell r="K48">
            <v>206897.08499999996</v>
          </cell>
          <cell r="L48">
            <v>117937.44599999976</v>
          </cell>
          <cell r="M48">
            <v>123827.16000000015</v>
          </cell>
          <cell r="N48">
            <v>190826.21400000015</v>
          </cell>
          <cell r="O48">
            <v>128514.20299999998</v>
          </cell>
          <cell r="P48">
            <v>174424.97200000007</v>
          </cell>
          <cell r="Q48">
            <v>204076.22700000019</v>
          </cell>
          <cell r="R48">
            <v>210642.06600000011</v>
          </cell>
          <cell r="S48">
            <v>303494.44700000016</v>
          </cell>
          <cell r="T48">
            <v>108382.14599999995</v>
          </cell>
          <cell r="U48">
            <v>164783.53700000001</v>
          </cell>
          <cell r="V48">
            <v>93404.609000000055</v>
          </cell>
          <cell r="W48">
            <v>3431.2879999999423</v>
          </cell>
          <cell r="X48">
            <v>0</v>
          </cell>
          <cell r="Y48">
            <v>0</v>
          </cell>
          <cell r="Z48">
            <v>2822173.1699999981</v>
          </cell>
          <cell r="AA48">
            <v>43756.487999999998</v>
          </cell>
          <cell r="AB48">
            <v>0</v>
          </cell>
          <cell r="AC48">
            <v>8275.3580000000002</v>
          </cell>
          <cell r="AD48">
            <v>19815.39</v>
          </cell>
          <cell r="AE48"/>
          <cell r="AF48"/>
          <cell r="AG48"/>
          <cell r="AH48">
            <v>71847.236000000004</v>
          </cell>
          <cell r="AI48">
            <v>2894020.4059999995</v>
          </cell>
          <cell r="AJ48">
            <v>-12862.794999999925</v>
          </cell>
          <cell r="AK48">
            <v>-41688.949000000001</v>
          </cell>
          <cell r="AL48">
            <v>-89008.779000000097</v>
          </cell>
          <cell r="AM48"/>
          <cell r="AN48">
            <v>-143560.52300000004</v>
          </cell>
          <cell r="AO48">
            <v>250093.53999999911</v>
          </cell>
          <cell r="AP48">
            <v>0</v>
          </cell>
          <cell r="AQ48"/>
          <cell r="AR48"/>
          <cell r="AS48">
            <v>250093.53999999911</v>
          </cell>
          <cell r="AT48">
            <v>4061.2169999999996</v>
          </cell>
          <cell r="AU48">
            <v>-6699.8520000000008</v>
          </cell>
          <cell r="AV48">
            <v>61301.468000000001</v>
          </cell>
          <cell r="AW48"/>
          <cell r="AX48"/>
          <cell r="AY48"/>
          <cell r="AZ48"/>
          <cell r="BA48">
            <v>58662.832999999991</v>
          </cell>
          <cell r="BB48">
            <v>0</v>
          </cell>
          <cell r="BC48">
            <v>1820.6</v>
          </cell>
          <cell r="BD48">
            <v>241788.24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243608.84</v>
          </cell>
        </row>
        <row r="49">
          <cell r="F49">
            <v>2225964.0680030473</v>
          </cell>
          <cell r="G49">
            <v>247906.80693928179</v>
          </cell>
          <cell r="H49">
            <v>199509.77630960173</v>
          </cell>
          <cell r="I49">
            <v>152260.43901474957</v>
          </cell>
          <cell r="J49">
            <v>110718.19684802405</v>
          </cell>
          <cell r="K49">
            <v>145472.04691786115</v>
          </cell>
          <cell r="L49">
            <v>142284.65057233156</v>
          </cell>
          <cell r="M49">
            <v>91447.037594183392</v>
          </cell>
          <cell r="N49">
            <v>131744.75223379239</v>
          </cell>
          <cell r="O49">
            <v>77371.014637468616</v>
          </cell>
          <cell r="P49">
            <v>101053.12967733052</v>
          </cell>
          <cell r="Q49">
            <v>105597.78581090394</v>
          </cell>
          <cell r="R49">
            <v>105477.5429064167</v>
          </cell>
          <cell r="S49">
            <v>179055.92478613049</v>
          </cell>
          <cell r="T49">
            <v>34502.794634099082</v>
          </cell>
          <cell r="U49">
            <v>44592.099357476196</v>
          </cell>
          <cell r="V49">
            <v>68146.862585778785</v>
          </cell>
          <cell r="W49">
            <v>30230.938049545915</v>
          </cell>
          <cell r="X49">
            <v>0</v>
          </cell>
          <cell r="Y49">
            <v>0</v>
          </cell>
          <cell r="Z49">
            <v>1967371.7988749759</v>
          </cell>
          <cell r="AA49">
            <v>0</v>
          </cell>
          <cell r="AB49">
            <v>528.71800000000007</v>
          </cell>
          <cell r="AC49">
            <v>3926.28</v>
          </cell>
          <cell r="AD49">
            <v>0</v>
          </cell>
          <cell r="AE49"/>
          <cell r="AF49"/>
          <cell r="AG49"/>
          <cell r="AH49">
            <v>4454.9980000000005</v>
          </cell>
          <cell r="AI49">
            <v>1971826.7968749758</v>
          </cell>
          <cell r="AJ49">
            <v>21140.253365970475</v>
          </cell>
          <cell r="AK49">
            <v>28669.805802101051</v>
          </cell>
          <cell r="AL49">
            <v>21047.36896</v>
          </cell>
          <cell r="AM49"/>
          <cell r="AN49">
            <v>70857.428128071537</v>
          </cell>
          <cell r="AO49">
            <v>131736.891</v>
          </cell>
          <cell r="AP49">
            <v>855.83600000000001</v>
          </cell>
          <cell r="AQ49"/>
          <cell r="AR49"/>
          <cell r="AS49">
            <v>132592.72700000001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17710.448</v>
          </cell>
          <cell r="BD49">
            <v>0</v>
          </cell>
          <cell r="BE49">
            <v>0</v>
          </cell>
          <cell r="BF49">
            <v>32976.667999999998</v>
          </cell>
          <cell r="BG49">
            <v>0</v>
          </cell>
          <cell r="BH49"/>
          <cell r="BI49"/>
          <cell r="BJ49">
            <v>50687.115999999995</v>
          </cell>
        </row>
        <row r="50">
          <cell r="F50">
            <v>1076861.027996961</v>
          </cell>
          <cell r="G50">
            <v>131732.29706071803</v>
          </cell>
          <cell r="H50">
            <v>-58611.021309601376</v>
          </cell>
          <cell r="I50">
            <v>-16514.878014749818</v>
          </cell>
          <cell r="J50">
            <v>24530.153151976047</v>
          </cell>
          <cell r="K50">
            <v>61425.03808213881</v>
          </cell>
          <cell r="L50">
            <v>-24347.204572331801</v>
          </cell>
          <cell r="M50">
            <v>32380.122405816757</v>
          </cell>
          <cell r="N50">
            <v>59081.461766207765</v>
          </cell>
          <cell r="O50">
            <v>51143.188362531364</v>
          </cell>
          <cell r="P50">
            <v>73371.842322669545</v>
          </cell>
          <cell r="Q50">
            <v>98478.441189096251</v>
          </cell>
          <cell r="R50">
            <v>105164.52309358341</v>
          </cell>
          <cell r="S50">
            <v>124438.52221386967</v>
          </cell>
          <cell r="T50">
            <v>73879.35136590086</v>
          </cell>
          <cell r="U50">
            <v>120191.43764252382</v>
          </cell>
          <cell r="V50">
            <v>25257.74641422127</v>
          </cell>
          <cell r="W50">
            <v>-26799.650049545973</v>
          </cell>
          <cell r="X50">
            <v>0</v>
          </cell>
          <cell r="Y50">
            <v>0</v>
          </cell>
          <cell r="Z50">
            <v>854801.37112502218</v>
          </cell>
          <cell r="AA50">
            <v>43756.487999999998</v>
          </cell>
          <cell r="AB50">
            <v>-528.71800000000007</v>
          </cell>
          <cell r="AC50">
            <v>4349.0779999999995</v>
          </cell>
          <cell r="AD50">
            <v>19815.39</v>
          </cell>
          <cell r="AE50"/>
          <cell r="AF50"/>
          <cell r="AG50"/>
          <cell r="AH50">
            <v>67392.237999999998</v>
          </cell>
          <cell r="AI50">
            <v>922193.60912502371</v>
          </cell>
          <cell r="AJ50">
            <v>-34003.048365970404</v>
          </cell>
          <cell r="AK50">
            <v>-70358.754802101059</v>
          </cell>
          <cell r="AL50">
            <v>-110056.14796000009</v>
          </cell>
          <cell r="AM50"/>
          <cell r="AN50">
            <v>-214417.95112807158</v>
          </cell>
          <cell r="AO50">
            <v>118356.6489999991</v>
          </cell>
          <cell r="AP50">
            <v>-855.83600000000001</v>
          </cell>
          <cell r="AQ50"/>
          <cell r="AR50"/>
          <cell r="AS50">
            <v>117500.81299999909</v>
          </cell>
          <cell r="AT50">
            <v>4061.2169999999996</v>
          </cell>
          <cell r="AU50">
            <v>-6699.8520000000008</v>
          </cell>
          <cell r="AV50">
            <v>61301.468000000001</v>
          </cell>
          <cell r="AW50"/>
          <cell r="AX50"/>
          <cell r="AY50"/>
          <cell r="AZ50"/>
          <cell r="BA50">
            <v>58662.832999999991</v>
          </cell>
          <cell r="BB50">
            <v>0</v>
          </cell>
          <cell r="BC50">
            <v>-15889.848</v>
          </cell>
          <cell r="BD50">
            <v>241788.24</v>
          </cell>
          <cell r="BE50">
            <v>0</v>
          </cell>
          <cell r="BF50">
            <v>-32976.667999999998</v>
          </cell>
          <cell r="BG50">
            <v>0</v>
          </cell>
          <cell r="BH50"/>
          <cell r="BI50"/>
          <cell r="BJ50">
            <v>192921.72399999999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4"/>
      <sheetData sheetId="25">
        <row r="6">
          <cell r="F6" t="str">
            <v>합계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/>
      <sheetData sheetId="5">
        <row r="6">
          <cell r="G6" t="str">
            <v>안양</v>
          </cell>
        </row>
      </sheetData>
      <sheetData sheetId="6"/>
      <sheetData sheetId="7">
        <row r="6">
          <cell r="G6" t="str">
            <v>안양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F6" t="str">
            <v>합계</v>
          </cell>
        </row>
      </sheetData>
      <sheetData sheetId="22">
        <row r="6">
          <cell r="F6" t="str">
            <v>합계</v>
          </cell>
        </row>
      </sheetData>
      <sheetData sheetId="23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52411</v>
          </cell>
          <cell r="H7">
            <v>38282</v>
          </cell>
          <cell r="I7">
            <v>32522</v>
          </cell>
          <cell r="J7">
            <v>16056.68</v>
          </cell>
          <cell r="K7">
            <v>24287.5</v>
          </cell>
          <cell r="L7">
            <v>29358</v>
          </cell>
          <cell r="M7">
            <v>16069</v>
          </cell>
          <cell r="N7">
            <v>22187</v>
          </cell>
          <cell r="O7">
            <v>13651</v>
          </cell>
          <cell r="P7">
            <v>24905</v>
          </cell>
          <cell r="Q7">
            <v>19431</v>
          </cell>
          <cell r="R7">
            <v>5270.5</v>
          </cell>
          <cell r="S7">
            <v>30918</v>
          </cell>
          <cell r="T7">
            <v>5984.5</v>
          </cell>
          <cell r="U7">
            <v>10182.5</v>
          </cell>
          <cell r="V7">
            <v>11306</v>
          </cell>
          <cell r="W7">
            <v>6377.5</v>
          </cell>
          <cell r="X7"/>
          <cell r="Y7"/>
          <cell r="Z7">
            <v>359199.18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/>
          <cell r="AG7"/>
          <cell r="AH7">
            <v>0</v>
          </cell>
          <cell r="AI7">
            <v>359199.18</v>
          </cell>
          <cell r="AJ7">
            <v>31346</v>
          </cell>
          <cell r="AK7">
            <v>37866</v>
          </cell>
          <cell r="AL7">
            <v>36262</v>
          </cell>
          <cell r="AM7"/>
          <cell r="AN7">
            <v>105474</v>
          </cell>
          <cell r="AO7">
            <v>10109.272999999999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49233714.442999989</v>
          </cell>
          <cell r="G8">
            <v>4739045.0549999997</v>
          </cell>
          <cell r="H8">
            <v>3653701.8809999996</v>
          </cell>
          <cell r="I8">
            <v>3216173.4609999997</v>
          </cell>
          <cell r="J8">
            <v>1538771.5819999999</v>
          </cell>
          <cell r="K8">
            <v>2488475.6060000001</v>
          </cell>
          <cell r="L8">
            <v>2851805.61</v>
          </cell>
          <cell r="M8">
            <v>1581879.49</v>
          </cell>
          <cell r="N8">
            <v>2237476.7999999998</v>
          </cell>
          <cell r="O8">
            <v>1229733.3999999999</v>
          </cell>
          <cell r="P8">
            <v>2379713.2000000002</v>
          </cell>
          <cell r="Q8">
            <v>1786226.6</v>
          </cell>
          <cell r="R8">
            <v>526100.9</v>
          </cell>
          <cell r="S8">
            <v>2979645.1999999997</v>
          </cell>
          <cell r="T8">
            <v>615871.39999999991</v>
          </cell>
          <cell r="U8">
            <v>1059870.6429999999</v>
          </cell>
          <cell r="V8">
            <v>968300.4</v>
          </cell>
          <cell r="W8">
            <v>774957.08099999989</v>
          </cell>
          <cell r="X8"/>
          <cell r="Y8"/>
          <cell r="Z8">
            <v>34627748.308999993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>
            <v>0</v>
          </cell>
          <cell r="AF8"/>
          <cell r="AG8"/>
          <cell r="AH8">
            <v>90840</v>
          </cell>
          <cell r="AI8">
            <v>34718588.308999993</v>
          </cell>
          <cell r="AJ8">
            <v>893324.5</v>
          </cell>
          <cell r="AK8">
            <v>482524</v>
          </cell>
          <cell r="AL8">
            <v>638882</v>
          </cell>
          <cell r="AM8"/>
          <cell r="AN8">
            <v>2014730.5</v>
          </cell>
          <cell r="AO8">
            <v>12404880.215</v>
          </cell>
          <cell r="AP8">
            <v>0</v>
          </cell>
          <cell r="AQ8"/>
          <cell r="AR8"/>
          <cell r="AS8">
            <v>12404880.215</v>
          </cell>
          <cell r="AT8">
            <v>5250</v>
          </cell>
          <cell r="AU8">
            <v>7425</v>
          </cell>
          <cell r="AV8">
            <v>0</v>
          </cell>
          <cell r="AW8">
            <v>81066.319000000003</v>
          </cell>
          <cell r="AX8">
            <v>0</v>
          </cell>
          <cell r="AY8"/>
          <cell r="AZ8"/>
          <cell r="BA8">
            <v>93741.319000000003</v>
          </cell>
          <cell r="BB8">
            <v>0</v>
          </cell>
          <cell r="BC8">
            <v>1774.1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1774.1</v>
          </cell>
          <cell r="BK8"/>
          <cell r="BL8"/>
          <cell r="BM8"/>
          <cell r="BN8"/>
          <cell r="BO8"/>
        </row>
        <row r="9">
          <cell r="F9"/>
          <cell r="G9">
            <v>90420.809658277838</v>
          </cell>
          <cell r="H9">
            <v>95441.771093464282</v>
          </cell>
          <cell r="I9">
            <v>98892.240975339766</v>
          </cell>
          <cell r="J9">
            <v>95833.732876285751</v>
          </cell>
          <cell r="K9">
            <v>102459.10884199692</v>
          </cell>
          <cell r="L9">
            <v>97138.960760269765</v>
          </cell>
          <cell r="M9">
            <v>98442.932976538665</v>
          </cell>
          <cell r="N9">
            <v>100846.29738134943</v>
          </cell>
          <cell r="O9">
            <v>90083.759431543469</v>
          </cell>
          <cell r="P9">
            <v>95551.624171853051</v>
          </cell>
          <cell r="Q9">
            <v>91926.64299315527</v>
          </cell>
          <cell r="R9">
            <v>99819.922208519114</v>
          </cell>
          <cell r="S9">
            <v>96372.507924186546</v>
          </cell>
          <cell r="T9">
            <v>102911.08697468459</v>
          </cell>
          <cell r="U9">
            <v>104087.46800883868</v>
          </cell>
          <cell r="V9">
            <v>85644.82575623563</v>
          </cell>
          <cell r="W9">
            <v>121514.2424147393</v>
          </cell>
          <cell r="X9"/>
          <cell r="Y9"/>
          <cell r="Z9">
            <v>96402.637414149984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/>
          <cell r="AG9"/>
          <cell r="AH9">
            <v>0</v>
          </cell>
          <cell r="AI9">
            <v>96655.533314413449</v>
          </cell>
          <cell r="AJ9">
            <v>28498.835577107126</v>
          </cell>
          <cell r="AK9">
            <v>12742.935615063645</v>
          </cell>
          <cell r="AL9">
            <v>17618.498703877336</v>
          </cell>
          <cell r="AM9"/>
          <cell r="AN9"/>
          <cell r="AO9">
            <v>1227079.3572396354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43739639.101259999</v>
          </cell>
          <cell r="G10">
            <v>4339583.3909999998</v>
          </cell>
          <cell r="H10">
            <v>3350990.58715</v>
          </cell>
          <cell r="I10">
            <v>2918125.1266199998</v>
          </cell>
          <cell r="J10">
            <v>1301640.6878900002</v>
          </cell>
          <cell r="K10">
            <v>2036352.63167</v>
          </cell>
          <cell r="L10">
            <v>2317718.1063899999</v>
          </cell>
          <cell r="M10">
            <v>1336824.3115899998</v>
          </cell>
          <cell r="N10">
            <v>1816365.1998800002</v>
          </cell>
          <cell r="O10">
            <v>1107449.4235100001</v>
          </cell>
          <cell r="P10">
            <v>1930618.96845</v>
          </cell>
          <cell r="Q10">
            <v>1514924.60571</v>
          </cell>
          <cell r="R10">
            <v>505066.99010000005</v>
          </cell>
          <cell r="S10">
            <v>2527291.9237899999</v>
          </cell>
          <cell r="T10">
            <v>516525.15427</v>
          </cell>
          <cell r="U10">
            <v>751743.63526000001</v>
          </cell>
          <cell r="V10">
            <v>866043.03398000007</v>
          </cell>
          <cell r="W10">
            <v>631766.19782</v>
          </cell>
          <cell r="X10"/>
          <cell r="Y10"/>
          <cell r="Z10">
            <v>29769029.975080002</v>
          </cell>
          <cell r="AA10">
            <v>498.19499999999999</v>
          </cell>
          <cell r="AB10">
            <v>0</v>
          </cell>
          <cell r="AC10">
            <v>3579.0210000000002</v>
          </cell>
          <cell r="AD10">
            <v>8733.73</v>
          </cell>
          <cell r="AE10">
            <v>0</v>
          </cell>
          <cell r="AF10"/>
          <cell r="AG10"/>
          <cell r="AH10">
            <v>12810.946</v>
          </cell>
          <cell r="AI10">
            <v>29781840.921080001</v>
          </cell>
          <cell r="AJ10">
            <v>793805.96695999999</v>
          </cell>
          <cell r="AK10">
            <v>384043.19842999999</v>
          </cell>
          <cell r="AL10">
            <v>590861.76078999997</v>
          </cell>
          <cell r="AM10"/>
          <cell r="AN10">
            <v>1768710.92618</v>
          </cell>
          <cell r="AO10">
            <v>12188790.818</v>
          </cell>
          <cell r="AP10">
            <v>0</v>
          </cell>
          <cell r="AQ10"/>
          <cell r="AR10"/>
          <cell r="AS10">
            <v>12188790.818</v>
          </cell>
          <cell r="AT10">
            <v>121.962</v>
          </cell>
          <cell r="AU10">
            <v>174.47399999999999</v>
          </cell>
          <cell r="AV10">
            <v>0</v>
          </cell>
          <cell r="AW10">
            <v>0</v>
          </cell>
          <cell r="AX10">
            <v>0</v>
          </cell>
          <cell r="AY10"/>
          <cell r="AZ10"/>
          <cell r="BA10">
            <v>296.43599999999998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82799.095437980563</v>
          </cell>
          <cell r="H11">
            <v>87534.365684917197</v>
          </cell>
          <cell r="I11">
            <v>89727.726665641705</v>
          </cell>
          <cell r="J11">
            <v>81065.368923712755</v>
          </cell>
          <cell r="K11">
            <v>83843.649271024187</v>
          </cell>
          <cell r="L11">
            <v>78946.730240138975</v>
          </cell>
          <cell r="M11">
            <v>83192.750736822447</v>
          </cell>
          <cell r="N11">
            <v>81866.191908775421</v>
          </cell>
          <cell r="O11">
            <v>81125.882610065208</v>
          </cell>
          <cell r="P11">
            <v>77519.332200361372</v>
          </cell>
          <cell r="Q11">
            <v>77964.315048633624</v>
          </cell>
          <cell r="R11">
            <v>95829.046598994406</v>
          </cell>
          <cell r="S11">
            <v>81741.76608415808</v>
          </cell>
          <cell r="T11">
            <v>86310.494489096833</v>
          </cell>
          <cell r="U11">
            <v>73827.02040363368</v>
          </cell>
          <cell r="V11">
            <v>76600.303730762433</v>
          </cell>
          <cell r="W11">
            <v>99061.732312034495</v>
          </cell>
          <cell r="X11"/>
          <cell r="Y11"/>
          <cell r="Z11">
            <v>82876.107832651513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/>
          <cell r="AG11"/>
          <cell r="AH11">
            <v>0</v>
          </cell>
          <cell r="AI11">
            <v>82911.773131219292</v>
          </cell>
          <cell r="AJ11">
            <v>25323.995628150322</v>
          </cell>
          <cell r="AK11">
            <v>10142.16443326467</v>
          </cell>
          <cell r="AL11">
            <v>16294.2408248304</v>
          </cell>
          <cell r="AM11"/>
          <cell r="AN11"/>
          <cell r="AO11">
            <v>1205703.9925620765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5494075.3417399898</v>
          </cell>
          <cell r="G12">
            <v>399461.66399999987</v>
          </cell>
          <cell r="H12">
            <v>302711.29384999955</v>
          </cell>
          <cell r="I12">
            <v>298048.3343799999</v>
          </cell>
          <cell r="J12">
            <v>237130.89410999976</v>
          </cell>
          <cell r="K12">
            <v>452122.97433000011</v>
          </cell>
          <cell r="L12">
            <v>534087.50361000001</v>
          </cell>
          <cell r="M12">
            <v>245055.17841000017</v>
          </cell>
          <cell r="N12">
            <v>421111.60011999961</v>
          </cell>
          <cell r="O12">
            <v>122283.9764899998</v>
          </cell>
          <cell r="P12">
            <v>449094.23155000014</v>
          </cell>
          <cell r="Q12">
            <v>271301.99429000006</v>
          </cell>
          <cell r="R12">
            <v>21033.90989999997</v>
          </cell>
          <cell r="S12">
            <v>452353.27620999981</v>
          </cell>
          <cell r="T12">
            <v>99346.245729999908</v>
          </cell>
          <cell r="U12">
            <v>308127.00773999991</v>
          </cell>
          <cell r="V12">
            <v>102257.36601999996</v>
          </cell>
          <cell r="W12">
            <v>143190.88317999989</v>
          </cell>
          <cell r="X12"/>
          <cell r="Y12"/>
          <cell r="Z12">
            <v>4858718.3339199983</v>
          </cell>
          <cell r="AA12">
            <v>49501.805</v>
          </cell>
          <cell r="AB12">
            <v>0</v>
          </cell>
          <cell r="AC12">
            <v>8920.9789999999994</v>
          </cell>
          <cell r="AD12">
            <v>19606.27</v>
          </cell>
          <cell r="AE12">
            <v>0</v>
          </cell>
          <cell r="AF12"/>
          <cell r="AG12"/>
          <cell r="AH12">
            <v>78029.054000000004</v>
          </cell>
          <cell r="AI12">
            <v>4936747.3879199922</v>
          </cell>
          <cell r="AJ12">
            <v>99518.533040000009</v>
          </cell>
          <cell r="AK12">
            <v>98480.801570000011</v>
          </cell>
          <cell r="AL12">
            <v>48020.239210000029</v>
          </cell>
          <cell r="AM12"/>
          <cell r="AN12">
            <v>246019.57382000005</v>
          </cell>
          <cell r="AO12">
            <v>216089.39699999988</v>
          </cell>
          <cell r="AP12">
            <v>0</v>
          </cell>
          <cell r="AQ12"/>
          <cell r="AR12"/>
          <cell r="AS12">
            <v>216089.39699999988</v>
          </cell>
          <cell r="AT12">
            <v>5128.0379999999996</v>
          </cell>
          <cell r="AU12">
            <v>7250.5259999999998</v>
          </cell>
          <cell r="AV12">
            <v>0</v>
          </cell>
          <cell r="AW12">
            <v>81066.319000000003</v>
          </cell>
          <cell r="AX12">
            <v>0</v>
          </cell>
          <cell r="AY12"/>
          <cell r="AZ12"/>
          <cell r="BA12">
            <v>93444.883000000002</v>
          </cell>
          <cell r="BB12">
            <v>0</v>
          </cell>
          <cell r="BC12">
            <v>1774.1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1774.1</v>
          </cell>
          <cell r="BK12"/>
          <cell r="BL12"/>
          <cell r="BM12"/>
          <cell r="BN12"/>
          <cell r="BO12"/>
        </row>
        <row r="13">
          <cell r="F13">
            <v>820706.83599999989</v>
          </cell>
          <cell r="G13">
            <v>80668.479999999996</v>
          </cell>
          <cell r="H13">
            <v>70836.309000000008</v>
          </cell>
          <cell r="I13">
            <v>50155.692000000003</v>
          </cell>
          <cell r="J13">
            <v>33674.014999999999</v>
          </cell>
          <cell r="K13">
            <v>66368.998999999996</v>
          </cell>
          <cell r="L13">
            <v>55597.824000000001</v>
          </cell>
          <cell r="M13">
            <v>39586.31</v>
          </cell>
          <cell r="N13">
            <v>46706.804000000004</v>
          </cell>
          <cell r="O13">
            <v>35224.156999999999</v>
          </cell>
          <cell r="P13">
            <v>40950.270000000004</v>
          </cell>
          <cell r="Q13">
            <v>34667.494999999995</v>
          </cell>
          <cell r="R13">
            <v>26613.373</v>
          </cell>
          <cell r="S13">
            <v>43369.65</v>
          </cell>
          <cell r="T13">
            <v>9076.25</v>
          </cell>
          <cell r="U13">
            <v>11594.634000000002</v>
          </cell>
          <cell r="V13">
            <v>25260.637999999999</v>
          </cell>
          <cell r="W13">
            <v>14893.348999999998</v>
          </cell>
          <cell r="X13"/>
          <cell r="Y13"/>
          <cell r="Z13">
            <v>685244.24899999995</v>
          </cell>
          <cell r="AA13">
            <v>0</v>
          </cell>
          <cell r="AB13">
            <v>180.68600000000001</v>
          </cell>
          <cell r="AC13">
            <v>0</v>
          </cell>
          <cell r="AD13">
            <v>0</v>
          </cell>
          <cell r="AE13">
            <v>0</v>
          </cell>
          <cell r="AF13"/>
          <cell r="AG13"/>
          <cell r="AH13">
            <v>180.68600000000001</v>
          </cell>
          <cell r="AI13">
            <v>685424.93499999994</v>
          </cell>
          <cell r="AJ13">
            <v>9401.35</v>
          </cell>
          <cell r="AK13">
            <v>0</v>
          </cell>
          <cell r="AL13">
            <v>28</v>
          </cell>
          <cell r="AM13"/>
          <cell r="AN13">
            <v>9429.35</v>
          </cell>
          <cell r="AO13">
            <v>113579.86200000001</v>
          </cell>
          <cell r="AP13">
            <v>0</v>
          </cell>
          <cell r="AQ13"/>
          <cell r="AR13"/>
          <cell r="AS13">
            <v>113579.86200000001</v>
          </cell>
          <cell r="AT13">
            <v>0</v>
          </cell>
          <cell r="AU13">
            <v>0</v>
          </cell>
          <cell r="AV13">
            <v>381.58699999999999</v>
          </cell>
          <cell r="AW13">
            <v>0</v>
          </cell>
          <cell r="AX13">
            <v>7876.3990000000003</v>
          </cell>
          <cell r="AY13"/>
          <cell r="AZ13"/>
          <cell r="BA13">
            <v>8257.9860000000008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4014.703</v>
          </cell>
          <cell r="BG13">
            <v>0</v>
          </cell>
          <cell r="BH13"/>
          <cell r="BI13"/>
          <cell r="BJ13">
            <v>4014.703</v>
          </cell>
          <cell r="BK13"/>
          <cell r="BL13"/>
          <cell r="BM13"/>
          <cell r="BN13"/>
          <cell r="BO13"/>
        </row>
        <row r="14">
          <cell r="F14">
            <v>528667.25599999994</v>
          </cell>
          <cell r="G14">
            <v>47023.025999999998</v>
          </cell>
          <cell r="H14">
            <v>45117.262999999999</v>
          </cell>
          <cell r="I14">
            <v>33555.656000000003</v>
          </cell>
          <cell r="J14">
            <v>22350.543999999998</v>
          </cell>
          <cell r="K14">
            <v>39190.578999999998</v>
          </cell>
          <cell r="L14">
            <v>32443.618999999999</v>
          </cell>
          <cell r="M14">
            <v>24662.341</v>
          </cell>
          <cell r="N14">
            <v>32384.784</v>
          </cell>
          <cell r="O14">
            <v>24832.398999999998</v>
          </cell>
          <cell r="P14">
            <v>27726.886000000002</v>
          </cell>
          <cell r="Q14">
            <v>25064.833999999999</v>
          </cell>
          <cell r="R14">
            <v>17513.635999999999</v>
          </cell>
          <cell r="S14">
            <v>27513.14</v>
          </cell>
          <cell r="T14">
            <v>5760.0760000000009</v>
          </cell>
          <cell r="U14">
            <v>6998.773000000001</v>
          </cell>
          <cell r="V14">
            <v>17980.286</v>
          </cell>
          <cell r="W14">
            <v>9788.9619999999995</v>
          </cell>
          <cell r="X14"/>
          <cell r="Y14"/>
          <cell r="Z14">
            <v>439906.80399999995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>
            <v>0</v>
          </cell>
          <cell r="AI14">
            <v>439906.80399999995</v>
          </cell>
          <cell r="AJ14">
            <v>7381.0079999999998</v>
          </cell>
          <cell r="AK14">
            <v>0</v>
          </cell>
          <cell r="AL14">
            <v>0</v>
          </cell>
          <cell r="AM14"/>
          <cell r="AN14">
            <v>7381.0079999999998</v>
          </cell>
          <cell r="AO14">
            <v>81379.444000000003</v>
          </cell>
          <cell r="AP14">
            <v>0</v>
          </cell>
          <cell r="AQ14"/>
          <cell r="AR14"/>
          <cell r="AS14">
            <v>81379.444000000003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289998.78899999993</v>
          </cell>
          <cell r="G15">
            <v>33645.453999999998</v>
          </cell>
          <cell r="H15">
            <v>25719.046000000002</v>
          </cell>
          <cell r="I15">
            <v>16600.036</v>
          </cell>
          <cell r="J15">
            <v>11323.471</v>
          </cell>
          <cell r="K15">
            <v>27178.42</v>
          </cell>
          <cell r="L15">
            <v>23154.205000000002</v>
          </cell>
          <cell r="M15">
            <v>14923.969000000001</v>
          </cell>
          <cell r="N15">
            <v>14322.02</v>
          </cell>
          <cell r="O15">
            <v>10391.758</v>
          </cell>
          <cell r="P15">
            <v>13223.384</v>
          </cell>
          <cell r="Q15">
            <v>9602.6610000000001</v>
          </cell>
          <cell r="R15">
            <v>9099.737000000001</v>
          </cell>
          <cell r="S15">
            <v>15856.510000000002</v>
          </cell>
          <cell r="T15">
            <v>3316.174</v>
          </cell>
          <cell r="U15">
            <v>4595.8610000000008</v>
          </cell>
          <cell r="V15">
            <v>7280.3520000000008</v>
          </cell>
          <cell r="W15">
            <v>5104.3869999999997</v>
          </cell>
          <cell r="X15"/>
          <cell r="Y15"/>
          <cell r="Z15">
            <v>245337.44499999998</v>
          </cell>
          <cell r="AA15">
            <v>0</v>
          </cell>
          <cell r="AB15">
            <v>180.68600000000001</v>
          </cell>
          <cell r="AC15">
            <v>0</v>
          </cell>
          <cell r="AD15">
            <v>0</v>
          </cell>
          <cell r="AE15">
            <v>0</v>
          </cell>
          <cell r="AF15"/>
          <cell r="AG15"/>
          <cell r="AH15">
            <v>180.68600000000001</v>
          </cell>
          <cell r="AI15">
            <v>245518.13099999996</v>
          </cell>
          <cell r="AJ15">
            <v>2020.3420000000001</v>
          </cell>
          <cell r="AK15">
            <v>0</v>
          </cell>
          <cell r="AL15">
            <v>28</v>
          </cell>
          <cell r="AM15"/>
          <cell r="AN15">
            <v>2048.3420000000001</v>
          </cell>
          <cell r="AO15">
            <v>32200.418000000001</v>
          </cell>
          <cell r="AP15">
            <v>0</v>
          </cell>
          <cell r="AQ15"/>
          <cell r="AR15"/>
          <cell r="AS15">
            <v>32200.418000000001</v>
          </cell>
          <cell r="AT15">
            <v>0</v>
          </cell>
          <cell r="AU15">
            <v>0</v>
          </cell>
          <cell r="AV15">
            <v>381.58699999999999</v>
          </cell>
          <cell r="AW15">
            <v>0</v>
          </cell>
          <cell r="AX15">
            <v>7876.3990000000003</v>
          </cell>
          <cell r="AY15"/>
          <cell r="AZ15"/>
          <cell r="BA15">
            <v>8257.9860000000008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1973.912</v>
          </cell>
          <cell r="BG15">
            <v>0</v>
          </cell>
          <cell r="BH15"/>
          <cell r="BI15"/>
          <cell r="BJ15">
            <v>1973.912</v>
          </cell>
          <cell r="BK15"/>
          <cell r="BL15"/>
          <cell r="BM15"/>
          <cell r="BN15"/>
          <cell r="BO15"/>
        </row>
        <row r="16">
          <cell r="F16">
            <v>2040.7909999999999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2040.7909999999999</v>
          </cell>
          <cell r="BG16">
            <v>0</v>
          </cell>
          <cell r="BH16"/>
          <cell r="BI16"/>
          <cell r="BJ16">
            <v>2040.7909999999999</v>
          </cell>
          <cell r="BK16"/>
          <cell r="BL16"/>
          <cell r="BM16"/>
          <cell r="BN16"/>
          <cell r="BO16"/>
        </row>
        <row r="17">
          <cell r="F17">
            <v>4673368.5057399897</v>
          </cell>
          <cell r="G17">
            <v>318793.18399999989</v>
          </cell>
          <cell r="H17">
            <v>231874.98484999954</v>
          </cell>
          <cell r="I17">
            <v>247892.64237999989</v>
          </cell>
          <cell r="J17">
            <v>203456.87910999975</v>
          </cell>
          <cell r="K17">
            <v>385753.9753300001</v>
          </cell>
          <cell r="L17">
            <v>478489.67960999999</v>
          </cell>
          <cell r="M17">
            <v>205468.86841000017</v>
          </cell>
          <cell r="N17">
            <v>374404.79611999961</v>
          </cell>
          <cell r="O17">
            <v>87059.819489999791</v>
          </cell>
          <cell r="P17">
            <v>408143.96155000012</v>
          </cell>
          <cell r="Q17">
            <v>236634.49929000007</v>
          </cell>
          <cell r="R17">
            <v>-5579.46310000003</v>
          </cell>
          <cell r="S17">
            <v>408983.62620999978</v>
          </cell>
          <cell r="T17">
            <v>90269.995729999908</v>
          </cell>
          <cell r="U17">
            <v>296532.37373999989</v>
          </cell>
          <cell r="V17">
            <v>76996.728019999951</v>
          </cell>
          <cell r="W17">
            <v>128297.53417999989</v>
          </cell>
          <cell r="X17"/>
          <cell r="Y17"/>
          <cell r="Z17">
            <v>4173474.0849199984</v>
          </cell>
          <cell r="AA17">
            <v>49501.805</v>
          </cell>
          <cell r="AB17">
            <v>-180.68600000000001</v>
          </cell>
          <cell r="AC17">
            <v>8920.9789999999994</v>
          </cell>
          <cell r="AD17">
            <v>19606.27</v>
          </cell>
          <cell r="AE17">
            <v>0</v>
          </cell>
          <cell r="AF17"/>
          <cell r="AG17"/>
          <cell r="AH17">
            <v>77848.368000000002</v>
          </cell>
          <cell r="AI17">
            <v>4251322.4529199926</v>
          </cell>
          <cell r="AJ17">
            <v>90117.183040000004</v>
          </cell>
          <cell r="AK17">
            <v>98480.801570000011</v>
          </cell>
          <cell r="AL17">
            <v>47992.239210000029</v>
          </cell>
          <cell r="AM17"/>
          <cell r="AN17">
            <v>236590.22382000004</v>
          </cell>
          <cell r="AO17">
            <v>102509.53499999987</v>
          </cell>
          <cell r="AP17">
            <v>0</v>
          </cell>
          <cell r="AQ17"/>
          <cell r="AR17"/>
          <cell r="AS17">
            <v>102509.53499999987</v>
          </cell>
          <cell r="AT17">
            <v>5128.0379999999996</v>
          </cell>
          <cell r="AU17">
            <v>7250.5259999999998</v>
          </cell>
          <cell r="AV17">
            <v>-381.58699999999999</v>
          </cell>
          <cell r="AW17">
            <v>81066.319000000003</v>
          </cell>
          <cell r="AX17">
            <v>-7876.3990000000003</v>
          </cell>
          <cell r="AY17"/>
          <cell r="AZ17"/>
          <cell r="BA17">
            <v>85186.896999999997</v>
          </cell>
          <cell r="BB17">
            <v>0</v>
          </cell>
          <cell r="BC17">
            <v>1774.1</v>
          </cell>
          <cell r="BD17">
            <v>0</v>
          </cell>
          <cell r="BE17">
            <v>0</v>
          </cell>
          <cell r="BF17">
            <v>-4014.703</v>
          </cell>
          <cell r="BG17">
            <v>0</v>
          </cell>
          <cell r="BH17"/>
          <cell r="BI17"/>
          <cell r="BJ17">
            <v>-2240.6030000000001</v>
          </cell>
          <cell r="BK17"/>
          <cell r="BL17"/>
          <cell r="BM17"/>
          <cell r="BN17"/>
          <cell r="BO17"/>
        </row>
        <row r="18">
          <cell r="F18">
            <v>601815.77873999998</v>
          </cell>
          <cell r="G18">
            <v>29675.878000000001</v>
          </cell>
          <cell r="H18">
            <v>34488.687850000002</v>
          </cell>
          <cell r="I18">
            <v>18648.800379999997</v>
          </cell>
          <cell r="J18">
            <v>18480.555110000001</v>
          </cell>
          <cell r="K18">
            <v>89761.812330000001</v>
          </cell>
          <cell r="L18">
            <v>42348.493609999998</v>
          </cell>
          <cell r="M18">
            <v>17176.690409999999</v>
          </cell>
          <cell r="N18">
            <v>28510.864120000002</v>
          </cell>
          <cell r="O18">
            <v>11547.260490000001</v>
          </cell>
          <cell r="P18">
            <v>32858.08855</v>
          </cell>
          <cell r="Q18">
            <v>14546.187289999998</v>
          </cell>
          <cell r="R18">
            <v>12666.744900000002</v>
          </cell>
          <cell r="S18">
            <v>34019.015209999998</v>
          </cell>
          <cell r="T18">
            <v>5372.9287299999996</v>
          </cell>
          <cell r="U18">
            <v>10252.95174</v>
          </cell>
          <cell r="V18">
            <v>20144.492019999998</v>
          </cell>
          <cell r="W18">
            <v>10101.231180000001</v>
          </cell>
          <cell r="X18"/>
          <cell r="Y18"/>
          <cell r="Z18">
            <v>430600.68191999994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E18">
            <v>0</v>
          </cell>
          <cell r="AF18"/>
          <cell r="AG18"/>
          <cell r="AH18">
            <v>6026.2630000000008</v>
          </cell>
          <cell r="AI18">
            <v>436626.94492000004</v>
          </cell>
          <cell r="AJ18">
            <v>33835.760040000001</v>
          </cell>
          <cell r="AK18">
            <v>11932.67157</v>
          </cell>
          <cell r="AL18">
            <v>62848.360209999999</v>
          </cell>
          <cell r="AM18"/>
          <cell r="AN18">
            <v>108616.79181999998</v>
          </cell>
          <cell r="AO18">
            <v>4319.4059999999999</v>
          </cell>
          <cell r="AP18">
            <v>855.83600000000001</v>
          </cell>
          <cell r="AQ18"/>
          <cell r="AR18"/>
          <cell r="AS18">
            <v>5175.2420000000002</v>
          </cell>
          <cell r="AT18">
            <v>1312.8920000000001</v>
          </cell>
          <cell r="AU18">
            <v>8489.6080000000002</v>
          </cell>
          <cell r="AV18">
            <v>432.17</v>
          </cell>
          <cell r="AW18">
            <v>0</v>
          </cell>
          <cell r="AX18">
            <v>18257.884999999998</v>
          </cell>
          <cell r="AY18"/>
          <cell r="AZ18"/>
          <cell r="BA18">
            <v>28492.555</v>
          </cell>
          <cell r="BB18">
            <v>0</v>
          </cell>
          <cell r="BC18">
            <v>17616.359</v>
          </cell>
          <cell r="BD18">
            <v>0</v>
          </cell>
          <cell r="BE18">
            <v>0</v>
          </cell>
          <cell r="BF18">
            <v>5287.8860000000004</v>
          </cell>
          <cell r="BG18">
            <v>0</v>
          </cell>
          <cell r="BH18"/>
          <cell r="BI18"/>
          <cell r="BJ18">
            <v>22904.245000000003</v>
          </cell>
          <cell r="BK18"/>
          <cell r="BL18"/>
          <cell r="BM18"/>
          <cell r="BN18"/>
          <cell r="BO18"/>
        </row>
        <row r="19">
          <cell r="F19">
            <v>531358.78873999999</v>
          </cell>
          <cell r="G19">
            <v>27348.256000000001</v>
          </cell>
          <cell r="H19">
            <v>32173.152850000002</v>
          </cell>
          <cell r="I19">
            <v>16877.553379999998</v>
          </cell>
          <cell r="J19">
            <v>17288.56711</v>
          </cell>
          <cell r="K19">
            <v>87515.34633</v>
          </cell>
          <cell r="L19">
            <v>40784.091609999996</v>
          </cell>
          <cell r="M19">
            <v>15983.091410000001</v>
          </cell>
          <cell r="N19">
            <v>26947.559120000002</v>
          </cell>
          <cell r="O19">
            <v>10354.35549</v>
          </cell>
          <cell r="P19">
            <v>31639.322550000001</v>
          </cell>
          <cell r="Q19">
            <v>13340.799289999999</v>
          </cell>
          <cell r="R19">
            <v>11564.589900000001</v>
          </cell>
          <cell r="S19">
            <v>32430.81421</v>
          </cell>
          <cell r="T19">
            <v>5002.52873</v>
          </cell>
          <cell r="U19">
            <v>9810.0827399999998</v>
          </cell>
          <cell r="V19">
            <v>19301.334019999998</v>
          </cell>
          <cell r="W19">
            <v>9275.8611799999999</v>
          </cell>
          <cell r="X19"/>
          <cell r="Y19"/>
          <cell r="Z19">
            <v>407637.30592000001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/>
          <cell r="AH19">
            <v>5672.5910000000003</v>
          </cell>
          <cell r="AI19">
            <v>413309.89692000003</v>
          </cell>
          <cell r="AJ19">
            <v>33465.36004</v>
          </cell>
          <cell r="AK19">
            <v>11932.67157</v>
          </cell>
          <cell r="AL19">
            <v>62848.360209999999</v>
          </cell>
          <cell r="AM19"/>
          <cell r="AN19">
            <v>108246.39181999999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>
            <v>0</v>
          </cell>
          <cell r="AX19">
            <v>0</v>
          </cell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70456.989999999991</v>
          </cell>
          <cell r="G20">
            <v>2327.6219999999998</v>
          </cell>
          <cell r="H20">
            <v>2315.5349999999999</v>
          </cell>
          <cell r="I20">
            <v>1771.2470000000001</v>
          </cell>
          <cell r="J20">
            <v>1191.9880000000001</v>
          </cell>
          <cell r="K20">
            <v>2246.4659999999999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1192.905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843.15800000000002</v>
          </cell>
          <cell r="W20">
            <v>825.37</v>
          </cell>
          <cell r="X20"/>
          <cell r="Y20"/>
          <cell r="Z20">
            <v>22963.376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>
            <v>0</v>
          </cell>
          <cell r="AF20"/>
          <cell r="AG20"/>
          <cell r="AH20">
            <v>353.67200000000003</v>
          </cell>
          <cell r="AI20">
            <v>23317.047999999999</v>
          </cell>
          <cell r="AJ20">
            <v>370.4</v>
          </cell>
          <cell r="AK20">
            <v>0</v>
          </cell>
          <cell r="AL20">
            <v>0</v>
          </cell>
          <cell r="AM20"/>
          <cell r="AN20">
            <v>370.4</v>
          </cell>
          <cell r="AO20">
            <v>4319.4059999999999</v>
          </cell>
          <cell r="AP20">
            <v>855.83600000000001</v>
          </cell>
          <cell r="AQ20"/>
          <cell r="AR20"/>
          <cell r="AS20">
            <v>5175.2420000000002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18257.884999999998</v>
          </cell>
          <cell r="AY20"/>
          <cell r="AZ20"/>
          <cell r="BA20">
            <v>18690.054999999997</v>
          </cell>
          <cell r="BB20">
            <v>0</v>
          </cell>
          <cell r="BC20">
            <v>17616.359</v>
          </cell>
          <cell r="BD20">
            <v>0</v>
          </cell>
          <cell r="BE20">
            <v>0</v>
          </cell>
          <cell r="BF20">
            <v>5287.8860000000004</v>
          </cell>
          <cell r="BG20">
            <v>0</v>
          </cell>
          <cell r="BH20"/>
          <cell r="BI20"/>
          <cell r="BJ20">
            <v>22904.245000000003</v>
          </cell>
          <cell r="BK20"/>
          <cell r="BL20"/>
          <cell r="BM20"/>
          <cell r="BN20"/>
          <cell r="BO20"/>
        </row>
        <row r="21">
          <cell r="F21">
            <v>4071552.7269999897</v>
          </cell>
          <cell r="G21">
            <v>289117.30599999987</v>
          </cell>
          <cell r="H21">
            <v>197386.29699999955</v>
          </cell>
          <cell r="I21">
            <v>229243.84199999989</v>
          </cell>
          <cell r="J21">
            <v>184976.32399999973</v>
          </cell>
          <cell r="K21">
            <v>295992.16300000012</v>
          </cell>
          <cell r="L21">
            <v>436141.18599999999</v>
          </cell>
          <cell r="M21">
            <v>188292.17800000016</v>
          </cell>
          <cell r="N21">
            <v>345893.93199999962</v>
          </cell>
          <cell r="O21">
            <v>75512.55899999979</v>
          </cell>
          <cell r="P21">
            <v>375285.87300000014</v>
          </cell>
          <cell r="Q21">
            <v>222088.31200000006</v>
          </cell>
          <cell r="R21">
            <v>-18246.208000000031</v>
          </cell>
          <cell r="S21">
            <v>374964.6109999998</v>
          </cell>
          <cell r="T21">
            <v>84897.066999999908</v>
          </cell>
          <cell r="U21">
            <v>286279.4219999999</v>
          </cell>
          <cell r="V21">
            <v>56852.235999999953</v>
          </cell>
          <cell r="W21">
            <v>118196.30299999988</v>
          </cell>
          <cell r="X21"/>
          <cell r="Y21"/>
          <cell r="Z21">
            <v>3742873.4029999985</v>
          </cell>
          <cell r="AA21">
            <v>43829.214</v>
          </cell>
          <cell r="AB21">
            <v>-534.35800000000006</v>
          </cell>
          <cell r="AC21">
            <v>8920.9789999999994</v>
          </cell>
          <cell r="AD21">
            <v>19606.27</v>
          </cell>
          <cell r="AE21">
            <v>0</v>
          </cell>
          <cell r="AF21"/>
          <cell r="AG21"/>
          <cell r="AH21">
            <v>71822.104999999996</v>
          </cell>
          <cell r="AI21">
            <v>3814695.5079999925</v>
          </cell>
          <cell r="AJ21">
            <v>56281.423000000003</v>
          </cell>
          <cell r="AK21">
            <v>86548.13</v>
          </cell>
          <cell r="AL21">
            <v>-14856.12099999997</v>
          </cell>
          <cell r="AM21"/>
          <cell r="AN21">
            <v>127973.43200000006</v>
          </cell>
          <cell r="AO21">
            <v>98190.12899999987</v>
          </cell>
          <cell r="AP21">
            <v>-855.83600000000001</v>
          </cell>
          <cell r="AQ21"/>
          <cell r="AR21"/>
          <cell r="AS21">
            <v>97334.292999999874</v>
          </cell>
          <cell r="AT21">
            <v>3815.1459999999997</v>
          </cell>
          <cell r="AU21">
            <v>-1239.0820000000003</v>
          </cell>
          <cell r="AV21">
            <v>-813.75700000000006</v>
          </cell>
          <cell r="AW21">
            <v>81066.319000000003</v>
          </cell>
          <cell r="AX21">
            <v>-26134.284</v>
          </cell>
          <cell r="AY21"/>
          <cell r="AZ21"/>
          <cell r="BA21">
            <v>56694.341999999997</v>
          </cell>
          <cell r="BB21">
            <v>0</v>
          </cell>
          <cell r="BC21">
            <v>-15842.259</v>
          </cell>
          <cell r="BD21">
            <v>0</v>
          </cell>
          <cell r="BE21">
            <v>0</v>
          </cell>
          <cell r="BF21">
            <v>-9302.5889999999999</v>
          </cell>
          <cell r="BG21">
            <v>0</v>
          </cell>
          <cell r="BH21"/>
          <cell r="BI21"/>
          <cell r="BJ21">
            <v>-25144.848000000002</v>
          </cell>
          <cell r="BK21"/>
          <cell r="BL21"/>
          <cell r="BM21"/>
          <cell r="BN21"/>
          <cell r="BO21"/>
        </row>
        <row r="22">
          <cell r="F22">
            <v>1202306.736</v>
          </cell>
          <cell r="G22">
            <v>165320.04826228932</v>
          </cell>
          <cell r="H22">
            <v>127458.20398260324</v>
          </cell>
          <cell r="I22">
            <v>112195.16708992631</v>
          </cell>
          <cell r="J22">
            <v>53679.547091978275</v>
          </cell>
          <cell r="K22">
            <v>87247.729710512824</v>
          </cell>
          <cell r="L22">
            <v>99986.338804481784</v>
          </cell>
          <cell r="M22">
            <v>55461.823232404982</v>
          </cell>
          <cell r="N22">
            <v>78447.532541310793</v>
          </cell>
          <cell r="O22">
            <v>43115.3301404675</v>
          </cell>
          <cell r="P22">
            <v>83434.442178791272</v>
          </cell>
          <cell r="Q22">
            <v>62626.37866442011</v>
          </cell>
          <cell r="R22">
            <v>18445.47280792494</v>
          </cell>
          <cell r="S22">
            <v>100066.83839295201</v>
          </cell>
          <cell r="T22">
            <v>20683.101415779671</v>
          </cell>
          <cell r="U22">
            <v>35594.138641243306</v>
          </cell>
          <cell r="V22">
            <v>32518.891726649468</v>
          </cell>
          <cell r="W22">
            <v>26025.751316264374</v>
          </cell>
          <cell r="X22"/>
          <cell r="Y22"/>
          <cell r="Z22">
            <v>1202306.736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/>
          <cell r="AG22"/>
          <cell r="AH22">
            <v>0</v>
          </cell>
          <cell r="AI22">
            <v>1202306.736</v>
          </cell>
          <cell r="AJ22">
            <v>0</v>
          </cell>
          <cell r="AK22">
            <v>0</v>
          </cell>
          <cell r="AL22">
            <v>0</v>
          </cell>
          <cell r="AM22"/>
          <cell r="AN22">
            <v>0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162091.29500000001</v>
          </cell>
          <cell r="G23">
            <v>22959.424700622458</v>
          </cell>
          <cell r="H23">
            <v>17701.222976733683</v>
          </cell>
          <cell r="I23">
            <v>15581.513056952739</v>
          </cell>
          <cell r="J23">
            <v>7454.9428963778228</v>
          </cell>
          <cell r="K23">
            <v>12494.074727978194</v>
          </cell>
          <cell r="L23">
            <v>14318.272726924788</v>
          </cell>
          <cell r="M23">
            <v>7942.2601174238844</v>
          </cell>
          <cell r="N23">
            <v>11233.866337252539</v>
          </cell>
          <cell r="O23">
            <v>6174.2140280762296</v>
          </cell>
          <cell r="P23">
            <v>11948.00321942803</v>
          </cell>
          <cell r="Q23">
            <v>8968.2408650874331</v>
          </cell>
          <cell r="R23">
            <v>2641.4339538663667</v>
          </cell>
          <cell r="S23">
            <v>10558.47885182764</v>
          </cell>
          <cell r="T23">
            <v>2182.3622330422027</v>
          </cell>
          <cell r="U23">
            <v>3755.6893585143839</v>
          </cell>
          <cell r="V23">
            <v>3431.2069422279692</v>
          </cell>
          <cell r="W23">
            <v>2746.0880076636572</v>
          </cell>
          <cell r="X23"/>
          <cell r="Y23"/>
          <cell r="Z23">
            <v>162091.29500000001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/>
          <cell r="AH23">
            <v>0</v>
          </cell>
          <cell r="AI23">
            <v>162091.29500000001</v>
          </cell>
          <cell r="AJ23">
            <v>0</v>
          </cell>
          <cell r="AK23">
            <v>0</v>
          </cell>
          <cell r="AL23">
            <v>0</v>
          </cell>
          <cell r="AM23"/>
          <cell r="AN23">
            <v>0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393617.79300000006</v>
          </cell>
          <cell r="G24">
            <v>53869.296924277347</v>
          </cell>
          <cell r="H24">
            <v>41532.070114572824</v>
          </cell>
          <cell r="I24">
            <v>36558.631774938825</v>
          </cell>
          <cell r="J24">
            <v>17491.402231329488</v>
          </cell>
          <cell r="K24">
            <v>28286.802457596601</v>
          </cell>
          <cell r="L24">
            <v>32416.818450233088</v>
          </cell>
          <cell r="M24">
            <v>17981.415022701112</v>
          </cell>
          <cell r="N24">
            <v>25433.668745819068</v>
          </cell>
          <cell r="O24">
            <v>13978.527929885046</v>
          </cell>
          <cell r="P24">
            <v>27050.487065990179</v>
          </cell>
          <cell r="Q24">
            <v>20304.253277339307</v>
          </cell>
          <cell r="R24">
            <v>5980.2524064058607</v>
          </cell>
          <cell r="S24">
            <v>33869.986494103447</v>
          </cell>
          <cell r="T24">
            <v>7000.6845110634586</v>
          </cell>
          <cell r="U24">
            <v>12047.677476468252</v>
          </cell>
          <cell r="V24">
            <v>11006.787475983709</v>
          </cell>
          <cell r="W24">
            <v>8809.0306412924037</v>
          </cell>
          <cell r="X24"/>
          <cell r="Y24"/>
          <cell r="Z24">
            <v>393617.79300000006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/>
          <cell r="AH24">
            <v>0</v>
          </cell>
          <cell r="AI24">
            <v>393617.79300000006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646597.64800000004</v>
          </cell>
          <cell r="G25">
            <v>88491.326637389517</v>
          </cell>
          <cell r="H25">
            <v>68224.910891296735</v>
          </cell>
          <cell r="I25">
            <v>60055.022258034747</v>
          </cell>
          <cell r="J25">
            <v>28733.201964270964</v>
          </cell>
          <cell r="K25">
            <v>46466.852524938033</v>
          </cell>
          <cell r="L25">
            <v>53251.247627323908</v>
          </cell>
          <cell r="M25">
            <v>29538.148092279986</v>
          </cell>
          <cell r="N25">
            <v>41779.997458239195</v>
          </cell>
          <cell r="O25">
            <v>22962.588182506224</v>
          </cell>
          <cell r="P25">
            <v>44435.951893373058</v>
          </cell>
          <cell r="Q25">
            <v>33353.884521993372</v>
          </cell>
          <cell r="R25">
            <v>9823.786447652712</v>
          </cell>
          <cell r="S25">
            <v>55638.373047020919</v>
          </cell>
          <cell r="T25">
            <v>11500.05467167401</v>
          </cell>
          <cell r="U25">
            <v>19790.771806260669</v>
          </cell>
          <cell r="V25">
            <v>18080.89730843779</v>
          </cell>
          <cell r="W25">
            <v>14470.632667308311</v>
          </cell>
          <cell r="X25"/>
          <cell r="Y25"/>
          <cell r="Z25">
            <v>646597.64800000004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/>
          <cell r="AH25">
            <v>0</v>
          </cell>
          <cell r="AI25">
            <v>646597.64800000004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2869245.9909999897</v>
          </cell>
          <cell r="G26">
            <v>123797.25773771055</v>
          </cell>
          <cell r="H26">
            <v>69928.093017396313</v>
          </cell>
          <cell r="I26">
            <v>117048.67491007358</v>
          </cell>
          <cell r="J26">
            <v>131296.77690802145</v>
          </cell>
          <cell r="K26">
            <v>208744.43328948729</v>
          </cell>
          <cell r="L26">
            <v>336154.8471955182</v>
          </cell>
          <cell r="M26">
            <v>132830.35476759518</v>
          </cell>
          <cell r="N26">
            <v>267446.3994586888</v>
          </cell>
          <cell r="O26">
            <v>32397.22885953229</v>
          </cell>
          <cell r="P26">
            <v>291851.43082120887</v>
          </cell>
          <cell r="Q26">
            <v>159461.93333557996</v>
          </cell>
          <cell r="R26">
            <v>-36691.680807924975</v>
          </cell>
          <cell r="S26">
            <v>274897.77260704781</v>
          </cell>
          <cell r="T26">
            <v>64213.965584220234</v>
          </cell>
          <cell r="U26">
            <v>250685.2833587566</v>
          </cell>
          <cell r="V26">
            <v>24333.344273350485</v>
          </cell>
          <cell r="W26">
            <v>92170.55168373551</v>
          </cell>
          <cell r="X26"/>
          <cell r="Y26"/>
          <cell r="Z26">
            <v>2540566.6669999985</v>
          </cell>
          <cell r="AA26">
            <v>43829.214</v>
          </cell>
          <cell r="AB26">
            <v>-534.35800000000006</v>
          </cell>
          <cell r="AC26">
            <v>8920.9789999999994</v>
          </cell>
          <cell r="AD26">
            <v>19606.27</v>
          </cell>
          <cell r="AE26">
            <v>0</v>
          </cell>
          <cell r="AF26"/>
          <cell r="AG26"/>
          <cell r="AH26">
            <v>71822.104999999996</v>
          </cell>
          <cell r="AI26">
            <v>2612388.7719999924</v>
          </cell>
          <cell r="AJ26">
            <v>56281.423000000003</v>
          </cell>
          <cell r="AK26">
            <v>86548.13</v>
          </cell>
          <cell r="AL26">
            <v>-14856.12099999997</v>
          </cell>
          <cell r="AM26"/>
          <cell r="AN26">
            <v>127973.43200000006</v>
          </cell>
          <cell r="AO26">
            <v>98190.12899999987</v>
          </cell>
          <cell r="AP26">
            <v>-855.83600000000001</v>
          </cell>
          <cell r="AQ26"/>
          <cell r="AR26"/>
          <cell r="AS26">
            <v>97334.292999999874</v>
          </cell>
          <cell r="AT26">
            <v>3815.1459999999997</v>
          </cell>
          <cell r="AU26">
            <v>-1239.0820000000003</v>
          </cell>
          <cell r="AV26">
            <v>-813.75700000000006</v>
          </cell>
          <cell r="AW26">
            <v>81066.319000000003</v>
          </cell>
          <cell r="AX26">
            <v>-26134.284</v>
          </cell>
          <cell r="AY26"/>
          <cell r="AZ26"/>
          <cell r="BA26">
            <v>56694.341999999997</v>
          </cell>
          <cell r="BB26">
            <v>0</v>
          </cell>
          <cell r="BC26">
            <v>-15842.259</v>
          </cell>
          <cell r="BD26">
            <v>0</v>
          </cell>
          <cell r="BE26">
            <v>0</v>
          </cell>
          <cell r="BF26">
            <v>-9302.5889999999999</v>
          </cell>
          <cell r="BG26">
            <v>0</v>
          </cell>
          <cell r="BH26"/>
          <cell r="BI26"/>
          <cell r="BJ26">
            <v>-25144.848000000002</v>
          </cell>
          <cell r="BK26"/>
          <cell r="BL26"/>
          <cell r="BM26"/>
          <cell r="BN26"/>
          <cell r="BO26"/>
        </row>
        <row r="27">
          <cell r="F27">
            <v>2869245.9909999981</v>
          </cell>
          <cell r="G27">
            <v>123797.25773771058</v>
          </cell>
          <cell r="H27">
            <v>69928.093017396284</v>
          </cell>
          <cell r="I27">
            <v>117048.67491007361</v>
          </cell>
          <cell r="J27">
            <v>131296.77690802148</v>
          </cell>
          <cell r="K27">
            <v>208744.43328948726</v>
          </cell>
          <cell r="L27">
            <v>336154.8471955182</v>
          </cell>
          <cell r="M27">
            <v>132830.35476759516</v>
          </cell>
          <cell r="N27">
            <v>267446.3994586888</v>
          </cell>
          <cell r="O27">
            <v>32397.22885953229</v>
          </cell>
          <cell r="P27">
            <v>291851.43082120892</v>
          </cell>
          <cell r="Q27">
            <v>159461.93333557996</v>
          </cell>
          <cell r="R27">
            <v>-36691.680807924968</v>
          </cell>
          <cell r="S27">
            <v>274897.77260704781</v>
          </cell>
          <cell r="T27">
            <v>64213.965584220234</v>
          </cell>
          <cell r="U27">
            <v>250685.28335875663</v>
          </cell>
          <cell r="V27">
            <v>24333.3442733505</v>
          </cell>
          <cell r="W27">
            <v>92170.551683735539</v>
          </cell>
          <cell r="X27"/>
          <cell r="Y27"/>
          <cell r="Z27">
            <v>2540566.6669999985</v>
          </cell>
          <cell r="AA27">
            <v>43829.214</v>
          </cell>
          <cell r="AB27">
            <v>-534.35800000000006</v>
          </cell>
          <cell r="AC27">
            <v>8920.9789999999994</v>
          </cell>
          <cell r="AD27">
            <v>19606.27</v>
          </cell>
          <cell r="AE27">
            <v>0</v>
          </cell>
          <cell r="AF27"/>
          <cell r="AG27"/>
          <cell r="AH27">
            <v>71822.104999999996</v>
          </cell>
          <cell r="AI27">
            <v>2612388.7719999985</v>
          </cell>
          <cell r="AJ27">
            <v>56281.423000000003</v>
          </cell>
          <cell r="AK27">
            <v>86548.13</v>
          </cell>
          <cell r="AL27">
            <v>-14856.12099999997</v>
          </cell>
          <cell r="AM27"/>
          <cell r="AN27">
            <v>127973.43200000004</v>
          </cell>
          <cell r="AO27">
            <v>98190.128999999855</v>
          </cell>
          <cell r="AP27">
            <v>-855.83600000000001</v>
          </cell>
          <cell r="AQ27"/>
          <cell r="AR27"/>
          <cell r="AS27">
            <v>97334.29299999986</v>
          </cell>
          <cell r="AT27">
            <v>3815.1459999999997</v>
          </cell>
          <cell r="AU27">
            <v>-1239.0820000000003</v>
          </cell>
          <cell r="AV27">
            <v>-813.75700000000006</v>
          </cell>
          <cell r="AW27">
            <v>81066.319000000003</v>
          </cell>
          <cell r="AX27">
            <v>-26134.284</v>
          </cell>
          <cell r="AY27"/>
          <cell r="AZ27"/>
          <cell r="BA27">
            <v>56694.342000000004</v>
          </cell>
          <cell r="BB27">
            <v>0</v>
          </cell>
          <cell r="BC27">
            <v>-15842.259</v>
          </cell>
          <cell r="BD27">
            <v>0</v>
          </cell>
          <cell r="BE27">
            <v>0</v>
          </cell>
          <cell r="BF27">
            <v>-9302.5889999999999</v>
          </cell>
          <cell r="BG27">
            <v>0</v>
          </cell>
          <cell r="BH27"/>
          <cell r="BI27"/>
          <cell r="BJ27">
            <v>-25144.847999999998</v>
          </cell>
          <cell r="BK27"/>
          <cell r="BL27"/>
          <cell r="BM27"/>
          <cell r="BN27"/>
          <cell r="BO27"/>
        </row>
        <row r="28">
          <cell r="F28">
            <v>-8.3819031715393066E-9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/>
          <cell r="AG28"/>
          <cell r="AH28">
            <v>0</v>
          </cell>
          <cell r="AI28">
            <v>-6.0535967350006104E-9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52411</v>
          </cell>
          <cell r="H31">
            <v>38282</v>
          </cell>
          <cell r="I31">
            <v>32522</v>
          </cell>
          <cell r="J31">
            <v>16056.68</v>
          </cell>
          <cell r="K31">
            <v>24287.5</v>
          </cell>
          <cell r="L31">
            <v>29358</v>
          </cell>
          <cell r="M31">
            <v>16069</v>
          </cell>
          <cell r="N31">
            <v>22187</v>
          </cell>
          <cell r="O31">
            <v>13651</v>
          </cell>
          <cell r="P31">
            <v>24905</v>
          </cell>
          <cell r="Q31">
            <v>19431</v>
          </cell>
          <cell r="R31">
            <v>5270.5</v>
          </cell>
          <cell r="S31">
            <v>30918</v>
          </cell>
          <cell r="T31">
            <v>5984.5</v>
          </cell>
          <cell r="U31">
            <v>10182.5</v>
          </cell>
          <cell r="V31">
            <v>11306</v>
          </cell>
          <cell r="W31">
            <v>6377.5</v>
          </cell>
          <cell r="X31">
            <v>0</v>
          </cell>
          <cell r="Y31">
            <v>0</v>
          </cell>
          <cell r="Z31">
            <v>359199.18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>
            <v>0</v>
          </cell>
          <cell r="AI31">
            <v>359199.18</v>
          </cell>
          <cell r="AJ31">
            <v>31346</v>
          </cell>
          <cell r="AK31">
            <v>37866</v>
          </cell>
          <cell r="AL31">
            <v>36262</v>
          </cell>
          <cell r="AM31"/>
          <cell r="AN31">
            <v>105474</v>
          </cell>
          <cell r="AO31">
            <v>10109.272999999999</v>
          </cell>
          <cell r="AP31">
            <v>0</v>
          </cell>
          <cell r="AQ31"/>
          <cell r="AR31"/>
          <cell r="AS31">
            <v>10109.272999999999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49233714.442999989</v>
          </cell>
          <cell r="G32">
            <v>4739045.0549999997</v>
          </cell>
          <cell r="H32">
            <v>3653701.8809999996</v>
          </cell>
          <cell r="I32">
            <v>3216173.4609999997</v>
          </cell>
          <cell r="J32">
            <v>1538771.5819999999</v>
          </cell>
          <cell r="K32">
            <v>2488475.6060000001</v>
          </cell>
          <cell r="L32">
            <v>2851805.61</v>
          </cell>
          <cell r="M32">
            <v>1581879.49</v>
          </cell>
          <cell r="N32">
            <v>2237476.7999999998</v>
          </cell>
          <cell r="O32">
            <v>1229733.3999999999</v>
          </cell>
          <cell r="P32">
            <v>2379713.2000000002</v>
          </cell>
          <cell r="Q32">
            <v>1786226.6</v>
          </cell>
          <cell r="R32">
            <v>526100.9</v>
          </cell>
          <cell r="S32">
            <v>2979645.1999999997</v>
          </cell>
          <cell r="T32">
            <v>615871.39999999991</v>
          </cell>
          <cell r="U32">
            <v>1059870.6429999999</v>
          </cell>
          <cell r="V32">
            <v>968300.4</v>
          </cell>
          <cell r="W32">
            <v>774957.08099999989</v>
          </cell>
          <cell r="X32">
            <v>0</v>
          </cell>
          <cell r="Y32">
            <v>0</v>
          </cell>
          <cell r="Z32">
            <v>34627748.308999993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>
            <v>0</v>
          </cell>
          <cell r="AF32"/>
          <cell r="AG32"/>
          <cell r="AH32">
            <v>90840</v>
          </cell>
          <cell r="AI32">
            <v>34718588.308999993</v>
          </cell>
          <cell r="AJ32">
            <v>893324.5</v>
          </cell>
          <cell r="AK32">
            <v>482524</v>
          </cell>
          <cell r="AL32">
            <v>638882</v>
          </cell>
          <cell r="AM32"/>
          <cell r="AN32">
            <v>2014730.5</v>
          </cell>
          <cell r="AO32">
            <v>12404880.215</v>
          </cell>
          <cell r="AP32">
            <v>0</v>
          </cell>
          <cell r="AQ32"/>
          <cell r="AR32"/>
          <cell r="AS32">
            <v>12404880.215</v>
          </cell>
          <cell r="AT32">
            <v>5250</v>
          </cell>
          <cell r="AU32">
            <v>7425</v>
          </cell>
          <cell r="AV32">
            <v>0</v>
          </cell>
          <cell r="AW32">
            <v>81066.319000000003</v>
          </cell>
          <cell r="AX32">
            <v>0</v>
          </cell>
          <cell r="AY32"/>
          <cell r="AZ32"/>
          <cell r="BA32">
            <v>93741.319000000003</v>
          </cell>
          <cell r="BB32">
            <v>0</v>
          </cell>
          <cell r="BC32">
            <v>1774.1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1774.1</v>
          </cell>
        </row>
        <row r="33">
          <cell r="F33">
            <v>44270997.889999993</v>
          </cell>
          <cell r="G33">
            <v>4366931.6469999999</v>
          </cell>
          <cell r="H33">
            <v>3383163.74</v>
          </cell>
          <cell r="I33">
            <v>2935002.6799999997</v>
          </cell>
          <cell r="J33">
            <v>1318929.2550000001</v>
          </cell>
          <cell r="K33">
            <v>2123867.9780000001</v>
          </cell>
          <cell r="L33">
            <v>2358502.1979999999</v>
          </cell>
          <cell r="M33">
            <v>1352807.4029999999</v>
          </cell>
          <cell r="N33">
            <v>1843312.7590000003</v>
          </cell>
          <cell r="O33">
            <v>1117803.7790000001</v>
          </cell>
          <cell r="P33">
            <v>1962258.291</v>
          </cell>
          <cell r="Q33">
            <v>1528265.405</v>
          </cell>
          <cell r="R33">
            <v>516631.58000000007</v>
          </cell>
          <cell r="S33">
            <v>2559722.7379999999</v>
          </cell>
          <cell r="T33">
            <v>521527.68300000002</v>
          </cell>
          <cell r="U33">
            <v>761553.71799999999</v>
          </cell>
          <cell r="V33">
            <v>885344.36800000002</v>
          </cell>
          <cell r="W33">
            <v>641042.05900000001</v>
          </cell>
          <cell r="X33">
            <v>0</v>
          </cell>
          <cell r="Y33">
            <v>0</v>
          </cell>
          <cell r="Z33">
            <v>30176667.280999999</v>
          </cell>
          <cell r="AA33">
            <v>6170.7860000000001</v>
          </cell>
          <cell r="AB33">
            <v>0</v>
          </cell>
          <cell r="AC33">
            <v>3579.0210000000002</v>
          </cell>
          <cell r="AD33">
            <v>8733.73</v>
          </cell>
          <cell r="AE33">
            <v>0</v>
          </cell>
          <cell r="AF33"/>
          <cell r="AG33"/>
          <cell r="AH33">
            <v>18483.537</v>
          </cell>
          <cell r="AI33">
            <v>30195150.818</v>
          </cell>
          <cell r="AJ33">
            <v>827271.32700000005</v>
          </cell>
          <cell r="AK33">
            <v>395975.87</v>
          </cell>
          <cell r="AL33">
            <v>653710.12099999993</v>
          </cell>
          <cell r="AM33"/>
          <cell r="AN33">
            <v>1876957.318</v>
          </cell>
          <cell r="AO33">
            <v>12188790.818</v>
          </cell>
          <cell r="AP33">
            <v>0</v>
          </cell>
          <cell r="AQ33"/>
          <cell r="AR33"/>
          <cell r="AS33">
            <v>12188790.818</v>
          </cell>
          <cell r="AT33">
            <v>1434.854</v>
          </cell>
          <cell r="AU33">
            <v>8664.0820000000003</v>
          </cell>
          <cell r="AV33">
            <v>0</v>
          </cell>
          <cell r="AW33">
            <v>0</v>
          </cell>
          <cell r="AX33">
            <v>0</v>
          </cell>
          <cell r="AY33"/>
          <cell r="AZ33"/>
          <cell r="BA33">
            <v>10098.936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0</v>
          </cell>
        </row>
        <row r="34">
          <cell r="F34">
            <v>4962716.5529999956</v>
          </cell>
          <cell r="G34">
            <v>372113.40799999982</v>
          </cell>
          <cell r="H34">
            <v>270538.14099999936</v>
          </cell>
          <cell r="I34">
            <v>281170.78099999996</v>
          </cell>
          <cell r="J34">
            <v>219842.32699999982</v>
          </cell>
          <cell r="K34">
            <v>364607.62800000003</v>
          </cell>
          <cell r="L34">
            <v>493303.41200000001</v>
          </cell>
          <cell r="M34">
            <v>229072.08700000006</v>
          </cell>
          <cell r="N34">
            <v>394164.0409999995</v>
          </cell>
          <cell r="O34">
            <v>111929.62099999981</v>
          </cell>
          <cell r="P34">
            <v>417454.90900000022</v>
          </cell>
          <cell r="Q34">
            <v>257961.19500000007</v>
          </cell>
          <cell r="R34">
            <v>9469.3199999999488</v>
          </cell>
          <cell r="S34">
            <v>419922.46199999982</v>
          </cell>
          <cell r="T34">
            <v>94343.716999999888</v>
          </cell>
          <cell r="U34">
            <v>298316.92499999993</v>
          </cell>
          <cell r="V34">
            <v>82956.032000000007</v>
          </cell>
          <cell r="W34">
            <v>133915.02199999988</v>
          </cell>
          <cell r="X34">
            <v>0</v>
          </cell>
          <cell r="Y34">
            <v>0</v>
          </cell>
          <cell r="Z34">
            <v>4451081.0279999934</v>
          </cell>
          <cell r="AA34">
            <v>43829.214</v>
          </cell>
          <cell r="AB34">
            <v>0</v>
          </cell>
          <cell r="AC34">
            <v>8920.9789999999994</v>
          </cell>
          <cell r="AD34">
            <v>19606.27</v>
          </cell>
          <cell r="AE34">
            <v>0</v>
          </cell>
          <cell r="AF34"/>
          <cell r="AG34"/>
          <cell r="AH34">
            <v>72356.463000000003</v>
          </cell>
          <cell r="AI34">
            <v>4523437.4909999929</v>
          </cell>
          <cell r="AJ34">
            <v>66053.172999999952</v>
          </cell>
          <cell r="AK34">
            <v>86548.13</v>
          </cell>
          <cell r="AL34">
            <v>-14828.120999999926</v>
          </cell>
          <cell r="AM34"/>
          <cell r="AN34">
            <v>137773.18200000003</v>
          </cell>
          <cell r="AO34">
            <v>216089.39699999988</v>
          </cell>
          <cell r="AP34">
            <v>0</v>
          </cell>
          <cell r="AQ34"/>
          <cell r="AR34"/>
          <cell r="AS34">
            <v>216089.39699999988</v>
          </cell>
          <cell r="AT34">
            <v>3815.1459999999997</v>
          </cell>
          <cell r="AU34">
            <v>-1239.0820000000003</v>
          </cell>
          <cell r="AV34">
            <v>0</v>
          </cell>
          <cell r="AW34">
            <v>81066.319000000003</v>
          </cell>
          <cell r="AX34">
            <v>0</v>
          </cell>
          <cell r="AY34"/>
          <cell r="AZ34"/>
          <cell r="BA34">
            <v>83642.383000000002</v>
          </cell>
          <cell r="BB34">
            <v>0</v>
          </cell>
          <cell r="BC34">
            <v>1774.1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1774.1</v>
          </cell>
        </row>
        <row r="35">
          <cell r="F35">
            <v>2093470.5619999999</v>
          </cell>
          <cell r="G35">
            <v>248316.1502622893</v>
          </cell>
          <cell r="H35">
            <v>200610.04798260325</v>
          </cell>
          <cell r="I35">
            <v>164122.10608992632</v>
          </cell>
          <cell r="J35">
            <v>88545.550091978264</v>
          </cell>
          <cell r="K35">
            <v>155863.19471051279</v>
          </cell>
          <cell r="L35">
            <v>157148.56480448178</v>
          </cell>
          <cell r="M35">
            <v>96241.732232404975</v>
          </cell>
          <cell r="N35">
            <v>126717.64154131079</v>
          </cell>
          <cell r="O35">
            <v>79532.392140467506</v>
          </cell>
          <cell r="P35">
            <v>125603.47817879128</v>
          </cell>
          <cell r="Q35">
            <v>98499.261664420104</v>
          </cell>
          <cell r="R35">
            <v>46161.000807924938</v>
          </cell>
          <cell r="S35">
            <v>145024.68939295202</v>
          </cell>
          <cell r="T35">
            <v>30129.751415779672</v>
          </cell>
          <cell r="U35">
            <v>47631.64164124331</v>
          </cell>
          <cell r="V35">
            <v>58622.68772664947</v>
          </cell>
          <cell r="W35">
            <v>41744.470316264378</v>
          </cell>
          <cell r="X35">
            <v>0</v>
          </cell>
          <cell r="Y35">
            <v>0</v>
          </cell>
          <cell r="Z35">
            <v>1910514.3609999998</v>
          </cell>
          <cell r="AA35">
            <v>0</v>
          </cell>
          <cell r="AB35">
            <v>534.35800000000006</v>
          </cell>
          <cell r="AC35">
            <v>0</v>
          </cell>
          <cell r="AD35">
            <v>0</v>
          </cell>
          <cell r="AE35">
            <v>0</v>
          </cell>
          <cell r="AF35"/>
          <cell r="AG35"/>
          <cell r="AH35">
            <v>534.35800000000006</v>
          </cell>
          <cell r="AI35">
            <v>1911048.7189999998</v>
          </cell>
          <cell r="AJ35">
            <v>9771.75</v>
          </cell>
          <cell r="AK35">
            <v>0</v>
          </cell>
          <cell r="AL35">
            <v>28</v>
          </cell>
          <cell r="AM35"/>
          <cell r="AN35">
            <v>9799.75</v>
          </cell>
          <cell r="AO35">
            <v>117899.26800000001</v>
          </cell>
          <cell r="AP35">
            <v>855.83600000000001</v>
          </cell>
          <cell r="AQ35"/>
          <cell r="AR35"/>
          <cell r="AS35">
            <v>118755.10400000001</v>
          </cell>
          <cell r="AT35">
            <v>0</v>
          </cell>
          <cell r="AU35">
            <v>0</v>
          </cell>
          <cell r="AV35">
            <v>813.75700000000006</v>
          </cell>
          <cell r="AW35">
            <v>0</v>
          </cell>
          <cell r="AX35">
            <v>26134.284</v>
          </cell>
          <cell r="AY35"/>
          <cell r="AZ35"/>
          <cell r="BA35">
            <v>26948.041000000001</v>
          </cell>
          <cell r="BB35">
            <v>0</v>
          </cell>
          <cell r="BC35">
            <v>17616.359</v>
          </cell>
          <cell r="BD35">
            <v>0</v>
          </cell>
          <cell r="BE35">
            <v>0</v>
          </cell>
          <cell r="BF35">
            <v>9302.5889999999999</v>
          </cell>
          <cell r="BG35">
            <v>0</v>
          </cell>
          <cell r="BH35"/>
          <cell r="BI35"/>
          <cell r="BJ35">
            <v>26918.948</v>
          </cell>
        </row>
        <row r="36">
          <cell r="F36">
            <v>2869245.9909999957</v>
          </cell>
          <cell r="G36">
            <v>123797.25773771052</v>
          </cell>
          <cell r="H36">
            <v>69928.09301739611</v>
          </cell>
          <cell r="I36">
            <v>117048.67491007363</v>
          </cell>
          <cell r="J36">
            <v>131296.77690802154</v>
          </cell>
          <cell r="K36">
            <v>208744.43328948724</v>
          </cell>
          <cell r="L36">
            <v>336154.8471955182</v>
          </cell>
          <cell r="M36">
            <v>132830.35476759507</v>
          </cell>
          <cell r="N36">
            <v>267446.39945868868</v>
          </cell>
          <cell r="O36">
            <v>32397.228859532304</v>
          </cell>
          <cell r="P36">
            <v>291851.43082120892</v>
          </cell>
          <cell r="Q36">
            <v>159461.93333557996</v>
          </cell>
          <cell r="R36">
            <v>-36691.680807924989</v>
          </cell>
          <cell r="S36">
            <v>274897.77260704781</v>
          </cell>
          <cell r="T36">
            <v>64213.965584220219</v>
          </cell>
          <cell r="U36">
            <v>250685.28335875663</v>
          </cell>
          <cell r="V36">
            <v>24333.344273350536</v>
          </cell>
          <cell r="W36">
            <v>92170.55168373551</v>
          </cell>
          <cell r="X36">
            <v>0</v>
          </cell>
          <cell r="Y36">
            <v>0</v>
          </cell>
          <cell r="Z36">
            <v>2540566.6669999938</v>
          </cell>
          <cell r="AA36">
            <v>43829.214</v>
          </cell>
          <cell r="AB36">
            <v>-534.35800000000006</v>
          </cell>
          <cell r="AC36">
            <v>8920.9789999999994</v>
          </cell>
          <cell r="AD36">
            <v>19606.27</v>
          </cell>
          <cell r="AE36">
            <v>0</v>
          </cell>
          <cell r="AF36"/>
          <cell r="AG36"/>
          <cell r="AH36">
            <v>71822.10500000001</v>
          </cell>
          <cell r="AI36">
            <v>2612388.7719999934</v>
          </cell>
          <cell r="AJ36">
            <v>56281.422999999952</v>
          </cell>
          <cell r="AK36">
            <v>86548.13</v>
          </cell>
          <cell r="AL36">
            <v>-14856.120999999926</v>
          </cell>
          <cell r="AM36"/>
          <cell r="AN36">
            <v>127973.43200000003</v>
          </cell>
          <cell r="AO36">
            <v>98190.12899999987</v>
          </cell>
          <cell r="AP36">
            <v>-855.83600000000001</v>
          </cell>
          <cell r="AQ36"/>
          <cell r="AR36"/>
          <cell r="AS36">
            <v>97334.292999999874</v>
          </cell>
          <cell r="AT36">
            <v>3815.1459999999997</v>
          </cell>
          <cell r="AU36">
            <v>-1239.0820000000003</v>
          </cell>
          <cell r="AV36">
            <v>-813.75700000000006</v>
          </cell>
          <cell r="AW36">
            <v>81066.319000000003</v>
          </cell>
          <cell r="AX36">
            <v>-26134.284</v>
          </cell>
          <cell r="AY36"/>
          <cell r="AZ36"/>
          <cell r="BA36">
            <v>56694.342000000004</v>
          </cell>
          <cell r="BB36">
            <v>0</v>
          </cell>
          <cell r="BC36">
            <v>-15842.259</v>
          </cell>
          <cell r="BD36">
            <v>0</v>
          </cell>
          <cell r="BE36">
            <v>0</v>
          </cell>
          <cell r="BF36">
            <v>-9302.5889999999999</v>
          </cell>
          <cell r="BG36">
            <v>0</v>
          </cell>
          <cell r="BH36"/>
          <cell r="BI36"/>
          <cell r="BJ36">
            <v>-25144.848000000002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-19809</v>
          </cell>
          <cell r="AK38">
            <v>-22634</v>
          </cell>
          <cell r="AL38">
            <v>-24934</v>
          </cell>
          <cell r="AM38"/>
          <cell r="AN38">
            <v>-67377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-1347892.5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-564350.5</v>
          </cell>
          <cell r="AK39">
            <v>-319348</v>
          </cell>
          <cell r="AL39">
            <v>-464194</v>
          </cell>
          <cell r="AM39"/>
          <cell r="AN39">
            <v>-1347892.5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-1347892.5</v>
          </cell>
          <cell r="G40"/>
          <cell r="H40"/>
          <cell r="I40"/>
          <cell r="J40"/>
          <cell r="K40">
            <v>-38850.65</v>
          </cell>
          <cell r="L40">
            <v>-89596.793000000005</v>
          </cell>
          <cell r="M40">
            <v>-2669.096</v>
          </cell>
          <cell r="N40">
            <v>-5175.4560000000001</v>
          </cell>
          <cell r="O40">
            <v>-1475.354</v>
          </cell>
          <cell r="P40">
            <v>-3401.6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-141168.94899999999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-141168.94899999999</v>
          </cell>
          <cell r="AJ40">
            <v>-522791.533</v>
          </cell>
          <cell r="AK40">
            <v>-234441.421</v>
          </cell>
          <cell r="AL40">
            <v>-449490.59700000001</v>
          </cell>
          <cell r="AM40"/>
          <cell r="AN40">
            <v>-1206723.551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38850.65</v>
          </cell>
          <cell r="L41">
            <v>89596.793000000005</v>
          </cell>
          <cell r="M41">
            <v>2669.096</v>
          </cell>
          <cell r="N41">
            <v>5175.4560000000001</v>
          </cell>
          <cell r="O41">
            <v>1475.354</v>
          </cell>
          <cell r="P41">
            <v>3401.6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141168.94899999999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/>
          <cell r="AG41"/>
          <cell r="AH41">
            <v>0</v>
          </cell>
          <cell r="AI41">
            <v>141168.94899999999</v>
          </cell>
          <cell r="AJ41">
            <v>-41558.967000000004</v>
          </cell>
          <cell r="AK41">
            <v>-84906.578999999998</v>
          </cell>
          <cell r="AL41">
            <v>-14703.402999999991</v>
          </cell>
          <cell r="AM41"/>
          <cell r="AN41">
            <v>-141168.94900000002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38850.65</v>
          </cell>
          <cell r="L43">
            <v>89596.793000000005</v>
          </cell>
          <cell r="M43">
            <v>2669.096</v>
          </cell>
          <cell r="N43">
            <v>5175.4560000000001</v>
          </cell>
          <cell r="O43">
            <v>1475.354</v>
          </cell>
          <cell r="P43">
            <v>3401.6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141168.94899999999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>
            <v>0</v>
          </cell>
          <cell r="AI43">
            <v>141168.94899999999</v>
          </cell>
          <cell r="AJ43">
            <v>-41558.967000000004</v>
          </cell>
          <cell r="AK43">
            <v>-84906.578999999998</v>
          </cell>
          <cell r="AL43">
            <v>-14703.402999999991</v>
          </cell>
          <cell r="AM43"/>
          <cell r="AN43">
            <v>-141168.94900000002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52411</v>
          </cell>
          <cell r="H45">
            <v>38282</v>
          </cell>
          <cell r="I45">
            <v>32522</v>
          </cell>
          <cell r="J45">
            <v>16056.68</v>
          </cell>
          <cell r="K45">
            <v>24287.5</v>
          </cell>
          <cell r="L45">
            <v>29358</v>
          </cell>
          <cell r="M45">
            <v>16069</v>
          </cell>
          <cell r="N45">
            <v>22187</v>
          </cell>
          <cell r="O45">
            <v>13651</v>
          </cell>
          <cell r="P45">
            <v>24905</v>
          </cell>
          <cell r="Q45">
            <v>19431</v>
          </cell>
          <cell r="R45">
            <v>5270.5</v>
          </cell>
          <cell r="S45">
            <v>30918</v>
          </cell>
          <cell r="T45">
            <v>5984.5</v>
          </cell>
          <cell r="U45">
            <v>10182.5</v>
          </cell>
          <cell r="V45">
            <v>11306</v>
          </cell>
          <cell r="W45">
            <v>6377.5</v>
          </cell>
          <cell r="X45">
            <v>0</v>
          </cell>
          <cell r="Y45">
            <v>0</v>
          </cell>
          <cell r="Z45">
            <v>359199.18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/>
          <cell r="AG45"/>
          <cell r="AH45">
            <v>0</v>
          </cell>
          <cell r="AI45">
            <v>359199.18</v>
          </cell>
          <cell r="AJ45">
            <v>11537</v>
          </cell>
          <cell r="AK45">
            <v>15232</v>
          </cell>
          <cell r="AL45">
            <v>11328</v>
          </cell>
          <cell r="AM45"/>
          <cell r="AN45">
            <v>38097</v>
          </cell>
          <cell r="AO45">
            <v>10109.272999999999</v>
          </cell>
          <cell r="AP45">
            <v>0</v>
          </cell>
          <cell r="AQ45"/>
          <cell r="AR45"/>
          <cell r="AS45">
            <v>10109.272999999999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47885821.942999989</v>
          </cell>
          <cell r="G46">
            <v>4739045.0549999997</v>
          </cell>
          <cell r="H46">
            <v>3653701.8809999996</v>
          </cell>
          <cell r="I46">
            <v>3216173.4609999997</v>
          </cell>
          <cell r="J46">
            <v>1538771.5819999999</v>
          </cell>
          <cell r="K46">
            <v>2488475.6060000001</v>
          </cell>
          <cell r="L46">
            <v>2851805.61</v>
          </cell>
          <cell r="M46">
            <v>1581879.49</v>
          </cell>
          <cell r="N46">
            <v>2237476.7999999998</v>
          </cell>
          <cell r="O46">
            <v>1229733.3999999999</v>
          </cell>
          <cell r="P46">
            <v>2379713.2000000002</v>
          </cell>
          <cell r="Q46">
            <v>1786226.6</v>
          </cell>
          <cell r="R46">
            <v>526100.9</v>
          </cell>
          <cell r="S46">
            <v>2979645.1999999997</v>
          </cell>
          <cell r="T46">
            <v>615871.39999999991</v>
          </cell>
          <cell r="U46">
            <v>1059870.6429999999</v>
          </cell>
          <cell r="V46">
            <v>968300.4</v>
          </cell>
          <cell r="W46">
            <v>774957.08099999989</v>
          </cell>
          <cell r="X46">
            <v>0</v>
          </cell>
          <cell r="Y46">
            <v>0</v>
          </cell>
          <cell r="Z46">
            <v>34627748.308999993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>
            <v>0</v>
          </cell>
          <cell r="AF46"/>
          <cell r="AG46"/>
          <cell r="AH46">
            <v>90840</v>
          </cell>
          <cell r="AI46">
            <v>34718588.308999993</v>
          </cell>
          <cell r="AJ46">
            <v>328974</v>
          </cell>
          <cell r="AK46">
            <v>163176</v>
          </cell>
          <cell r="AL46">
            <v>174688</v>
          </cell>
          <cell r="AM46"/>
          <cell r="AN46">
            <v>666838</v>
          </cell>
          <cell r="AO46">
            <v>12404880.215</v>
          </cell>
          <cell r="AP46">
            <v>0</v>
          </cell>
          <cell r="AQ46"/>
          <cell r="AR46"/>
          <cell r="AS46">
            <v>12404880.215</v>
          </cell>
          <cell r="AT46">
            <v>5250</v>
          </cell>
          <cell r="AU46">
            <v>7425</v>
          </cell>
          <cell r="AV46">
            <v>0</v>
          </cell>
          <cell r="AW46">
            <v>81066.319000000003</v>
          </cell>
          <cell r="AX46">
            <v>0</v>
          </cell>
          <cell r="AY46"/>
          <cell r="AZ46"/>
          <cell r="BA46">
            <v>93741.319000000003</v>
          </cell>
          <cell r="BB46">
            <v>0</v>
          </cell>
          <cell r="BC46">
            <v>1774.1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1774.1</v>
          </cell>
        </row>
        <row r="47">
          <cell r="F47">
            <v>42923105.389999993</v>
          </cell>
          <cell r="G47">
            <v>4366931.6469999999</v>
          </cell>
          <cell r="H47">
            <v>3383163.74</v>
          </cell>
          <cell r="I47">
            <v>2935002.6799999997</v>
          </cell>
          <cell r="J47">
            <v>1318929.2550000001</v>
          </cell>
          <cell r="K47">
            <v>2085017.3280000002</v>
          </cell>
          <cell r="L47">
            <v>2268905.4049999998</v>
          </cell>
          <cell r="M47">
            <v>1350138.307</v>
          </cell>
          <cell r="N47">
            <v>1838137.3030000003</v>
          </cell>
          <cell r="O47">
            <v>1116328.425</v>
          </cell>
          <cell r="P47">
            <v>1958856.6909999999</v>
          </cell>
          <cell r="Q47">
            <v>1528265.405</v>
          </cell>
          <cell r="R47">
            <v>516631.58000000007</v>
          </cell>
          <cell r="S47">
            <v>2559722.7379999999</v>
          </cell>
          <cell r="T47">
            <v>521527.68300000002</v>
          </cell>
          <cell r="U47">
            <v>761553.71799999999</v>
          </cell>
          <cell r="V47">
            <v>885344.36800000002</v>
          </cell>
          <cell r="W47">
            <v>641042.05900000001</v>
          </cell>
          <cell r="X47">
            <v>0</v>
          </cell>
          <cell r="Y47">
            <v>0</v>
          </cell>
          <cell r="Z47">
            <v>30035498.331999999</v>
          </cell>
          <cell r="AA47">
            <v>6170.7860000000001</v>
          </cell>
          <cell r="AB47">
            <v>0</v>
          </cell>
          <cell r="AC47">
            <v>3579.0210000000002</v>
          </cell>
          <cell r="AD47">
            <v>8733.73</v>
          </cell>
          <cell r="AE47">
            <v>0</v>
          </cell>
          <cell r="AF47"/>
          <cell r="AG47"/>
          <cell r="AH47">
            <v>18483.537</v>
          </cell>
          <cell r="AI47">
            <v>30053981.868999999</v>
          </cell>
          <cell r="AJ47">
            <v>304479.79400000005</v>
          </cell>
          <cell r="AK47">
            <v>161534.44899999999</v>
          </cell>
          <cell r="AL47">
            <v>204219.52399999992</v>
          </cell>
          <cell r="AM47"/>
          <cell r="AN47">
            <v>670233.76699999999</v>
          </cell>
          <cell r="AO47">
            <v>12188790.818</v>
          </cell>
          <cell r="AP47">
            <v>0</v>
          </cell>
          <cell r="AQ47"/>
          <cell r="AR47"/>
          <cell r="AS47">
            <v>12188790.818</v>
          </cell>
          <cell r="AT47">
            <v>1434.854</v>
          </cell>
          <cell r="AU47">
            <v>8664.0820000000003</v>
          </cell>
          <cell r="AV47">
            <v>0</v>
          </cell>
          <cell r="AW47">
            <v>0</v>
          </cell>
          <cell r="AX47">
            <v>0</v>
          </cell>
          <cell r="AY47"/>
          <cell r="AZ47"/>
          <cell r="BA47">
            <v>10098.936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0</v>
          </cell>
        </row>
        <row r="48">
          <cell r="F48">
            <v>4962716.5529999956</v>
          </cell>
          <cell r="G48">
            <v>372113.40799999982</v>
          </cell>
          <cell r="H48">
            <v>270538.14099999936</v>
          </cell>
          <cell r="I48">
            <v>281170.78099999996</v>
          </cell>
          <cell r="J48">
            <v>219842.32699999982</v>
          </cell>
          <cell r="K48">
            <v>403458.27799999993</v>
          </cell>
          <cell r="L48">
            <v>582900.20500000007</v>
          </cell>
          <cell r="M48">
            <v>231741.18299999996</v>
          </cell>
          <cell r="N48">
            <v>399339.49699999951</v>
          </cell>
          <cell r="O48">
            <v>113404.97499999986</v>
          </cell>
          <cell r="P48">
            <v>420856.50900000031</v>
          </cell>
          <cell r="Q48">
            <v>257961.19500000007</v>
          </cell>
          <cell r="R48">
            <v>9469.3199999999488</v>
          </cell>
          <cell r="S48">
            <v>419922.46199999982</v>
          </cell>
          <cell r="T48">
            <v>94343.716999999888</v>
          </cell>
          <cell r="U48">
            <v>298316.92499999993</v>
          </cell>
          <cell r="V48">
            <v>82956.032000000007</v>
          </cell>
          <cell r="W48">
            <v>133915.02199999988</v>
          </cell>
          <cell r="X48">
            <v>0</v>
          </cell>
          <cell r="Y48">
            <v>0</v>
          </cell>
          <cell r="Z48">
            <v>4592249.9769999944</v>
          </cell>
          <cell r="AA48">
            <v>43829.214</v>
          </cell>
          <cell r="AB48">
            <v>0</v>
          </cell>
          <cell r="AC48">
            <v>8920.9789999999994</v>
          </cell>
          <cell r="AD48">
            <v>19606.27</v>
          </cell>
          <cell r="AE48">
            <v>0</v>
          </cell>
          <cell r="AF48"/>
          <cell r="AG48"/>
          <cell r="AH48">
            <v>72356.463000000003</v>
          </cell>
          <cell r="AI48">
            <v>4664606.4399999939</v>
          </cell>
          <cell r="AJ48">
            <v>24494.205999999947</v>
          </cell>
          <cell r="AK48">
            <v>1641.5510000000068</v>
          </cell>
          <cell r="AL48">
            <v>-29531.523999999918</v>
          </cell>
          <cell r="AM48"/>
          <cell r="AN48">
            <v>-3395.7669999999925</v>
          </cell>
          <cell r="AO48">
            <v>216089.39699999988</v>
          </cell>
          <cell r="AP48">
            <v>0</v>
          </cell>
          <cell r="AQ48"/>
          <cell r="AR48"/>
          <cell r="AS48">
            <v>216089.39699999988</v>
          </cell>
          <cell r="AT48">
            <v>3815.1459999999997</v>
          </cell>
          <cell r="AU48">
            <v>-1239.0820000000003</v>
          </cell>
          <cell r="AV48">
            <v>0</v>
          </cell>
          <cell r="AW48">
            <v>81066.319000000003</v>
          </cell>
          <cell r="AX48">
            <v>0</v>
          </cell>
          <cell r="AY48"/>
          <cell r="AZ48"/>
          <cell r="BA48">
            <v>83642.383000000002</v>
          </cell>
          <cell r="BB48">
            <v>0</v>
          </cell>
          <cell r="BC48">
            <v>1774.1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1774.1</v>
          </cell>
        </row>
        <row r="49">
          <cell r="F49">
            <v>2093470.5619999999</v>
          </cell>
          <cell r="G49">
            <v>248316.1502622893</v>
          </cell>
          <cell r="H49">
            <v>200610.04798260325</v>
          </cell>
          <cell r="I49">
            <v>164122.10608992632</v>
          </cell>
          <cell r="J49">
            <v>88545.550091978264</v>
          </cell>
          <cell r="K49">
            <v>155863.19471051279</v>
          </cell>
          <cell r="L49">
            <v>157148.56480448178</v>
          </cell>
          <cell r="M49">
            <v>96241.732232404975</v>
          </cell>
          <cell r="N49">
            <v>126717.64154131079</v>
          </cell>
          <cell r="O49">
            <v>79532.392140467506</v>
          </cell>
          <cell r="P49">
            <v>125603.47817879128</v>
          </cell>
          <cell r="Q49">
            <v>98499.261664420104</v>
          </cell>
          <cell r="R49">
            <v>46161.000807924938</v>
          </cell>
          <cell r="S49">
            <v>145024.68939295202</v>
          </cell>
          <cell r="T49">
            <v>30129.751415779672</v>
          </cell>
          <cell r="U49">
            <v>47631.64164124331</v>
          </cell>
          <cell r="V49">
            <v>58622.68772664947</v>
          </cell>
          <cell r="W49">
            <v>41744.470316264378</v>
          </cell>
          <cell r="X49">
            <v>0</v>
          </cell>
          <cell r="Y49">
            <v>0</v>
          </cell>
          <cell r="Z49">
            <v>1910514.3609999998</v>
          </cell>
          <cell r="AA49">
            <v>0</v>
          </cell>
          <cell r="AB49">
            <v>534.35800000000006</v>
          </cell>
          <cell r="AC49">
            <v>0</v>
          </cell>
          <cell r="AD49">
            <v>0</v>
          </cell>
          <cell r="AE49">
            <v>0</v>
          </cell>
          <cell r="AF49"/>
          <cell r="AG49"/>
          <cell r="AH49">
            <v>534.35800000000006</v>
          </cell>
          <cell r="AI49">
            <v>1911048.7189999998</v>
          </cell>
          <cell r="AJ49">
            <v>9771.75</v>
          </cell>
          <cell r="AK49">
            <v>0</v>
          </cell>
          <cell r="AL49">
            <v>28</v>
          </cell>
          <cell r="AM49"/>
          <cell r="AN49">
            <v>9799.75</v>
          </cell>
          <cell r="AO49">
            <v>117899.26800000001</v>
          </cell>
          <cell r="AP49">
            <v>855.83600000000001</v>
          </cell>
          <cell r="AQ49"/>
          <cell r="AR49"/>
          <cell r="AS49">
            <v>118755.10400000001</v>
          </cell>
          <cell r="AT49">
            <v>0</v>
          </cell>
          <cell r="AU49">
            <v>0</v>
          </cell>
          <cell r="AV49">
            <v>813.75700000000006</v>
          </cell>
          <cell r="AW49">
            <v>0</v>
          </cell>
          <cell r="AX49">
            <v>26134.284</v>
          </cell>
          <cell r="AY49"/>
          <cell r="AZ49"/>
          <cell r="BA49">
            <v>26948.041000000001</v>
          </cell>
          <cell r="BB49">
            <v>0</v>
          </cell>
          <cell r="BC49">
            <v>17616.359</v>
          </cell>
          <cell r="BD49">
            <v>0</v>
          </cell>
          <cell r="BE49">
            <v>0</v>
          </cell>
          <cell r="BF49">
            <v>9302.5889999999999</v>
          </cell>
          <cell r="BG49">
            <v>0</v>
          </cell>
          <cell r="BH49"/>
          <cell r="BI49"/>
          <cell r="BJ49">
            <v>26918.948</v>
          </cell>
        </row>
        <row r="50">
          <cell r="F50">
            <v>2869245.9909999957</v>
          </cell>
          <cell r="G50">
            <v>123797.25773771052</v>
          </cell>
          <cell r="H50">
            <v>69928.09301739611</v>
          </cell>
          <cell r="I50">
            <v>117048.67491007363</v>
          </cell>
          <cell r="J50">
            <v>131296.77690802154</v>
          </cell>
          <cell r="K50">
            <v>247595.08328948714</v>
          </cell>
          <cell r="L50">
            <v>425751.64019551827</v>
          </cell>
          <cell r="M50">
            <v>135499.45076759497</v>
          </cell>
          <cell r="N50">
            <v>272621.85545868869</v>
          </cell>
          <cell r="O50">
            <v>33872.582859532355</v>
          </cell>
          <cell r="P50">
            <v>295253.03082120902</v>
          </cell>
          <cell r="Q50">
            <v>159461.93333557996</v>
          </cell>
          <cell r="R50">
            <v>-36691.680807924989</v>
          </cell>
          <cell r="S50">
            <v>274897.77260704781</v>
          </cell>
          <cell r="T50">
            <v>64213.965584220219</v>
          </cell>
          <cell r="U50">
            <v>250685.28335875663</v>
          </cell>
          <cell r="V50">
            <v>24333.344273350536</v>
          </cell>
          <cell r="W50">
            <v>92170.55168373551</v>
          </cell>
          <cell r="X50">
            <v>0</v>
          </cell>
          <cell r="Y50">
            <v>0</v>
          </cell>
          <cell r="Z50">
            <v>2681735.6159999948</v>
          </cell>
          <cell r="AA50">
            <v>43829.214</v>
          </cell>
          <cell r="AB50">
            <v>-534.35800000000006</v>
          </cell>
          <cell r="AC50">
            <v>8920.9789999999994</v>
          </cell>
          <cell r="AD50">
            <v>19606.27</v>
          </cell>
          <cell r="AE50">
            <v>0</v>
          </cell>
          <cell r="AF50"/>
          <cell r="AG50"/>
          <cell r="AH50">
            <v>71822.10500000001</v>
          </cell>
          <cell r="AI50">
            <v>2753557.7209999943</v>
          </cell>
          <cell r="AJ50">
            <v>14722.455999999947</v>
          </cell>
          <cell r="AK50">
            <v>1641.5510000000068</v>
          </cell>
          <cell r="AL50">
            <v>-29559.523999999918</v>
          </cell>
          <cell r="AM50"/>
          <cell r="AN50">
            <v>-13195.516999999993</v>
          </cell>
          <cell r="AO50">
            <v>98190.12899999987</v>
          </cell>
          <cell r="AP50">
            <v>-855.83600000000001</v>
          </cell>
          <cell r="AQ50"/>
          <cell r="AR50"/>
          <cell r="AS50">
            <v>97334.292999999874</v>
          </cell>
          <cell r="AT50">
            <v>3815.1459999999997</v>
          </cell>
          <cell r="AU50">
            <v>-1239.0820000000003</v>
          </cell>
          <cell r="AV50">
            <v>-813.75700000000006</v>
          </cell>
          <cell r="AW50">
            <v>81066.319000000003</v>
          </cell>
          <cell r="AX50">
            <v>-26134.284</v>
          </cell>
          <cell r="AY50"/>
          <cell r="AZ50"/>
          <cell r="BA50">
            <v>56694.342000000004</v>
          </cell>
          <cell r="BB50">
            <v>0</v>
          </cell>
          <cell r="BC50">
            <v>-15842.259</v>
          </cell>
          <cell r="BD50">
            <v>0</v>
          </cell>
          <cell r="BE50">
            <v>0</v>
          </cell>
          <cell r="BF50">
            <v>-9302.5889999999999</v>
          </cell>
          <cell r="BG50">
            <v>0</v>
          </cell>
          <cell r="BH50"/>
          <cell r="BI50"/>
          <cell r="BJ50">
            <v>-25144.848000000002</v>
          </cell>
        </row>
        <row r="53">
          <cell r="J53"/>
        </row>
        <row r="54">
          <cell r="J54"/>
        </row>
      </sheetData>
      <sheetData sheetId="24">
        <row r="6">
          <cell r="F6" t="str">
            <v>합계</v>
          </cell>
        </row>
      </sheetData>
      <sheetData sheetId="25">
        <row r="6">
          <cell r="F6" t="str">
            <v>합계</v>
          </cell>
        </row>
      </sheetData>
      <sheetData sheetId="26">
        <row r="6">
          <cell r="F6" t="str">
            <v>합계</v>
          </cell>
        </row>
      </sheetData>
      <sheetData sheetId="27"/>
      <sheetData sheetId="28"/>
      <sheetData sheetId="29">
        <row r="39">
          <cell r="F39">
            <v>8813634.2919999994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사업장별(당월)_공장 송부용"/>
      <sheetName val="사업장별(누계)_공장 송부용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 refreshError="1"/>
      <sheetData sheetId="1">
        <row r="7">
          <cell r="J7">
            <v>2872.5</v>
          </cell>
          <cell r="K7">
            <v>2825.2704999999996</v>
          </cell>
          <cell r="M7">
            <v>3200.5190000000002</v>
          </cell>
        </row>
        <row r="8">
          <cell r="J8">
            <v>72200</v>
          </cell>
          <cell r="K8">
            <v>86939.351999999999</v>
          </cell>
          <cell r="M8">
            <v>78625.76400000001</v>
          </cell>
        </row>
        <row r="9">
          <cell r="J9">
            <v>980.45966254473535</v>
          </cell>
          <cell r="K9">
            <v>714.30500000000006</v>
          </cell>
          <cell r="M9">
            <v>672.39300000000003</v>
          </cell>
        </row>
        <row r="10">
          <cell r="J10">
            <v>292780.24763246049</v>
          </cell>
          <cell r="K10">
            <v>284322.860713</v>
          </cell>
          <cell r="M10">
            <v>309316.194778</v>
          </cell>
        </row>
        <row r="11">
          <cell r="J11">
            <v>88286.96</v>
          </cell>
          <cell r="K11">
            <v>86611.076326000009</v>
          </cell>
          <cell r="M11">
            <v>96340.743948999996</v>
          </cell>
        </row>
        <row r="12">
          <cell r="J12">
            <v>18602.494889257254</v>
          </cell>
          <cell r="K12">
            <v>14375.604079999999</v>
          </cell>
          <cell r="M12">
            <v>12858.222900000001</v>
          </cell>
        </row>
        <row r="13">
          <cell r="J13">
            <v>1649.6750033333201</v>
          </cell>
          <cell r="K13">
            <v>1656.3709619999934</v>
          </cell>
          <cell r="M13">
            <v>1955.500232000014</v>
          </cell>
        </row>
        <row r="15">
          <cell r="J15">
            <v>244089.85999308314</v>
          </cell>
          <cell r="K15">
            <v>247168.48245799003</v>
          </cell>
          <cell r="M15">
            <v>254793.37004300999</v>
          </cell>
        </row>
        <row r="16">
          <cell r="J16">
            <v>86028.465731199991</v>
          </cell>
          <cell r="K16">
            <v>84700.153649</v>
          </cell>
          <cell r="M16">
            <v>94369.979130999986</v>
          </cell>
        </row>
        <row r="17">
          <cell r="J17">
            <v>16508.136922110094</v>
          </cell>
          <cell r="K17">
            <v>13776.632887</v>
          </cell>
          <cell r="M17">
            <v>11802.978014969998</v>
          </cell>
        </row>
        <row r="18">
          <cell r="J18">
            <v>-735.2252140000171</v>
          </cell>
          <cell r="K18">
            <v>-329.81755800000246</v>
          </cell>
          <cell r="M18">
            <v>556.75547600001619</v>
          </cell>
        </row>
        <row r="25">
          <cell r="J25">
            <v>6624.1624120000006</v>
          </cell>
          <cell r="K25">
            <v>6881.2415190000011</v>
          </cell>
          <cell r="M25">
            <v>6722.4356030000008</v>
          </cell>
        </row>
        <row r="26">
          <cell r="J26">
            <v>1262.8391700000002</v>
          </cell>
          <cell r="K26">
            <v>1427.4189779999999</v>
          </cell>
          <cell r="M26">
            <v>1200.6745350000001</v>
          </cell>
        </row>
        <row r="27">
          <cell r="J27">
            <v>547.29118511111119</v>
          </cell>
          <cell r="K27">
            <v>602.96644573735261</v>
          </cell>
          <cell r="M27">
            <v>291.67874599999993</v>
          </cell>
        </row>
        <row r="28">
          <cell r="J28">
            <v>14464.350377775891</v>
          </cell>
          <cell r="K28">
            <v>15191.732931258408</v>
          </cell>
          <cell r="M28">
            <v>14260.894215999999</v>
          </cell>
        </row>
        <row r="38">
          <cell r="J38">
            <v>32529.496947770851</v>
          </cell>
          <cell r="K38">
            <v>17547.100771014233</v>
          </cell>
          <cell r="M38">
            <v>36471.896094020012</v>
          </cell>
        </row>
      </sheetData>
      <sheetData sheetId="2" refreshError="1"/>
      <sheetData sheetId="3">
        <row r="7">
          <cell r="J7">
            <v>413</v>
          </cell>
          <cell r="K7">
            <v>373.67100000000005</v>
          </cell>
          <cell r="M7">
            <v>451.31800000000004</v>
          </cell>
          <cell r="O7">
            <v>41395.914499999999</v>
          </cell>
          <cell r="P7">
            <v>37039.865332000001</v>
          </cell>
          <cell r="R7">
            <v>42064.132579000005</v>
          </cell>
          <cell r="T7">
            <v>5712.3422153351075</v>
          </cell>
          <cell r="U7">
            <v>3495.1511919999989</v>
          </cell>
          <cell r="W7">
            <v>6228.1904159799997</v>
          </cell>
        </row>
        <row r="8">
          <cell r="J8">
            <v>308</v>
          </cell>
          <cell r="K8">
            <v>267.07499999999999</v>
          </cell>
          <cell r="M8">
            <v>371.923</v>
          </cell>
          <cell r="O8">
            <v>31452.615660569601</v>
          </cell>
          <cell r="P8">
            <v>26610.639729999999</v>
          </cell>
          <cell r="R8">
            <v>35784.889636</v>
          </cell>
          <cell r="T8">
            <v>3461.4375119057377</v>
          </cell>
          <cell r="U8">
            <v>1662.3616650099982</v>
          </cell>
          <cell r="W8">
            <v>4468.8093489999992</v>
          </cell>
        </row>
        <row r="9">
          <cell r="J9">
            <v>245</v>
          </cell>
          <cell r="K9">
            <v>243.70000000000002</v>
          </cell>
          <cell r="M9">
            <v>263.18900000000002</v>
          </cell>
          <cell r="O9">
            <v>24188.765288140887</v>
          </cell>
          <cell r="P9">
            <v>23555.595879</v>
          </cell>
          <cell r="R9">
            <v>24364.543943999994</v>
          </cell>
          <cell r="T9">
            <v>3256.3599465815064</v>
          </cell>
          <cell r="U9">
            <v>1693.9686639999998</v>
          </cell>
          <cell r="W9">
            <v>2646.2449880099985</v>
          </cell>
        </row>
        <row r="10">
          <cell r="J10">
            <v>154</v>
          </cell>
          <cell r="K10">
            <v>114.72149999999998</v>
          </cell>
          <cell r="M10">
            <v>163.70000000000002</v>
          </cell>
          <cell r="O10">
            <v>14742.255499999999</v>
          </cell>
          <cell r="P10">
            <v>11196.539796000001</v>
          </cell>
          <cell r="R10">
            <v>14767.582275000001</v>
          </cell>
          <cell r="T10">
            <v>2024.8810330986362</v>
          </cell>
          <cell r="U10">
            <v>935.79926200000034</v>
          </cell>
          <cell r="W10">
            <v>1880.7956440000005</v>
          </cell>
        </row>
        <row r="11">
          <cell r="J11">
            <v>202</v>
          </cell>
          <cell r="K11">
            <v>197.24250000000001</v>
          </cell>
          <cell r="M11">
            <v>232.63749999999999</v>
          </cell>
          <cell r="O11">
            <v>21735.209947749998</v>
          </cell>
          <cell r="P11">
            <v>21243.855800999998</v>
          </cell>
          <cell r="R11">
            <v>24056.45262</v>
          </cell>
          <cell r="T11">
            <v>3200.7174369200766</v>
          </cell>
          <cell r="U11">
            <v>2050.9055079999994</v>
          </cell>
          <cell r="W11">
            <v>4218.1703369999996</v>
          </cell>
        </row>
        <row r="12">
          <cell r="J12">
            <v>238</v>
          </cell>
          <cell r="K12">
            <v>207.17200000000003</v>
          </cell>
          <cell r="M12">
            <v>220.24399999999997</v>
          </cell>
          <cell r="O12">
            <v>24721.990760000001</v>
          </cell>
          <cell r="P12">
            <v>20831.233748000002</v>
          </cell>
          <cell r="R12">
            <v>22118.105192000003</v>
          </cell>
          <cell r="T12">
            <v>4271.6991816828686</v>
          </cell>
          <cell r="U12">
            <v>2290.6040859999994</v>
          </cell>
          <cell r="W12">
            <v>3903.0732449999996</v>
          </cell>
        </row>
        <row r="13">
          <cell r="J13">
            <v>117</v>
          </cell>
          <cell r="K13">
            <v>134.28299999999999</v>
          </cell>
          <cell r="M13">
            <v>132.46800000000002</v>
          </cell>
          <cell r="O13">
            <v>11816.988999999998</v>
          </cell>
          <cell r="P13">
            <v>12777.261899999998</v>
          </cell>
          <cell r="R13">
            <v>12949.898897999999</v>
          </cell>
          <cell r="T13">
            <v>1428.2501448866774</v>
          </cell>
          <cell r="U13">
            <v>720.05565799999977</v>
          </cell>
          <cell r="W13">
            <v>1735.7423830000002</v>
          </cell>
        </row>
        <row r="14">
          <cell r="J14">
            <v>172</v>
          </cell>
          <cell r="K14">
            <v>197.18950000000001</v>
          </cell>
          <cell r="M14">
            <v>189.31599999999997</v>
          </cell>
          <cell r="O14">
            <v>17888</v>
          </cell>
          <cell r="P14">
            <v>19917.169071999997</v>
          </cell>
          <cell r="R14">
            <v>19042.668819999999</v>
          </cell>
          <cell r="T14">
            <v>2441.0758374466868</v>
          </cell>
          <cell r="U14">
            <v>1743.0185789999994</v>
          </cell>
          <cell r="W14">
            <v>2961.7645830000006</v>
          </cell>
        </row>
        <row r="15">
          <cell r="J15">
            <v>106</v>
          </cell>
          <cell r="K15">
            <v>126.68900000000002</v>
          </cell>
          <cell r="M15">
            <v>136.34500000000003</v>
          </cell>
          <cell r="O15">
            <v>10252.732994</v>
          </cell>
          <cell r="P15">
            <v>11748.749418000001</v>
          </cell>
          <cell r="R15">
            <v>12767.742821</v>
          </cell>
          <cell r="T15">
            <v>1386.1495982311185</v>
          </cell>
          <cell r="U15">
            <v>1086.1549300000001</v>
          </cell>
          <cell r="W15">
            <v>1954.830375</v>
          </cell>
        </row>
        <row r="16">
          <cell r="J16">
            <v>159</v>
          </cell>
          <cell r="K16">
            <v>170.64950000000002</v>
          </cell>
          <cell r="M16">
            <v>197.64500000000001</v>
          </cell>
          <cell r="O16">
            <v>16038.0185</v>
          </cell>
          <cell r="P16">
            <v>17191.816299999999</v>
          </cell>
          <cell r="R16">
            <v>18897.740919999997</v>
          </cell>
          <cell r="T16">
            <v>2605.8540355686923</v>
          </cell>
          <cell r="U16">
            <v>2438.7700530000002</v>
          </cell>
          <cell r="W16">
            <v>3716.2957239999987</v>
          </cell>
        </row>
        <row r="17">
          <cell r="J17">
            <v>157.5</v>
          </cell>
          <cell r="K17">
            <v>155.88299999999998</v>
          </cell>
          <cell r="M17">
            <v>196.53749999999997</v>
          </cell>
          <cell r="O17">
            <v>15399.580000000002</v>
          </cell>
          <cell r="P17">
            <v>15602.772502</v>
          </cell>
          <cell r="R17">
            <v>18322.760300000002</v>
          </cell>
          <cell r="T17">
            <v>2691.7702142405092</v>
          </cell>
          <cell r="U17">
            <v>2216.7038510000002</v>
          </cell>
          <cell r="W17">
            <v>3478.8907820000004</v>
          </cell>
        </row>
        <row r="18">
          <cell r="J18">
            <v>86</v>
          </cell>
          <cell r="K18">
            <v>108.774</v>
          </cell>
          <cell r="M18">
            <v>87.673500000000004</v>
          </cell>
          <cell r="O18">
            <v>8626.7117400000006</v>
          </cell>
          <cell r="P18">
            <v>11248.414042</v>
          </cell>
          <cell r="R18">
            <v>8324.3358499999995</v>
          </cell>
          <cell r="T18">
            <v>533.27451518799421</v>
          </cell>
          <cell r="U18">
            <v>1238.1898330000004</v>
          </cell>
          <cell r="W18">
            <v>562.4173340000001</v>
          </cell>
        </row>
        <row r="19">
          <cell r="J19">
            <v>225</v>
          </cell>
          <cell r="K19">
            <v>267.06149999999997</v>
          </cell>
          <cell r="M19">
            <v>253.79000000000002</v>
          </cell>
          <cell r="O19">
            <v>22725.008399999999</v>
          </cell>
          <cell r="P19">
            <v>26913.525007</v>
          </cell>
          <cell r="R19">
            <v>24269.712783000003</v>
          </cell>
          <cell r="T19">
            <v>3327.8563484385872</v>
          </cell>
          <cell r="U19">
            <v>3882.6669789999992</v>
          </cell>
          <cell r="W19">
            <v>4029.9734799999997</v>
          </cell>
        </row>
        <row r="20">
          <cell r="J20">
            <v>117</v>
          </cell>
          <cell r="K20">
            <v>85.149999999999977</v>
          </cell>
          <cell r="M20">
            <v>106.8875</v>
          </cell>
          <cell r="O20">
            <v>12000.543737000002</v>
          </cell>
          <cell r="P20">
            <v>8192.7088019999992</v>
          </cell>
          <cell r="R20">
            <v>10523.994306000001</v>
          </cell>
          <cell r="T20">
            <v>1935.5284962900018</v>
          </cell>
          <cell r="U20">
            <v>565.11720100000014</v>
          </cell>
          <cell r="W20">
            <v>1711.9862740000001</v>
          </cell>
        </row>
        <row r="21">
          <cell r="J21">
            <v>66</v>
          </cell>
          <cell r="K21">
            <v>85.586499999999987</v>
          </cell>
          <cell r="M21">
            <v>79.293499999999995</v>
          </cell>
          <cell r="O21">
            <v>7194.0116049999988</v>
          </cell>
          <cell r="P21">
            <v>9687.7000860000007</v>
          </cell>
          <cell r="R21">
            <v>7868.0584580000004</v>
          </cell>
          <cell r="T21">
            <v>1801.833611692397</v>
          </cell>
          <cell r="U21">
            <v>2690.622699</v>
          </cell>
          <cell r="W21">
            <v>1858.4387099999999</v>
          </cell>
        </row>
        <row r="22">
          <cell r="J22">
            <v>51</v>
          </cell>
          <cell r="K22">
            <v>55.916999999999994</v>
          </cell>
          <cell r="M22">
            <v>46.862499999999997</v>
          </cell>
          <cell r="O22">
            <v>5502.9</v>
          </cell>
          <cell r="P22">
            <v>6269.2926670000006</v>
          </cell>
          <cell r="R22">
            <v>4762.4040459999997</v>
          </cell>
          <cell r="T22">
            <v>898.60092277051172</v>
          </cell>
          <cell r="U22">
            <v>1233.01109</v>
          </cell>
          <cell r="W22">
            <v>787.38374700000008</v>
          </cell>
        </row>
        <row r="23">
          <cell r="J23">
            <v>56</v>
          </cell>
          <cell r="K23">
            <v>34.505499999999998</v>
          </cell>
          <cell r="M23">
            <v>70.688999999999993</v>
          </cell>
          <cell r="O23">
            <v>7099.0000000000018</v>
          </cell>
          <cell r="P23">
            <v>4295.7206310000001</v>
          </cell>
          <cell r="R23">
            <v>8431.171330000001</v>
          </cell>
          <cell r="T23">
            <v>1088.5941771002599</v>
          </cell>
          <cell r="U23">
            <v>330.03548599999999</v>
          </cell>
          <cell r="W23">
            <v>1657.3817610000001</v>
          </cell>
        </row>
        <row r="28">
          <cell r="J28">
            <v>72200</v>
          </cell>
          <cell r="K28">
            <v>86939.351999999999</v>
          </cell>
          <cell r="M28">
            <v>78625.76400000001</v>
          </cell>
          <cell r="O28">
            <v>88286.96</v>
          </cell>
          <cell r="P28">
            <v>86611.076326000009</v>
          </cell>
          <cell r="R28">
            <v>96340.743948999996</v>
          </cell>
          <cell r="T28">
            <v>995.65509880000991</v>
          </cell>
          <cell r="U28">
            <v>483.50369900000305</v>
          </cell>
          <cell r="W28">
            <v>770.09028300000193</v>
          </cell>
        </row>
        <row r="29">
          <cell r="J29">
            <v>241.69907001943503</v>
          </cell>
          <cell r="K29">
            <v>189.82599999999999</v>
          </cell>
          <cell r="M29">
            <v>253.22</v>
          </cell>
          <cell r="O29">
            <v>7064.4799663017311</v>
          </cell>
          <cell r="P29">
            <v>5582.8735799999995</v>
          </cell>
          <cell r="R29">
            <v>7404.1349</v>
          </cell>
          <cell r="T29">
            <v>373.11916645935872</v>
          </cell>
          <cell r="U29">
            <v>359.15471935601562</v>
          </cell>
          <cell r="W29">
            <v>314.73467102000001</v>
          </cell>
        </row>
        <row r="30">
          <cell r="J30">
            <v>324.18405688000001</v>
          </cell>
          <cell r="K30">
            <v>169.89000000000001</v>
          </cell>
          <cell r="M30">
            <v>335.34399999999999</v>
          </cell>
          <cell r="O30">
            <v>4073.7045198666669</v>
          </cell>
          <cell r="P30">
            <v>2387.739</v>
          </cell>
          <cell r="R30">
            <v>3999.7240000000002</v>
          </cell>
          <cell r="T30">
            <v>833.30819495356661</v>
          </cell>
          <cell r="U30">
            <v>-56.57352440336831</v>
          </cell>
          <cell r="W30">
            <v>698.14652700000022</v>
          </cell>
        </row>
        <row r="31">
          <cell r="J31">
            <v>414.57653564530023</v>
          </cell>
          <cell r="K31">
            <v>354.589</v>
          </cell>
          <cell r="M31">
            <v>83.829000000000008</v>
          </cell>
          <cell r="O31">
            <v>7464.3104030888571</v>
          </cell>
          <cell r="P31">
            <v>6404.9915000000001</v>
          </cell>
          <cell r="R31">
            <v>1454.364</v>
          </cell>
          <cell r="T31">
            <v>340.63942062312219</v>
          </cell>
          <cell r="U31">
            <v>-306.57644768999995</v>
          </cell>
          <cell r="W31">
            <v>-249.31505899000001</v>
          </cell>
        </row>
        <row r="33">
          <cell r="O33">
            <v>908.4000000000002</v>
          </cell>
          <cell r="P33">
            <v>908.4000000000002</v>
          </cell>
          <cell r="R33">
            <v>839.6500000000002</v>
          </cell>
          <cell r="T33">
            <v>670.00437100000011</v>
          </cell>
          <cell r="U33">
            <v>627.95594499999993</v>
          </cell>
          <cell r="W33">
            <v>546.95234000000005</v>
          </cell>
        </row>
        <row r="34">
          <cell r="O34">
            <v>723.57500333333337</v>
          </cell>
          <cell r="P34">
            <v>730.48656200000005</v>
          </cell>
          <cell r="R34">
            <v>943.72003200000006</v>
          </cell>
          <cell r="T34">
            <v>658.75848633333328</v>
          </cell>
          <cell r="U34">
            <v>667.10723099999996</v>
          </cell>
          <cell r="W34">
            <v>643.72625400000004</v>
          </cell>
        </row>
        <row r="35">
          <cell r="O35">
            <v>0</v>
          </cell>
          <cell r="P35">
            <v>0</v>
          </cell>
          <cell r="R35">
            <v>0</v>
          </cell>
          <cell r="T35">
            <v>-13797.862885331293</v>
          </cell>
          <cell r="U35">
            <v>-14088.417163258409</v>
          </cell>
          <cell r="W35">
            <v>-11727.202179999998</v>
          </cell>
        </row>
        <row r="36">
          <cell r="O36">
            <v>0</v>
          </cell>
          <cell r="P36">
            <v>0</v>
          </cell>
          <cell r="R36">
            <v>0</v>
          </cell>
          <cell r="T36">
            <v>1329.7</v>
          </cell>
          <cell r="U36">
            <v>750</v>
          </cell>
          <cell r="W36">
            <v>0</v>
          </cell>
        </row>
        <row r="37">
          <cell r="O37">
            <v>0</v>
          </cell>
          <cell r="P37">
            <v>0</v>
          </cell>
          <cell r="R37">
            <v>0</v>
          </cell>
          <cell r="T37">
            <v>0</v>
          </cell>
          <cell r="U37">
            <v>-573.85933299999999</v>
          </cell>
          <cell r="W37">
            <v>-1974.2219769999999</v>
          </cell>
        </row>
        <row r="38">
          <cell r="O38">
            <v>0</v>
          </cell>
          <cell r="P38">
            <v>0</v>
          </cell>
          <cell r="R38">
            <v>188.626</v>
          </cell>
          <cell r="T38">
            <v>-307.40348944459635</v>
          </cell>
          <cell r="U38">
            <v>-372.14426900000001</v>
          </cell>
          <cell r="W38">
            <v>-126.57776</v>
          </cell>
        </row>
        <row r="39">
          <cell r="O39">
            <v>17.7</v>
          </cell>
          <cell r="P39">
            <v>17.484400000002239</v>
          </cell>
          <cell r="R39">
            <v>-16.495799999989575</v>
          </cell>
          <cell r="T39">
            <v>-632.64664300000391</v>
          </cell>
          <cell r="U39">
            <v>-216.18682199999819</v>
          </cell>
          <cell r="W39">
            <v>-224.82613699998521</v>
          </cell>
        </row>
        <row r="40">
          <cell r="O40">
            <v>0</v>
          </cell>
          <cell r="P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</row>
        <row r="46">
          <cell r="J46">
            <v>2872.5</v>
          </cell>
          <cell r="K46">
            <v>2825.2704999999996</v>
          </cell>
          <cell r="M46">
            <v>3200.5190000000002</v>
          </cell>
          <cell r="O46">
            <v>401319.37752505112</v>
          </cell>
          <cell r="P46">
            <v>386965.91208099999</v>
          </cell>
          <cell r="R46">
            <v>420470.6618590001</v>
          </cell>
          <cell r="T46">
            <v>32529.496947770851</v>
          </cell>
          <cell r="U46">
            <v>17547.100771014233</v>
          </cell>
          <cell r="W46">
            <v>36471.896094020012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0">
          <cell r="K10">
            <v>72200</v>
          </cell>
          <cell r="L10">
            <v>86939.351999999999</v>
          </cell>
          <cell r="N10">
            <v>78625.76400000001</v>
          </cell>
        </row>
        <row r="12">
          <cell r="K12">
            <v>70540000</v>
          </cell>
          <cell r="L12">
            <v>72542610.923000008</v>
          </cell>
          <cell r="N12">
            <v>80694324.004999995</v>
          </cell>
        </row>
        <row r="13">
          <cell r="K13">
            <v>17746960.000000007</v>
          </cell>
          <cell r="L13">
            <v>14068465.402999997</v>
          </cell>
          <cell r="N13">
            <v>15646419.943999998</v>
          </cell>
        </row>
        <row r="15">
          <cell r="K15">
            <v>68898745</v>
          </cell>
          <cell r="L15">
            <v>70987434.585000008</v>
          </cell>
          <cell r="N15">
            <v>79114082.586999997</v>
          </cell>
        </row>
        <row r="16">
          <cell r="K16">
            <v>17129720.731199995</v>
          </cell>
          <cell r="L16">
            <v>13712719.064000003</v>
          </cell>
          <cell r="N16">
            <v>15255896.543999998</v>
          </cell>
        </row>
        <row r="24">
          <cell r="K24">
            <v>832469.87999999989</v>
          </cell>
          <cell r="L24">
            <v>910366.17099999997</v>
          </cell>
          <cell r="N24">
            <v>818190.85900000005</v>
          </cell>
        </row>
        <row r="25">
          <cell r="K25">
            <v>430369.29000000004</v>
          </cell>
          <cell r="L25">
            <v>517052.80699999997</v>
          </cell>
          <cell r="N25">
            <v>382483.67599999998</v>
          </cell>
        </row>
        <row r="36">
          <cell r="K36">
            <v>995655.09880000982</v>
          </cell>
          <cell r="L36">
            <v>483503.69900000305</v>
          </cell>
          <cell r="N36">
            <v>770090.2830000018</v>
          </cell>
        </row>
      </sheetData>
      <sheetData sheetId="11" refreshError="1"/>
      <sheetData sheetId="12">
        <row r="8">
          <cell r="G8">
            <v>115945.13333333333</v>
          </cell>
          <cell r="H8">
            <v>98732</v>
          </cell>
          <cell r="J8">
            <v>14438.923546666665</v>
          </cell>
          <cell r="K8">
            <v>2096</v>
          </cell>
          <cell r="M8">
            <v>0</v>
          </cell>
          <cell r="N8">
            <v>0</v>
          </cell>
          <cell r="S8">
            <v>109587.67105688711</v>
          </cell>
          <cell r="T8">
            <v>118989</v>
          </cell>
          <cell r="V8">
            <v>98988.864588413169</v>
          </cell>
          <cell r="W8">
            <v>116727</v>
          </cell>
          <cell r="Y8">
            <v>0</v>
          </cell>
          <cell r="Z8">
            <v>0</v>
          </cell>
          <cell r="AE8">
            <v>157699.07001943502</v>
          </cell>
          <cell r="AF8">
            <v>121277</v>
          </cell>
        </row>
        <row r="10">
          <cell r="G10">
            <v>19800</v>
          </cell>
          <cell r="H10">
            <v>55254</v>
          </cell>
          <cell r="J10">
            <v>42000</v>
          </cell>
          <cell r="K10">
            <v>13808</v>
          </cell>
          <cell r="M10">
            <v>132000</v>
          </cell>
          <cell r="N10">
            <v>0</v>
          </cell>
          <cell r="S10">
            <v>56000</v>
          </cell>
          <cell r="T10">
            <v>56304</v>
          </cell>
          <cell r="V10">
            <v>150000</v>
          </cell>
          <cell r="W10">
            <v>61328</v>
          </cell>
          <cell r="Y10">
            <v>0</v>
          </cell>
          <cell r="Z10">
            <v>1241</v>
          </cell>
          <cell r="AE10">
            <v>84000</v>
          </cell>
          <cell r="AF10">
            <v>68549</v>
          </cell>
        </row>
        <row r="12">
          <cell r="P12">
            <v>324184.05687999999</v>
          </cell>
          <cell r="Q12">
            <v>169890</v>
          </cell>
          <cell r="S12">
            <v>165587.67105688711</v>
          </cell>
          <cell r="T12">
            <v>175293</v>
          </cell>
          <cell r="V12">
            <v>248988.86458841315</v>
          </cell>
          <cell r="W12">
            <v>178055</v>
          </cell>
          <cell r="Y12">
            <v>0</v>
          </cell>
          <cell r="Z12">
            <v>1241</v>
          </cell>
          <cell r="AE12">
            <v>241699.07001943502</v>
          </cell>
          <cell r="AF12">
            <v>189826</v>
          </cell>
          <cell r="AL12">
            <v>980459.66254473524</v>
          </cell>
          <cell r="AM12">
            <v>714305</v>
          </cell>
        </row>
        <row r="13">
          <cell r="G13">
            <v>1775516.9333333331</v>
          </cell>
          <cell r="H13">
            <v>1603364</v>
          </cell>
          <cell r="J13">
            <v>252487.58653333335</v>
          </cell>
          <cell r="K13">
            <v>19824</v>
          </cell>
          <cell r="M13">
            <v>0</v>
          </cell>
          <cell r="N13">
            <v>0</v>
          </cell>
          <cell r="S13">
            <v>1753402.7369101937</v>
          </cell>
          <cell r="T13">
            <v>1959899.5</v>
          </cell>
          <cell r="V13">
            <v>2188907.6661786642</v>
          </cell>
          <cell r="W13">
            <v>2546772.5</v>
          </cell>
          <cell r="Y13">
            <v>0</v>
          </cell>
          <cell r="Z13">
            <v>0</v>
          </cell>
          <cell r="AE13">
            <v>4592479.9663017308</v>
          </cell>
          <cell r="AF13">
            <v>3569226.08</v>
          </cell>
        </row>
        <row r="15">
          <cell r="G15">
            <v>227700</v>
          </cell>
          <cell r="H15">
            <v>647447</v>
          </cell>
          <cell r="J15">
            <v>630000</v>
          </cell>
          <cell r="K15">
            <v>117104</v>
          </cell>
          <cell r="M15">
            <v>1188000</v>
          </cell>
          <cell r="N15">
            <v>0</v>
          </cell>
          <cell r="S15">
            <v>672000</v>
          </cell>
          <cell r="T15">
            <v>731952</v>
          </cell>
          <cell r="V15">
            <v>2850000</v>
          </cell>
          <cell r="W15">
            <v>1132240</v>
          </cell>
          <cell r="Y15">
            <v>0</v>
          </cell>
          <cell r="Z15">
            <v>34127.5</v>
          </cell>
          <cell r="AE15">
            <v>2472000</v>
          </cell>
          <cell r="AF15">
            <v>2013647.5</v>
          </cell>
        </row>
        <row r="17">
          <cell r="AL17">
            <v>18602494.889257252</v>
          </cell>
          <cell r="AM17">
            <v>14375604.08</v>
          </cell>
        </row>
        <row r="18">
          <cell r="G18">
            <v>365777.96614934981</v>
          </cell>
          <cell r="H18">
            <v>152007.26137924445</v>
          </cell>
          <cell r="J18">
            <v>98357.572173909663</v>
          </cell>
          <cell r="K18">
            <v>8957.9034389485114</v>
          </cell>
          <cell r="M18">
            <v>0</v>
          </cell>
          <cell r="N18">
            <v>0</v>
          </cell>
          <cell r="S18">
            <v>-120909.57296073294</v>
          </cell>
          <cell r="T18">
            <v>-299292.76996835554</v>
          </cell>
          <cell r="V18">
            <v>484124.98849335156</v>
          </cell>
          <cell r="W18">
            <v>336479.23354378948</v>
          </cell>
          <cell r="Y18">
            <v>0</v>
          </cell>
          <cell r="Z18">
            <v>0</v>
          </cell>
          <cell r="AE18">
            <v>239917.79340034086</v>
          </cell>
          <cell r="AF18">
            <v>376026.12800000003</v>
          </cell>
        </row>
        <row r="19">
          <cell r="G19">
            <v>14301.259383107285</v>
          </cell>
          <cell r="H19">
            <v>-255587.72729673138</v>
          </cell>
          <cell r="J19">
            <v>174931.25884307036</v>
          </cell>
          <cell r="K19">
            <v>38049.038075170065</v>
          </cell>
          <cell r="M19">
            <v>179940.13840412942</v>
          </cell>
          <cell r="N19">
            <v>0</v>
          </cell>
          <cell r="S19">
            <v>-286859.24699233577</v>
          </cell>
          <cell r="T19">
            <v>-320607.05613148323</v>
          </cell>
          <cell r="V19">
            <v>264283.25208283955</v>
          </cell>
          <cell r="W19">
            <v>-27969.231196517496</v>
          </cell>
          <cell r="Y19">
            <v>0</v>
          </cell>
          <cell r="Z19">
            <v>4813.3760625666546</v>
          </cell>
          <cell r="AE19">
            <v>133201.37305901799</v>
          </cell>
          <cell r="AF19">
            <v>-16871.408643984374</v>
          </cell>
        </row>
        <row r="20">
          <cell r="AL20">
            <v>1547066.7820360477</v>
          </cell>
          <cell r="AM20">
            <v>-3995.2527373526245</v>
          </cell>
        </row>
        <row r="21">
          <cell r="G21">
            <v>0</v>
          </cell>
          <cell r="H21">
            <v>4208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S21">
            <v>109587.67105688711</v>
          </cell>
          <cell r="T21">
            <v>96733</v>
          </cell>
          <cell r="V21">
            <v>77029.809749703476</v>
          </cell>
          <cell r="W21">
            <v>69639</v>
          </cell>
          <cell r="Y21">
            <v>0</v>
          </cell>
          <cell r="Z21">
            <v>0</v>
          </cell>
          <cell r="AE21">
            <v>43498.923166288165</v>
          </cell>
          <cell r="AF21">
            <v>42813</v>
          </cell>
        </row>
        <row r="22">
          <cell r="G22">
            <v>102677.6</v>
          </cell>
          <cell r="H22">
            <v>84316</v>
          </cell>
          <cell r="J22">
            <v>8006.7333333333336</v>
          </cell>
          <cell r="K22">
            <v>640</v>
          </cell>
          <cell r="M22">
            <v>0</v>
          </cell>
          <cell r="N22">
            <v>0</v>
          </cell>
          <cell r="S22">
            <v>0</v>
          </cell>
          <cell r="T22">
            <v>22256</v>
          </cell>
          <cell r="V22">
            <v>21959.054838709682</v>
          </cell>
          <cell r="W22">
            <v>41680</v>
          </cell>
          <cell r="Y22">
            <v>0</v>
          </cell>
          <cell r="Z22">
            <v>0</v>
          </cell>
          <cell r="AE22">
            <v>37752.783216783217</v>
          </cell>
          <cell r="AF22">
            <v>23440</v>
          </cell>
        </row>
        <row r="23">
          <cell r="G23">
            <v>7968</v>
          </cell>
          <cell r="H23">
            <v>6704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Y23">
            <v>0</v>
          </cell>
          <cell r="Z23">
            <v>0</v>
          </cell>
          <cell r="AE23">
            <v>24846.153846153848</v>
          </cell>
          <cell r="AF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S24">
            <v>0</v>
          </cell>
          <cell r="T24">
            <v>0</v>
          </cell>
          <cell r="V24">
            <v>0</v>
          </cell>
          <cell r="W24">
            <v>5168</v>
          </cell>
          <cell r="Y24">
            <v>0</v>
          </cell>
          <cell r="Z24">
            <v>0</v>
          </cell>
          <cell r="AE24">
            <v>39836.643356643362</v>
          </cell>
          <cell r="AF24">
            <v>0</v>
          </cell>
        </row>
        <row r="25">
          <cell r="G25">
            <v>0</v>
          </cell>
          <cell r="H25">
            <v>0</v>
          </cell>
          <cell r="J25">
            <v>3366.8568799999994</v>
          </cell>
          <cell r="K25">
            <v>1216</v>
          </cell>
          <cell r="M25">
            <v>0</v>
          </cell>
          <cell r="N25">
            <v>0</v>
          </cell>
          <cell r="S25">
            <v>0</v>
          </cell>
          <cell r="T25">
            <v>0</v>
          </cell>
          <cell r="V25">
            <v>0</v>
          </cell>
          <cell r="W25">
            <v>240</v>
          </cell>
          <cell r="Y25">
            <v>0</v>
          </cell>
          <cell r="Z25">
            <v>0</v>
          </cell>
          <cell r="AE25">
            <v>11764.566433566433</v>
          </cell>
          <cell r="AF25">
            <v>19456</v>
          </cell>
        </row>
        <row r="26">
          <cell r="G26">
            <v>5299.5333333333338</v>
          </cell>
          <cell r="H26">
            <v>3504</v>
          </cell>
          <cell r="J26">
            <v>3065.3333333333335</v>
          </cell>
          <cell r="K26">
            <v>240</v>
          </cell>
          <cell r="M26">
            <v>0</v>
          </cell>
          <cell r="N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Y26">
            <v>0</v>
          </cell>
          <cell r="Z26">
            <v>0</v>
          </cell>
          <cell r="AE26">
            <v>0</v>
          </cell>
          <cell r="AF26">
            <v>0</v>
          </cell>
        </row>
        <row r="35">
          <cell r="G35">
            <v>0</v>
          </cell>
          <cell r="H35">
            <v>52600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S35">
            <v>1753402.7369101937</v>
          </cell>
          <cell r="T35">
            <v>1692827.5</v>
          </cell>
          <cell r="V35">
            <v>1771685.6242431803</v>
          </cell>
          <cell r="W35">
            <v>1636516.5</v>
          </cell>
          <cell r="AE35">
            <v>1363912.1236443876</v>
          </cell>
          <cell r="AF35">
            <v>1370426.4</v>
          </cell>
        </row>
        <row r="36">
          <cell r="G36">
            <v>1642841.6</v>
          </cell>
          <cell r="H36">
            <v>1433372</v>
          </cell>
          <cell r="J36">
            <v>156004.73333333331</v>
          </cell>
          <cell r="K36">
            <v>6720</v>
          </cell>
          <cell r="M36">
            <v>0</v>
          </cell>
          <cell r="N36">
            <v>0</v>
          </cell>
          <cell r="S36">
            <v>0</v>
          </cell>
          <cell r="T36">
            <v>267072</v>
          </cell>
          <cell r="V36">
            <v>417222.04193548393</v>
          </cell>
          <cell r="W36">
            <v>810112</v>
          </cell>
          <cell r="AE36">
            <v>1057077.9300699302</v>
          </cell>
          <cell r="AF36">
            <v>655063.34400000004</v>
          </cell>
        </row>
        <row r="37">
          <cell r="G37">
            <v>79680</v>
          </cell>
          <cell r="H37">
            <v>77096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AE37">
            <v>683269.23076923075</v>
          </cell>
          <cell r="AF37">
            <v>546583.93599999999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S38">
            <v>0</v>
          </cell>
          <cell r="T38">
            <v>0</v>
          </cell>
          <cell r="V38">
            <v>0</v>
          </cell>
          <cell r="W38">
            <v>95584</v>
          </cell>
          <cell r="AE38">
            <v>1152251.7482517483</v>
          </cell>
          <cell r="AF38">
            <v>964824.4</v>
          </cell>
        </row>
        <row r="39">
          <cell r="G39">
            <v>0</v>
          </cell>
          <cell r="H39">
            <v>0</v>
          </cell>
          <cell r="J39">
            <v>50502.853199999998</v>
          </cell>
          <cell r="K39">
            <v>10944</v>
          </cell>
          <cell r="M39">
            <v>0</v>
          </cell>
          <cell r="N39">
            <v>0</v>
          </cell>
          <cell r="S39">
            <v>0</v>
          </cell>
          <cell r="T39">
            <v>0</v>
          </cell>
          <cell r="V39">
            <v>0</v>
          </cell>
          <cell r="W39">
            <v>4560</v>
          </cell>
          <cell r="AE39">
            <v>335968.93356643361</v>
          </cell>
          <cell r="AF39">
            <v>32328</v>
          </cell>
        </row>
        <row r="40">
          <cell r="G40">
            <v>52995.333333333328</v>
          </cell>
          <cell r="H40">
            <v>40296</v>
          </cell>
          <cell r="J40">
            <v>45980</v>
          </cell>
          <cell r="K40">
            <v>2160</v>
          </cell>
          <cell r="M40">
            <v>0</v>
          </cell>
          <cell r="N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AE40">
            <v>0</v>
          </cell>
          <cell r="AF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320000</v>
          </cell>
          <cell r="U5">
            <v>280668.5</v>
          </cell>
        </row>
        <row r="9">
          <cell r="E9">
            <v>259.09074136428831</v>
          </cell>
          <cell r="F9">
            <v>277.42269788242118</v>
          </cell>
          <cell r="G9">
            <v>100494.46358764273</v>
          </cell>
          <cell r="H9">
            <v>100141.15910159143</v>
          </cell>
        </row>
        <row r="10">
          <cell r="E10">
            <v>23.908836166265246</v>
          </cell>
          <cell r="F10">
            <v>30.743324892808896</v>
          </cell>
          <cell r="G10">
            <v>91063.874858745607</v>
          </cell>
          <cell r="H10">
            <v>95485.680462892371</v>
          </cell>
        </row>
        <row r="11">
          <cell r="E11">
            <v>0.65548286725861626</v>
          </cell>
          <cell r="F11">
            <v>0.67283037737655704</v>
          </cell>
        </row>
        <row r="12">
          <cell r="E12">
            <v>40.154358887795816</v>
          </cell>
          <cell r="F12">
            <v>39.321233061321465</v>
          </cell>
          <cell r="G12">
            <v>64150.871100749595</v>
          </cell>
          <cell r="H12">
            <v>63334.888579585349</v>
          </cell>
        </row>
        <row r="13">
          <cell r="E13">
            <v>27.904838246008847</v>
          </cell>
          <cell r="F13">
            <v>27.6082153965096</v>
          </cell>
          <cell r="G13">
            <v>39734.068088099659</v>
          </cell>
          <cell r="H13">
            <v>40397.901887245156</v>
          </cell>
        </row>
        <row r="14">
          <cell r="E14">
            <v>0</v>
          </cell>
          <cell r="F14">
            <v>0</v>
          </cell>
        </row>
        <row r="15">
          <cell r="E15">
            <v>351.71425753161685</v>
          </cell>
          <cell r="F15">
            <v>375.76830161043773</v>
          </cell>
        </row>
        <row r="16">
          <cell r="E16">
            <v>824.91189379407797</v>
          </cell>
          <cell r="F16">
            <v>823.12898555890092</v>
          </cell>
          <cell r="G16">
            <v>12735.330485559842</v>
          </cell>
          <cell r="H16">
            <v>13114.965454691894</v>
          </cell>
        </row>
        <row r="17">
          <cell r="E17">
            <v>901.90840249315011</v>
          </cell>
          <cell r="F17">
            <v>904.29636852109957</v>
          </cell>
          <cell r="G17">
            <v>15912.672534435056</v>
          </cell>
          <cell r="H17">
            <v>15570.292803096643</v>
          </cell>
        </row>
        <row r="19">
          <cell r="E19">
            <v>3.1637152048780788</v>
          </cell>
          <cell r="F19">
            <v>3.2358222702173616</v>
          </cell>
        </row>
        <row r="20">
          <cell r="Q20">
            <v>59338.811598050546</v>
          </cell>
          <cell r="R20">
            <v>62040.728690335585</v>
          </cell>
        </row>
        <row r="21">
          <cell r="Q21">
            <v>17952.931795785687</v>
          </cell>
          <cell r="R21">
            <v>18733.735733563142</v>
          </cell>
        </row>
        <row r="22">
          <cell r="Q22">
            <v>208.953125</v>
          </cell>
          <cell r="R22">
            <v>268.10114798225368</v>
          </cell>
        </row>
        <row r="50">
          <cell r="Q50">
            <v>83512.394384466257</v>
          </cell>
          <cell r="R50">
            <v>88263.57799860269</v>
          </cell>
        </row>
        <row r="56">
          <cell r="L56">
            <v>-1316047.2788698354</v>
          </cell>
        </row>
        <row r="61">
          <cell r="T61">
            <v>103034.69681751658</v>
          </cell>
          <cell r="U61">
            <v>100000.49797339522</v>
          </cell>
        </row>
        <row r="80">
          <cell r="H80">
            <v>610799.56000000006</v>
          </cell>
          <cell r="I80">
            <v>679877.29499999993</v>
          </cell>
          <cell r="L80">
            <v>-69077.734999999957</v>
          </cell>
        </row>
        <row r="85">
          <cell r="H85">
            <v>373119.23855637922</v>
          </cell>
          <cell r="I85">
            <v>428268.63662000006</v>
          </cell>
          <cell r="L85">
            <v>-55149.398063620822</v>
          </cell>
          <cell r="Q85">
            <v>103034.69681751658</v>
          </cell>
          <cell r="R85">
            <v>100000.49797339522</v>
          </cell>
        </row>
        <row r="86">
          <cell r="H86">
            <v>5263217.9800197259</v>
          </cell>
          <cell r="I86">
            <v>2195923.3970000017</v>
          </cell>
          <cell r="K86">
            <v>-849651.53132508427</v>
          </cell>
          <cell r="M86">
            <v>-777368.63976118667</v>
          </cell>
        </row>
        <row r="89">
          <cell r="Q89">
            <v>77500.696518836237</v>
          </cell>
          <cell r="R89">
            <v>81042.565571880972</v>
          </cell>
        </row>
        <row r="90">
          <cell r="Q90">
            <v>25534.000298680345</v>
          </cell>
          <cell r="R90">
            <v>18957.932401514248</v>
          </cell>
        </row>
      </sheetData>
      <sheetData sheetId="1">
        <row r="5">
          <cell r="T5">
            <v>121500</v>
          </cell>
          <cell r="U5">
            <v>107646</v>
          </cell>
        </row>
        <row r="9">
          <cell r="E9">
            <v>284.48712757201645</v>
          </cell>
          <cell r="F9">
            <v>299.59017509257001</v>
          </cell>
          <cell r="G9">
            <v>100000</v>
          </cell>
          <cell r="H9">
            <v>99864.42699357486</v>
          </cell>
        </row>
        <row r="10">
          <cell r="E10">
            <v>6.220148148148148</v>
          </cell>
          <cell r="F10">
            <v>15.344156262210893</v>
          </cell>
          <cell r="G10">
            <v>93593.269184966412</v>
          </cell>
          <cell r="H10">
            <v>101187.64469857363</v>
          </cell>
        </row>
        <row r="11">
          <cell r="E11">
            <v>0</v>
          </cell>
          <cell r="F11">
            <v>1.7650670785032461</v>
          </cell>
        </row>
        <row r="12">
          <cell r="E12">
            <v>39.567530864197529</v>
          </cell>
          <cell r="F12">
            <v>35.586983048955204</v>
          </cell>
          <cell r="G12">
            <v>64326.831452400482</v>
          </cell>
          <cell r="H12">
            <v>64163.706872312134</v>
          </cell>
        </row>
        <row r="13">
          <cell r="E13">
            <v>24.569193415637862</v>
          </cell>
          <cell r="F13">
            <v>27.227726494613258</v>
          </cell>
          <cell r="G13">
            <v>45187.594823320847</v>
          </cell>
          <cell r="H13">
            <v>46224.672750822421</v>
          </cell>
        </row>
        <row r="14">
          <cell r="E14">
            <v>0</v>
          </cell>
          <cell r="F14">
            <v>0</v>
          </cell>
        </row>
        <row r="15">
          <cell r="E15">
            <v>354.84399999999999</v>
          </cell>
          <cell r="F15">
            <v>379.51410797685259</v>
          </cell>
        </row>
        <row r="16">
          <cell r="E16">
            <v>856.08836213991765</v>
          </cell>
          <cell r="F16">
            <v>862.65939559570506</v>
          </cell>
          <cell r="G16">
            <v>15353.167533236185</v>
          </cell>
          <cell r="H16">
            <v>15677.131510968711</v>
          </cell>
        </row>
        <row r="17">
          <cell r="E17">
            <v>880.3243950617283</v>
          </cell>
          <cell r="F17">
            <v>874.08221462330005</v>
          </cell>
          <cell r="G17">
            <v>14822.140670628127</v>
          </cell>
          <cell r="H17">
            <v>14154.193658905087</v>
          </cell>
        </row>
        <row r="19">
          <cell r="E19">
            <v>3.0867048559670782</v>
          </cell>
          <cell r="F19">
            <v>3.2398828498595167</v>
          </cell>
        </row>
        <row r="20">
          <cell r="Q20">
            <v>61335.701254232787</v>
          </cell>
          <cell r="R20">
            <v>63813.740208027084</v>
          </cell>
        </row>
        <row r="21">
          <cell r="Q21">
            <v>17618.729462125255</v>
          </cell>
          <cell r="R21">
            <v>19185.245408704384</v>
          </cell>
        </row>
        <row r="22">
          <cell r="Q22">
            <v>243.58024691358023</v>
          </cell>
          <cell r="R22">
            <v>204.08512736542437</v>
          </cell>
        </row>
        <row r="50">
          <cell r="Q50">
            <v>84386.869206209754</v>
          </cell>
          <cell r="R50">
            <v>89106.705431405018</v>
          </cell>
        </row>
        <row r="56">
          <cell r="L56">
            <v>-507170.7911970464</v>
          </cell>
        </row>
        <row r="61">
          <cell r="T61">
            <v>102195.91095148401</v>
          </cell>
          <cell r="U61">
            <v>97363.140990806569</v>
          </cell>
        </row>
        <row r="80">
          <cell r="H80">
            <v>204256.48</v>
          </cell>
          <cell r="I80">
            <v>231183.00599999999</v>
          </cell>
          <cell r="L80">
            <v>-26926.526000000005</v>
          </cell>
        </row>
        <row r="85">
          <cell r="H85">
            <v>103532.20546168889</v>
          </cell>
          <cell r="I85">
            <v>103477.80695</v>
          </cell>
          <cell r="L85">
            <v>54.398511688897997</v>
          </cell>
          <cell r="Q85">
            <v>102195.91095148401</v>
          </cell>
          <cell r="R85">
            <v>97363.140990806569</v>
          </cell>
        </row>
        <row r="86">
          <cell r="H86">
            <v>1856009.8865891304</v>
          </cell>
          <cell r="I86">
            <v>553112.77200000186</v>
          </cell>
          <cell r="K86">
            <v>-519368.12213408313</v>
          </cell>
          <cell r="M86">
            <v>-249486.07376968791</v>
          </cell>
        </row>
        <row r="89">
          <cell r="Q89">
            <v>79198.010963271619</v>
          </cell>
          <cell r="R89">
            <v>83203.070744096898</v>
          </cell>
        </row>
        <row r="90">
          <cell r="Q90">
            <v>22997.89998821239</v>
          </cell>
          <cell r="R90">
            <v>14160.070246709671</v>
          </cell>
        </row>
      </sheetData>
      <sheetData sheetId="2">
        <row r="5">
          <cell r="T5">
            <v>139500</v>
          </cell>
          <cell r="U5">
            <v>121551</v>
          </cell>
        </row>
        <row r="9">
          <cell r="E9">
            <v>236.15119166001611</v>
          </cell>
          <cell r="F9">
            <v>241.72751470707399</v>
          </cell>
          <cell r="G9">
            <v>100000.00000000001</v>
          </cell>
          <cell r="H9">
            <v>99996.81944570296</v>
          </cell>
        </row>
        <row r="10">
          <cell r="E10">
            <v>36.007882245196271</v>
          </cell>
          <cell r="F10">
            <v>52.478020662831234</v>
          </cell>
          <cell r="G10">
            <v>92099.999999999985</v>
          </cell>
          <cell r="H10">
            <v>93904.471438471461</v>
          </cell>
        </row>
        <row r="11">
          <cell r="E11">
            <v>1.5036166130663597</v>
          </cell>
          <cell r="F11">
            <v>0</v>
          </cell>
        </row>
        <row r="12">
          <cell r="E12">
            <v>43.664658380606909</v>
          </cell>
          <cell r="F12">
            <v>44.462899683980233</v>
          </cell>
          <cell r="G12">
            <v>63857.594180130218</v>
          </cell>
          <cell r="H12">
            <v>62350.068130337109</v>
          </cell>
        </row>
        <row r="13">
          <cell r="E13">
            <v>32.11907698009199</v>
          </cell>
          <cell r="F13">
            <v>31.255356859249655</v>
          </cell>
          <cell r="G13">
            <v>35478.735878610976</v>
          </cell>
          <cell r="H13">
            <v>35545.24201175489</v>
          </cell>
        </row>
        <row r="14">
          <cell r="E14">
            <v>0</v>
          </cell>
          <cell r="F14">
            <v>0</v>
          </cell>
        </row>
        <row r="15">
          <cell r="E15">
            <v>349.44642587897761</v>
          </cell>
          <cell r="F15">
            <v>369.92379191313518</v>
          </cell>
        </row>
        <row r="16">
          <cell r="E16">
            <v>804.77483881078842</v>
          </cell>
          <cell r="F16">
            <v>793.61608986305816</v>
          </cell>
          <cell r="G16">
            <v>10390.190833639079</v>
          </cell>
          <cell r="H16">
            <v>10939.335977704093</v>
          </cell>
        </row>
        <row r="17">
          <cell r="E17">
            <v>911.96067955417959</v>
          </cell>
          <cell r="F17">
            <v>918.7384652783403</v>
          </cell>
          <cell r="G17">
            <v>17390.378133151502</v>
          </cell>
          <cell r="H17">
            <v>17291.492429709488</v>
          </cell>
        </row>
        <row r="19">
          <cell r="E19">
            <v>3.3166940900429047</v>
          </cell>
          <cell r="F19">
            <v>3.2976656267725462</v>
          </cell>
        </row>
        <row r="20">
          <cell r="Q20">
            <v>57866.355893219035</v>
          </cell>
          <cell r="R20">
            <v>60375.036747427272</v>
          </cell>
        </row>
        <row r="21">
          <cell r="Q21">
            <v>18114.902607977798</v>
          </cell>
          <cell r="R21">
            <v>18761.996159144321</v>
          </cell>
        </row>
        <row r="22">
          <cell r="Q22">
            <v>172.90322580645162</v>
          </cell>
          <cell r="R22">
            <v>353.23043513491615</v>
          </cell>
        </row>
        <row r="50">
          <cell r="Q50">
            <v>82574.304291600754</v>
          </cell>
          <cell r="R50">
            <v>87194.134697350295</v>
          </cell>
        </row>
        <row r="56">
          <cell r="L56">
            <v>-544406.75439163623</v>
          </cell>
        </row>
        <row r="61">
          <cell r="T61">
            <v>102613.8101218638</v>
          </cell>
          <cell r="U61">
            <v>100718.15908548675</v>
          </cell>
        </row>
        <row r="80">
          <cell r="H80">
            <v>308255.18</v>
          </cell>
          <cell r="I80">
            <v>327260.62400000001</v>
          </cell>
          <cell r="L80">
            <v>-19005.444000000018</v>
          </cell>
        </row>
        <row r="85">
          <cell r="H85">
            <v>185956.4774746763</v>
          </cell>
          <cell r="I85">
            <v>238634.34866000002</v>
          </cell>
          <cell r="L85">
            <v>-52677.871185323718</v>
          </cell>
          <cell r="Q85">
            <v>102613.8101218638</v>
          </cell>
          <cell r="R85">
            <v>100718.15908548675</v>
          </cell>
        </row>
        <row r="86">
          <cell r="H86">
            <v>2301299.4058470181</v>
          </cell>
          <cell r="I86">
            <v>1095101.9669999997</v>
          </cell>
          <cell r="K86">
            <v>-230418.27912266683</v>
          </cell>
          <cell r="M86">
            <v>-359689.09014739143</v>
          </cell>
        </row>
        <row r="89">
          <cell r="Q89">
            <v>76154.161727003288</v>
          </cell>
          <cell r="R89">
            <v>79490.263341706508</v>
          </cell>
        </row>
        <row r="90">
          <cell r="Q90">
            <v>26459.648394860516</v>
          </cell>
          <cell r="R90">
            <v>21227.895743780246</v>
          </cell>
        </row>
      </sheetData>
      <sheetData sheetId="3">
        <row r="5">
          <cell r="T5">
            <v>59000</v>
          </cell>
          <cell r="U5">
            <v>51471.5</v>
          </cell>
        </row>
        <row r="9">
          <cell r="E9">
            <v>261.02983050847456</v>
          </cell>
          <cell r="F9">
            <v>317.01878027292111</v>
          </cell>
          <cell r="G9">
            <v>102661.91408735672</v>
          </cell>
          <cell r="H9">
            <v>100957.41646745063</v>
          </cell>
        </row>
        <row r="10">
          <cell r="E10">
            <v>31.728474576271182</v>
          </cell>
          <cell r="F10">
            <v>10.634787477729715</v>
          </cell>
          <cell r="G10">
            <v>87262.475026442582</v>
          </cell>
          <cell r="H10">
            <v>97025.201206554368</v>
          </cell>
        </row>
        <row r="11">
          <cell r="E11">
            <v>0</v>
          </cell>
          <cell r="F11">
            <v>0</v>
          </cell>
        </row>
        <row r="12">
          <cell r="E12">
            <v>33.063050847457632</v>
          </cell>
          <cell r="F12">
            <v>34.756488047457758</v>
          </cell>
          <cell r="G12">
            <v>64632.997047244091</v>
          </cell>
          <cell r="H12">
            <v>64593.049320167796</v>
          </cell>
        </row>
        <row r="13">
          <cell r="E13">
            <v>24.809830508474576</v>
          </cell>
          <cell r="F13">
            <v>19.596850245707479</v>
          </cell>
          <cell r="G13">
            <v>41637.944226591426</v>
          </cell>
          <cell r="H13">
            <v>42061.494243778703</v>
          </cell>
        </row>
        <row r="14">
          <cell r="E14">
            <v>0</v>
          </cell>
          <cell r="F14">
            <v>0</v>
          </cell>
        </row>
        <row r="15">
          <cell r="E15">
            <v>350.63118644067799</v>
          </cell>
          <cell r="F15">
            <v>382.00690604381606</v>
          </cell>
        </row>
        <row r="16">
          <cell r="E16">
            <v>808.32169491525417</v>
          </cell>
          <cell r="F16">
            <v>811.24929028721374</v>
          </cell>
          <cell r="G16">
            <v>12546.322623970686</v>
          </cell>
          <cell r="H16">
            <v>12523.880796926738</v>
          </cell>
        </row>
        <row r="17">
          <cell r="E17">
            <v>922.58915254237297</v>
          </cell>
          <cell r="F17">
            <v>932.98441568612111</v>
          </cell>
          <cell r="G17">
            <v>14601.901916226541</v>
          </cell>
          <cell r="H17">
            <v>14266.994459756774</v>
          </cell>
        </row>
        <row r="19">
          <cell r="E19">
            <v>2.9606000000000003</v>
          </cell>
          <cell r="F19">
            <v>3.0778540243162276</v>
          </cell>
        </row>
        <row r="20">
          <cell r="Q20">
            <v>58708.056981064961</v>
          </cell>
          <cell r="R20">
            <v>62334.190065978808</v>
          </cell>
        </row>
        <row r="21">
          <cell r="Q21">
            <v>18258.19713881861</v>
          </cell>
          <cell r="R21">
            <v>17715.301055269494</v>
          </cell>
        </row>
        <row r="22">
          <cell r="Q22">
            <v>222.88135593220341</v>
          </cell>
          <cell r="R22">
            <v>197.13027390018991</v>
          </cell>
        </row>
        <row r="50">
          <cell r="Q50">
            <v>83929.595691464492</v>
          </cell>
          <cell r="R50">
            <v>89073.249721009459</v>
          </cell>
        </row>
        <row r="56">
          <cell r="L56">
            <v>-263237.69215116242</v>
          </cell>
        </row>
        <row r="61">
          <cell r="T61">
            <v>105757.17438983051</v>
          </cell>
          <cell r="U61">
            <v>103847.08571540602</v>
          </cell>
        </row>
        <row r="80">
          <cell r="H80">
            <v>98287.900000000009</v>
          </cell>
          <cell r="I80">
            <v>121433.66500000001</v>
          </cell>
          <cell r="L80">
            <v>-23145.765000000014</v>
          </cell>
        </row>
        <row r="85">
          <cell r="H85">
            <v>83630.5556200141</v>
          </cell>
          <cell r="I85">
            <v>86156.481009999989</v>
          </cell>
          <cell r="L85">
            <v>-2525.9253899858982</v>
          </cell>
          <cell r="Q85">
            <v>105757.17438983051</v>
          </cell>
          <cell r="R85">
            <v>103847.08571540602</v>
          </cell>
        </row>
        <row r="86">
          <cell r="H86">
            <v>1105908.6875835815</v>
          </cell>
          <cell r="I86">
            <v>547708.65800000005</v>
          </cell>
          <cell r="K86">
            <v>-97425.982927695673</v>
          </cell>
          <cell r="M86">
            <v>-171864.66411473812</v>
          </cell>
        </row>
        <row r="89">
          <cell r="Q89">
            <v>77189.135475815769</v>
          </cell>
          <cell r="R89">
            <v>80246.621395148482</v>
          </cell>
        </row>
        <row r="90">
          <cell r="Q90">
            <v>28568.038914014745</v>
          </cell>
          <cell r="R90">
            <v>23600.464320257539</v>
          </cell>
        </row>
      </sheetData>
      <sheetData sheetId="4">
        <row r="2">
          <cell r="N2">
            <v>45000</v>
          </cell>
        </row>
        <row r="5">
          <cell r="T5">
            <v>45000</v>
          </cell>
          <cell r="U5">
            <v>38566</v>
          </cell>
        </row>
        <row r="9">
          <cell r="E9">
            <v>300.39999999999992</v>
          </cell>
          <cell r="F9">
            <v>317.92703631647203</v>
          </cell>
          <cell r="G9">
            <v>100000</v>
          </cell>
          <cell r="H9">
            <v>99708.947649666938</v>
          </cell>
        </row>
        <row r="10">
          <cell r="E10">
            <v>8</v>
          </cell>
          <cell r="F10">
            <v>5.6059675745784698</v>
          </cell>
          <cell r="G10">
            <v>87100</v>
          </cell>
          <cell r="H10">
            <v>102200.00411827215</v>
          </cell>
        </row>
        <row r="11">
          <cell r="E11">
            <v>0</v>
          </cell>
          <cell r="F11">
            <v>4.9214007782101143</v>
          </cell>
        </row>
        <row r="12">
          <cell r="E12">
            <v>30</v>
          </cell>
          <cell r="F12">
            <v>26.033388067444871</v>
          </cell>
          <cell r="G12">
            <v>64000</v>
          </cell>
          <cell r="H12">
            <v>64099.564810074153</v>
          </cell>
        </row>
        <row r="13">
          <cell r="E13">
            <v>28.2</v>
          </cell>
          <cell r="F13">
            <v>23.817815045395587</v>
          </cell>
          <cell r="G13">
            <v>45000</v>
          </cell>
          <cell r="H13">
            <v>45855.375975151292</v>
          </cell>
        </row>
        <row r="14">
          <cell r="E14">
            <v>0</v>
          </cell>
          <cell r="F14">
            <v>0</v>
          </cell>
        </row>
        <row r="15">
          <cell r="E15">
            <v>366.59999999999991</v>
          </cell>
          <cell r="F15">
            <v>378.30560778210111</v>
          </cell>
        </row>
        <row r="16">
          <cell r="E16">
            <v>846</v>
          </cell>
          <cell r="F16">
            <v>855.26770428015482</v>
          </cell>
          <cell r="G16">
            <v>15333.333333333334</v>
          </cell>
          <cell r="H16">
            <v>15979.679028903671</v>
          </cell>
        </row>
        <row r="17">
          <cell r="E17">
            <v>879</v>
          </cell>
          <cell r="F17">
            <v>846.85914396887131</v>
          </cell>
          <cell r="G17">
            <v>15161.290322580646</v>
          </cell>
          <cell r="H17">
            <v>15269.993953395202</v>
          </cell>
        </row>
        <row r="19">
          <cell r="E19">
            <v>3.29</v>
          </cell>
          <cell r="F19">
            <v>3.14323346303502</v>
          </cell>
        </row>
        <row r="20">
          <cell r="Q20">
            <v>63006.269193548382</v>
          </cell>
          <cell r="R20">
            <v>64987.402801556418</v>
          </cell>
        </row>
        <row r="21">
          <cell r="Q21">
            <v>17101.777491228069</v>
          </cell>
          <cell r="R21">
            <v>17854.644487678343</v>
          </cell>
        </row>
        <row r="22">
          <cell r="Q22">
            <v>177.77777777777777</v>
          </cell>
          <cell r="R22">
            <v>188.54101167315176</v>
          </cell>
        </row>
        <row r="50">
          <cell r="Q50">
            <v>84712.019892803277</v>
          </cell>
          <cell r="R50">
            <v>87636.386147859928</v>
          </cell>
        </row>
        <row r="56">
          <cell r="L56">
            <v>-112625.42232179058</v>
          </cell>
        </row>
        <row r="80">
          <cell r="H80">
            <v>65046.599999999991</v>
          </cell>
          <cell r="I80">
            <v>75036.324000000008</v>
          </cell>
          <cell r="L80">
            <v>-9989.7240000000093</v>
          </cell>
        </row>
        <row r="85">
          <cell r="H85">
            <v>30258.43844444444</v>
          </cell>
          <cell r="I85">
            <v>29467.261930000001</v>
          </cell>
          <cell r="L85">
            <v>791.17651444443982</v>
          </cell>
          <cell r="Q85">
            <v>101706.43777777777</v>
          </cell>
          <cell r="R85">
            <v>98187.636493358237</v>
          </cell>
        </row>
        <row r="86">
          <cell r="H86">
            <v>669443.76637940679</v>
          </cell>
          <cell r="I86">
            <v>302275.15799999988</v>
          </cell>
          <cell r="K86">
            <v>-135628.67670666648</v>
          </cell>
          <cell r="M86">
            <v>-109715.96186539531</v>
          </cell>
        </row>
        <row r="89">
          <cell r="Q89">
            <v>80285.824462554228</v>
          </cell>
          <cell r="R89">
            <v>83030.588300907912</v>
          </cell>
        </row>
      </sheetData>
      <sheetData sheetId="5">
        <row r="2">
          <cell r="N2">
            <v>36000</v>
          </cell>
        </row>
        <row r="5">
          <cell r="T5">
            <v>36000</v>
          </cell>
          <cell r="U5">
            <v>29507</v>
          </cell>
        </row>
        <row r="9">
          <cell r="E9">
            <v>280.18100000000004</v>
          </cell>
          <cell r="F9">
            <v>278.91044091232567</v>
          </cell>
          <cell r="G9">
            <v>100000</v>
          </cell>
          <cell r="H9">
            <v>99902.972005048869</v>
          </cell>
        </row>
        <row r="10">
          <cell r="E10">
            <v>10.992999999999999</v>
          </cell>
          <cell r="F10">
            <v>36.656981394245435</v>
          </cell>
          <cell r="G10">
            <v>99500</v>
          </cell>
          <cell r="H10">
            <v>100982.58053263777</v>
          </cell>
        </row>
        <row r="11">
          <cell r="E11">
            <v>0</v>
          </cell>
          <cell r="F11">
            <v>0</v>
          </cell>
        </row>
        <row r="12">
          <cell r="E12">
            <v>51.65</v>
          </cell>
          <cell r="F12">
            <v>48.348836208357334</v>
          </cell>
          <cell r="G12">
            <v>64500</v>
          </cell>
          <cell r="H12">
            <v>64495.103426005386</v>
          </cell>
        </row>
        <row r="13">
          <cell r="E13">
            <v>26.056999999999999</v>
          </cell>
          <cell r="F13">
            <v>35.777290473446996</v>
          </cell>
          <cell r="G13">
            <v>44999.999999999993</v>
          </cell>
          <cell r="H13">
            <v>46075.011842361266</v>
          </cell>
        </row>
        <row r="14">
          <cell r="E14">
            <v>0</v>
          </cell>
          <cell r="F14">
            <v>0</v>
          </cell>
        </row>
        <row r="15">
          <cell r="E15">
            <v>368.88100000000003</v>
          </cell>
          <cell r="F15">
            <v>399.69354898837543</v>
          </cell>
        </row>
        <row r="16">
          <cell r="E16">
            <v>884.48599999999999</v>
          </cell>
          <cell r="F16">
            <v>954.51848019114095</v>
          </cell>
          <cell r="G16">
            <v>15733.333333333332</v>
          </cell>
          <cell r="H16">
            <v>15596.892523553739</v>
          </cell>
        </row>
        <row r="17">
          <cell r="E17">
            <v>849.36400000000003</v>
          </cell>
          <cell r="F17">
            <v>804.49642189988856</v>
          </cell>
          <cell r="G17">
            <v>15503.988578846816</v>
          </cell>
          <cell r="H17">
            <v>14141.553460629684</v>
          </cell>
        </row>
        <row r="19">
          <cell r="E19">
            <v>3.32</v>
          </cell>
          <cell r="F19">
            <v>3.2531246144982546</v>
          </cell>
        </row>
        <row r="20">
          <cell r="Q20">
            <v>63489.136321950311</v>
          </cell>
          <cell r="R20">
            <v>65109.775138102821</v>
          </cell>
        </row>
        <row r="21">
          <cell r="Q21">
            <v>17606.450996563573</v>
          </cell>
          <cell r="R21">
            <v>20397.632426203949</v>
          </cell>
        </row>
        <row r="22">
          <cell r="Q22">
            <v>366.66666666666663</v>
          </cell>
          <cell r="R22">
            <v>333.89053444945267</v>
          </cell>
        </row>
        <row r="50">
          <cell r="Q50">
            <v>86505.647743232592</v>
          </cell>
          <cell r="R50">
            <v>92606.22848815535</v>
          </cell>
        </row>
        <row r="56">
          <cell r="L56">
            <v>-180009.81054043566</v>
          </cell>
        </row>
        <row r="80">
          <cell r="H80">
            <v>60681.440000000002</v>
          </cell>
          <cell r="I80">
            <v>66616.963000000003</v>
          </cell>
          <cell r="L80">
            <v>-5935.5230000000029</v>
          </cell>
        </row>
        <row r="85">
          <cell r="H85">
            <v>34461.201683911124</v>
          </cell>
          <cell r="I85">
            <v>35915.869500000001</v>
          </cell>
          <cell r="L85">
            <v>-1454.6678160888725</v>
          </cell>
          <cell r="Q85">
            <v>106683.98638888888</v>
          </cell>
          <cell r="R85">
            <v>98532.600671027205</v>
          </cell>
        </row>
        <row r="86">
          <cell r="H86">
            <v>631277.54955971555</v>
          </cell>
          <cell r="I86">
            <v>72336.657000000137</v>
          </cell>
          <cell r="K86">
            <v>-240522.93837694442</v>
          </cell>
          <cell r="M86">
            <v>-131017.95282624615</v>
          </cell>
        </row>
        <row r="89">
          <cell r="Q89">
            <v>81462.253985180563</v>
          </cell>
          <cell r="R89">
            <v>85841.298098756233</v>
          </cell>
        </row>
      </sheetData>
      <sheetData sheetId="6">
        <row r="2">
          <cell r="N2">
            <v>23000</v>
          </cell>
        </row>
        <row r="5">
          <cell r="T5">
            <v>23000</v>
          </cell>
          <cell r="U5">
            <v>22349</v>
          </cell>
        </row>
        <row r="9">
          <cell r="E9">
            <v>301.5508695652174</v>
          </cell>
          <cell r="F9">
            <v>311.6550840317301</v>
          </cell>
          <cell r="G9">
            <v>100000</v>
          </cell>
          <cell r="H9">
            <v>99999.999568591214</v>
          </cell>
        </row>
        <row r="10">
          <cell r="E10">
            <v>0</v>
          </cell>
          <cell r="F10">
            <v>15.7546891946399</v>
          </cell>
          <cell r="G10">
            <v>0</v>
          </cell>
          <cell r="H10">
            <v>101196.2471494253</v>
          </cell>
        </row>
        <row r="11">
          <cell r="E11">
            <v>0</v>
          </cell>
          <cell r="F11">
            <v>0</v>
          </cell>
        </row>
        <row r="12">
          <cell r="E12">
            <v>35.241521739130434</v>
          </cell>
          <cell r="F12">
            <v>21.422720835387469</v>
          </cell>
          <cell r="G12">
            <v>64500</v>
          </cell>
          <cell r="H12">
            <v>63901.285837556869</v>
          </cell>
        </row>
        <row r="13">
          <cell r="E13">
            <v>9.4828260869565213</v>
          </cell>
          <cell r="F13">
            <v>21.584461972840955</v>
          </cell>
          <cell r="G13">
            <v>45000.000000000007</v>
          </cell>
          <cell r="H13">
            <v>47392.559727798638</v>
          </cell>
        </row>
        <row r="14">
          <cell r="E14">
            <v>0</v>
          </cell>
          <cell r="F14">
            <v>0</v>
          </cell>
        </row>
        <row r="15">
          <cell r="E15">
            <v>346.2752173913043</v>
          </cell>
          <cell r="F15">
            <v>370.41695603459846</v>
          </cell>
        </row>
        <row r="16">
          <cell r="E16">
            <v>874.05391304347836</v>
          </cell>
          <cell r="F16">
            <v>781.15744185004223</v>
          </cell>
          <cell r="G16">
            <v>15266.666666666664</v>
          </cell>
          <cell r="H16">
            <v>16099.098127902264</v>
          </cell>
        </row>
        <row r="17">
          <cell r="E17">
            <v>878.36130434782615</v>
          </cell>
          <cell r="F17">
            <v>959.73647649352563</v>
          </cell>
          <cell r="G17">
            <v>13419.354838709676</v>
          </cell>
          <cell r="H17">
            <v>12418.433778823772</v>
          </cell>
        </row>
        <row r="19">
          <cell r="E19">
            <v>2.7702017391304352</v>
          </cell>
          <cell r="F19">
            <v>3.6935373997221341</v>
          </cell>
        </row>
        <row r="20">
          <cell r="Q20">
            <v>59980.369293548385</v>
          </cell>
          <cell r="R20">
            <v>62743.218392865143</v>
          </cell>
        </row>
        <row r="21">
          <cell r="Q21">
            <v>18464.374782608698</v>
          </cell>
          <cell r="R21">
            <v>19033.99233630619</v>
          </cell>
        </row>
        <row r="22">
          <cell r="Q22">
            <v>202.5</v>
          </cell>
          <cell r="R22">
            <v>165.35194729529871</v>
          </cell>
        </row>
        <row r="50">
          <cell r="Q50">
            <v>84892.404403660083</v>
          </cell>
          <cell r="R50">
            <v>88605.240039438882</v>
          </cell>
        </row>
        <row r="56">
          <cell r="L56">
            <v>-82844.588757553924</v>
          </cell>
        </row>
        <row r="80">
          <cell r="H80">
            <v>45685.41</v>
          </cell>
          <cell r="I80">
            <v>54351.604999999996</v>
          </cell>
          <cell r="L80">
            <v>-8666.1949999999997</v>
          </cell>
        </row>
        <row r="85">
          <cell r="H85">
            <v>19365.797555555557</v>
          </cell>
          <cell r="I85">
            <v>20311.159210000002</v>
          </cell>
          <cell r="L85">
            <v>-945.36165444444646</v>
          </cell>
          <cell r="Q85">
            <v>100383.19437414382</v>
          </cell>
          <cell r="R85">
            <v>95512.911955888267</v>
          </cell>
        </row>
        <row r="86">
          <cell r="H86">
            <v>291236.96176557004</v>
          </cell>
          <cell r="I86">
            <v>79622.708999999741</v>
          </cell>
          <cell r="K86">
            <v>-108641.38990402652</v>
          </cell>
          <cell r="M86">
            <v>-10516.71744954522</v>
          </cell>
        </row>
        <row r="89">
          <cell r="Q89">
            <v>78647.244076157076</v>
          </cell>
          <cell r="R89">
            <v>81942.562676466638</v>
          </cell>
        </row>
      </sheetData>
      <sheetData sheetId="7">
        <row r="2">
          <cell r="N2">
            <v>17500</v>
          </cell>
        </row>
        <row r="5">
          <cell r="T5">
            <v>17500</v>
          </cell>
          <cell r="U5">
            <v>17224</v>
          </cell>
        </row>
        <row r="9">
          <cell r="E9">
            <v>230</v>
          </cell>
          <cell r="F9">
            <v>278.21290254732418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</v>
          </cell>
          <cell r="F12">
            <v>53.568653306847352</v>
          </cell>
          <cell r="G12">
            <v>64300</v>
          </cell>
          <cell r="H12">
            <v>63855.085371104935</v>
          </cell>
        </row>
        <row r="13">
          <cell r="E13">
            <v>32</v>
          </cell>
          <cell r="F13">
            <v>27.52559184388878</v>
          </cell>
          <cell r="G13">
            <v>46000</v>
          </cell>
          <cell r="H13">
            <v>46085.86332679035</v>
          </cell>
        </row>
        <row r="14">
          <cell r="E14">
            <v>0</v>
          </cell>
          <cell r="F14">
            <v>0</v>
          </cell>
        </row>
        <row r="15">
          <cell r="E15">
            <v>307</v>
          </cell>
          <cell r="F15">
            <v>359.30714769806031</v>
          </cell>
        </row>
        <row r="16">
          <cell r="E16">
            <v>800</v>
          </cell>
          <cell r="F16">
            <v>827.19648282308947</v>
          </cell>
          <cell r="G16">
            <v>14666.666666666666</v>
          </cell>
          <cell r="H16">
            <v>14612.730840825116</v>
          </cell>
        </row>
        <row r="17">
          <cell r="E17">
            <v>950</v>
          </cell>
          <cell r="F17">
            <v>943.69624912362679</v>
          </cell>
          <cell r="G17">
            <v>14465.780691996957</v>
          </cell>
          <cell r="H17">
            <v>14218.814466418262</v>
          </cell>
        </row>
        <row r="19">
          <cell r="E19">
            <v>2.5</v>
          </cell>
          <cell r="F19">
            <v>2.843336644075718</v>
          </cell>
        </row>
        <row r="20">
          <cell r="Q20">
            <v>54391.324990730442</v>
          </cell>
          <cell r="R20">
            <v>60331.604054685675</v>
          </cell>
        </row>
        <row r="21">
          <cell r="Q21">
            <v>17861.873523809525</v>
          </cell>
          <cell r="R21">
            <v>20289.222481888293</v>
          </cell>
        </row>
        <row r="22">
          <cell r="Q22">
            <v>213.57142857142858</v>
          </cell>
          <cell r="R22">
            <v>65.81163823323206</v>
          </cell>
        </row>
        <row r="50">
          <cell r="Q50">
            <v>78527.719619301875</v>
          </cell>
          <cell r="R50">
            <v>87039.024830567898</v>
          </cell>
        </row>
        <row r="56">
          <cell r="L56">
            <v>-145612.63900374499</v>
          </cell>
        </row>
        <row r="80">
          <cell r="H80">
            <v>32843.03</v>
          </cell>
          <cell r="I80">
            <v>35178.114000000001</v>
          </cell>
          <cell r="L80">
            <v>-2335.0839999999994</v>
          </cell>
        </row>
        <row r="85">
          <cell r="H85">
            <v>19446.767777777775</v>
          </cell>
          <cell r="I85">
            <v>17783.516310000003</v>
          </cell>
          <cell r="L85">
            <v>1663.2514677777726</v>
          </cell>
          <cell r="Q85">
            <v>96604.371428571423</v>
          </cell>
          <cell r="R85">
            <v>95901.215663354757</v>
          </cell>
        </row>
        <row r="86">
          <cell r="H86">
            <v>264051.60888443928</v>
          </cell>
          <cell r="I86">
            <v>98878.248000000051</v>
          </cell>
          <cell r="K86">
            <v>-12030.995142857166</v>
          </cell>
          <cell r="M86">
            <v>-6857.8942056151282</v>
          </cell>
        </row>
        <row r="89">
          <cell r="Q89">
            <v>72466.769943111402</v>
          </cell>
          <cell r="R89">
            <v>80686.638174807202</v>
          </cell>
        </row>
      </sheetData>
      <sheetData sheetId="8">
        <row r="2">
          <cell r="N2">
            <v>24000</v>
          </cell>
        </row>
        <row r="5">
          <cell r="T5">
            <v>24000</v>
          </cell>
          <cell r="U5">
            <v>19120</v>
          </cell>
        </row>
        <row r="9">
          <cell r="E9">
            <v>231.65996819051048</v>
          </cell>
          <cell r="F9">
            <v>199.54212513709717</v>
          </cell>
          <cell r="G9">
            <v>100000</v>
          </cell>
          <cell r="H9">
            <v>100000.06700460248</v>
          </cell>
        </row>
        <row r="10">
          <cell r="E10">
            <v>41.024461383536625</v>
          </cell>
          <cell r="F10">
            <v>169.29357967305589</v>
          </cell>
          <cell r="G10">
            <v>92100.000000000015</v>
          </cell>
          <cell r="H10">
            <v>92398.526805249217</v>
          </cell>
        </row>
        <row r="11">
          <cell r="E11">
            <v>8.7397715634482172</v>
          </cell>
          <cell r="F11">
            <v>0</v>
          </cell>
        </row>
        <row r="12">
          <cell r="E12">
            <v>42.881868503944332</v>
          </cell>
          <cell r="F12">
            <v>0</v>
          </cell>
          <cell r="G12">
            <v>65000</v>
          </cell>
          <cell r="H12">
            <v>0</v>
          </cell>
        </row>
        <row r="13">
          <cell r="E13">
            <v>34.424009946784651</v>
          </cell>
          <cell r="F13">
            <v>35.464937065858848</v>
          </cell>
          <cell r="G13">
            <v>36500</v>
          </cell>
          <cell r="H13">
            <v>36499.994146209174</v>
          </cell>
        </row>
        <row r="14">
          <cell r="E14">
            <v>0</v>
          </cell>
          <cell r="F14">
            <v>0</v>
          </cell>
        </row>
        <row r="15">
          <cell r="E15">
            <v>358.73007958822427</v>
          </cell>
          <cell r="F15">
            <v>404.30064187601192</v>
          </cell>
        </row>
        <row r="16">
          <cell r="E16">
            <v>834.99399992853466</v>
          </cell>
          <cell r="F16">
            <v>879.45892306888811</v>
          </cell>
          <cell r="G16">
            <v>10736.513444967724</v>
          </cell>
          <cell r="H16">
            <v>11894.618385889897</v>
          </cell>
        </row>
        <row r="17">
          <cell r="E17">
            <v>891.44147058449391</v>
          </cell>
          <cell r="F17">
            <v>839.89658954405388</v>
          </cell>
          <cell r="G17">
            <v>17412.560307625834</v>
          </cell>
          <cell r="H17">
            <v>18307.371016385288</v>
          </cell>
        </row>
        <row r="19">
          <cell r="E19">
            <v>2.8727291067077156</v>
          </cell>
          <cell r="F19">
            <v>3.4487154645636404</v>
          </cell>
        </row>
        <row r="20">
          <cell r="Q20">
            <v>59163.706514687547</v>
          </cell>
          <cell r="R20">
            <v>66200.617851360526</v>
          </cell>
        </row>
        <row r="21">
          <cell r="Q21">
            <v>19636.118055555555</v>
          </cell>
          <cell r="R21">
            <v>20200.159711704182</v>
          </cell>
        </row>
        <row r="22">
          <cell r="Q22">
            <v>41.666666666666664</v>
          </cell>
          <cell r="R22">
            <v>0</v>
          </cell>
        </row>
        <row r="50">
          <cell r="Q50">
            <v>85065.879716656738</v>
          </cell>
          <cell r="R50">
            <v>95807.849219198833</v>
          </cell>
        </row>
        <row r="56">
          <cell r="L56">
            <v>-175256.20547752333</v>
          </cell>
        </row>
        <row r="80">
          <cell r="H80">
            <v>52997.16</v>
          </cell>
          <cell r="I80">
            <v>47036.375</v>
          </cell>
          <cell r="L80">
            <v>5960.7849999999999</v>
          </cell>
        </row>
        <row r="85">
          <cell r="H85">
            <v>47248.159333333337</v>
          </cell>
          <cell r="I85">
            <v>76818.714340000006</v>
          </cell>
          <cell r="L85">
            <v>-29570.555006666666</v>
          </cell>
          <cell r="Q85">
            <v>107599.83591666666</v>
          </cell>
          <cell r="R85">
            <v>109871.86223849373</v>
          </cell>
        </row>
        <row r="86">
          <cell r="H86">
            <v>440569.62946690473</v>
          </cell>
          <cell r="I86">
            <v>175179.09099999996</v>
          </cell>
          <cell r="K86">
            <v>43441.143273333582</v>
          </cell>
          <cell r="M86">
            <v>-109965.7062560484</v>
          </cell>
        </row>
        <row r="89">
          <cell r="Q89">
            <v>78841.491236909773</v>
          </cell>
          <cell r="R89">
            <v>86400.777563064708</v>
          </cell>
        </row>
      </sheetData>
      <sheetData sheetId="9">
        <row r="2">
          <cell r="N2">
            <v>26000</v>
          </cell>
        </row>
        <row r="5">
          <cell r="T5">
            <v>26000</v>
          </cell>
          <cell r="U5">
            <v>19932</v>
          </cell>
        </row>
        <row r="9">
          <cell r="E9">
            <v>225.39999999999998</v>
          </cell>
          <cell r="F9">
            <v>255.51161570646914</v>
          </cell>
          <cell r="G9">
            <v>100000</v>
          </cell>
          <cell r="H9">
            <v>100003.22001201012</v>
          </cell>
        </row>
        <row r="10">
          <cell r="E10">
            <v>46</v>
          </cell>
          <cell r="F10">
            <v>18.693141753643861</v>
          </cell>
          <cell r="G10">
            <v>92100.000000000015</v>
          </cell>
          <cell r="H10">
            <v>92100.030514775761</v>
          </cell>
        </row>
        <row r="11">
          <cell r="E11">
            <v>0</v>
          </cell>
          <cell r="F11">
            <v>0</v>
          </cell>
        </row>
        <row r="12">
          <cell r="E12">
            <v>46</v>
          </cell>
          <cell r="F12">
            <v>43.391100280472671</v>
          </cell>
          <cell r="G12">
            <v>65000</v>
          </cell>
          <cell r="H12">
            <v>64282.696570559194</v>
          </cell>
        </row>
        <row r="13">
          <cell r="E13">
            <v>35.4</v>
          </cell>
          <cell r="F13">
            <v>31.535617269759531</v>
          </cell>
          <cell r="G13">
            <v>35200</v>
          </cell>
          <cell r="H13">
            <v>35372.014801562291</v>
          </cell>
        </row>
        <row r="14">
          <cell r="E14">
            <v>0</v>
          </cell>
          <cell r="F14">
            <v>0</v>
          </cell>
        </row>
        <row r="15">
          <cell r="E15">
            <v>352.79999999999995</v>
          </cell>
          <cell r="F15">
            <v>349.13147501034518</v>
          </cell>
        </row>
        <row r="16">
          <cell r="E16">
            <v>819.90000000000009</v>
          </cell>
          <cell r="F16">
            <v>820.45427375971315</v>
          </cell>
          <cell r="G16">
            <v>10666.666666666666</v>
          </cell>
          <cell r="H16">
            <v>10682.224673084487</v>
          </cell>
        </row>
        <row r="17">
          <cell r="E17">
            <v>909.40000000000009</v>
          </cell>
          <cell r="F17">
            <v>912.30332429077214</v>
          </cell>
          <cell r="G17">
            <v>17671.323476209582</v>
          </cell>
          <cell r="H17">
            <v>17724.003782944845</v>
          </cell>
        </row>
        <row r="19">
          <cell r="E19">
            <v>4.891</v>
          </cell>
          <cell r="F19">
            <v>3.3574067773230936</v>
          </cell>
        </row>
        <row r="20">
          <cell r="Q20">
            <v>59984.081569264992</v>
          </cell>
          <cell r="R20">
            <v>58933.835624626416</v>
          </cell>
        </row>
        <row r="21">
          <cell r="Q21">
            <v>16266.590087232355</v>
          </cell>
          <cell r="R21">
            <v>16982.591429491011</v>
          </cell>
        </row>
        <row r="22">
          <cell r="Q22">
            <v>76.923076923076934</v>
          </cell>
          <cell r="R22">
            <v>1087.2813002896685</v>
          </cell>
        </row>
        <row r="50">
          <cell r="Q50">
            <v>82019.597964189656</v>
          </cell>
          <cell r="R50">
            <v>82807.868223826372</v>
          </cell>
        </row>
        <row r="56">
          <cell r="L56">
            <v>-29194.677757771948</v>
          </cell>
        </row>
        <row r="80">
          <cell r="H80">
            <v>45480</v>
          </cell>
          <cell r="I80">
            <v>54139.122000000003</v>
          </cell>
          <cell r="L80">
            <v>-8659.1219999999994</v>
          </cell>
        </row>
        <row r="85">
          <cell r="H85">
            <v>29220.166777777777</v>
          </cell>
          <cell r="I85">
            <v>40634.067620000002</v>
          </cell>
          <cell r="L85">
            <v>-11413.900842222221</v>
          </cell>
          <cell r="Q85">
            <v>104577.05846153846</v>
          </cell>
          <cell r="R85">
            <v>94504.228878185822</v>
          </cell>
        </row>
        <row r="86">
          <cell r="H86">
            <v>511793.80615329108</v>
          </cell>
          <cell r="I86">
            <v>124875.79599999993</v>
          </cell>
          <cell r="K86">
            <v>-200771.63925538474</v>
          </cell>
          <cell r="M86">
            <v>-136878.67029791244</v>
          </cell>
        </row>
        <row r="89">
          <cell r="Q89">
            <v>76327.594733420425</v>
          </cell>
          <cell r="R89">
            <v>77003.708354407107</v>
          </cell>
        </row>
      </sheetData>
      <sheetData sheetId="10">
        <row r="2">
          <cell r="N2">
            <v>14000</v>
          </cell>
        </row>
        <row r="5">
          <cell r="T5">
            <v>14000</v>
          </cell>
          <cell r="U5">
            <v>12286</v>
          </cell>
        </row>
        <row r="9">
          <cell r="E9">
            <v>218.39000000000001</v>
          </cell>
          <cell r="F9">
            <v>245.26779098160506</v>
          </cell>
          <cell r="G9">
            <v>100000</v>
          </cell>
          <cell r="H9">
            <v>100000.00066371093</v>
          </cell>
        </row>
        <row r="10">
          <cell r="E10">
            <v>106.42999999999999</v>
          </cell>
          <cell r="F10">
            <v>89.073746540778089</v>
          </cell>
          <cell r="G10">
            <v>92100.000000000015</v>
          </cell>
          <cell r="H10">
            <v>92099.999447165523</v>
          </cell>
        </row>
        <row r="11">
          <cell r="E11">
            <v>0</v>
          </cell>
          <cell r="F11">
            <v>0</v>
          </cell>
        </row>
        <row r="12">
          <cell r="E12">
            <v>2.5300000000000002</v>
          </cell>
          <cell r="F12">
            <v>5.8611443919908828</v>
          </cell>
          <cell r="G12">
            <v>64000</v>
          </cell>
          <cell r="H12">
            <v>63418.99363449699</v>
          </cell>
        </row>
        <row r="13">
          <cell r="E13">
            <v>15.65</v>
          </cell>
          <cell r="F13">
            <v>20.454098974442463</v>
          </cell>
          <cell r="G13">
            <v>35000</v>
          </cell>
          <cell r="H13">
            <v>34999.999602067735</v>
          </cell>
        </row>
        <row r="14">
          <cell r="E14">
            <v>0</v>
          </cell>
          <cell r="F14">
            <v>0</v>
          </cell>
        </row>
        <row r="15">
          <cell r="E15">
            <v>342.99999999999994</v>
          </cell>
          <cell r="F15">
            <v>360.65678088881646</v>
          </cell>
        </row>
        <row r="16">
          <cell r="E16">
            <v>830</v>
          </cell>
          <cell r="F16">
            <v>758.91258342829224</v>
          </cell>
          <cell r="G16">
            <v>9426.6666666666679</v>
          </cell>
          <cell r="H16">
            <v>9179.5287430287462</v>
          </cell>
        </row>
        <row r="17">
          <cell r="E17">
            <v>890</v>
          </cell>
          <cell r="F17">
            <v>878.12469477453988</v>
          </cell>
          <cell r="G17">
            <v>17730.479017177095</v>
          </cell>
          <cell r="H17">
            <v>15495.492666360176</v>
          </cell>
        </row>
        <row r="19">
          <cell r="E19">
            <v>3.3</v>
          </cell>
          <cell r="F19">
            <v>3.3370828585381735</v>
          </cell>
        </row>
        <row r="20">
          <cell r="Q20">
            <v>58587.732658620946</v>
          </cell>
          <cell r="R20">
            <v>57758.778040045589</v>
          </cell>
        </row>
        <row r="21">
          <cell r="Q21">
            <v>18111.849001670846</v>
          </cell>
          <cell r="R21">
            <v>19179.005860328827</v>
          </cell>
        </row>
        <row r="22">
          <cell r="Q22">
            <v>325</v>
          </cell>
          <cell r="R22">
            <v>361.35430571382062</v>
          </cell>
        </row>
        <row r="50">
          <cell r="Q50">
            <v>83438.324035640093</v>
          </cell>
          <cell r="R50">
            <v>85279.764365944982</v>
          </cell>
        </row>
        <row r="56">
          <cell r="L56">
            <v>-20266.769768125931</v>
          </cell>
        </row>
        <row r="80">
          <cell r="H80">
            <v>33527.57</v>
          </cell>
          <cell r="I80">
            <v>35946.487000000001</v>
          </cell>
          <cell r="L80">
            <v>-2418.916999999999</v>
          </cell>
        </row>
        <row r="85">
          <cell r="H85">
            <v>13037.444888888889</v>
          </cell>
          <cell r="I85">
            <v>15700.772130000001</v>
          </cell>
          <cell r="L85">
            <v>-2663.327241111112</v>
          </cell>
          <cell r="Q85">
            <v>101000.40000000001</v>
          </cell>
          <cell r="R85">
            <v>96166.498453524342</v>
          </cell>
        </row>
        <row r="86">
          <cell r="H86">
            <v>199304.04861214993</v>
          </cell>
          <cell r="I86">
            <v>84464.322000000073</v>
          </cell>
          <cell r="K86">
            <v>-59389.314400000047</v>
          </cell>
          <cell r="M86">
            <v>-30101.398202912911</v>
          </cell>
        </row>
        <row r="89">
          <cell r="Q89">
            <v>77024.581660291791</v>
          </cell>
          <cell r="R89">
            <v>77299.138206088232</v>
          </cell>
        </row>
      </sheetData>
      <sheetData sheetId="11">
        <row r="2">
          <cell r="N2">
            <v>19000</v>
          </cell>
        </row>
        <row r="5">
          <cell r="T5">
            <v>19000</v>
          </cell>
          <cell r="U5">
            <v>18063</v>
          </cell>
        </row>
        <row r="9">
          <cell r="E9">
            <v>234.70000000000002</v>
          </cell>
          <cell r="F9">
            <v>269.87126417704008</v>
          </cell>
          <cell r="G9">
            <v>100000</v>
          </cell>
          <cell r="H9">
            <v>100002.93772568906</v>
          </cell>
        </row>
        <row r="10">
          <cell r="E10">
            <v>60.5</v>
          </cell>
          <cell r="F10">
            <v>37.21599834024903</v>
          </cell>
          <cell r="G10">
            <v>92100</v>
          </cell>
          <cell r="H10">
            <v>92099.996198782086</v>
          </cell>
        </row>
        <row r="11">
          <cell r="E11">
            <v>0</v>
          </cell>
          <cell r="F11">
            <v>0</v>
          </cell>
        </row>
        <row r="12">
          <cell r="E12">
            <v>34</v>
          </cell>
          <cell r="F12">
            <v>45.670099031811873</v>
          </cell>
          <cell r="G12">
            <v>63500</v>
          </cell>
          <cell r="H12">
            <v>62028.601926930351</v>
          </cell>
        </row>
        <row r="13">
          <cell r="E13">
            <v>28.800000000000004</v>
          </cell>
          <cell r="F13">
            <v>22.020639557399715</v>
          </cell>
          <cell r="G13">
            <v>35499.999999999993</v>
          </cell>
          <cell r="H13">
            <v>35499.995904759897</v>
          </cell>
        </row>
        <row r="14">
          <cell r="E14">
            <v>0</v>
          </cell>
          <cell r="F14">
            <v>0</v>
          </cell>
        </row>
        <row r="15">
          <cell r="E15">
            <v>358.00000000000006</v>
          </cell>
          <cell r="F15">
            <v>374.77800110650071</v>
          </cell>
        </row>
        <row r="16">
          <cell r="E16">
            <v>795</v>
          </cell>
          <cell r="F16">
            <v>815.4627745504838</v>
          </cell>
          <cell r="G16">
            <v>10733.333333333332</v>
          </cell>
          <cell r="H16">
            <v>11189.502209121607</v>
          </cell>
        </row>
        <row r="17">
          <cell r="E17">
            <v>920</v>
          </cell>
          <cell r="F17">
            <v>900.75435684647266</v>
          </cell>
          <cell r="G17">
            <v>18315.171013635976</v>
          </cell>
          <cell r="H17">
            <v>18891.313289890422</v>
          </cell>
        </row>
        <row r="19">
          <cell r="E19">
            <v>3.0549000000000004</v>
          </cell>
          <cell r="F19">
            <v>3.3825449515905923</v>
          </cell>
        </row>
        <row r="20">
          <cell r="Q20">
            <v>59916.911332545104</v>
          </cell>
          <cell r="R20">
            <v>63415.415491009677</v>
          </cell>
        </row>
        <row r="21">
          <cell r="Q21">
            <v>19047.973391812862</v>
          </cell>
          <cell r="R21">
            <v>18955.575435684648</v>
          </cell>
        </row>
        <row r="22">
          <cell r="Q22">
            <v>236.84210526315789</v>
          </cell>
          <cell r="R22">
            <v>304.66788381742737</v>
          </cell>
        </row>
        <row r="50">
          <cell r="Q50">
            <v>85233.266408568496</v>
          </cell>
          <cell r="R50">
            <v>89417.166528354079</v>
          </cell>
        </row>
        <row r="56">
          <cell r="L56">
            <v>-69685.906482027844</v>
          </cell>
        </row>
        <row r="80">
          <cell r="H80">
            <v>43119.53</v>
          </cell>
          <cell r="I80">
            <v>46168.803</v>
          </cell>
          <cell r="L80">
            <v>-3049.2730000000038</v>
          </cell>
        </row>
        <row r="85">
          <cell r="H85">
            <v>24735.857777777783</v>
          </cell>
          <cell r="I85">
            <v>31183.736379999998</v>
          </cell>
          <cell r="L85">
            <v>-6447.8786022222175</v>
          </cell>
          <cell r="Q85">
            <v>104000</v>
          </cell>
          <cell r="R85">
            <v>101189.08315340753</v>
          </cell>
        </row>
        <row r="86">
          <cell r="H86">
            <v>288712.5504594213</v>
          </cell>
          <cell r="I86">
            <v>141171.47200000004</v>
          </cell>
          <cell r="K86">
            <v>-50773.590999999855</v>
          </cell>
          <cell r="M86">
            <v>-17584.429375171341</v>
          </cell>
        </row>
        <row r="89">
          <cell r="Q89">
            <v>79201.726829621126</v>
          </cell>
          <cell r="R89">
            <v>82675.658810511755</v>
          </cell>
        </row>
      </sheetData>
      <sheetData sheetId="12">
        <row r="2">
          <cell r="N2">
            <v>12000</v>
          </cell>
        </row>
        <row r="5">
          <cell r="T5">
            <v>12000</v>
          </cell>
          <cell r="U5">
            <v>10320</v>
          </cell>
        </row>
        <row r="9">
          <cell r="E9">
            <v>239.77850000000001</v>
          </cell>
          <cell r="F9">
            <v>161.79008234040504</v>
          </cell>
          <cell r="G9">
            <v>100000</v>
          </cell>
          <cell r="H9">
            <v>99923.671938735439</v>
          </cell>
        </row>
        <row r="10">
          <cell r="E10">
            <v>16.916041666666665</v>
          </cell>
          <cell r="F10">
            <v>102.80461106267558</v>
          </cell>
          <cell r="G10">
            <v>92100</v>
          </cell>
          <cell r="H10">
            <v>102200.0024499365</v>
          </cell>
        </row>
        <row r="11">
          <cell r="E11">
            <v>0</v>
          </cell>
          <cell r="F11">
            <v>0</v>
          </cell>
        </row>
        <row r="12">
          <cell r="E12">
            <v>35.707083333333344</v>
          </cell>
          <cell r="F12">
            <v>77.770130775937218</v>
          </cell>
          <cell r="G12">
            <v>63000</v>
          </cell>
          <cell r="H12">
            <v>62155.087212086837</v>
          </cell>
        </row>
        <row r="13">
          <cell r="E13">
            <v>34.76958333333333</v>
          </cell>
          <cell r="F13">
            <v>23.300057153928115</v>
          </cell>
          <cell r="G13">
            <v>36000</v>
          </cell>
          <cell r="H13">
            <v>36000.013969355321</v>
          </cell>
        </row>
        <row r="14">
          <cell r="E14">
            <v>0</v>
          </cell>
          <cell r="F14">
            <v>0</v>
          </cell>
        </row>
        <row r="15">
          <cell r="E15">
            <v>327.17120833333337</v>
          </cell>
          <cell r="F15">
            <v>365.66488133294592</v>
          </cell>
        </row>
        <row r="16">
          <cell r="E16">
            <v>783.08333333333337</v>
          </cell>
          <cell r="F16">
            <v>775.45006296619169</v>
          </cell>
          <cell r="G16">
            <v>9066.6666666666679</v>
          </cell>
          <cell r="H16">
            <v>9483.863589262226</v>
          </cell>
        </row>
        <row r="17">
          <cell r="E17">
            <v>921.7157533333334</v>
          </cell>
          <cell r="F17">
            <v>919.95640802092373</v>
          </cell>
          <cell r="G17">
            <v>17446.695345461932</v>
          </cell>
          <cell r="H17">
            <v>17292.596278079469</v>
          </cell>
        </row>
        <row r="19">
          <cell r="E19">
            <v>2.3890189166666658</v>
          </cell>
          <cell r="F19">
            <v>3.2951099486583351</v>
          </cell>
        </row>
        <row r="20">
          <cell r="Q20">
            <v>53997.32488757516</v>
          </cell>
          <cell r="R20">
            <v>57575.672478930544</v>
          </cell>
        </row>
        <row r="21">
          <cell r="Q21">
            <v>17632.069078947367</v>
          </cell>
          <cell r="R21">
            <v>19071.517291485034</v>
          </cell>
        </row>
        <row r="22">
          <cell r="Q22">
            <v>79.166666666666657</v>
          </cell>
          <cell r="R22">
            <v>59.804998546934023</v>
          </cell>
        </row>
        <row r="50">
          <cell r="Q50">
            <v>79037.999549855856</v>
          </cell>
          <cell r="R50">
            <v>86713.087087087086</v>
          </cell>
        </row>
        <row r="56">
          <cell r="L56">
            <v>-79249.075125487536</v>
          </cell>
        </row>
        <row r="80">
          <cell r="H80">
            <v>34266.870000000003</v>
          </cell>
          <cell r="I80">
            <v>29053.135999999999</v>
          </cell>
          <cell r="L80">
            <v>5213.7340000000004</v>
          </cell>
        </row>
        <row r="85">
          <cell r="H85">
            <v>11475.898111111112</v>
          </cell>
          <cell r="I85">
            <v>12200.202519999999</v>
          </cell>
          <cell r="L85">
            <v>-724.30440888888745</v>
          </cell>
          <cell r="Q85">
            <v>97210.152500000026</v>
          </cell>
          <cell r="R85">
            <v>100279.61240310076</v>
          </cell>
        </row>
        <row r="86">
          <cell r="H86">
            <v>172323.06729061893</v>
          </cell>
          <cell r="I86">
            <v>98711.030999999959</v>
          </cell>
          <cell r="K86">
            <v>31676.826199999618</v>
          </cell>
          <cell r="M86">
            <v>-30529.21695624222</v>
          </cell>
        </row>
        <row r="89">
          <cell r="Q89">
            <v>71708.560633189205</v>
          </cell>
          <cell r="R89">
            <v>76706.994768962511</v>
          </cell>
        </row>
      </sheetData>
      <sheetData sheetId="13">
        <row r="2">
          <cell r="N2">
            <v>16000</v>
          </cell>
        </row>
        <row r="5">
          <cell r="T5">
            <v>16000</v>
          </cell>
          <cell r="U5">
            <v>13393</v>
          </cell>
        </row>
        <row r="9">
          <cell r="E9">
            <v>239.8</v>
          </cell>
          <cell r="F9">
            <v>262.01725304263414</v>
          </cell>
          <cell r="G9">
            <v>100000</v>
          </cell>
          <cell r="H9">
            <v>100000.0002849655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69.2</v>
          </cell>
          <cell r="F12">
            <v>70.323386097214993</v>
          </cell>
          <cell r="G12">
            <v>65000</v>
          </cell>
          <cell r="H12">
            <v>64222.057582515146</v>
          </cell>
        </row>
        <row r="13">
          <cell r="E13">
            <v>34.9</v>
          </cell>
          <cell r="F13">
            <v>34.852954528485043</v>
          </cell>
          <cell r="G13">
            <v>33000</v>
          </cell>
          <cell r="H13">
            <v>33000.009726092234</v>
          </cell>
        </row>
        <row r="14">
          <cell r="E14">
            <v>0</v>
          </cell>
          <cell r="F14">
            <v>0</v>
          </cell>
        </row>
        <row r="15">
          <cell r="E15">
            <v>343.9</v>
          </cell>
          <cell r="F15">
            <v>367.19359366833419</v>
          </cell>
        </row>
        <row r="16">
          <cell r="E16">
            <v>836.9</v>
          </cell>
          <cell r="F16">
            <v>886.03449563204674</v>
          </cell>
          <cell r="G16">
            <v>10400</v>
          </cell>
          <cell r="H16">
            <v>11079.969764027956</v>
          </cell>
        </row>
        <row r="17">
          <cell r="E17">
            <v>880.4</v>
          </cell>
          <cell r="F17">
            <v>859.62256402598393</v>
          </cell>
          <cell r="G17">
            <v>17019.566391856468</v>
          </cell>
          <cell r="H17">
            <v>17007.390563214816</v>
          </cell>
        </row>
        <row r="19">
          <cell r="E19">
            <v>3.09</v>
          </cell>
          <cell r="F19">
            <v>3.0512021205107169</v>
          </cell>
        </row>
        <row r="20">
          <cell r="Q20">
            <v>55782.28625139044</v>
          </cell>
          <cell r="R20">
            <v>58908.720450981855</v>
          </cell>
        </row>
        <row r="21">
          <cell r="Q21">
            <v>16798.980159574472</v>
          </cell>
          <cell r="R21">
            <v>16280.671171507503</v>
          </cell>
        </row>
        <row r="22">
          <cell r="Q22">
            <v>168.75</v>
          </cell>
          <cell r="R22">
            <v>165.89785708952436</v>
          </cell>
        </row>
        <row r="50">
          <cell r="Q50">
            <v>79561.302484315514</v>
          </cell>
          <cell r="R50">
            <v>83348.486074815184</v>
          </cell>
        </row>
        <row r="56">
          <cell r="L56">
            <v>-50721.772147562355</v>
          </cell>
        </row>
        <row r="80">
          <cell r="H80">
            <v>39206.69</v>
          </cell>
          <cell r="I80">
            <v>39120.584000000003</v>
          </cell>
          <cell r="L80">
            <v>86.106000000004315</v>
          </cell>
        </row>
        <row r="85">
          <cell r="H85">
            <v>32560.991888888886</v>
          </cell>
          <cell r="I85">
            <v>31395.99768</v>
          </cell>
          <cell r="L85">
            <v>1164.9942088888856</v>
          </cell>
          <cell r="Q85">
            <v>101787.59375</v>
          </cell>
          <cell r="R85">
            <v>98625.289330247149</v>
          </cell>
        </row>
        <row r="86">
          <cell r="H86">
            <v>283852.97836206312</v>
          </cell>
          <cell r="I86">
            <v>134085.62200000003</v>
          </cell>
          <cell r="K86">
            <v>-42352.743093749923</v>
          </cell>
          <cell r="M86">
            <v>-57943.941329639521</v>
          </cell>
        </row>
        <row r="89">
          <cell r="Q89">
            <v>72750.016410964919</v>
          </cell>
          <cell r="R89">
            <v>75355.289479578889</v>
          </cell>
        </row>
      </sheetData>
      <sheetData sheetId="14">
        <row r="2">
          <cell r="N2">
            <v>16500</v>
          </cell>
        </row>
        <row r="5">
          <cell r="T5">
            <v>16500</v>
          </cell>
          <cell r="U5">
            <v>15449</v>
          </cell>
        </row>
        <row r="9">
          <cell r="E9">
            <v>253.5</v>
          </cell>
          <cell r="F9">
            <v>252.7243219625866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50.699999999999989</v>
          </cell>
          <cell r="F12">
            <v>53.405274775066346</v>
          </cell>
          <cell r="G12">
            <v>62500</v>
          </cell>
          <cell r="H12">
            <v>61220.305106031985</v>
          </cell>
        </row>
        <row r="13">
          <cell r="E13">
            <v>33.800000000000011</v>
          </cell>
          <cell r="F13">
            <v>38.479775389992916</v>
          </cell>
          <cell r="G13">
            <v>35500</v>
          </cell>
          <cell r="H13">
            <v>35405.447891291435</v>
          </cell>
        </row>
        <row r="14">
          <cell r="E14">
            <v>0</v>
          </cell>
          <cell r="F14">
            <v>0</v>
          </cell>
        </row>
        <row r="15">
          <cell r="E15">
            <v>338</v>
          </cell>
          <cell r="F15">
            <v>344.60937212764588</v>
          </cell>
        </row>
        <row r="16">
          <cell r="E16">
            <v>774.57175853455442</v>
          </cell>
          <cell r="F16">
            <v>605.44954365978424</v>
          </cell>
          <cell r="G16">
            <v>10466.666666666666</v>
          </cell>
          <cell r="H16">
            <v>11130.640427899871</v>
          </cell>
        </row>
        <row r="17">
          <cell r="E17">
            <v>946.69881598667803</v>
          </cell>
          <cell r="F17">
            <v>1146.5677390122337</v>
          </cell>
          <cell r="G17">
            <v>14718.131256952165</v>
          </cell>
          <cell r="H17">
            <v>14264.900745625115</v>
          </cell>
        </row>
        <row r="19">
          <cell r="E19">
            <v>2.7040000000000002</v>
          </cell>
          <cell r="F19">
            <v>3.1717845815263117</v>
          </cell>
        </row>
        <row r="20">
          <cell r="Q20">
            <v>53381.871840488137</v>
          </cell>
          <cell r="R20">
            <v>55118.816104602236</v>
          </cell>
        </row>
        <row r="21">
          <cell r="Q21">
            <v>17357.697840909092</v>
          </cell>
          <cell r="R21">
            <v>18776.272509547547</v>
          </cell>
        </row>
        <row r="22">
          <cell r="Q22">
            <v>321.21212121212125</v>
          </cell>
          <cell r="R22">
            <v>257.56456728590848</v>
          </cell>
        </row>
        <row r="50">
          <cell r="Q50">
            <v>77542.675863215409</v>
          </cell>
          <cell r="R50">
            <v>81999.789242022132</v>
          </cell>
        </row>
        <row r="56">
          <cell r="L56">
            <v>-68857.920579185069</v>
          </cell>
        </row>
        <row r="80">
          <cell r="H80">
            <v>34021.94</v>
          </cell>
          <cell r="I80">
            <v>36113.955000000002</v>
          </cell>
          <cell r="L80">
            <v>-2092.0150000000003</v>
          </cell>
        </row>
        <row r="85">
          <cell r="H85">
            <v>14967.475474676306</v>
          </cell>
          <cell r="I85">
            <v>15779.691009999999</v>
          </cell>
          <cell r="L85">
            <v>-812.21553532369398</v>
          </cell>
          <cell r="Q85">
            <v>97760</v>
          </cell>
          <cell r="R85">
            <v>96152.841607871058</v>
          </cell>
        </row>
        <row r="86">
          <cell r="H86">
            <v>284596.43278226955</v>
          </cell>
          <cell r="I86">
            <v>166756.88400000008</v>
          </cell>
          <cell r="K86">
            <v>-24828.990000000027</v>
          </cell>
          <cell r="M86">
            <v>-21248.407667760606</v>
          </cell>
        </row>
        <row r="89">
          <cell r="Q89">
            <v>71060.781802609359</v>
          </cell>
          <cell r="R89">
            <v>74152.653181435686</v>
          </cell>
        </row>
      </sheetData>
      <sheetData sheetId="15">
        <row r="2">
          <cell r="N2">
            <v>12000</v>
          </cell>
        </row>
        <row r="5">
          <cell r="T5">
            <v>12000</v>
          </cell>
          <cell r="U5">
            <v>12988</v>
          </cell>
        </row>
        <row r="9">
          <cell r="E9">
            <v>259.10000000000002</v>
          </cell>
          <cell r="F9">
            <v>267.85186864798283</v>
          </cell>
          <cell r="G9">
            <v>99999.999999999985</v>
          </cell>
          <cell r="H9">
            <v>100000.03334425577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67.7</v>
          </cell>
          <cell r="F12">
            <v>82.86388127502309</v>
          </cell>
          <cell r="G12">
            <v>61300.000000000007</v>
          </cell>
          <cell r="H12">
            <v>60203.777407241578</v>
          </cell>
        </row>
        <row r="13">
          <cell r="E13">
            <v>36.200000000000003</v>
          </cell>
          <cell r="F13">
            <v>41.669234678164464</v>
          </cell>
          <cell r="G13">
            <v>37000</v>
          </cell>
          <cell r="H13">
            <v>36999.998632668197</v>
          </cell>
        </row>
        <row r="14">
          <cell r="E14">
            <v>0</v>
          </cell>
          <cell r="F14">
            <v>0</v>
          </cell>
        </row>
        <row r="15">
          <cell r="E15">
            <v>363</v>
          </cell>
          <cell r="F15">
            <v>392.38498460117034</v>
          </cell>
        </row>
        <row r="16">
          <cell r="E16">
            <v>718</v>
          </cell>
          <cell r="F16">
            <v>767.50777640899344</v>
          </cell>
          <cell r="G16">
            <v>10913.333333333334</v>
          </cell>
          <cell r="H16">
            <v>11883.902326864978</v>
          </cell>
        </row>
        <row r="17">
          <cell r="E17">
            <v>956</v>
          </cell>
          <cell r="F17">
            <v>898.18247613181393</v>
          </cell>
          <cell r="G17">
            <v>19031.069854464051</v>
          </cell>
          <cell r="H17">
            <v>19458.741920900044</v>
          </cell>
        </row>
        <row r="19">
          <cell r="E19">
            <v>3.3</v>
          </cell>
          <cell r="F19">
            <v>3.225450415768401</v>
          </cell>
        </row>
        <row r="20">
          <cell r="Q20">
            <v>59408.88611420097</v>
          </cell>
          <cell r="R20">
            <v>62433.117647058825</v>
          </cell>
        </row>
        <row r="21">
          <cell r="Q21">
            <v>20881.902655677655</v>
          </cell>
          <cell r="R21">
            <v>21253.378426239608</v>
          </cell>
        </row>
        <row r="22">
          <cell r="Q22">
            <v>260</v>
          </cell>
          <cell r="R22">
            <v>244.84631967970432</v>
          </cell>
        </row>
        <row r="50">
          <cell r="Q50">
            <v>88047.100338123069</v>
          </cell>
          <cell r="R50">
            <v>91084.405759162313</v>
          </cell>
        </row>
        <row r="56">
          <cell r="L56">
            <v>-39448.482828457651</v>
          </cell>
        </row>
        <row r="80">
          <cell r="H80">
            <v>25635.420000000002</v>
          </cell>
          <cell r="I80">
            <v>39682.161999999997</v>
          </cell>
          <cell r="L80">
            <v>-14046.741999999993</v>
          </cell>
        </row>
        <row r="85">
          <cell r="H85">
            <v>12710.483222222223</v>
          </cell>
          <cell r="I85">
            <v>14921.166980000002</v>
          </cell>
          <cell r="L85">
            <v>-2210.6837577777787</v>
          </cell>
          <cell r="Q85">
            <v>101254.83333333334</v>
          </cell>
          <cell r="R85">
            <v>108366.59223898983</v>
          </cell>
        </row>
        <row r="86">
          <cell r="H86">
            <v>120146.89272030082</v>
          </cell>
          <cell r="I86">
            <v>169857.74900000004</v>
          </cell>
          <cell r="K86">
            <v>92367.52466666649</v>
          </cell>
          <cell r="M86">
            <v>13049.240199267733</v>
          </cell>
        </row>
        <row r="89">
          <cell r="Q89">
            <v>80550.788769878622</v>
          </cell>
          <cell r="R89">
            <v>83931.342392978142</v>
          </cell>
        </row>
      </sheetData>
      <sheetData sheetId="16">
        <row r="2">
          <cell r="N2">
            <v>28000</v>
          </cell>
        </row>
        <row r="5">
          <cell r="T5">
            <v>28000</v>
          </cell>
          <cell r="U5">
            <v>27751</v>
          </cell>
        </row>
        <row r="9">
          <cell r="E9">
            <v>233.54642857142858</v>
          </cell>
          <cell r="F9">
            <v>344.680764763887</v>
          </cell>
          <cell r="G9">
            <v>100000</v>
          </cell>
          <cell r="H9">
            <v>99956.02966578315</v>
          </cell>
        </row>
        <row r="10">
          <cell r="E10">
            <v>65.481428571428566</v>
          </cell>
          <cell r="F10">
            <v>7.9398488002629553E-2</v>
          </cell>
          <cell r="G10">
            <v>87100</v>
          </cell>
          <cell r="H10">
            <v>86600.797604426829</v>
          </cell>
        </row>
        <row r="11">
          <cell r="E11">
            <v>0</v>
          </cell>
          <cell r="F11">
            <v>0</v>
          </cell>
        </row>
        <row r="12">
          <cell r="E12">
            <v>32.862857142857145</v>
          </cell>
          <cell r="F12">
            <v>41.167454439209656</v>
          </cell>
          <cell r="G12">
            <v>64500</v>
          </cell>
          <cell r="H12">
            <v>64482.778202214649</v>
          </cell>
        </row>
        <row r="13">
          <cell r="E13">
            <v>32.862857142857145</v>
          </cell>
          <cell r="F13">
            <v>29.000223877871544</v>
          </cell>
          <cell r="G13">
            <v>42000</v>
          </cell>
          <cell r="H13">
            <v>42184.190661925408</v>
          </cell>
        </row>
        <row r="14">
          <cell r="E14">
            <v>0</v>
          </cell>
          <cell r="F14">
            <v>0</v>
          </cell>
        </row>
        <row r="15">
          <cell r="E15">
            <v>364.75357142857143</v>
          </cell>
          <cell r="F15">
            <v>414.92784156897085</v>
          </cell>
        </row>
        <row r="16">
          <cell r="E16">
            <v>854.95142857142855</v>
          </cell>
          <cell r="F16">
            <v>850.95120704137935</v>
          </cell>
          <cell r="G16">
            <v>10933.333333333336</v>
          </cell>
          <cell r="H16">
            <v>11351.192226402734</v>
          </cell>
        </row>
        <row r="17">
          <cell r="E17">
            <v>861.46928571428566</v>
          </cell>
          <cell r="F17">
            <v>898.49475913954973</v>
          </cell>
          <cell r="G17">
            <v>13742.308305428276</v>
          </cell>
          <cell r="H17">
            <v>13137.421440848459</v>
          </cell>
        </row>
        <row r="19">
          <cell r="E19">
            <v>3.0293000000000001</v>
          </cell>
          <cell r="F19">
            <v>3.4108706767466472</v>
          </cell>
        </row>
        <row r="20">
          <cell r="Q20">
            <v>56318.920043752318</v>
          </cell>
          <cell r="R20">
            <v>63066.787151674522</v>
          </cell>
        </row>
        <row r="21">
          <cell r="Q21">
            <v>20999.144300911856</v>
          </cell>
          <cell r="R21">
            <v>19565.304992513058</v>
          </cell>
        </row>
        <row r="22">
          <cell r="Q22">
            <v>250</v>
          </cell>
          <cell r="R22">
            <v>187.62937803586428</v>
          </cell>
        </row>
        <row r="50">
          <cell r="Q50">
            <v>82422.517000265318</v>
          </cell>
          <cell r="R50">
            <v>88723.580804207289</v>
          </cell>
        </row>
        <row r="56">
          <cell r="L56">
            <v>-172531.17608975174</v>
          </cell>
        </row>
        <row r="80">
          <cell r="H80">
            <v>39911.259999999995</v>
          </cell>
          <cell r="I80">
            <v>56355.107000000004</v>
          </cell>
          <cell r="L80">
            <v>-16443.847000000005</v>
          </cell>
        </row>
        <row r="85">
          <cell r="H85">
            <v>34097.991222222219</v>
          </cell>
          <cell r="I85">
            <v>35507.37298</v>
          </cell>
          <cell r="L85">
            <v>-1409.3817577777809</v>
          </cell>
          <cell r="Q85">
            <v>101000.53571428572</v>
          </cell>
          <cell r="R85">
            <v>100993.94329953512</v>
          </cell>
        </row>
        <row r="86">
          <cell r="H86">
            <v>446175.27277034929</v>
          </cell>
          <cell r="I86">
            <v>245551.13900000026</v>
          </cell>
          <cell r="K86">
            <v>-180.09817857167323</v>
          </cell>
          <cell r="M86">
            <v>-10059.630744247908</v>
          </cell>
        </row>
        <row r="89">
          <cell r="Q89">
            <v>77568.064344664177</v>
          </cell>
          <cell r="R89">
            <v>82819.721522223452</v>
          </cell>
        </row>
      </sheetData>
      <sheetData sheetId="17">
        <row r="2">
          <cell r="N2">
            <v>5000</v>
          </cell>
        </row>
        <row r="5">
          <cell r="T5">
            <v>5000</v>
          </cell>
          <cell r="U5">
            <v>4554</v>
          </cell>
        </row>
        <row r="9">
          <cell r="E9">
            <v>259.90000000000003</v>
          </cell>
          <cell r="F9">
            <v>328.22662494510325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44</v>
          </cell>
          <cell r="F12">
            <v>19.940489679402713</v>
          </cell>
          <cell r="G12">
            <v>64000</v>
          </cell>
          <cell r="H12">
            <v>63999.764780998034</v>
          </cell>
        </row>
        <row r="13">
          <cell r="E13">
            <v>39.199999999999996</v>
          </cell>
          <cell r="F13">
            <v>15.58257136583223</v>
          </cell>
          <cell r="G13">
            <v>49000</v>
          </cell>
          <cell r="H13">
            <v>49000.007468677722</v>
          </cell>
        </row>
        <row r="14">
          <cell r="E14">
            <v>0</v>
          </cell>
          <cell r="F14">
            <v>0</v>
          </cell>
        </row>
        <row r="15">
          <cell r="E15">
            <v>343.1</v>
          </cell>
          <cell r="F15">
            <v>363.74968599033821</v>
          </cell>
        </row>
        <row r="16">
          <cell r="E16">
            <v>815.9</v>
          </cell>
          <cell r="F16">
            <v>1041.4635485287658</v>
          </cell>
          <cell r="G16">
            <v>13666.666666666666</v>
          </cell>
          <cell r="H16">
            <v>13569.335997006005</v>
          </cell>
        </row>
        <row r="17">
          <cell r="E17">
            <v>953.30000000000007</v>
          </cell>
          <cell r="F17">
            <v>734.15019762845861</v>
          </cell>
          <cell r="G17">
            <v>13419.354838709678</v>
          </cell>
          <cell r="H17">
            <v>13693.556704114473</v>
          </cell>
        </row>
        <row r="19">
          <cell r="E19">
            <v>2.871</v>
          </cell>
          <cell r="F19">
            <v>2.7985068072024606</v>
          </cell>
        </row>
        <row r="20">
          <cell r="Q20">
            <v>56392.70430107526</v>
          </cell>
          <cell r="R20">
            <v>60708.869345630214</v>
          </cell>
        </row>
        <row r="21">
          <cell r="Q21">
            <v>16191.588212446835</v>
          </cell>
          <cell r="R21">
            <v>13902.912823891083</v>
          </cell>
        </row>
        <row r="22">
          <cell r="Q22">
            <v>540</v>
          </cell>
          <cell r="R22">
            <v>334.65173473869123</v>
          </cell>
        </row>
        <row r="50">
          <cell r="Q50">
            <v>85468.50004249264</v>
          </cell>
          <cell r="R50">
            <v>89371.994949494954</v>
          </cell>
        </row>
        <row r="56">
          <cell r="L56">
            <v>-18479.409716488452</v>
          </cell>
        </row>
        <row r="80">
          <cell r="H80">
            <v>9776.630000000001</v>
          </cell>
          <cell r="I80">
            <v>11636.177</v>
          </cell>
          <cell r="L80">
            <v>-1859.5469999999991</v>
          </cell>
        </row>
        <row r="85">
          <cell r="H85">
            <v>5428.9927777777775</v>
          </cell>
          <cell r="I85">
            <v>5700.1950899999993</v>
          </cell>
          <cell r="L85">
            <v>-271.20231222222174</v>
          </cell>
          <cell r="Q85">
            <v>107900</v>
          </cell>
          <cell r="R85">
            <v>114496.02547211244</v>
          </cell>
        </row>
        <row r="86">
          <cell r="H86">
            <v>96951.8770097589</v>
          </cell>
          <cell r="I86">
            <v>96375.568999999989</v>
          </cell>
          <cell r="K86">
            <v>30038.300000000036</v>
          </cell>
          <cell r="M86">
            <v>-10004.44898104827</v>
          </cell>
        </row>
        <row r="89">
          <cell r="Q89">
            <v>73124.292513522101</v>
          </cell>
          <cell r="R89">
            <v>74946.43390425999</v>
          </cell>
        </row>
      </sheetData>
      <sheetData sheetId="18">
        <row r="2">
          <cell r="N2">
            <v>7000</v>
          </cell>
        </row>
        <row r="5">
          <cell r="T5">
            <v>7000</v>
          </cell>
          <cell r="U5">
            <v>7147</v>
          </cell>
        </row>
        <row r="9">
          <cell r="E9">
            <v>260.10000000000008</v>
          </cell>
          <cell r="F9">
            <v>273.53715824821609</v>
          </cell>
          <cell r="G9">
            <v>100000</v>
          </cell>
          <cell r="H9">
            <v>100000</v>
          </cell>
        </row>
        <row r="10">
          <cell r="E10">
            <v>5.5</v>
          </cell>
          <cell r="F10">
            <v>6.8739331187911015</v>
          </cell>
          <cell r="G10">
            <v>95000</v>
          </cell>
          <cell r="H10">
            <v>93172.54925907834</v>
          </cell>
        </row>
        <row r="11">
          <cell r="E11">
            <v>0</v>
          </cell>
          <cell r="F11">
            <v>0</v>
          </cell>
        </row>
        <row r="12">
          <cell r="E12">
            <v>51.199999999999996</v>
          </cell>
          <cell r="F12">
            <v>53.937317755701692</v>
          </cell>
          <cell r="G12">
            <v>64900.000000000007</v>
          </cell>
          <cell r="H12">
            <v>64873.930196012079</v>
          </cell>
        </row>
        <row r="13">
          <cell r="E13">
            <v>17.5</v>
          </cell>
          <cell r="F13">
            <v>10.435156009514483</v>
          </cell>
          <cell r="G13">
            <v>37500</v>
          </cell>
          <cell r="H13">
            <v>39139.402676801277</v>
          </cell>
        </row>
        <row r="14">
          <cell r="E14">
            <v>0</v>
          </cell>
          <cell r="F14">
            <v>0</v>
          </cell>
        </row>
        <row r="15">
          <cell r="E15">
            <v>334.30000000000007</v>
          </cell>
          <cell r="F15">
            <v>344.78356513222337</v>
          </cell>
        </row>
        <row r="16">
          <cell r="E16">
            <v>785</v>
          </cell>
          <cell r="F16">
            <v>720.47992164544598</v>
          </cell>
          <cell r="G16">
            <v>13666.666666666666</v>
          </cell>
          <cell r="H16">
            <v>14173.793178450531</v>
          </cell>
        </row>
        <row r="17">
          <cell r="E17">
            <v>935</v>
          </cell>
          <cell r="F17">
            <v>1002.3653281096958</v>
          </cell>
          <cell r="G17">
            <v>14837.329653268933</v>
          </cell>
          <cell r="H17">
            <v>15306.233681211583</v>
          </cell>
        </row>
        <row r="19">
          <cell r="E19">
            <v>2.84</v>
          </cell>
          <cell r="F19">
            <v>2.7814257730516307</v>
          </cell>
        </row>
        <row r="20">
          <cell r="Q20">
            <v>57668.866559139788</v>
          </cell>
          <cell r="R20">
            <v>59604.925843011064</v>
          </cell>
        </row>
        <row r="21">
          <cell r="Q21">
            <v>13151.580461462936</v>
          </cell>
          <cell r="R21">
            <v>13738.992164544565</v>
          </cell>
        </row>
        <row r="22">
          <cell r="Q22">
            <v>64.285714285714278</v>
          </cell>
          <cell r="R22">
            <v>66.031061984049245</v>
          </cell>
        </row>
        <row r="50">
          <cell r="Q50">
            <v>78490.384292612565</v>
          </cell>
          <cell r="R50">
            <v>82505.332027424112</v>
          </cell>
        </row>
        <row r="56">
          <cell r="L56">
            <v>-28694.826250697948</v>
          </cell>
        </row>
        <row r="80">
          <cell r="H80">
            <v>9853.1500000000015</v>
          </cell>
          <cell r="I80">
            <v>11147.190999999999</v>
          </cell>
          <cell r="L80">
            <v>-1294.040999999999</v>
          </cell>
        </row>
        <row r="85">
          <cell r="H85">
            <v>10301.92511111111</v>
          </cell>
          <cell r="I85">
            <v>10911.429210000002</v>
          </cell>
          <cell r="L85">
            <v>-609.50409888889226</v>
          </cell>
          <cell r="Q85">
            <v>108999.86128571429</v>
          </cell>
          <cell r="R85">
            <v>107026.40268644186</v>
          </cell>
        </row>
        <row r="86">
          <cell r="H86">
            <v>193411.26384060091</v>
          </cell>
          <cell r="I86">
            <v>153193.47700000004</v>
          </cell>
          <cell r="K86">
            <v>-14104.308609000069</v>
          </cell>
          <cell r="M86">
            <v>4484.8931179859555</v>
          </cell>
        </row>
        <row r="89">
          <cell r="Q89">
            <v>70884.732734888428</v>
          </cell>
          <cell r="R89">
            <v>73409.949069539667</v>
          </cell>
        </row>
      </sheetData>
      <sheetData sheetId="19">
        <row r="2">
          <cell r="N2">
            <v>12000</v>
          </cell>
        </row>
        <row r="5">
          <cell r="T5">
            <v>12000</v>
          </cell>
          <cell r="U5">
            <v>9118.5</v>
          </cell>
        </row>
        <row r="9">
          <cell r="E9">
            <v>277.48</v>
          </cell>
          <cell r="F9">
            <v>259.34331975784278</v>
          </cell>
          <cell r="G9">
            <v>100000</v>
          </cell>
          <cell r="H9">
            <v>99910.001725453534</v>
          </cell>
        </row>
        <row r="10">
          <cell r="E10">
            <v>0</v>
          </cell>
          <cell r="F10">
            <v>54.143206384149771</v>
          </cell>
          <cell r="G10">
            <v>0</v>
          </cell>
          <cell r="H10">
            <v>97456.060542514751</v>
          </cell>
        </row>
        <row r="11">
          <cell r="E11">
            <v>0</v>
          </cell>
          <cell r="F11">
            <v>0</v>
          </cell>
        </row>
        <row r="12">
          <cell r="E12">
            <v>37.680000000000007</v>
          </cell>
          <cell r="F12">
            <v>18.905015960374268</v>
          </cell>
          <cell r="G12">
            <v>65000</v>
          </cell>
          <cell r="H12">
            <v>65000.014264747944</v>
          </cell>
        </row>
        <row r="13">
          <cell r="E13">
            <v>18.760000000000002</v>
          </cell>
          <cell r="F13">
            <v>6.7529003852504177</v>
          </cell>
          <cell r="G13">
            <v>36000</v>
          </cell>
          <cell r="H13">
            <v>35999.957620280962</v>
          </cell>
        </row>
        <row r="14">
          <cell r="E14">
            <v>0</v>
          </cell>
          <cell r="F14">
            <v>0</v>
          </cell>
        </row>
        <row r="15">
          <cell r="E15">
            <v>333.92</v>
          </cell>
          <cell r="F15">
            <v>339.14444248761725</v>
          </cell>
        </row>
        <row r="16">
          <cell r="E16">
            <v>764.52</v>
          </cell>
          <cell r="F16">
            <v>688.19702806824444</v>
          </cell>
          <cell r="G16">
            <v>12533.333333333336</v>
          </cell>
          <cell r="H16">
            <v>12989.613692306952</v>
          </cell>
        </row>
        <row r="17">
          <cell r="E17">
            <v>980.06</v>
          </cell>
          <cell r="F17">
            <v>1032.1221794166208</v>
          </cell>
          <cell r="G17">
            <v>14400.092369092201</v>
          </cell>
          <cell r="H17">
            <v>15120.902799773487</v>
          </cell>
        </row>
        <row r="19">
          <cell r="E19">
            <v>2.85</v>
          </cell>
          <cell r="F19">
            <v>2.2928123280132091</v>
          </cell>
        </row>
        <row r="20">
          <cell r="Q20">
            <v>56590.998527252508</v>
          </cell>
          <cell r="R20">
            <v>59384.647881122728</v>
          </cell>
        </row>
        <row r="21">
          <cell r="Q21">
            <v>16654.476223118279</v>
          </cell>
          <cell r="R21">
            <v>17245.51568519538</v>
          </cell>
        </row>
        <row r="22">
          <cell r="Q22">
            <v>250</v>
          </cell>
          <cell r="R22">
            <v>235.01948266373142</v>
          </cell>
        </row>
        <row r="50">
          <cell r="Q50">
            <v>80789.510151830851</v>
          </cell>
          <cell r="R50">
            <v>86640.910071546503</v>
          </cell>
        </row>
        <row r="56">
          <cell r="L56">
            <v>-53159.969320616692</v>
          </cell>
        </row>
        <row r="80">
          <cell r="H80">
            <v>24365.47</v>
          </cell>
          <cell r="I80">
            <v>28031.268</v>
          </cell>
          <cell r="L80">
            <v>-3665.7979999999998</v>
          </cell>
        </row>
        <row r="85">
          <cell r="H85">
            <v>23608.662666666667</v>
          </cell>
          <cell r="I85">
            <v>21109.467950000002</v>
          </cell>
          <cell r="L85">
            <v>2499.1947166666669</v>
          </cell>
          <cell r="Q85">
            <v>101796.60499999998</v>
          </cell>
          <cell r="R85">
            <v>99117.983709411114</v>
          </cell>
        </row>
        <row r="86">
          <cell r="H86">
            <v>204111.00551136289</v>
          </cell>
          <cell r="I86">
            <v>64246.477000000072</v>
          </cell>
          <cell r="K86">
            <v>-24335.274424999861</v>
          </cell>
          <cell r="M86">
            <v>-61202.681482413027</v>
          </cell>
        </row>
        <row r="89">
          <cell r="Q89">
            <v>73495.474750370791</v>
          </cell>
          <cell r="R89">
            <v>76865.183048981839</v>
          </cell>
        </row>
      </sheetData>
      <sheetData sheetId="20">
        <row r="2">
          <cell r="N2">
            <v>7000</v>
          </cell>
        </row>
        <row r="5">
          <cell r="T5">
            <v>7000</v>
          </cell>
          <cell r="U5">
            <v>2901</v>
          </cell>
        </row>
        <row r="9">
          <cell r="E9">
            <v>344.5</v>
          </cell>
          <cell r="F9">
            <v>326.05362199312725</v>
          </cell>
          <cell r="G9">
            <v>117000</v>
          </cell>
          <cell r="H9">
            <v>116999.9940135919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344.5</v>
          </cell>
          <cell r="F15">
            <v>326.05362199312725</v>
          </cell>
        </row>
        <row r="16">
          <cell r="E16">
            <v>714.80000000000007</v>
          </cell>
          <cell r="F16">
            <v>684.50859106529208</v>
          </cell>
          <cell r="G16">
            <v>18143.333333333336</v>
          </cell>
          <cell r="H16">
            <v>18024.793164384115</v>
          </cell>
        </row>
        <row r="17">
          <cell r="E17">
            <v>1034.2</v>
          </cell>
          <cell r="F17">
            <v>1088.7646048109962</v>
          </cell>
          <cell r="G17">
            <v>18359.608288631152</v>
          </cell>
          <cell r="H17">
            <v>18766.126051626979</v>
          </cell>
        </row>
        <row r="19">
          <cell r="E19">
            <v>3.06</v>
          </cell>
          <cell r="F19">
            <v>3.5604982817869413</v>
          </cell>
        </row>
        <row r="20">
          <cell r="Q20">
            <v>74586.861558769</v>
          </cell>
          <cell r="R20">
            <v>73896.084192439856</v>
          </cell>
        </row>
        <row r="21">
          <cell r="Q21">
            <v>16626.410256410258</v>
          </cell>
          <cell r="R21">
            <v>17506.826116838489</v>
          </cell>
        </row>
        <row r="22">
          <cell r="Q22">
            <v>0</v>
          </cell>
          <cell r="R22">
            <v>275.0044673539519</v>
          </cell>
        </row>
        <row r="50">
          <cell r="Q50">
            <v>99680.908243750688</v>
          </cell>
          <cell r="R50">
            <v>115620.50481099656</v>
          </cell>
        </row>
        <row r="56">
          <cell r="L56">
            <v>-46243.186404879372</v>
          </cell>
        </row>
        <row r="80">
          <cell r="H80">
            <v>14381.390000000001</v>
          </cell>
          <cell r="I80">
            <v>14263.922</v>
          </cell>
          <cell r="L80">
            <v>117.46800000000047</v>
          </cell>
        </row>
        <row r="85">
          <cell r="H85">
            <v>10192.983842236315</v>
          </cell>
          <cell r="I85">
            <v>12928.01578</v>
          </cell>
          <cell r="L85">
            <v>-2735.0319377636843</v>
          </cell>
          <cell r="Q85">
            <v>126800</v>
          </cell>
          <cell r="R85">
            <v>120976.02033781455</v>
          </cell>
        </row>
        <row r="86">
          <cell r="H86">
            <v>165259.26845150898</v>
          </cell>
          <cell r="I86">
            <v>-11658.004000000037</v>
          </cell>
          <cell r="K86">
            <v>-16895.364999999983</v>
          </cell>
          <cell r="M86">
            <v>-111161.15710886603</v>
          </cell>
        </row>
        <row r="89">
          <cell r="Q89">
            <v>91213.271815179265</v>
          </cell>
          <cell r="R89">
            <v>91677.9147766323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96359.433871623667</v>
          </cell>
        </row>
        <row r="89">
          <cell r="Q89">
            <v>77511.638782588663</v>
          </cell>
        </row>
        <row r="90">
          <cell r="Q90">
            <v>18847.795089035004</v>
          </cell>
        </row>
      </sheetData>
      <sheetData sheetId="1">
        <row r="5">
          <cell r="T5">
            <v>139271.67999999999</v>
          </cell>
        </row>
        <row r="85">
          <cell r="Q85">
            <v>94344.988732817117</v>
          </cell>
        </row>
        <row r="89">
          <cell r="Q89">
            <v>80822.745818485477</v>
          </cell>
        </row>
        <row r="90">
          <cell r="Q90">
            <v>13522.24291433164</v>
          </cell>
        </row>
      </sheetData>
      <sheetData sheetId="2">
        <row r="5">
          <cell r="T5">
            <v>155159</v>
          </cell>
        </row>
        <row r="85">
          <cell r="Q85">
            <v>97198.734060862349</v>
          </cell>
        </row>
        <row r="89">
          <cell r="Q89">
            <v>75561.134407146732</v>
          </cell>
        </row>
        <row r="90">
          <cell r="Q90">
            <v>21637.599653715617</v>
          </cell>
        </row>
      </sheetData>
      <sheetData sheetId="3">
        <row r="5">
          <cell r="T5">
            <v>64768.5</v>
          </cell>
        </row>
        <row r="85">
          <cell r="Q85">
            <v>98678.012633921942</v>
          </cell>
        </row>
        <row r="89">
          <cell r="Q89">
            <v>75088.29559753355</v>
          </cell>
        </row>
        <row r="90">
          <cell r="Q90">
            <v>23589.717036388392</v>
          </cell>
        </row>
      </sheetData>
      <sheetData sheetId="4">
        <row r="85">
          <cell r="Q85">
            <v>90390.318880235733</v>
          </cell>
        </row>
        <row r="89">
          <cell r="Q89">
            <v>79011.360740726581</v>
          </cell>
        </row>
      </sheetData>
      <sheetData sheetId="5">
        <row r="85">
          <cell r="Q85">
            <v>95427.936641999841</v>
          </cell>
        </row>
        <row r="89">
          <cell r="Q89">
            <v>82915.993334204672</v>
          </cell>
        </row>
      </sheetData>
      <sheetData sheetId="6">
        <row r="85">
          <cell r="Q85">
            <v>98825.228103794914</v>
          </cell>
        </row>
        <row r="89">
          <cell r="Q89">
            <v>84723.197437024937</v>
          </cell>
        </row>
      </sheetData>
      <sheetData sheetId="7">
        <row r="85">
          <cell r="Q85">
            <v>95784.705518835646</v>
          </cell>
        </row>
        <row r="89">
          <cell r="Q89">
            <v>73858.941649909626</v>
          </cell>
        </row>
      </sheetData>
      <sheetData sheetId="8">
        <row r="85">
          <cell r="Q85">
            <v>102459.10884199692</v>
          </cell>
        </row>
        <row r="89">
          <cell r="Q89">
            <v>79670.333710709951</v>
          </cell>
        </row>
      </sheetData>
      <sheetData sheetId="9">
        <row r="85">
          <cell r="Q85">
            <v>97138.960760269765</v>
          </cell>
        </row>
        <row r="89">
          <cell r="Q89">
            <v>74683.793352404304</v>
          </cell>
        </row>
      </sheetData>
      <sheetData sheetId="10">
        <row r="85">
          <cell r="Q85">
            <v>98442.932976538665</v>
          </cell>
        </row>
        <row r="89">
          <cell r="Q89">
            <v>78010.995892712672</v>
          </cell>
        </row>
      </sheetData>
      <sheetData sheetId="11">
        <row r="85">
          <cell r="Q85">
            <v>100846.29738134943</v>
          </cell>
        </row>
        <row r="89">
          <cell r="Q89">
            <v>76983.404380943801</v>
          </cell>
        </row>
      </sheetData>
      <sheetData sheetId="12">
        <row r="85">
          <cell r="Q85">
            <v>90083.759431543469</v>
          </cell>
        </row>
        <row r="89">
          <cell r="Q89">
            <v>73954.289826411768</v>
          </cell>
        </row>
      </sheetData>
      <sheetData sheetId="13">
        <row r="85">
          <cell r="Q85">
            <v>95551.624171853051</v>
          </cell>
        </row>
        <row r="89">
          <cell r="Q89">
            <v>72769.449869504126</v>
          </cell>
        </row>
      </sheetData>
      <sheetData sheetId="14">
        <row r="85">
          <cell r="Q85">
            <v>91926.64299315527</v>
          </cell>
        </row>
        <row r="89">
          <cell r="Q89">
            <v>71502.713601976226</v>
          </cell>
        </row>
      </sheetData>
      <sheetData sheetId="15">
        <row r="85">
          <cell r="Q85">
            <v>99801.71477565018</v>
          </cell>
        </row>
        <row r="89">
          <cell r="Q89">
            <v>80390.959321710965</v>
          </cell>
        </row>
      </sheetData>
      <sheetData sheetId="16">
        <row r="85">
          <cell r="Q85">
            <v>96250.587116242459</v>
          </cell>
        </row>
        <row r="89">
          <cell r="Q89">
            <v>77247.813073996324</v>
          </cell>
        </row>
      </sheetData>
      <sheetData sheetId="17">
        <row r="85">
          <cell r="Q85">
            <v>103024.56388913485</v>
          </cell>
        </row>
        <row r="89">
          <cell r="Q89">
            <v>74178.192154431948</v>
          </cell>
        </row>
      </sheetData>
      <sheetData sheetId="18">
        <row r="85">
          <cell r="Q85">
            <v>104087.46800883868</v>
          </cell>
        </row>
        <row r="89">
          <cell r="Q89">
            <v>68690.170783206486</v>
          </cell>
        </row>
      </sheetData>
      <sheetData sheetId="19">
        <row r="85">
          <cell r="Q85">
            <v>85633.894401133948</v>
          </cell>
        </row>
        <row r="89">
          <cell r="Q89">
            <v>68516.279145995766</v>
          </cell>
        </row>
      </sheetData>
      <sheetData sheetId="20">
        <row r="85">
          <cell r="Q85">
            <v>121552.07784866348</v>
          </cell>
        </row>
        <row r="89">
          <cell r="Q89">
            <v>87747.614263865413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8972.0079999999998</v>
          </cell>
          <cell r="P3"/>
          <cell r="Q3">
            <v>97161.153999999995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/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8972.0079999999998</v>
          </cell>
          <cell r="P5"/>
          <cell r="Q5">
            <v>97161.153999999995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7347594.3459999999</v>
          </cell>
          <cell r="P6"/>
          <cell r="Q6">
            <v>80707824.094000012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1331090.9230000013</v>
          </cell>
          <cell r="P7"/>
          <cell r="Q7">
            <v>15846121.252999997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8678685.2690000013</v>
          </cell>
          <cell r="P8"/>
          <cell r="Q8">
            <v>96553945.347000003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7174616.267</v>
          </cell>
          <cell r="P9"/>
          <cell r="Q9">
            <v>78959982.625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1293553.2259999989</v>
          </cell>
          <cell r="P10"/>
          <cell r="Q10">
            <v>15432946.505000003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8468169.4929999989</v>
          </cell>
          <cell r="P11"/>
          <cell r="Q11">
            <v>94392929.129999995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172978.07899999991</v>
          </cell>
          <cell r="P12"/>
          <cell r="Q12">
            <v>1747841.4690000117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37537.697000002488</v>
          </cell>
          <cell r="P13"/>
          <cell r="Q13">
            <v>413174.74799999408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210515.7760000024</v>
          </cell>
          <cell r="P14"/>
          <cell r="Q14">
            <v>2161016.2170000076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73134.44</v>
          </cell>
          <cell r="P15"/>
          <cell r="Q15">
            <v>748920.24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14497.14</v>
          </cell>
          <cell r="P16"/>
          <cell r="Q16">
            <v>166674.136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/>
          <cell r="Q17">
            <v>78634.41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94469.845000000001</v>
          </cell>
          <cell r="P18"/>
          <cell r="Q18">
            <v>994228.78599999996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9967.1309999999994</v>
          </cell>
          <cell r="P19"/>
          <cell r="Q19">
            <v>135347.11499999999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3033.0569999999998</v>
          </cell>
          <cell r="P20"/>
          <cell r="Q20">
            <v>22409.734999999997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2355.4499999999998</v>
          </cell>
          <cell r="P21"/>
          <cell r="Q21">
            <v>33457.631999999998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/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1516.5070000000001</v>
          </cell>
          <cell r="P23"/>
          <cell r="Q23">
            <v>17422.224999999999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516.30999999999995</v>
          </cell>
          <cell r="P24"/>
          <cell r="Q24">
            <v>4735.5269999999991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/>
          <cell r="Q25">
            <v>2822.0929999999998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/>
          <cell r="Q26">
            <v>35696.049999999996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/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30591.91</v>
          </cell>
          <cell r="P28"/>
          <cell r="Q28">
            <v>108587.01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123.74</v>
          </cell>
          <cell r="P29"/>
          <cell r="Q29">
            <v>1504.8789999999999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5750.1629999999996</v>
          </cell>
          <cell r="P30"/>
          <cell r="Q30">
            <v>66090.227000000014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9509.7000000000007</v>
          </cell>
          <cell r="P31"/>
          <cell r="Q31">
            <v>83379.835999999996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/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-268.49200000000002</v>
          </cell>
          <cell r="P33"/>
          <cell r="Q33">
            <v>-7715.0400000000009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/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/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66604.833000000013</v>
          </cell>
          <cell r="P36"/>
          <cell r="Q36">
            <v>505037.28899999999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161074.67800000001</v>
          </cell>
          <cell r="P37"/>
          <cell r="Q37">
            <v>1499266.075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49441.098000002385</v>
          </cell>
          <cell r="P38"/>
          <cell r="Q38">
            <v>661750.14200000768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5435.7690000000002</v>
          </cell>
          <cell r="P39"/>
          <cell r="Q39">
            <v>59889.794000000002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44005.329000002384</v>
          </cell>
          <cell r="P40"/>
          <cell r="Q40">
            <v>601860.34800000768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5.0705063769495217E-3</v>
          </cell>
          <cell r="P41"/>
          <cell r="Q41">
            <v>6.2334102023176201E-3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818946.47731031897</v>
          </cell>
          <cell r="P43"/>
          <cell r="Q43">
            <v>830659.38156724663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967306.90264654264</v>
          </cell>
          <cell r="P46"/>
          <cell r="Q46">
            <v>993750.49978307181</v>
          </cell>
          <cell r="R46"/>
          <cell r="S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943843.28380001429</v>
          </cell>
          <cell r="P47"/>
          <cell r="Q47">
            <v>971508.93380702334</v>
          </cell>
          <cell r="R47"/>
          <cell r="S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0.8466252800116375</v>
          </cell>
          <cell r="P49"/>
          <cell r="Q49">
            <v>0.83588323401957865</v>
          </cell>
          <cell r="R49"/>
          <cell r="S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0.15337471998836247</v>
          </cell>
          <cell r="P50"/>
          <cell r="Q50">
            <v>0.16411676598042141</v>
          </cell>
          <cell r="R50"/>
          <cell r="S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2.3542137855523892E-2</v>
          </cell>
          <cell r="P52"/>
          <cell r="Q52">
            <v>2.1656406781135732E-2</v>
          </cell>
          <cell r="R52"/>
          <cell r="S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2.8200700907343241E-2</v>
          </cell>
          <cell r="P53"/>
          <cell r="Q53">
            <v>2.6074188213205274E-2</v>
          </cell>
          <cell r="R53"/>
          <cell r="S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2.4256643659144816E-2</v>
          </cell>
          <cell r="P54"/>
          <cell r="Q54">
            <v>2.2381438782575359E-2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G8">
            <v>8972.0079999999998</v>
          </cell>
        </row>
      </sheetData>
      <sheetData sheetId="11">
        <row r="8">
          <cell r="G8">
            <v>10221.802</v>
          </cell>
        </row>
        <row r="9">
          <cell r="G9">
            <v>8165213.1710000001</v>
          </cell>
          <cell r="J9">
            <v>1777655.8499999996</v>
          </cell>
        </row>
        <row r="10">
          <cell r="F10">
            <v>976086.95652173914</v>
          </cell>
          <cell r="G10">
            <v>798803.69146262086</v>
          </cell>
        </row>
        <row r="11">
          <cell r="G11">
            <v>7971479.4730000002</v>
          </cell>
          <cell r="J11">
            <v>1721296.0080000004</v>
          </cell>
        </row>
        <row r="15">
          <cell r="F15">
            <v>2.3224944320712693E-2</v>
          </cell>
          <cell r="G15">
            <v>2.3726716491380119E-2</v>
          </cell>
        </row>
        <row r="19">
          <cell r="M19">
            <v>83862.614999999991</v>
          </cell>
        </row>
        <row r="37">
          <cell r="M37">
            <v>42438.493000000009</v>
          </cell>
        </row>
        <row r="40">
          <cell r="M40">
            <v>5435.7830000000004</v>
          </cell>
        </row>
        <row r="41">
          <cell r="M41">
            <v>118356.6489999991</v>
          </cell>
        </row>
      </sheetData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G10">
            <v>957693.63511625899</v>
          </cell>
        </row>
      </sheetData>
      <sheetData sheetId="9">
        <row r="8">
          <cell r="Q8">
            <v>69555.719000000012</v>
          </cell>
        </row>
      </sheetData>
      <sheetData sheetId="10">
        <row r="10">
          <cell r="G10">
            <v>964243.14311560732</v>
          </cell>
        </row>
      </sheetData>
      <sheetData sheetId="11">
        <row r="10">
          <cell r="G10">
            <v>985246.58044154115</v>
          </cell>
        </row>
        <row r="15">
          <cell r="G15">
            <v>1.6194918759915581E-2</v>
          </cell>
        </row>
      </sheetData>
      <sheetData sheetId="12">
        <row r="9">
          <cell r="Q9">
            <v>98086244.280000001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9500</v>
          </cell>
          <cell r="R47">
            <v>13362</v>
          </cell>
        </row>
        <row r="48">
          <cell r="Q48">
            <v>20268.648431551352</v>
          </cell>
          <cell r="R48">
            <v>12130</v>
          </cell>
        </row>
        <row r="53">
          <cell r="R53">
            <v>345941.5</v>
          </cell>
        </row>
        <row r="54">
          <cell r="R54">
            <v>355400</v>
          </cell>
        </row>
        <row r="64">
          <cell r="R64">
            <v>4050</v>
          </cell>
        </row>
        <row r="65">
          <cell r="R65">
            <v>2464</v>
          </cell>
        </row>
        <row r="66">
          <cell r="R66">
            <v>1792</v>
          </cell>
        </row>
        <row r="76">
          <cell r="R76">
            <v>133200</v>
          </cell>
        </row>
        <row r="77">
          <cell r="R77">
            <v>67760</v>
          </cell>
        </row>
        <row r="78">
          <cell r="R78">
            <v>49280</v>
          </cell>
        </row>
        <row r="79">
          <cell r="R79">
            <v>105160</v>
          </cell>
        </row>
        <row r="80">
          <cell r="R80">
            <v>0</v>
          </cell>
        </row>
        <row r="81">
          <cell r="I81">
            <v>1873.9536340295854</v>
          </cell>
        </row>
        <row r="82">
          <cell r="R82">
            <v>35877.002</v>
          </cell>
        </row>
      </sheetData>
      <sheetData sheetId="1">
        <row r="59">
          <cell r="F59">
            <v>1202</v>
          </cell>
          <cell r="I59">
            <v>0</v>
          </cell>
          <cell r="N59">
            <v>32300</v>
          </cell>
          <cell r="O59">
            <v>1202</v>
          </cell>
        </row>
        <row r="60">
          <cell r="F60">
            <v>0</v>
          </cell>
          <cell r="I60">
            <v>0</v>
          </cell>
        </row>
        <row r="61">
          <cell r="F61">
            <v>0</v>
          </cell>
          <cell r="I61">
            <v>0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0</v>
          </cell>
        </row>
        <row r="65">
          <cell r="F65">
            <v>0</v>
          </cell>
          <cell r="I65">
            <v>0</v>
          </cell>
        </row>
        <row r="66">
          <cell r="F66">
            <v>0</v>
          </cell>
          <cell r="I66">
            <v>0</v>
          </cell>
          <cell r="N66">
            <v>19075.563333333332</v>
          </cell>
          <cell r="O66">
            <v>0</v>
          </cell>
        </row>
        <row r="71">
          <cell r="F71">
            <v>14424</v>
          </cell>
          <cell r="I71">
            <v>0</v>
          </cell>
        </row>
        <row r="72">
          <cell r="F72">
            <v>0</v>
          </cell>
          <cell r="I72">
            <v>0</v>
          </cell>
        </row>
        <row r="86">
          <cell r="F86">
            <v>-70358.754802101044</v>
          </cell>
          <cell r="I86">
            <v>0</v>
          </cell>
        </row>
        <row r="87">
          <cell r="F87">
            <v>0</v>
          </cell>
          <cell r="I87">
            <v>0</v>
          </cell>
        </row>
      </sheetData>
      <sheetData sheetId="2">
        <row r="59">
          <cell r="F59">
            <v>4192</v>
          </cell>
          <cell r="I59">
            <v>10448</v>
          </cell>
          <cell r="L59">
            <v>0</v>
          </cell>
          <cell r="N59">
            <v>19000</v>
          </cell>
          <cell r="O59">
            <v>14640</v>
          </cell>
        </row>
        <row r="60">
          <cell r="F60">
            <v>8700</v>
          </cell>
          <cell r="I60">
            <v>6860</v>
          </cell>
          <cell r="L60">
            <v>0</v>
          </cell>
        </row>
        <row r="61">
          <cell r="F61">
            <v>4032</v>
          </cell>
          <cell r="I61">
            <v>4560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640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12732</v>
          </cell>
          <cell r="I66">
            <v>12060</v>
          </cell>
          <cell r="L66">
            <v>0</v>
          </cell>
          <cell r="N66">
            <v>24490.335385892016</v>
          </cell>
          <cell r="O66">
            <v>24792</v>
          </cell>
        </row>
        <row r="71">
          <cell r="F71">
            <v>54496</v>
          </cell>
          <cell r="I71">
            <v>188320</v>
          </cell>
          <cell r="L71">
            <v>0</v>
          </cell>
        </row>
        <row r="72">
          <cell r="F72">
            <v>200634</v>
          </cell>
          <cell r="I72">
            <v>254810</v>
          </cell>
          <cell r="L72">
            <v>0</v>
          </cell>
        </row>
        <row r="86">
          <cell r="F86">
            <v>-44861.888657632866</v>
          </cell>
          <cell r="I86">
            <v>-51465.997384850496</v>
          </cell>
          <cell r="L86">
            <v>0</v>
          </cell>
        </row>
        <row r="87">
          <cell r="F87">
            <v>-102195.70481492006</v>
          </cell>
          <cell r="I87">
            <v>-23100.494102596575</v>
          </cell>
          <cell r="L87">
            <v>0</v>
          </cell>
        </row>
      </sheetData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47">
          <cell r="R47">
            <v>11537</v>
          </cell>
        </row>
        <row r="48">
          <cell r="R48">
            <v>19809</v>
          </cell>
        </row>
      </sheetData>
      <sheetData sheetId="1"/>
      <sheetData sheetId="2">
        <row r="59">
          <cell r="O59">
            <v>15232</v>
          </cell>
        </row>
        <row r="66">
          <cell r="O66">
            <v>22634</v>
          </cell>
        </row>
      </sheetData>
      <sheetData sheetId="3"/>
      <sheetData sheetId="4">
        <row r="59">
          <cell r="O59">
            <v>11328</v>
          </cell>
        </row>
        <row r="66">
          <cell r="O66">
            <v>24934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102036.44498482875</v>
          </cell>
          <cell r="R85">
            <v>100586.22864459116</v>
          </cell>
        </row>
        <row r="89">
          <cell r="Q89">
            <v>76648.93720047953</v>
          </cell>
          <cell r="R89">
            <v>79017.060036004332</v>
          </cell>
        </row>
      </sheetData>
      <sheetData sheetId="1">
        <row r="85">
          <cell r="Q85">
            <v>100037.33719638808</v>
          </cell>
          <cell r="R85">
            <v>98382.992816590253</v>
          </cell>
        </row>
        <row r="89">
          <cell r="Q89">
            <v>78139.303436287883</v>
          </cell>
          <cell r="R89">
            <v>81005.534421401957</v>
          </cell>
        </row>
      </sheetData>
      <sheetData sheetId="2">
        <row r="85">
          <cell r="Q85">
            <v>102246.81151325346</v>
          </cell>
          <cell r="R85">
            <v>100621.43537382571</v>
          </cell>
        </row>
        <row r="89">
          <cell r="Q89">
            <v>75429.123281471722</v>
          </cell>
          <cell r="R89">
            <v>78632.62333711097</v>
          </cell>
        </row>
      </sheetData>
      <sheetData sheetId="3">
        <row r="85">
          <cell r="Q85">
            <v>105855.63942682925</v>
          </cell>
          <cell r="R85">
            <v>104705.87770987728</v>
          </cell>
        </row>
        <row r="89">
          <cell r="Q89">
            <v>76351.714351555638</v>
          </cell>
          <cell r="R89">
            <v>76169.704930733162</v>
          </cell>
        </row>
      </sheetData>
      <sheetData sheetId="4">
        <row r="85">
          <cell r="Q85">
            <v>100377.08340611354</v>
          </cell>
          <cell r="R85">
            <v>99032.751272891415</v>
          </cell>
        </row>
        <row r="89">
          <cell r="Q89">
            <v>79110.733594810736</v>
          </cell>
          <cell r="R89">
            <v>81711.510937924613</v>
          </cell>
        </row>
      </sheetData>
      <sheetData sheetId="5">
        <row r="85">
          <cell r="Q85">
            <v>102596.62549584186</v>
          </cell>
          <cell r="R85">
            <v>99531.020265119572</v>
          </cell>
        </row>
        <row r="89">
          <cell r="Q89">
            <v>81209.329732407205</v>
          </cell>
          <cell r="R89">
            <v>82712.024558403224</v>
          </cell>
        </row>
      </sheetData>
      <sheetData sheetId="6">
        <row r="85">
          <cell r="Q85">
            <v>98871.562532635071</v>
          </cell>
          <cell r="R85">
            <v>96569.206871020288</v>
          </cell>
        </row>
        <row r="89">
          <cell r="Q89">
            <v>76546.537416197229</v>
          </cell>
          <cell r="R89">
            <v>80413.640619127342</v>
          </cell>
        </row>
      </sheetData>
      <sheetData sheetId="7">
        <row r="85">
          <cell r="Q85">
            <v>95818.262390670556</v>
          </cell>
          <cell r="R85">
            <v>97387.55469379187</v>
          </cell>
        </row>
        <row r="89">
          <cell r="Q89">
            <v>71876.080316263236</v>
          </cell>
          <cell r="R89">
            <v>76106.663756691472</v>
          </cell>
        </row>
      </sheetData>
      <sheetData sheetId="8">
        <row r="85">
          <cell r="Q85">
            <v>107600.02659181414</v>
          </cell>
          <cell r="R85">
            <v>107895.80360275003</v>
          </cell>
        </row>
        <row r="89">
          <cell r="Q89">
            <v>78518.418898912656</v>
          </cell>
          <cell r="R89">
            <v>84173.331259848856</v>
          </cell>
        </row>
      </sheetData>
      <sheetData sheetId="9">
        <row r="85">
          <cell r="Q85">
            <v>103943.16015151514</v>
          </cell>
          <cell r="R85">
            <v>100020.63052976516</v>
          </cell>
        </row>
        <row r="89">
          <cell r="Q89">
            <v>76825.862410553265</v>
          </cell>
          <cell r="R89">
            <v>78572.215964328017</v>
          </cell>
        </row>
      </sheetData>
      <sheetData sheetId="10">
        <row r="85">
          <cell r="Q85">
            <v>100999.95877862597</v>
          </cell>
          <cell r="R85">
            <v>95311.762142570573</v>
          </cell>
        </row>
        <row r="89">
          <cell r="Q89">
            <v>76527.26420294978</v>
          </cell>
          <cell r="R89">
            <v>78622.375624195964</v>
          </cell>
        </row>
      </sheetData>
      <sheetData sheetId="11">
        <row r="85">
          <cell r="Q85">
            <v>104000</v>
          </cell>
          <cell r="R85">
            <v>101020.6500783963</v>
          </cell>
        </row>
        <row r="89">
          <cell r="Q89">
            <v>78335.48274452881</v>
          </cell>
          <cell r="R89">
            <v>81846.370391693024</v>
          </cell>
        </row>
      </sheetData>
      <sheetData sheetId="12">
        <row r="85">
          <cell r="Q85">
            <v>96773.345966101697</v>
          </cell>
          <cell r="R85">
            <v>93305.074980475722</v>
          </cell>
        </row>
        <row r="89">
          <cell r="Q89">
            <v>70510.721069024832</v>
          </cell>
          <cell r="R89">
            <v>73270.585711366395</v>
          </cell>
        </row>
      </sheetData>
      <sheetData sheetId="13">
        <row r="85">
          <cell r="Q85">
            <v>100952.11428571428</v>
          </cell>
          <cell r="R85">
            <v>100589.29214719427</v>
          </cell>
        </row>
        <row r="89">
          <cell r="Q89">
            <v>72358.141351387836</v>
          </cell>
          <cell r="R89">
            <v>74940.844303422651</v>
          </cell>
        </row>
      </sheetData>
      <sheetData sheetId="14">
        <row r="85">
          <cell r="Q85">
            <v>97773.678160919546</v>
          </cell>
          <cell r="R85">
            <v>99737.351761492304</v>
          </cell>
        </row>
        <row r="89">
          <cell r="Q89">
            <v>69829.796308302713</v>
          </cell>
          <cell r="R89">
            <v>74594.202893138281</v>
          </cell>
        </row>
      </sheetData>
      <sheetData sheetId="15">
        <row r="85">
          <cell r="Q85">
            <v>100426.22183673468</v>
          </cell>
          <cell r="R85">
            <v>103939.48310638788</v>
          </cell>
        </row>
        <row r="89">
          <cell r="Q89">
            <v>78757.543020125784</v>
          </cell>
          <cell r="R89">
            <v>80482.90322024576</v>
          </cell>
        </row>
      </sheetData>
      <sheetData sheetId="16">
        <row r="85">
          <cell r="Q85">
            <v>101000.09249011858</v>
          </cell>
          <cell r="R85">
            <v>100750.64671326856</v>
          </cell>
        </row>
        <row r="89">
          <cell r="Q89">
            <v>76766.281377599109</v>
          </cell>
          <cell r="R89">
            <v>77303.283334270542</v>
          </cell>
        </row>
      </sheetData>
      <sheetData sheetId="17">
        <row r="85">
          <cell r="Q85">
            <v>107900</v>
          </cell>
          <cell r="R85">
            <v>112301.91050332572</v>
          </cell>
        </row>
        <row r="89">
          <cell r="Q89">
            <v>73291.892321700667</v>
          </cell>
          <cell r="R89">
            <v>73905.733164565347</v>
          </cell>
        </row>
      </sheetData>
      <sheetData sheetId="18">
        <row r="85">
          <cell r="Q85">
            <v>109000.14567123285</v>
          </cell>
          <cell r="R85">
            <v>112730.49001689491</v>
          </cell>
        </row>
        <row r="89">
          <cell r="Q89">
            <v>69790.705451598478</v>
          </cell>
          <cell r="R89">
            <v>72387.599889895791</v>
          </cell>
        </row>
      </sheetData>
      <sheetData sheetId="19">
        <row r="85">
          <cell r="Q85">
            <v>102496.92245736433</v>
          </cell>
          <cell r="R85">
            <v>96496.299153918822</v>
          </cell>
        </row>
        <row r="89">
          <cell r="Q89">
            <v>73531.955211759836</v>
          </cell>
          <cell r="R89">
            <v>72512.447353062889</v>
          </cell>
        </row>
      </sheetData>
      <sheetData sheetId="20">
        <row r="85">
          <cell r="Q85">
            <v>126771.42857142857</v>
          </cell>
          <cell r="R85">
            <v>124220.97940197558</v>
          </cell>
        </row>
        <row r="89">
          <cell r="Q89">
            <v>90782.939031133486</v>
          </cell>
          <cell r="R89">
            <v>89473.327577477568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96625.233343352549</v>
          </cell>
        </row>
        <row r="89">
          <cell r="Q89">
            <v>72813.219169334712</v>
          </cell>
        </row>
      </sheetData>
      <sheetData sheetId="1">
        <row r="85">
          <cell r="Q85">
            <v>93635.781747175584</v>
          </cell>
        </row>
        <row r="89">
          <cell r="Q89">
            <v>74238.290867937816</v>
          </cell>
        </row>
      </sheetData>
      <sheetData sheetId="2">
        <row r="85">
          <cell r="Q85">
            <v>97910.755714767482</v>
          </cell>
        </row>
        <row r="89">
          <cell r="Q89">
            <v>72044.293765679817</v>
          </cell>
        </row>
      </sheetData>
      <sheetData sheetId="3">
        <row r="85">
          <cell r="Q85">
            <v>100131.77153636901</v>
          </cell>
        </row>
        <row r="89">
          <cell r="Q89">
            <v>71543.564340451863</v>
          </cell>
        </row>
      </sheetData>
      <sheetData sheetId="4">
        <row r="85">
          <cell r="Q85">
            <v>92889.087168736529</v>
          </cell>
        </row>
        <row r="89">
          <cell r="Q89">
            <v>73537.469759804051</v>
          </cell>
        </row>
      </sheetData>
      <sheetData sheetId="5">
        <row r="85">
          <cell r="Q85">
            <v>96118.628085237608</v>
          </cell>
        </row>
        <row r="89">
          <cell r="Q89">
            <v>76710.002121629499</v>
          </cell>
        </row>
      </sheetData>
      <sheetData sheetId="6">
        <row r="85">
          <cell r="Q85">
            <v>93243.274566463879</v>
          </cell>
        </row>
        <row r="89">
          <cell r="Q89">
            <v>75251.334353499988</v>
          </cell>
        </row>
      </sheetData>
      <sheetData sheetId="7">
        <row r="85">
          <cell r="Q85">
            <v>90678.117503733607</v>
          </cell>
        </row>
        <row r="89">
          <cell r="Q89">
            <v>68917.861694385487</v>
          </cell>
        </row>
      </sheetData>
      <sheetData sheetId="8">
        <row r="85">
          <cell r="Q85">
            <v>103317.80957867079</v>
          </cell>
        </row>
        <row r="89">
          <cell r="Q89">
            <v>74962.443755420303</v>
          </cell>
        </row>
      </sheetData>
      <sheetData sheetId="9">
        <row r="85">
          <cell r="Q85">
            <v>100038.90514499083</v>
          </cell>
        </row>
        <row r="89">
          <cell r="Q89">
            <v>73578.50124983977</v>
          </cell>
        </row>
      </sheetData>
      <sheetData sheetId="10">
        <row r="85">
          <cell r="Q85">
            <v>97846.672520298889</v>
          </cell>
        </row>
        <row r="89">
          <cell r="Q89">
            <v>74441.090346901896</v>
          </cell>
        </row>
      </sheetData>
      <sheetData sheetId="11">
        <row r="85">
          <cell r="Q85">
            <v>100613.91857325901</v>
          </cell>
        </row>
        <row r="89">
          <cell r="Q89">
            <v>75106.687312120703</v>
          </cell>
        </row>
      </sheetData>
      <sheetData sheetId="12">
        <row r="85">
          <cell r="Q85">
            <v>93320.331426170815</v>
          </cell>
        </row>
        <row r="89">
          <cell r="Q89">
            <v>69103.407481981762</v>
          </cell>
        </row>
      </sheetData>
      <sheetData sheetId="13">
        <row r="85">
          <cell r="Q85">
            <v>95607.522444394504</v>
          </cell>
        </row>
        <row r="89">
          <cell r="Q89">
            <v>68034.869278315324</v>
          </cell>
        </row>
      </sheetData>
      <sheetData sheetId="14">
        <row r="85">
          <cell r="Q85">
            <v>93109.125349222741</v>
          </cell>
        </row>
        <row r="89">
          <cell r="Q89">
            <v>67287.192301183066</v>
          </cell>
        </row>
      </sheetData>
      <sheetData sheetId="15">
        <row r="85">
          <cell r="Q85">
            <v>95231.884223586283</v>
          </cell>
        </row>
        <row r="89">
          <cell r="Q89">
            <v>74357.90164664964</v>
          </cell>
        </row>
      </sheetData>
      <sheetData sheetId="16">
        <row r="85">
          <cell r="Q85">
            <v>95762.788613621684</v>
          </cell>
        </row>
        <row r="89">
          <cell r="Q89">
            <v>71591.022610596105</v>
          </cell>
        </row>
      </sheetData>
      <sheetData sheetId="17">
        <row r="85">
          <cell r="Q85">
            <v>101782.45863237068</v>
          </cell>
        </row>
        <row r="89">
          <cell r="Q89">
            <v>68485.162045276229</v>
          </cell>
        </row>
      </sheetData>
      <sheetData sheetId="18">
        <row r="85">
          <cell r="Q85">
            <v>99680.206175777406</v>
          </cell>
        </row>
        <row r="89">
          <cell r="Q89">
            <v>65536.495893576139</v>
          </cell>
        </row>
      </sheetData>
      <sheetData sheetId="19">
        <row r="85">
          <cell r="Q85">
            <v>97314.15730087836</v>
          </cell>
        </row>
        <row r="89">
          <cell r="Q89">
            <v>69099.635625285257</v>
          </cell>
        </row>
      </sheetData>
      <sheetData sheetId="20">
        <row r="85">
          <cell r="Q85">
            <v>119497.40473845266</v>
          </cell>
        </row>
        <row r="89">
          <cell r="Q89">
            <v>84120.246834529535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>
            <v>31332.580047010902</v>
          </cell>
          <cell r="X12">
            <v>31337.801151481126</v>
          </cell>
          <cell r="Y12">
            <v>31322.549166493853</v>
          </cell>
          <cell r="Z12">
            <v>31291.93841498005</v>
          </cell>
          <cell r="AA12">
            <v>31284.18313282196</v>
          </cell>
          <cell r="AB12">
            <v>31285.421715344921</v>
          </cell>
          <cell r="AC12">
            <v>31286.554992600311</v>
          </cell>
          <cell r="AD12">
            <v>31281.084055401941</v>
          </cell>
          <cell r="AE12">
            <v>31274.369263158198</v>
          </cell>
          <cell r="AF12">
            <v>31273.38827040957</v>
          </cell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>
            <v>2.5605563980984212E-2</v>
          </cell>
          <cell r="X13">
            <v>2.5612399319715148E-2</v>
          </cell>
          <cell r="Y13">
            <v>2.5607726242479818E-2</v>
          </cell>
          <cell r="Z13">
            <v>2.5591501411792537E-2</v>
          </cell>
          <cell r="AA13">
            <v>2.5583876472476397E-2</v>
          </cell>
          <cell r="AB13">
            <v>2.5580802299724821E-2</v>
          </cell>
          <cell r="AC13">
            <v>2.5582589948017792E-2</v>
          </cell>
          <cell r="AD13">
            <v>2.5581289341030881E-2</v>
          </cell>
          <cell r="AE13">
            <v>2.5577766397035278E-2</v>
          </cell>
          <cell r="AF13">
            <v>2.5579459274253372E-2</v>
          </cell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R23">
            <v>304775.57553683931</v>
          </cell>
          <cell r="S23">
            <v>1.4014710369451358E-2</v>
          </cell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  <row r="39">
          <cell r="R39">
            <v>17800</v>
          </cell>
        </row>
        <row r="40">
          <cell r="G40">
            <v>70540000</v>
          </cell>
          <cell r="H40">
            <v>17746960.000000007</v>
          </cell>
          <cell r="I40">
            <v>88286960</v>
          </cell>
          <cell r="R40">
            <v>17390000</v>
          </cell>
          <cell r="S40">
            <v>4356833.684210524</v>
          </cell>
          <cell r="T40">
            <v>21746833.684210524</v>
          </cell>
        </row>
        <row r="41">
          <cell r="G41">
            <v>0.79898549004292363</v>
          </cell>
          <cell r="H41">
            <v>0.20101450995707643</v>
          </cell>
          <cell r="R41">
            <v>976966.29213483143</v>
          </cell>
        </row>
        <row r="42">
          <cell r="R42">
            <v>0.79965664208974752</v>
          </cell>
          <cell r="S42">
            <v>0.20034335791025251</v>
          </cell>
        </row>
        <row r="43">
          <cell r="G43">
            <v>665131.35501777369</v>
          </cell>
          <cell r="H43">
            <v>167338.5249822262</v>
          </cell>
          <cell r="I43">
            <v>832469.87999999989</v>
          </cell>
          <cell r="Q43">
            <v>167008.94</v>
          </cell>
          <cell r="R43">
            <v>133549.80815936811</v>
          </cell>
          <cell r="S43">
            <v>33459.13184063189</v>
          </cell>
        </row>
        <row r="44">
          <cell r="G44">
            <v>343858.81807007489</v>
          </cell>
          <cell r="H44">
            <v>86510.471929924868</v>
          </cell>
          <cell r="I44">
            <v>430369.28999999975</v>
          </cell>
          <cell r="Q44">
            <v>84326.16</v>
          </cell>
          <cell r="R44">
            <v>67431.973945922786</v>
          </cell>
          <cell r="S44">
            <v>16894.186054077221</v>
          </cell>
        </row>
        <row r="49">
          <cell r="S49">
            <v>2.3266632548618219E-2</v>
          </cell>
        </row>
        <row r="50">
          <cell r="S50">
            <v>3.4780000000000526E-2</v>
          </cell>
        </row>
      </sheetData>
      <sheetData sheetId="2">
        <row r="5">
          <cell r="E5"/>
        </row>
      </sheetData>
      <sheetData sheetId="3">
        <row r="5">
          <cell r="E5"/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97212.562428041681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991542.96887460211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475846.3764868062</v>
          </cell>
          <cell r="Z24">
            <v>566549.92292613955</v>
          </cell>
          <cell r="AA24">
            <v>643882.69522466674</v>
          </cell>
          <cell r="AB24">
            <v>716819.2150620356</v>
          </cell>
          <cell r="AC24">
            <v>796675.42687692423</v>
          </cell>
          <cell r="AD24">
            <v>868097.21919451328</v>
          </cell>
          <cell r="AE24">
            <v>942550.16626368219</v>
          </cell>
          <cell r="AF24">
            <v>991542.96887460211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175129.01258724771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2069905.1053073548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802189.21739768051</v>
          </cell>
          <cell r="Z25">
            <v>963045.29178138077</v>
          </cell>
          <cell r="AA25">
            <v>1148716.0143134913</v>
          </cell>
          <cell r="AB25">
            <v>1322090.5179057599</v>
          </cell>
          <cell r="AC25">
            <v>1502901.9724256315</v>
          </cell>
          <cell r="AD25">
            <v>1689679.1476359246</v>
          </cell>
          <cell r="AE25">
            <v>1882652.6351739264</v>
          </cell>
          <cell r="AF25">
            <v>2069905.1053073548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272341.57501528936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3061448.0741819567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1278035.5938844867</v>
          </cell>
          <cell r="Z26">
            <v>1529595.2147075203</v>
          </cell>
          <cell r="AA26">
            <v>1792598.709538158</v>
          </cell>
          <cell r="AB26">
            <v>2038909.7329677953</v>
          </cell>
          <cell r="AC26">
            <v>2299577.3993025557</v>
          </cell>
          <cell r="AD26">
            <v>2557776.3668304379</v>
          </cell>
          <cell r="AE26">
            <v>2825202.8014376084</v>
          </cell>
          <cell r="AF26">
            <v>3061448.0741819572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243031.40607010422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2731840.7971461336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1204876.4552681088</v>
          </cell>
          <cell r="Z27">
            <v>1431635.3213664424</v>
          </cell>
          <cell r="AA27">
            <v>1663633.6382620239</v>
          </cell>
          <cell r="AB27">
            <v>1882443.1977741304</v>
          </cell>
          <cell r="AC27">
            <v>2122011.8332187962</v>
          </cell>
          <cell r="AD27">
            <v>2321992.8517080457</v>
          </cell>
          <cell r="AE27">
            <v>2530461.1035017185</v>
          </cell>
          <cell r="AF27">
            <v>2731840.7971461336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162038.03851877406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1863262.588305366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729353.15551056876</v>
          </cell>
          <cell r="Z28">
            <v>880595.06740079436</v>
          </cell>
          <cell r="AA28">
            <v>1047554.2038029813</v>
          </cell>
          <cell r="AB28">
            <v>1205439.3538957392</v>
          </cell>
          <cell r="AC28">
            <v>1361881.6004923156</v>
          </cell>
          <cell r="AD28">
            <v>1526010.0909786185</v>
          </cell>
          <cell r="AE28">
            <v>1697712.1322790191</v>
          </cell>
          <cell r="AF28">
            <v>1863262.588305366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405069.44458887831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4595103.3854514994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1934229.6107786775</v>
          </cell>
          <cell r="Z29">
            <v>2312230.3887672368</v>
          </cell>
          <cell r="AA29">
            <v>2711187.8420650051</v>
          </cell>
          <cell r="AB29">
            <v>3087882.5516698696</v>
          </cell>
          <cell r="AC29">
            <v>3483893.4337111115</v>
          </cell>
          <cell r="AD29">
            <v>3848002.9426866639</v>
          </cell>
          <cell r="AE29">
            <v>4228173.2357807374</v>
          </cell>
          <cell r="AF29">
            <v>4595103.3854514994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340243.96849814593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3723383.7660207367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1680722.831754915</v>
          </cell>
          <cell r="Z30">
            <v>1998185.2442925819</v>
          </cell>
          <cell r="AA30">
            <v>2307516.3334866907</v>
          </cell>
          <cell r="AB30">
            <v>2599262.4128361661</v>
          </cell>
          <cell r="AC30">
            <v>2918687.2600957202</v>
          </cell>
          <cell r="AD30">
            <v>3190090.070902559</v>
          </cell>
          <cell r="AE30">
            <v>3473011.2697654008</v>
          </cell>
          <cell r="AF30">
            <v>3723383.7660207357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337167.05110602174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3933167.6936127204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1531542.3729082493</v>
          </cell>
          <cell r="Z31">
            <v>1843640.3591821752</v>
          </cell>
          <cell r="AA31">
            <v>2196270.2181164725</v>
          </cell>
          <cell r="AB31">
            <v>2527529.8718014993</v>
          </cell>
          <cell r="AC31">
            <v>2864783.5729179471</v>
          </cell>
          <cell r="AD31">
            <v>3215689.2386145433</v>
          </cell>
          <cell r="AE31">
            <v>3580364.7674529455</v>
          </cell>
          <cell r="AF31">
            <v>3933167.6936127208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677411.01960416767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7656551.4596334565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3212265.204663164</v>
          </cell>
          <cell r="Z32">
            <v>3841825.6034747572</v>
          </cell>
          <cell r="AA32">
            <v>4503786.5516031627</v>
          </cell>
          <cell r="AB32">
            <v>5126792.2846376654</v>
          </cell>
          <cell r="AC32">
            <v>5783470.8330136668</v>
          </cell>
          <cell r="AD32">
            <v>6405779.3095171023</v>
          </cell>
          <cell r="AE32">
            <v>7053376.0372183463</v>
          </cell>
          <cell r="AF32">
            <v>7656551.4596334565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-25212.562428041681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-218670.96887460203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-115846.3764868062</v>
          </cell>
          <cell r="Z33">
            <v>-134549.92292613955</v>
          </cell>
          <cell r="AA33">
            <v>-151882.69522466674</v>
          </cell>
          <cell r="AB33">
            <v>-164819.2150620356</v>
          </cell>
          <cell r="AC33">
            <v>-184675.42687692423</v>
          </cell>
          <cell r="AD33">
            <v>-196097.21919451328</v>
          </cell>
          <cell r="AE33">
            <v>-210550.16626368219</v>
          </cell>
          <cell r="AF33">
            <v>-218670.96887460211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-2184.4384657643968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99134.356031763717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8377.884149286896</v>
          </cell>
          <cell r="Z34">
            <v>17770.75533645961</v>
          </cell>
          <cell r="AA34">
            <v>24174.587499341229</v>
          </cell>
          <cell r="AB34">
            <v>40964.905567171285</v>
          </cell>
          <cell r="AC34">
            <v>41290.472612012411</v>
          </cell>
          <cell r="AD34">
            <v>63723.589274269063</v>
          </cell>
          <cell r="AE34">
            <v>78100.913366301451</v>
          </cell>
          <cell r="AF34">
            <v>99134.3560317636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-27397.000893806078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-119536.61284283828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-107468.4923375193</v>
          </cell>
          <cell r="Z35">
            <v>-116779.16758967994</v>
          </cell>
          <cell r="AA35">
            <v>-127708.10772532551</v>
          </cell>
          <cell r="AB35">
            <v>-123854.30949486431</v>
          </cell>
          <cell r="AC35">
            <v>-143384.95426491182</v>
          </cell>
          <cell r="AD35">
            <v>-132373.62992024422</v>
          </cell>
          <cell r="AE35">
            <v>-132449.25289738073</v>
          </cell>
          <cell r="AF35">
            <v>-119536.61284283851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41968.593929895782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650159.20285386592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239123.54473189125</v>
          </cell>
          <cell r="Z36">
            <v>297364.67863355763</v>
          </cell>
          <cell r="AA36">
            <v>350366.36173797608</v>
          </cell>
          <cell r="AB36">
            <v>416556.80222586961</v>
          </cell>
          <cell r="AC36">
            <v>461988.16678120382</v>
          </cell>
          <cell r="AD36">
            <v>528007.14829195431</v>
          </cell>
          <cell r="AE36">
            <v>585538.89649828151</v>
          </cell>
          <cell r="AF36">
            <v>650159.20285386639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58495.399028467247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836608.61716552463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287534.44497804402</v>
          </cell>
          <cell r="Z37">
            <v>357185.11812768702</v>
          </cell>
          <cell r="AA37">
            <v>428907.99771805492</v>
          </cell>
          <cell r="AB37">
            <v>510360.95664374274</v>
          </cell>
          <cell r="AC37">
            <v>572220.79846996535</v>
          </cell>
          <cell r="AD37">
            <v>662897.57520004571</v>
          </cell>
          <cell r="AE37">
            <v>746939.77218601969</v>
          </cell>
          <cell r="AF37">
            <v>836608.61716552475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100463.99295836303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1486767.8200193907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526657.98970993527</v>
          </cell>
          <cell r="Z38">
            <v>654549.79676124465</v>
          </cell>
          <cell r="AA38">
            <v>779274.359456031</v>
          </cell>
          <cell r="AB38">
            <v>926917.75886961236</v>
          </cell>
          <cell r="AC38">
            <v>1034208.9652511692</v>
          </cell>
          <cell r="AD38">
            <v>1190904.723492</v>
          </cell>
          <cell r="AE38">
            <v>1332478.6686843012</v>
          </cell>
          <cell r="AF38">
            <v>1486767.8200193911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16756.0315018541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431488.2339792641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123277.16824508505</v>
          </cell>
          <cell r="Z39">
            <v>162814.75570741808</v>
          </cell>
          <cell r="AA39">
            <v>198483.66651330935</v>
          </cell>
          <cell r="AB39">
            <v>251737.58716383402</v>
          </cell>
          <cell r="AC39">
            <v>277312.73990427959</v>
          </cell>
          <cell r="AD39">
            <v>331909.92909744103</v>
          </cell>
          <cell r="AE39">
            <v>374988.73023459932</v>
          </cell>
          <cell r="AF39">
            <v>431488.23397926427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56310.96056270285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935742.97319728835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295912.32912733092</v>
          </cell>
          <cell r="Z40">
            <v>374955.87346414663</v>
          </cell>
          <cell r="AA40">
            <v>453082.58521739615</v>
          </cell>
          <cell r="AB40">
            <v>551325.86221091403</v>
          </cell>
          <cell r="AC40">
            <v>613511.27108197776</v>
          </cell>
          <cell r="AD40">
            <v>726621.16447431478</v>
          </cell>
          <cell r="AE40">
            <v>825040.68555232114</v>
          </cell>
          <cell r="AF40">
            <v>935742.97319728835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73066.992064556951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1367231.2071765524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419189.49737241596</v>
          </cell>
          <cell r="Z41">
            <v>537770.62917156471</v>
          </cell>
          <cell r="AA41">
            <v>651566.25173070549</v>
          </cell>
          <cell r="AB41">
            <v>803063.44937474804</v>
          </cell>
          <cell r="AC41">
            <v>890824.01098625734</v>
          </cell>
          <cell r="AD41">
            <v>1058531.0935717558</v>
          </cell>
          <cell r="AE41">
            <v>1200029.4157869206</v>
          </cell>
          <cell r="AF41">
            <v>1367231.2071765526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-34540.167662995351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-322180.04797789641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-157933.45450200993</v>
          </cell>
          <cell r="Z60">
            <v>-184828.59094636235</v>
          </cell>
          <cell r="AA60">
            <v>-208803.57246899666</v>
          </cell>
          <cell r="AB60">
            <v>-228396.41449695878</v>
          </cell>
          <cell r="AC60">
            <v>-255166.75114302529</v>
          </cell>
          <cell r="AD60">
            <v>-273113.9319004456</v>
          </cell>
          <cell r="AE60">
            <v>-294103.5794988441</v>
          </cell>
          <cell r="AF60">
            <v>-306842.55287841347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-19689.760795982533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-126698.56901877074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-62472.069864661855</v>
          </cell>
          <cell r="Z61">
            <v>-67606.381603566246</v>
          </cell>
          <cell r="AA61">
            <v>-77150.041677076413</v>
          </cell>
          <cell r="AB61">
            <v>-76182.202637825365</v>
          </cell>
          <cell r="AC61">
            <v>-91511.685326061532</v>
          </cell>
          <cell r="AD61">
            <v>-86143.298914790619</v>
          </cell>
          <cell r="AE61">
            <v>-88708.351824236132</v>
          </cell>
          <cell r="AF61">
            <v>-85325.744339508441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-54229.928458977884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-448878.61699666717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-220405.5243666718</v>
          </cell>
          <cell r="Z62">
            <v>-252434.97254992859</v>
          </cell>
          <cell r="AA62">
            <v>-285953.61414607306</v>
          </cell>
          <cell r="AB62">
            <v>-304578.61713478412</v>
          </cell>
          <cell r="AC62">
            <v>-346678.4364690868</v>
          </cell>
          <cell r="AD62">
            <v>-359257.23081523622</v>
          </cell>
          <cell r="AE62">
            <v>-382811.93132308021</v>
          </cell>
          <cell r="AF62">
            <v>-392168.29721792194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16945.763290794344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340694.59160094865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132544.67628171179</v>
          </cell>
          <cell r="Z63">
            <v>170306.83517083043</v>
          </cell>
          <cell r="AA63">
            <v>203381.89060292757</v>
          </cell>
          <cell r="AB63">
            <v>249603.36451904138</v>
          </cell>
          <cell r="AC63">
            <v>274292.35458084196</v>
          </cell>
          <cell r="AD63">
            <v>322040.24846006487</v>
          </cell>
          <cell r="AE63">
            <v>361269.23518454924</v>
          </cell>
          <cell r="AF63">
            <v>406907.04278467537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41316.615580749567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619035.25074888766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223114.26934626483</v>
          </cell>
          <cell r="Z64">
            <v>279106.03077288507</v>
          </cell>
          <cell r="AA64">
            <v>336488.57982940658</v>
          </cell>
          <cell r="AB64">
            <v>403532.64687937964</v>
          </cell>
          <cell r="AC64">
            <v>451847.37809672445</v>
          </cell>
          <cell r="AD64">
            <v>527528.7014824826</v>
          </cell>
          <cell r="AE64">
            <v>596496.07781434036</v>
          </cell>
          <cell r="AF64">
            <v>670559.76783202135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58262.378871543915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959729.84234983637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355658.94562797662</v>
          </cell>
          <cell r="Z65">
            <v>449412.8659437155</v>
          </cell>
          <cell r="AA65">
            <v>539870.47043233411</v>
          </cell>
          <cell r="AB65">
            <v>653136.01139842102</v>
          </cell>
          <cell r="AC65">
            <v>726139.73267756635</v>
          </cell>
          <cell r="AD65">
            <v>849568.94994254748</v>
          </cell>
          <cell r="AE65">
            <v>957765.3129988896</v>
          </cell>
          <cell r="AF65">
            <v>1077466.8106166967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-17594.404372201006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18514.543623052181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-25388.778220298147</v>
          </cell>
          <cell r="Z66">
            <v>-14521.755775531929</v>
          </cell>
          <cell r="AA66">
            <v>-5421.6818660690915</v>
          </cell>
          <cell r="AB66">
            <v>21206.950022082601</v>
          </cell>
          <cell r="AC66">
            <v>19125.603437816666</v>
          </cell>
          <cell r="AD66">
            <v>48926.31655961927</v>
          </cell>
          <cell r="AE66">
            <v>67165.655685705133</v>
          </cell>
          <cell r="AF66">
            <v>100064.48990626191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21626.854784767034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492336.68173011695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160642.19948160299</v>
          </cell>
          <cell r="Z67">
            <v>211499.64916931884</v>
          </cell>
          <cell r="AA67">
            <v>259338.53815233015</v>
          </cell>
          <cell r="AB67">
            <v>327350.44424155424</v>
          </cell>
          <cell r="AC67">
            <v>360335.69277066295</v>
          </cell>
          <cell r="AD67">
            <v>441385.40256769198</v>
          </cell>
          <cell r="AE67">
            <v>507787.72599010426</v>
          </cell>
          <cell r="AF67">
            <v>585234.02349251288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4032.4504125660278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510851.2253531692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135253.42126130484</v>
          </cell>
          <cell r="Z68">
            <v>196977.89339378692</v>
          </cell>
          <cell r="AA68">
            <v>253916.85628626106</v>
          </cell>
          <cell r="AB68">
            <v>348557.39426363684</v>
          </cell>
          <cell r="AC68">
            <v>379461.29620847962</v>
          </cell>
          <cell r="AD68">
            <v>490311.71912731125</v>
          </cell>
          <cell r="AE68">
            <v>574953.38167580939</v>
          </cell>
          <cell r="AF68">
            <v>685298.51339877478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326989.72966666671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3463663.3337777774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734267.67927083443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8338484.1534112347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16210.332397890161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685298.51339877397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97212.562428041681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991542.96887460211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475846.3764868062</v>
          </cell>
          <cell r="Z87">
            <v>566549.92292613955</v>
          </cell>
          <cell r="AA87">
            <v>643882.69522466674</v>
          </cell>
          <cell r="AB87">
            <v>716819.2150620356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175129.01258724771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2069905.1053073548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802189.21739768051</v>
          </cell>
          <cell r="Z88">
            <v>963045.29178138077</v>
          </cell>
          <cell r="AA88">
            <v>1148716.0143134913</v>
          </cell>
          <cell r="AB88">
            <v>1322090.5179057599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175129.01258724771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2069905.1053073548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802189.21739768051</v>
          </cell>
          <cell r="Z94">
            <v>963045.29178138077</v>
          </cell>
          <cell r="AA94">
            <v>1148716.0143134913</v>
          </cell>
          <cell r="AB94">
            <v>1322090.5179057599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272341.57501528936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3061448.0741819572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1278035.5938844867</v>
          </cell>
          <cell r="Z95">
            <v>1529595.2147075203</v>
          </cell>
          <cell r="AA95">
            <v>1792598.709538158</v>
          </cell>
          <cell r="AB95">
            <v>2038909.7329677953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16202.093738006948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15309.462820083929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79307.7294144677</v>
          </cell>
          <cell r="Z96">
            <v>94424.987154356597</v>
          </cell>
          <cell r="AA96">
            <v>109891.54161406204</v>
          </cell>
          <cell r="AB96">
            <v>124478.8455815358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243031.40607010422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2731840.7971461336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1204876.4552681088</v>
          </cell>
          <cell r="Z97">
            <v>1431635.3213664424</v>
          </cell>
          <cell r="AA97">
            <v>1663633.6382620239</v>
          </cell>
          <cell r="AB97">
            <v>1882443.1977741304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123595.17391214943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1455357.0810832381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559480.42866225145</v>
          </cell>
          <cell r="Z98">
            <v>675903.88240318454</v>
          </cell>
          <cell r="AA98">
            <v>805745.08421808016</v>
          </cell>
          <cell r="AB98">
            <v>928615.05809059087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38442.864606624629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407905.50722212734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169872.72684831737</v>
          </cell>
          <cell r="Z99">
            <v>204691.18499760987</v>
          </cell>
          <cell r="AA99">
            <v>241809.11958490114</v>
          </cell>
          <cell r="AB99">
            <v>276824.29580514814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162038.03851877406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1863262.5883053655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729353.15551056876</v>
          </cell>
          <cell r="Z104">
            <v>880595.06740079436</v>
          </cell>
          <cell r="AA104">
            <v>1047554.2038029813</v>
          </cell>
          <cell r="AB104">
            <v>1205439.3538957392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405069.44458887831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4595103.3854514994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1934229.6107786777</v>
          </cell>
          <cell r="Z105">
            <v>2312230.3887672368</v>
          </cell>
          <cell r="AA105">
            <v>2711187.8420650056</v>
          </cell>
          <cell r="AB105">
            <v>3087882.5516698696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16202.093738006948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15315.535339113552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79307.7294144677</v>
          </cell>
          <cell r="Z106">
            <v>94424.987154356597</v>
          </cell>
          <cell r="AA106">
            <v>109891.54161406204</v>
          </cell>
          <cell r="AB106">
            <v>124478.8455815358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340243.96849814593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3723383.7660207367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1680722.8317549152</v>
          </cell>
          <cell r="Z107">
            <v>1998185.2442925822</v>
          </cell>
          <cell r="AA107">
            <v>2307516.3334866911</v>
          </cell>
          <cell r="AB107">
            <v>2599262.4128361666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298724.18649939715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3525262.1863905932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1361669.6460599322</v>
          </cell>
          <cell r="Z108">
            <v>1638949.1741845654</v>
          </cell>
          <cell r="AA108">
            <v>1954461.0985315717</v>
          </cell>
          <cell r="AB108">
            <v>2250705.575996351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38442.864606624629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407905.50722212734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169872.72684831737</v>
          </cell>
          <cell r="Z109">
            <v>204691.18499760987</v>
          </cell>
          <cell r="AA109">
            <v>241809.11958490114</v>
          </cell>
          <cell r="AB109">
            <v>276824.29580514814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337167.0511060218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3933167.6936127204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1531542.3729082493</v>
          </cell>
          <cell r="Z114">
            <v>1843640.3591821752</v>
          </cell>
          <cell r="AA114">
            <v>2196270.2181164725</v>
          </cell>
          <cell r="AB114">
            <v>2527529.8718014988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677411.01960416767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7656551.4596334565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3212265.2046631649</v>
          </cell>
          <cell r="Z115">
            <v>3841825.6034747576</v>
          </cell>
          <cell r="AA115">
            <v>4503786.5516031636</v>
          </cell>
          <cell r="AB115">
            <v>5126792.2846376654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16202.093738006948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15313.106683519674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79307.7294144677</v>
          </cell>
          <cell r="Z116">
            <v>94424.987154356597</v>
          </cell>
          <cell r="AA116">
            <v>109891.54161406204</v>
          </cell>
          <cell r="AB116">
            <v>124478.8455815358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-25212.562428041681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-218670.96887460203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-115846.37648680618</v>
          </cell>
          <cell r="Z117">
            <v>-134549.92292613961</v>
          </cell>
          <cell r="AA117">
            <v>-151882.69522466679</v>
          </cell>
          <cell r="AB117">
            <v>-164819.2150620356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-2184.4384657643968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99134.356031763717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8377.8841492869542</v>
          </cell>
          <cell r="Z118">
            <v>17770.755336459697</v>
          </cell>
          <cell r="AA118">
            <v>24174.587499341462</v>
          </cell>
          <cell r="AB118">
            <v>40964.905567171489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-2184.4384657643968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99134.356031763717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8377.8841492869542</v>
          </cell>
          <cell r="Z124">
            <v>17770.755336459697</v>
          </cell>
          <cell r="AA124">
            <v>24174.587499341462</v>
          </cell>
          <cell r="AB124">
            <v>40964.905567171489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-27397.000893806078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-119536.61284283831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-107468.49233751923</v>
          </cell>
          <cell r="Z125">
            <v>-116779.1675896799</v>
          </cell>
          <cell r="AA125">
            <v>-127708.1077253253</v>
          </cell>
          <cell r="AB125">
            <v>-123854.30949486409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41968.593929895782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650159.20285386592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239123.54473189104</v>
          </cell>
          <cell r="Z126">
            <v>297364.67863355752</v>
          </cell>
          <cell r="AA126">
            <v>350366.36173797597</v>
          </cell>
          <cell r="AB126">
            <v>416556.8022258695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51856.77976412412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737243.85019410355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253314.01376184513</v>
          </cell>
          <cell r="Z127">
            <v>314021.85473819985</v>
          </cell>
          <cell r="AA127">
            <v>377264.87536747206</v>
          </cell>
          <cell r="AB127">
            <v>448125.65567469737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6638.6192643431204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99364.766971421079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34220.43121619882</v>
          </cell>
          <cell r="Z128">
            <v>43163.263389486965</v>
          </cell>
          <cell r="AA128">
            <v>51643.122350582787</v>
          </cell>
          <cell r="AB128">
            <v>62235.300969045449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58495.39902846724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836608.61716552463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287534.4449780439</v>
          </cell>
          <cell r="Z133">
            <v>357185.11812768679</v>
          </cell>
          <cell r="AA133">
            <v>428907.9977180548</v>
          </cell>
          <cell r="AB133">
            <v>510360.95664374274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100463.99295836303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1486767.8200193904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526657.98970993503</v>
          </cell>
          <cell r="Z134">
            <v>654549.79676124442</v>
          </cell>
          <cell r="AA134">
            <v>779274.35945603088</v>
          </cell>
          <cell r="AB134">
            <v>926917.75886961236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16756.0315018541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431488.2339792641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123277.16824508486</v>
          </cell>
          <cell r="Z135">
            <v>162814.75570741796</v>
          </cell>
          <cell r="AA135">
            <v>198483.66651330923</v>
          </cell>
          <cell r="AB135">
            <v>251737.58716383396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49672.341298359723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836378.20622586727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261691.89791113202</v>
          </cell>
          <cell r="Z136">
            <v>331792.61007465946</v>
          </cell>
          <cell r="AA136">
            <v>401439.46286681341</v>
          </cell>
          <cell r="AB136">
            <v>489090.56124186871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6638.6192643431204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99364.766971421079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34220.43121619882</v>
          </cell>
          <cell r="Z137">
            <v>43163.263389486965</v>
          </cell>
          <cell r="AA137">
            <v>51643.122350582787</v>
          </cell>
          <cell r="AB137">
            <v>62235.300969045449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56310.960562702843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935742.97319728835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295912.32912733086</v>
          </cell>
          <cell r="Z142">
            <v>374955.87346414645</v>
          </cell>
          <cell r="AA142">
            <v>453082.58521739626</v>
          </cell>
          <cell r="AB142">
            <v>551325.86221091426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73066.992064556951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1367231.2071765524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419189.49737241573</v>
          </cell>
          <cell r="Z143">
            <v>537770.62917156448</v>
          </cell>
          <cell r="AA143">
            <v>651566.25173070549</v>
          </cell>
          <cell r="AB143">
            <v>803063.44937474816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-25212.562428041681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-218670.96887460203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-115846.37648680618</v>
          </cell>
          <cell r="Z144">
            <v>-134549.92292613961</v>
          </cell>
          <cell r="AA144">
            <v>-151882.69522466679</v>
          </cell>
          <cell r="AB144">
            <v>-164819.2150620356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-2184.4384657643968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99134.356031763717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8377.8841492869542</v>
          </cell>
          <cell r="Z145">
            <v>17770.755336459697</v>
          </cell>
          <cell r="AA145">
            <v>24174.587499341462</v>
          </cell>
          <cell r="AB145">
            <v>40964.905567171489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-2184.4384657643968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99134.356031763717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8377.8841492869542</v>
          </cell>
          <cell r="Z151">
            <v>17770.755336459697</v>
          </cell>
          <cell r="AA151">
            <v>24174.587499341462</v>
          </cell>
          <cell r="AB151">
            <v>40964.905567171489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-27397.000893806078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-119536.61284283831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-107468.49233751923</v>
          </cell>
          <cell r="Z152">
            <v>-116779.1675896799</v>
          </cell>
          <cell r="AA152">
            <v>-127708.1077253253</v>
          </cell>
          <cell r="AB152">
            <v>-123854.30949486409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41968.593929895782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650159.20285386592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239123.54473189104</v>
          </cell>
          <cell r="Z153">
            <v>297364.67863355752</v>
          </cell>
          <cell r="AA153">
            <v>350366.36173797597</v>
          </cell>
          <cell r="AB153">
            <v>416556.8022258695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51856.77976412412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737243.85019410355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253314.01376184513</v>
          </cell>
          <cell r="Z154">
            <v>314021.85473819985</v>
          </cell>
          <cell r="AA154">
            <v>377264.87536747206</v>
          </cell>
          <cell r="AB154">
            <v>448125.65567469737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6638.6192643431204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99364.766971421079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34220.43121619882</v>
          </cell>
          <cell r="Z155">
            <v>43163.263389486965</v>
          </cell>
          <cell r="AA155">
            <v>51643.122350582787</v>
          </cell>
          <cell r="AB155">
            <v>62235.300969045449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58495.39902846724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836608.61716552463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287534.4449780439</v>
          </cell>
          <cell r="Z160">
            <v>357185.11812768679</v>
          </cell>
          <cell r="AA160">
            <v>428907.9977180548</v>
          </cell>
          <cell r="AB160">
            <v>510360.95664374274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100463.99295836303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1486767.8200193904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526657.98970993503</v>
          </cell>
          <cell r="Z161">
            <v>654549.79676124442</v>
          </cell>
          <cell r="AA161">
            <v>779274.35945603088</v>
          </cell>
          <cell r="AB161">
            <v>926917.75886961236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16756.0315018541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431488.2339792641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123277.16824508486</v>
          </cell>
          <cell r="Z162">
            <v>162814.75570741796</v>
          </cell>
          <cell r="AA162">
            <v>198483.66651330923</v>
          </cell>
          <cell r="AB162">
            <v>251737.58716383396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49672.341298359723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836378.20622586727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261691.89791113202</v>
          </cell>
          <cell r="Z163">
            <v>331792.61007465946</v>
          </cell>
          <cell r="AA163">
            <v>401439.46286681341</v>
          </cell>
          <cell r="AB163">
            <v>489090.56124186871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6638.6192643431204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99364.766971421079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34220.43121619882</v>
          </cell>
          <cell r="Z164">
            <v>43163.263389486965</v>
          </cell>
          <cell r="AA164">
            <v>51643.122350582787</v>
          </cell>
          <cell r="AB164">
            <v>62235.300969045449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56310.960562702843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935742.97319728835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295912.32912733086</v>
          </cell>
          <cell r="Z169">
            <v>374955.87346414645</v>
          </cell>
          <cell r="AA169">
            <v>453082.58521739626</v>
          </cell>
          <cell r="AB169">
            <v>551325.86221091426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73066.992064556951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1367231.2071765524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419189.49737241573</v>
          </cell>
          <cell r="Z170">
            <v>537770.62917156448</v>
          </cell>
          <cell r="AA170">
            <v>651566.25173070549</v>
          </cell>
          <cell r="AB170">
            <v>803063.44937474816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-33371.835627532084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-306842.55287841341</v>
          </cell>
          <cell r="T201">
            <v>-306842.55287841341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-157933.4545020099</v>
          </cell>
          <cell r="Z201">
            <v>-184828.59094636241</v>
          </cell>
          <cell r="AA201">
            <v>-208803.57246899669</v>
          </cell>
          <cell r="AB201">
            <v>-228396.41449695875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-16883.417930625856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-85325.744339508368</v>
          </cell>
          <cell r="T202">
            <v>-85325.744339508325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-62472.069864661797</v>
          </cell>
          <cell r="Z202">
            <v>-67606.381603566158</v>
          </cell>
          <cell r="AA202">
            <v>-77150.04167707618</v>
          </cell>
          <cell r="AB202">
            <v>-76182.202637825161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-16883.417930625856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-85325.744339508368</v>
          </cell>
          <cell r="T208">
            <v>-85325.744339508325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-62472.069864661797</v>
          </cell>
          <cell r="Z208">
            <v>-67606.381603566158</v>
          </cell>
          <cell r="AA208">
            <v>-77150.04167707618</v>
          </cell>
          <cell r="AB208">
            <v>-76182.202637825161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-50255.253558157943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-392168.29721792176</v>
          </cell>
          <cell r="T209">
            <v>-392168.2972179217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-220405.52436667169</v>
          </cell>
          <cell r="Z209">
            <v>-252434.97254992856</v>
          </cell>
          <cell r="AA209">
            <v>-285953.61414607288</v>
          </cell>
          <cell r="AB209">
            <v>-304578.61713478394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21570.410931169779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406907.04278467508</v>
          </cell>
          <cell r="T210">
            <v>406907.04278467491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132544.67628171158</v>
          </cell>
          <cell r="Z210">
            <v>170306.83517083037</v>
          </cell>
          <cell r="AA210">
            <v>203381.89060292748</v>
          </cell>
          <cell r="AB210">
            <v>249603.36451904132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41483.153507391871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607546.86508415162</v>
          </cell>
          <cell r="T211">
            <v>607546.86508415174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203901.66790555103</v>
          </cell>
          <cell r="Z211">
            <v>254095.11074145485</v>
          </cell>
          <cell r="AA211">
            <v>306185.90699378616</v>
          </cell>
          <cell r="AB211">
            <v>365833.34540495108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3412.0215174865766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63012.902747869579</v>
          </cell>
          <cell r="T212">
            <v>63012.90274786955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19212.601440713701</v>
          </cell>
          <cell r="Z212">
            <v>25010.920031430003</v>
          </cell>
          <cell r="AA212">
            <v>30302.672835620262</v>
          </cell>
          <cell r="AB212">
            <v>37699.301474428576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44895.175024878445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670559.76783202123</v>
          </cell>
          <cell r="T217">
            <v>670559.76783202123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223114.26934626471</v>
          </cell>
          <cell r="Z217">
            <v>279106.03077288484</v>
          </cell>
          <cell r="AA217">
            <v>336488.5798294064</v>
          </cell>
          <cell r="AB217">
            <v>403532.64687937964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66465.58595604822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1077466.8106166963</v>
          </cell>
          <cell r="T218">
            <v>1077466.810616696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355658.94562797633</v>
          </cell>
          <cell r="Z218">
            <v>449412.86594371521</v>
          </cell>
          <cell r="AA218">
            <v>539870.47043233388</v>
          </cell>
          <cell r="AB218">
            <v>653136.0113984209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-11801.424696362305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100064.48990626168</v>
          </cell>
          <cell r="T219">
            <v>100064.48990626168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-25388.778220298333</v>
          </cell>
          <cell r="Z219">
            <v>-14521.755775532063</v>
          </cell>
          <cell r="AA219">
            <v>-5421.6818660692188</v>
          </cell>
          <cell r="AB219">
            <v>21206.95002208255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24599.735576766016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522221.12074464327</v>
          </cell>
          <cell r="T220">
            <v>522221.12074464338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141429.59804088925</v>
          </cell>
          <cell r="Z220">
            <v>186488.7291378887</v>
          </cell>
          <cell r="AA220">
            <v>229035.86531670997</v>
          </cell>
          <cell r="AB220">
            <v>289651.14276712592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3412.0215174865766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63012.902747869579</v>
          </cell>
          <cell r="T221">
            <v>63012.90274786955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19212.601440713701</v>
          </cell>
          <cell r="Z221">
            <v>25010.920031430003</v>
          </cell>
          <cell r="AA221">
            <v>30302.672835620262</v>
          </cell>
          <cell r="AB221">
            <v>37699.301474428576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28011.757094252593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585234.02349251288</v>
          </cell>
          <cell r="T226">
            <v>585234.02349251299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160642.19948160296</v>
          </cell>
          <cell r="Z226">
            <v>211499.64916931873</v>
          </cell>
          <cell r="AA226">
            <v>259338.53815233026</v>
          </cell>
          <cell r="AB226">
            <v>327350.44424155448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16210.332397890288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685298.51339877455</v>
          </cell>
          <cell r="T227">
            <v>685298.51339877455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135253.42126130461</v>
          </cell>
          <cell r="Z227">
            <v>196977.89339378662</v>
          </cell>
          <cell r="AA227">
            <v>253916.856286261</v>
          </cell>
          <cell r="AB227">
            <v>348557.39426363702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/>
      <sheetData sheetId="3"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0</v>
          </cell>
          <cell r="P16">
            <v>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0</v>
          </cell>
          <cell r="P17">
            <v>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0</v>
          </cell>
          <cell r="O22">
            <v>0</v>
          </cell>
          <cell r="P22">
            <v>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152250000</v>
          </cell>
          <cell r="O16">
            <v>161210000</v>
          </cell>
          <cell r="P16">
            <v>313460000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48384000</v>
          </cell>
          <cell r="O17">
            <v>82080000</v>
          </cell>
          <cell r="P17">
            <v>130464000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11520000</v>
          </cell>
          <cell r="P19">
            <v>11520000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200634000</v>
          </cell>
          <cell r="O22">
            <v>254810000</v>
          </cell>
          <cell r="P22">
            <v>455444000</v>
          </cell>
        </row>
        <row r="23">
          <cell r="M23"/>
        </row>
        <row r="24">
          <cell r="M24"/>
        </row>
        <row r="25">
          <cell r="M25"/>
        </row>
        <row r="26">
          <cell r="M26"/>
        </row>
        <row r="27">
          <cell r="M27"/>
        </row>
        <row r="28">
          <cell r="M28"/>
        </row>
        <row r="29">
          <cell r="M29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>
      <selection activeCell="P22" sqref="P22"/>
    </sheetView>
  </sheetViews>
  <sheetFormatPr defaultRowHeight="16.5" x14ac:dyDescent="0.3"/>
  <cols>
    <col min="13" max="13" width="15.75" customWidth="1"/>
  </cols>
  <sheetData>
    <row r="6" spans="1:13" x14ac:dyDescent="0.3">
      <c r="A6" s="804" t="s">
        <v>235</v>
      </c>
      <c r="B6" s="805"/>
      <c r="C6" s="805"/>
      <c r="D6" s="805"/>
      <c r="E6" s="805"/>
      <c r="F6" s="805"/>
      <c r="G6" s="805"/>
      <c r="H6" s="805"/>
      <c r="I6" s="805"/>
      <c r="J6" s="805"/>
      <c r="K6" s="805"/>
      <c r="L6" s="805"/>
      <c r="M6" s="805"/>
    </row>
    <row r="7" spans="1:13" x14ac:dyDescent="0.3">
      <c r="A7" s="805"/>
      <c r="B7" s="805"/>
      <c r="C7" s="805"/>
      <c r="D7" s="805"/>
      <c r="E7" s="805"/>
      <c r="F7" s="805"/>
      <c r="G7" s="805"/>
      <c r="H7" s="805"/>
      <c r="I7" s="805"/>
      <c r="J7" s="805"/>
      <c r="K7" s="805"/>
      <c r="L7" s="805"/>
      <c r="M7" s="805"/>
    </row>
    <row r="8" spans="1:13" x14ac:dyDescent="0.3">
      <c r="A8" s="805"/>
      <c r="B8" s="805"/>
      <c r="C8" s="805"/>
      <c r="D8" s="805"/>
      <c r="E8" s="805"/>
      <c r="F8" s="805"/>
      <c r="G8" s="805"/>
      <c r="H8" s="805"/>
      <c r="I8" s="805"/>
      <c r="J8" s="805"/>
      <c r="K8" s="805"/>
      <c r="L8" s="805"/>
      <c r="M8" s="805"/>
    </row>
    <row r="9" spans="1:13" x14ac:dyDescent="0.3">
      <c r="A9" s="805"/>
      <c r="B9" s="805"/>
      <c r="C9" s="805"/>
      <c r="D9" s="805"/>
      <c r="E9" s="805"/>
      <c r="F9" s="805"/>
      <c r="G9" s="805"/>
      <c r="H9" s="805"/>
      <c r="I9" s="805"/>
      <c r="J9" s="805"/>
      <c r="K9" s="805"/>
      <c r="L9" s="805"/>
      <c r="M9" s="805"/>
    </row>
    <row r="10" spans="1:13" x14ac:dyDescent="0.3">
      <c r="A10" s="805"/>
      <c r="B10" s="805"/>
      <c r="C10" s="805"/>
      <c r="D10" s="805"/>
      <c r="E10" s="805"/>
      <c r="F10" s="805"/>
      <c r="G10" s="805"/>
      <c r="H10" s="805"/>
      <c r="I10" s="805"/>
      <c r="J10" s="805"/>
      <c r="K10" s="805"/>
      <c r="L10" s="805"/>
      <c r="M10" s="805"/>
    </row>
    <row r="11" spans="1:13" x14ac:dyDescent="0.3">
      <c r="A11" s="805"/>
      <c r="B11" s="805"/>
      <c r="C11" s="805"/>
      <c r="D11" s="805"/>
      <c r="E11" s="805"/>
      <c r="F11" s="805"/>
      <c r="G11" s="805"/>
      <c r="H11" s="805"/>
      <c r="I11" s="805"/>
      <c r="J11" s="805"/>
      <c r="K11" s="805"/>
      <c r="L11" s="805"/>
      <c r="M11" s="805"/>
    </row>
    <row r="12" spans="1:13" x14ac:dyDescent="0.3">
      <c r="A12" s="805"/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5"/>
    </row>
    <row r="13" spans="1:13" x14ac:dyDescent="0.3">
      <c r="A13" s="805"/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5"/>
    </row>
    <row r="14" spans="1:13" x14ac:dyDescent="0.3">
      <c r="A14" s="805"/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5"/>
    </row>
    <row r="24" spans="1:13" x14ac:dyDescent="0.3">
      <c r="A24" s="806" t="s">
        <v>120</v>
      </c>
      <c r="B24" s="806"/>
      <c r="C24" s="806"/>
      <c r="D24" s="806"/>
      <c r="E24" s="806"/>
      <c r="F24" s="806"/>
      <c r="G24" s="806"/>
      <c r="H24" s="806"/>
      <c r="I24" s="806"/>
      <c r="J24" s="806"/>
      <c r="K24" s="806"/>
      <c r="L24" s="806"/>
      <c r="M24" s="806"/>
    </row>
    <row r="25" spans="1:13" x14ac:dyDescent="0.3">
      <c r="A25" s="806"/>
      <c r="B25" s="806"/>
      <c r="C25" s="806"/>
      <c r="D25" s="806"/>
      <c r="E25" s="806"/>
      <c r="F25" s="806"/>
      <c r="G25" s="806"/>
      <c r="H25" s="806"/>
      <c r="I25" s="806"/>
      <c r="J25" s="806"/>
      <c r="K25" s="806"/>
      <c r="L25" s="806"/>
      <c r="M25" s="806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L42"/>
  <sheetViews>
    <sheetView showGridLines="0" view="pageBreakPreview" zoomScale="70" zoomScaleNormal="70" zoomScaleSheetLayoutView="70" workbookViewId="0">
      <selection activeCell="B2" sqref="B2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38" ht="20.100000000000001" customHeight="1" x14ac:dyDescent="0.3"/>
    <row r="2" spans="1:38" ht="20.100000000000001" customHeight="1" x14ac:dyDescent="0.3"/>
    <row r="3" spans="1:38" ht="20.100000000000001" customHeight="1" x14ac:dyDescent="0.3">
      <c r="C3" s="4" t="s">
        <v>236</v>
      </c>
      <c r="Z3" s="672" t="s">
        <v>251</v>
      </c>
    </row>
    <row r="4" spans="1:38" ht="20.100000000000001" customHeight="1" x14ac:dyDescent="0.3">
      <c r="H4" s="597"/>
      <c r="X4" s="5" t="s">
        <v>142</v>
      </c>
      <c r="AK4" s="5" t="s">
        <v>208</v>
      </c>
    </row>
    <row r="5" spans="1:38" ht="27" customHeight="1" thickBot="1" x14ac:dyDescent="0.35">
      <c r="C5" s="809" t="s">
        <v>78</v>
      </c>
      <c r="D5" s="810"/>
      <c r="E5" s="132" t="s">
        <v>190</v>
      </c>
      <c r="F5" s="133"/>
      <c r="G5" s="133"/>
      <c r="H5" s="133"/>
      <c r="I5" s="134"/>
      <c r="J5" s="133" t="s">
        <v>237</v>
      </c>
      <c r="K5" s="133"/>
      <c r="L5" s="133"/>
      <c r="M5" s="133"/>
      <c r="N5" s="134"/>
      <c r="O5" s="135"/>
      <c r="P5" s="809" t="s">
        <v>238</v>
      </c>
      <c r="Q5" s="810"/>
      <c r="R5" s="810"/>
      <c r="S5" s="810"/>
      <c r="T5" s="810"/>
      <c r="U5" s="810"/>
      <c r="V5" s="810"/>
      <c r="W5" s="810"/>
      <c r="X5" s="813"/>
      <c r="Z5" s="825" t="s">
        <v>203</v>
      </c>
      <c r="AA5" s="822"/>
      <c r="AB5" s="822" t="str">
        <f>+E5</f>
        <v>11월</v>
      </c>
      <c r="AC5" s="823"/>
      <c r="AD5" s="822"/>
      <c r="AE5" s="822"/>
      <c r="AF5" s="824"/>
      <c r="AG5" s="825" t="str">
        <f>+J5</f>
        <v>11월 누계</v>
      </c>
      <c r="AH5" s="823"/>
      <c r="AI5" s="822"/>
      <c r="AJ5" s="822"/>
      <c r="AK5" s="826"/>
    </row>
    <row r="6" spans="1:38" ht="27" customHeight="1" thickTop="1" thickBot="1" x14ac:dyDescent="0.35">
      <c r="A6" t="s">
        <v>235</v>
      </c>
      <c r="C6" s="811"/>
      <c r="D6" s="812"/>
      <c r="E6" s="208" t="s">
        <v>79</v>
      </c>
      <c r="F6" s="327" t="s">
        <v>80</v>
      </c>
      <c r="G6" s="324" t="s">
        <v>81</v>
      </c>
      <c r="H6" s="136" t="s">
        <v>82</v>
      </c>
      <c r="I6" s="137" t="s">
        <v>83</v>
      </c>
      <c r="J6" s="208" t="s">
        <v>79</v>
      </c>
      <c r="K6" s="327" t="s">
        <v>80</v>
      </c>
      <c r="L6" s="324" t="s">
        <v>81</v>
      </c>
      <c r="M6" s="136" t="s">
        <v>82</v>
      </c>
      <c r="N6" s="137" t="s">
        <v>83</v>
      </c>
      <c r="O6" s="135"/>
      <c r="P6" s="811"/>
      <c r="Q6" s="812"/>
      <c r="R6" s="812"/>
      <c r="S6" s="812"/>
      <c r="T6" s="812"/>
      <c r="U6" s="812"/>
      <c r="V6" s="812"/>
      <c r="W6" s="812"/>
      <c r="X6" s="814"/>
      <c r="Z6" s="828"/>
      <c r="AA6" s="829"/>
      <c r="AB6" s="688" t="str">
        <f>+E6</f>
        <v>계획</v>
      </c>
      <c r="AC6" s="689" t="str">
        <f>+F6</f>
        <v>실적</v>
      </c>
      <c r="AD6" s="690" t="str">
        <f>+G6</f>
        <v>계획대비</v>
      </c>
      <c r="AE6" s="691" t="str">
        <f t="shared" ref="AE6:AK7" si="0">+H6</f>
        <v>전년</v>
      </c>
      <c r="AF6" s="692" t="str">
        <f t="shared" si="0"/>
        <v>전년대비</v>
      </c>
      <c r="AG6" s="693" t="str">
        <f t="shared" si="0"/>
        <v>계획</v>
      </c>
      <c r="AH6" s="689" t="str">
        <f t="shared" si="0"/>
        <v>실적</v>
      </c>
      <c r="AI6" s="690" t="str">
        <f t="shared" si="0"/>
        <v>계획대비</v>
      </c>
      <c r="AJ6" s="691" t="str">
        <f t="shared" si="0"/>
        <v>전년</v>
      </c>
      <c r="AK6" s="688" t="str">
        <f t="shared" si="0"/>
        <v>전년대비</v>
      </c>
    </row>
    <row r="7" spans="1:38" ht="21.75" customHeight="1" x14ac:dyDescent="0.3">
      <c r="A7" s="597">
        <f>+F7/E7</f>
        <v>0.87708906249999996</v>
      </c>
      <c r="B7" s="597">
        <f>+K7/J7</f>
        <v>0.97288613938919322</v>
      </c>
      <c r="C7" s="100" t="s">
        <v>0</v>
      </c>
      <c r="D7" s="101" t="s">
        <v>53</v>
      </c>
      <c r="E7" s="769">
        <f>+'[1]11월'!$Z$7/1000</f>
        <v>320</v>
      </c>
      <c r="F7" s="770">
        <f>+'[2]11월'!$Z$7/1000</f>
        <v>280.66849999999999</v>
      </c>
      <c r="G7" s="745">
        <f>+F7-E7</f>
        <v>-39.331500000000005</v>
      </c>
      <c r="H7" s="746">
        <f>+'[3]11월'!$Z$7/1000</f>
        <v>359.19918000000001</v>
      </c>
      <c r="I7" s="747">
        <f>+F7-H7</f>
        <v>-78.530680000000018</v>
      </c>
      <c r="J7" s="769">
        <f>+[4]손익총괄!J7+E7</f>
        <v>3192.5</v>
      </c>
      <c r="K7" s="770">
        <f>+[4]손익총괄!K7+F7</f>
        <v>3105.9389999999994</v>
      </c>
      <c r="L7" s="745">
        <f t="shared" ref="L7:L36" si="1">+K7-J7</f>
        <v>-86.561000000000604</v>
      </c>
      <c r="M7" s="746">
        <f>+[4]손익총괄!M7+H7</f>
        <v>3559.7181800000003</v>
      </c>
      <c r="N7" s="747">
        <f t="shared" ref="N7:N36" si="2">+K7-M7</f>
        <v>-453.77918000000091</v>
      </c>
      <c r="O7" s="99"/>
      <c r="P7" s="102"/>
      <c r="Q7" s="103" t="s">
        <v>105</v>
      </c>
      <c r="R7" s="103"/>
      <c r="S7" s="99"/>
      <c r="T7" s="99"/>
      <c r="U7" s="99"/>
      <c r="V7" s="99"/>
      <c r="W7" s="99"/>
      <c r="X7" s="104"/>
      <c r="Y7" s="597"/>
      <c r="Z7" s="821" t="s">
        <v>204</v>
      </c>
      <c r="AA7" s="731" t="str">
        <f t="shared" ref="AA7:AA13" si="3">+D7</f>
        <v>레미콘</v>
      </c>
      <c r="AB7" s="732">
        <f>+E7</f>
        <v>320</v>
      </c>
      <c r="AC7" s="733">
        <f>+F7</f>
        <v>280.66849999999999</v>
      </c>
      <c r="AD7" s="734">
        <f>+AC7-AB7</f>
        <v>-39.331500000000005</v>
      </c>
      <c r="AE7" s="735">
        <f t="shared" si="0"/>
        <v>359.19918000000001</v>
      </c>
      <c r="AF7" s="736">
        <f>+AC7-AE7</f>
        <v>-78.530680000000018</v>
      </c>
      <c r="AG7" s="737">
        <f>+J7</f>
        <v>3192.5</v>
      </c>
      <c r="AH7" s="733">
        <f>+K7</f>
        <v>3105.9389999999994</v>
      </c>
      <c r="AI7" s="734">
        <f>+AH7-AG7</f>
        <v>-86.561000000000604</v>
      </c>
      <c r="AJ7" s="735">
        <f>+M7</f>
        <v>3559.7181800000003</v>
      </c>
      <c r="AK7" s="732">
        <f>+AH7-AJ7</f>
        <v>-453.77918000000091</v>
      </c>
    </row>
    <row r="8" spans="1:38" ht="21.75" customHeight="1" x14ac:dyDescent="0.3">
      <c r="B8" s="597"/>
      <c r="C8" s="100"/>
      <c r="D8" s="105" t="s">
        <v>86</v>
      </c>
      <c r="E8" s="771">
        <f>+'[1]11월'!$AA$7</f>
        <v>9200</v>
      </c>
      <c r="F8" s="772">
        <f>+'[2]11월'!$AO$7</f>
        <v>10221.802</v>
      </c>
      <c r="G8" s="748">
        <f>+F8-E8</f>
        <v>1021.8019999999997</v>
      </c>
      <c r="H8" s="749">
        <f>+'[3]11월'!$AO$7</f>
        <v>10109.272999999999</v>
      </c>
      <c r="I8" s="750">
        <f>+F8-H8</f>
        <v>112.52900000000045</v>
      </c>
      <c r="J8" s="771">
        <f>+[4]손익총괄!J8+E8</f>
        <v>81400</v>
      </c>
      <c r="K8" s="772">
        <f>+[4]손익총괄!K8+F8</f>
        <v>97161.153999999995</v>
      </c>
      <c r="L8" s="748">
        <f t="shared" si="1"/>
        <v>15761.153999999995</v>
      </c>
      <c r="M8" s="749">
        <f>+[4]손익총괄!M8+H8</f>
        <v>88735.037000000011</v>
      </c>
      <c r="N8" s="750">
        <f t="shared" si="2"/>
        <v>8426.1169999999838</v>
      </c>
      <c r="O8" s="99"/>
      <c r="P8" s="102"/>
      <c r="Q8" s="338" t="s">
        <v>70</v>
      </c>
      <c r="R8" s="339"/>
      <c r="S8" s="340" t="s">
        <v>15</v>
      </c>
      <c r="T8" s="341" t="s">
        <v>84</v>
      </c>
      <c r="U8" s="342" t="s">
        <v>71</v>
      </c>
      <c r="V8" s="341" t="s">
        <v>52</v>
      </c>
      <c r="W8" s="343" t="s">
        <v>72</v>
      </c>
      <c r="X8" s="104"/>
      <c r="Y8" s="597"/>
      <c r="Z8" s="821"/>
      <c r="AA8" s="666" t="str">
        <f t="shared" si="3"/>
        <v>철강재</v>
      </c>
      <c r="AB8" s="725">
        <f>+E8/1000</f>
        <v>9.1999999999999993</v>
      </c>
      <c r="AC8" s="726">
        <f>+F8/1000</f>
        <v>10.221802</v>
      </c>
      <c r="AD8" s="727">
        <f t="shared" ref="AD8:AD18" si="4">+AC8-AB8</f>
        <v>1.021802000000001</v>
      </c>
      <c r="AE8" s="728">
        <f>+H8/1000</f>
        <v>10.109273</v>
      </c>
      <c r="AF8" s="729">
        <f t="shared" ref="AF8:AF21" si="5">+AC8-AE8</f>
        <v>0.11252900000000032</v>
      </c>
      <c r="AG8" s="730">
        <f>+J8/1000</f>
        <v>81.400000000000006</v>
      </c>
      <c r="AH8" s="726">
        <f>+K8/1000</f>
        <v>97.161153999999996</v>
      </c>
      <c r="AI8" s="727">
        <f t="shared" ref="AI8:AI22" si="6">+AH8-AG8</f>
        <v>15.761153999999991</v>
      </c>
      <c r="AJ8" s="728">
        <f>+M8/1000</f>
        <v>88.735037000000005</v>
      </c>
      <c r="AK8" s="725">
        <f t="shared" ref="AK8:AK22" si="7">+AH8-AJ8</f>
        <v>8.4261169999999908</v>
      </c>
    </row>
    <row r="9" spans="1:38" ht="21.75" customHeight="1" x14ac:dyDescent="0.3">
      <c r="B9" s="597"/>
      <c r="C9" s="100"/>
      <c r="D9" s="105" t="s">
        <v>1</v>
      </c>
      <c r="E9" s="771">
        <f>+'[1]11월'!$AE$7/1000</f>
        <v>124.6345471507767</v>
      </c>
      <c r="F9" s="772">
        <f>+'[2]11월'!$AN$7/1000</f>
        <v>66.126000000000005</v>
      </c>
      <c r="G9" s="748">
        <f t="shared" ref="G9:G36" si="8">+F9-E9</f>
        <v>-58.508547150776693</v>
      </c>
      <c r="H9" s="749">
        <f>+'[3]11월'!$AN$7/1000</f>
        <v>105.474</v>
      </c>
      <c r="I9" s="750">
        <f t="shared" ref="I9:I36" si="9">+F9-H9</f>
        <v>-39.347999999999999</v>
      </c>
      <c r="J9" s="771">
        <f>+[4]손익총괄!J9+E9</f>
        <v>1105.0942096955121</v>
      </c>
      <c r="K9" s="772">
        <f>+[4]손익총괄!K9+F9</f>
        <v>780.43100000000004</v>
      </c>
      <c r="L9" s="748">
        <f t="shared" si="1"/>
        <v>-324.66320969551202</v>
      </c>
      <c r="M9" s="749">
        <f>+[4]손익총괄!M9+H9</f>
        <v>777.86700000000008</v>
      </c>
      <c r="N9" s="750">
        <f t="shared" si="2"/>
        <v>2.5639999999999645</v>
      </c>
      <c r="O9" s="99"/>
      <c r="P9" s="102"/>
      <c r="Q9" s="106" t="s">
        <v>66</v>
      </c>
      <c r="R9" s="301" t="s">
        <v>19</v>
      </c>
      <c r="S9" s="314">
        <f>+[5]수도권!$T$5/1000</f>
        <v>121.5</v>
      </c>
      <c r="T9" s="107">
        <f>+[5]수도권!$U$5/1000</f>
        <v>107.646</v>
      </c>
      <c r="U9" s="745">
        <f>+T9-S9</f>
        <v>-13.853999999999999</v>
      </c>
      <c r="V9" s="746">
        <f>+[6]수도권!$T$5/1000</f>
        <v>139.27168</v>
      </c>
      <c r="W9" s="747">
        <f>+T9-V9</f>
        <v>-31.625680000000003</v>
      </c>
      <c r="X9" s="104"/>
      <c r="Y9" s="597"/>
      <c r="Z9" s="827"/>
      <c r="AA9" s="668" t="str">
        <f t="shared" si="3"/>
        <v>골재</v>
      </c>
      <c r="AB9" s="674">
        <f>+E9</f>
        <v>124.6345471507767</v>
      </c>
      <c r="AC9" s="680">
        <f>+F9</f>
        <v>66.126000000000005</v>
      </c>
      <c r="AD9" s="677">
        <f t="shared" si="4"/>
        <v>-58.508547150776693</v>
      </c>
      <c r="AE9" s="670">
        <f>+H9</f>
        <v>105.474</v>
      </c>
      <c r="AF9" s="686">
        <f t="shared" si="5"/>
        <v>-39.347999999999999</v>
      </c>
      <c r="AG9" s="683">
        <f>+J9</f>
        <v>1105.0942096955121</v>
      </c>
      <c r="AH9" s="680">
        <f>+K9</f>
        <v>780.43100000000004</v>
      </c>
      <c r="AI9" s="677">
        <f t="shared" si="6"/>
        <v>-324.66320969551202</v>
      </c>
      <c r="AJ9" s="670">
        <f>+M9</f>
        <v>777.86700000000008</v>
      </c>
      <c r="AK9" s="674">
        <f t="shared" si="7"/>
        <v>2.5639999999999645</v>
      </c>
    </row>
    <row r="10" spans="1:38" ht="21.75" customHeight="1" x14ac:dyDescent="0.3">
      <c r="B10" s="597"/>
      <c r="C10" s="108" t="s">
        <v>2</v>
      </c>
      <c r="D10" s="109" t="s">
        <v>53</v>
      </c>
      <c r="E10" s="773">
        <f>+'[1]11월'!$Z$8/1000</f>
        <v>32971.102981605305</v>
      </c>
      <c r="F10" s="774">
        <f>+'[2]11월'!$Z$8/1000</f>
        <v>28069.669145</v>
      </c>
      <c r="G10" s="775">
        <f t="shared" si="8"/>
        <v>-4901.4338366053053</v>
      </c>
      <c r="H10" s="776">
        <f>+'[3]11월'!$Z$8/1000</f>
        <v>34627.748308999995</v>
      </c>
      <c r="I10" s="777">
        <f t="shared" si="9"/>
        <v>-6558.0791639999952</v>
      </c>
      <c r="J10" s="773">
        <f>+[4]손익총괄!J10+E10</f>
        <v>325751.35061406577</v>
      </c>
      <c r="K10" s="774">
        <f>+[4]손익총괄!K10+F10</f>
        <v>312392.52985799999</v>
      </c>
      <c r="L10" s="775">
        <f t="shared" si="1"/>
        <v>-13358.820756065776</v>
      </c>
      <c r="M10" s="776">
        <f>+[4]손익총괄!M10+H10</f>
        <v>343943.94308699999</v>
      </c>
      <c r="N10" s="777">
        <f t="shared" si="2"/>
        <v>-31551.413228999998</v>
      </c>
      <c r="O10" s="99"/>
      <c r="P10" s="102"/>
      <c r="Q10" s="110"/>
      <c r="R10" s="302" t="s">
        <v>20</v>
      </c>
      <c r="S10" s="315">
        <f>+[5]영남권!$T$5/1000</f>
        <v>139.5</v>
      </c>
      <c r="T10" s="111">
        <f>+[5]영남권!$U$5/1000</f>
        <v>121.551</v>
      </c>
      <c r="U10" s="748">
        <f t="shared" ref="U10:U20" si="10">+T10-S10</f>
        <v>-17.948999999999998</v>
      </c>
      <c r="V10" s="749">
        <f>+[6]영남권!$T$5/1000</f>
        <v>155.15899999999999</v>
      </c>
      <c r="W10" s="750">
        <f t="shared" ref="W10:W20" si="11">+T10-V10</f>
        <v>-33.60799999999999</v>
      </c>
      <c r="X10" s="104"/>
      <c r="Y10" s="597"/>
      <c r="Z10" s="821" t="s">
        <v>205</v>
      </c>
      <c r="AA10" s="731" t="str">
        <f t="shared" si="3"/>
        <v>레미콘</v>
      </c>
      <c r="AB10" s="732">
        <f t="shared" ref="AB10:AC13" si="12">+E10/100</f>
        <v>329.71102981605304</v>
      </c>
      <c r="AC10" s="733">
        <f t="shared" si="12"/>
        <v>280.69669145</v>
      </c>
      <c r="AD10" s="734">
        <f t="shared" si="4"/>
        <v>-49.014338366053039</v>
      </c>
      <c r="AE10" s="735">
        <f>+H10/100</f>
        <v>346.27748308999998</v>
      </c>
      <c r="AF10" s="736">
        <f t="shared" si="5"/>
        <v>-65.580791639999973</v>
      </c>
      <c r="AG10" s="737">
        <f t="shared" ref="AG10:AH13" si="13">+J10/100</f>
        <v>3257.5135061406577</v>
      </c>
      <c r="AH10" s="733">
        <f t="shared" si="13"/>
        <v>3123.9252985799999</v>
      </c>
      <c r="AI10" s="734">
        <f t="shared" si="6"/>
        <v>-133.58820756065779</v>
      </c>
      <c r="AJ10" s="735">
        <f>+M10/100</f>
        <v>3439.4394308699998</v>
      </c>
      <c r="AK10" s="732">
        <f t="shared" si="7"/>
        <v>-315.51413228999991</v>
      </c>
    </row>
    <row r="11" spans="1:38" ht="21.75" customHeight="1" x14ac:dyDescent="0.3">
      <c r="B11" s="597"/>
      <c r="C11" s="100"/>
      <c r="D11" s="105" t="s">
        <v>3</v>
      </c>
      <c r="E11" s="771">
        <f>+'[1]11월'!$AA$8/1000</f>
        <v>11242.202105263157</v>
      </c>
      <c r="F11" s="772">
        <f>+'[2]11월'!$AO$8/1000</f>
        <v>9942.8690210000004</v>
      </c>
      <c r="G11" s="748">
        <f>+F11-E11</f>
        <v>-1299.3330842631567</v>
      </c>
      <c r="H11" s="749">
        <f>+'[3]11월'!$AO$8/1000</f>
        <v>12404.880214999999</v>
      </c>
      <c r="I11" s="750">
        <f>+F11-H11</f>
        <v>-2462.0111939999988</v>
      </c>
      <c r="J11" s="771">
        <f>+[4]손익총괄!J11+E11</f>
        <v>99529.162105263167</v>
      </c>
      <c r="K11" s="772">
        <f>+[4]손익총괄!K11+F11</f>
        <v>96553.945347000015</v>
      </c>
      <c r="L11" s="748">
        <f t="shared" si="1"/>
        <v>-2975.2167582631519</v>
      </c>
      <c r="M11" s="749">
        <f>+[4]손익총괄!M11+H11</f>
        <v>108745.62416399999</v>
      </c>
      <c r="N11" s="750">
        <f t="shared" si="2"/>
        <v>-12191.678816999978</v>
      </c>
      <c r="O11" s="99"/>
      <c r="P11" s="102"/>
      <c r="Q11" s="110"/>
      <c r="R11" s="303" t="s">
        <v>170</v>
      </c>
      <c r="S11" s="316">
        <f>+[5]중부권!$T$5/1000</f>
        <v>59</v>
      </c>
      <c r="T11" s="112">
        <f>+[5]중부권!$U$5/1000</f>
        <v>51.471499999999999</v>
      </c>
      <c r="U11" s="751">
        <f t="shared" si="10"/>
        <v>-7.5285000000000011</v>
      </c>
      <c r="V11" s="752">
        <f>+[6]중부권!$T$5/1000</f>
        <v>64.768500000000003</v>
      </c>
      <c r="W11" s="753">
        <f t="shared" si="11"/>
        <v>-13.297000000000004</v>
      </c>
      <c r="X11" s="104"/>
      <c r="Y11" s="597"/>
      <c r="Z11" s="821"/>
      <c r="AA11" s="666" t="str">
        <f t="shared" si="3"/>
        <v>건자재</v>
      </c>
      <c r="AB11" s="673">
        <f t="shared" si="12"/>
        <v>112.42202105263158</v>
      </c>
      <c r="AC11" s="679">
        <f t="shared" si="12"/>
        <v>99.428690209999999</v>
      </c>
      <c r="AD11" s="676">
        <f t="shared" si="4"/>
        <v>-12.993330842631579</v>
      </c>
      <c r="AE11" s="669">
        <f>+H11/100</f>
        <v>124.04880214999999</v>
      </c>
      <c r="AF11" s="685">
        <f t="shared" si="5"/>
        <v>-24.620111939999987</v>
      </c>
      <c r="AG11" s="682">
        <f t="shared" si="13"/>
        <v>995.29162105263163</v>
      </c>
      <c r="AH11" s="679">
        <f t="shared" si="13"/>
        <v>965.53945347000013</v>
      </c>
      <c r="AI11" s="676">
        <f t="shared" si="6"/>
        <v>-29.7521675826315</v>
      </c>
      <c r="AJ11" s="669">
        <f>+M11/100</f>
        <v>1087.4562416399999</v>
      </c>
      <c r="AK11" s="673">
        <f t="shared" si="7"/>
        <v>-121.91678816999979</v>
      </c>
    </row>
    <row r="12" spans="1:38" ht="21.75" customHeight="1" x14ac:dyDescent="0.3">
      <c r="B12" s="597"/>
      <c r="C12" s="100"/>
      <c r="D12" s="105" t="s">
        <v>1</v>
      </c>
      <c r="E12" s="771">
        <f>+'[1]11월'!$AE$8/1000</f>
        <v>2273.0709367523846</v>
      </c>
      <c r="F12" s="772">
        <f>+'[2]11월'!$AN$8/1000</f>
        <v>1414.0255</v>
      </c>
      <c r="G12" s="748">
        <f t="shared" si="8"/>
        <v>-859.0454367523846</v>
      </c>
      <c r="H12" s="749">
        <f>+'[3]11월'!$AN$8/1000</f>
        <v>2014.7304999999999</v>
      </c>
      <c r="I12" s="750">
        <f t="shared" si="9"/>
        <v>-600.70499999999993</v>
      </c>
      <c r="J12" s="771">
        <f>+[4]손익총괄!J12+E12</f>
        <v>20875.565826009639</v>
      </c>
      <c r="K12" s="772">
        <f>+[4]손익총괄!K12+F12</f>
        <v>15789.629579999999</v>
      </c>
      <c r="L12" s="748">
        <f t="shared" si="1"/>
        <v>-5085.9362460096399</v>
      </c>
      <c r="M12" s="749">
        <f>+[4]손익총괄!M12+H12</f>
        <v>14872.9534</v>
      </c>
      <c r="N12" s="750">
        <f t="shared" si="2"/>
        <v>916.67617999999857</v>
      </c>
      <c r="O12" s="99"/>
      <c r="P12" s="102"/>
      <c r="Q12" s="113" t="s">
        <v>73</v>
      </c>
      <c r="R12" s="304"/>
      <c r="S12" s="317">
        <f>SUM(S9:S11)</f>
        <v>320</v>
      </c>
      <c r="T12" s="114">
        <f>SUM(T9:T11)</f>
        <v>280.66849999999999</v>
      </c>
      <c r="U12" s="754">
        <f t="shared" si="10"/>
        <v>-39.331500000000005</v>
      </c>
      <c r="V12" s="755">
        <f>SUM(V9:V11)</f>
        <v>359.19918000000001</v>
      </c>
      <c r="W12" s="756">
        <f t="shared" si="11"/>
        <v>-78.530680000000018</v>
      </c>
      <c r="X12" s="104"/>
      <c r="Z12" s="821"/>
      <c r="AA12" s="666" t="str">
        <f t="shared" si="3"/>
        <v>골재</v>
      </c>
      <c r="AB12" s="673">
        <f t="shared" si="12"/>
        <v>22.730709367523847</v>
      </c>
      <c r="AC12" s="679">
        <f t="shared" si="12"/>
        <v>14.140255</v>
      </c>
      <c r="AD12" s="676">
        <f t="shared" si="4"/>
        <v>-8.5904543675238472</v>
      </c>
      <c r="AE12" s="669">
        <f>+H12/100</f>
        <v>20.147304999999999</v>
      </c>
      <c r="AF12" s="685">
        <f t="shared" si="5"/>
        <v>-6.0070499999999996</v>
      </c>
      <c r="AG12" s="682">
        <f t="shared" si="13"/>
        <v>208.7556582600964</v>
      </c>
      <c r="AH12" s="679">
        <f t="shared" si="13"/>
        <v>157.89629579999999</v>
      </c>
      <c r="AI12" s="676">
        <f t="shared" si="6"/>
        <v>-50.859362460096406</v>
      </c>
      <c r="AJ12" s="669">
        <f>+M12/100</f>
        <v>148.729534</v>
      </c>
      <c r="AK12" s="673">
        <f t="shared" si="7"/>
        <v>9.1667617999999891</v>
      </c>
    </row>
    <row r="13" spans="1:38" ht="21.75" customHeight="1" x14ac:dyDescent="0.3">
      <c r="B13" s="597"/>
      <c r="C13" s="100"/>
      <c r="D13" s="115" t="s">
        <v>4</v>
      </c>
      <c r="E13" s="778">
        <f>+'[1]11월'!$E$8/1000-E10-E11-E12</f>
        <v>164.90750033333507</v>
      </c>
      <c r="F13" s="779">
        <f>+'[2]11월'!$F$8/1000-F10-F11-F12</f>
        <v>165.32456800000523</v>
      </c>
      <c r="G13" s="751">
        <f t="shared" si="8"/>
        <v>0.41706766667016382</v>
      </c>
      <c r="H13" s="752">
        <f>+'[3]11월'!$F$8/1000-H10-H11-H12</f>
        <v>186.35541899999566</v>
      </c>
      <c r="I13" s="753">
        <f t="shared" si="9"/>
        <v>-21.030850999990435</v>
      </c>
      <c r="J13" s="778">
        <f>+[4]손익총괄!J13+E13</f>
        <v>1814.5825036666552</v>
      </c>
      <c r="K13" s="779">
        <f>+[4]손익총괄!K13+F13</f>
        <v>1821.6955299999986</v>
      </c>
      <c r="L13" s="751">
        <f t="shared" si="1"/>
        <v>7.1130263333434414</v>
      </c>
      <c r="M13" s="752">
        <f>+[4]손익총괄!M13+H13</f>
        <v>2141.8556510000099</v>
      </c>
      <c r="N13" s="753">
        <f t="shared" si="2"/>
        <v>-320.16012100001126</v>
      </c>
      <c r="O13" s="99"/>
      <c r="P13" s="102"/>
      <c r="Q13" s="106" t="s">
        <v>74</v>
      </c>
      <c r="R13" s="301" t="s">
        <v>19</v>
      </c>
      <c r="S13" s="314">
        <f>+[5]수도권!$T$61</f>
        <v>102195.91095148401</v>
      </c>
      <c r="T13" s="107">
        <f>+[5]수도권!$U$61</f>
        <v>97363.140990806569</v>
      </c>
      <c r="U13" s="745">
        <f t="shared" si="10"/>
        <v>-4832.7699606774404</v>
      </c>
      <c r="V13" s="746">
        <f>+[6]수도권!$Q$85</f>
        <v>94344.988732817117</v>
      </c>
      <c r="W13" s="747">
        <f t="shared" si="11"/>
        <v>3018.1522579894518</v>
      </c>
      <c r="X13" s="104"/>
      <c r="Z13" s="821"/>
      <c r="AA13" s="666" t="str">
        <f t="shared" si="3"/>
        <v>기타</v>
      </c>
      <c r="AB13" s="673">
        <f t="shared" si="12"/>
        <v>1.6490750033333506</v>
      </c>
      <c r="AC13" s="679">
        <f t="shared" si="12"/>
        <v>1.6532456800000523</v>
      </c>
      <c r="AD13" s="676">
        <f t="shared" si="4"/>
        <v>4.1706766667017892E-3</v>
      </c>
      <c r="AE13" s="669">
        <f>+H13/100</f>
        <v>1.8635541899999566</v>
      </c>
      <c r="AF13" s="685">
        <f t="shared" si="5"/>
        <v>-0.21030850999990425</v>
      </c>
      <c r="AG13" s="682">
        <f t="shared" si="13"/>
        <v>18.145825036666551</v>
      </c>
      <c r="AH13" s="679">
        <f t="shared" si="13"/>
        <v>18.216955299999984</v>
      </c>
      <c r="AI13" s="676">
        <f t="shared" si="6"/>
        <v>7.1130263333433419E-2</v>
      </c>
      <c r="AJ13" s="669">
        <f>+M13/100</f>
        <v>21.418556510000098</v>
      </c>
      <c r="AK13" s="673">
        <f t="shared" si="7"/>
        <v>-3.2016012100001134</v>
      </c>
    </row>
    <row r="14" spans="1:38" ht="21.75" customHeight="1" x14ac:dyDescent="0.3">
      <c r="A14" s="597">
        <f>+F14/E14</f>
        <v>0.84867736197806076</v>
      </c>
      <c r="B14" s="597">
        <f>+K14/J14</f>
        <v>0.95220030552031454</v>
      </c>
      <c r="C14" s="116" t="s">
        <v>8</v>
      </c>
      <c r="D14" s="117"/>
      <c r="E14" s="778">
        <f>SUM(E10:E13)</f>
        <v>46651.283523954182</v>
      </c>
      <c r="F14" s="779">
        <f>SUM(F10:F13)</f>
        <v>39591.888234000005</v>
      </c>
      <c r="G14" s="751">
        <f t="shared" si="8"/>
        <v>-7059.3952899541764</v>
      </c>
      <c r="H14" s="752">
        <f>SUM(H10:H13)</f>
        <v>49233.714442999983</v>
      </c>
      <c r="I14" s="753">
        <f t="shared" si="9"/>
        <v>-9641.8262089999771</v>
      </c>
      <c r="J14" s="778">
        <f>SUM(J10:J13)</f>
        <v>447970.66104900523</v>
      </c>
      <c r="K14" s="779">
        <f>SUM(K10:K13)</f>
        <v>426557.80031500006</v>
      </c>
      <c r="L14" s="751">
        <f t="shared" si="1"/>
        <v>-21412.860734005168</v>
      </c>
      <c r="M14" s="752">
        <f>SUM(M10:M13)</f>
        <v>469704.37630199996</v>
      </c>
      <c r="N14" s="753">
        <f t="shared" si="2"/>
        <v>-43146.575986999902</v>
      </c>
      <c r="O14" s="99"/>
      <c r="P14" s="102"/>
      <c r="Q14" s="110"/>
      <c r="R14" s="302" t="s">
        <v>20</v>
      </c>
      <c r="S14" s="315">
        <f>+[5]영남권!$T$61</f>
        <v>102613.8101218638</v>
      </c>
      <c r="T14" s="111">
        <f>+[5]영남권!$U$61</f>
        <v>100718.15908548675</v>
      </c>
      <c r="U14" s="748">
        <f t="shared" si="10"/>
        <v>-1895.6510363770503</v>
      </c>
      <c r="V14" s="749">
        <f>+[6]영남권!$Q$85</f>
        <v>97198.734060862349</v>
      </c>
      <c r="W14" s="750">
        <f t="shared" si="11"/>
        <v>3519.4250246244046</v>
      </c>
      <c r="X14" s="104"/>
      <c r="Y14" s="597"/>
      <c r="Z14" s="694"/>
      <c r="AA14" s="704" t="s">
        <v>207</v>
      </c>
      <c r="AB14" s="705">
        <f>SUM(AB10:AB13)</f>
        <v>466.5128352395418</v>
      </c>
      <c r="AC14" s="722">
        <f t="shared" ref="AC14:AJ14" si="14">SUM(AC10:AC13)</f>
        <v>395.9188823400001</v>
      </c>
      <c r="AD14" s="706">
        <f t="shared" si="4"/>
        <v>-70.593952899541705</v>
      </c>
      <c r="AE14" s="707">
        <f t="shared" si="14"/>
        <v>492.33714442999991</v>
      </c>
      <c r="AF14" s="708">
        <f t="shared" si="5"/>
        <v>-96.418262089999814</v>
      </c>
      <c r="AG14" s="709">
        <f t="shared" si="14"/>
        <v>4479.7066104900523</v>
      </c>
      <c r="AH14" s="722">
        <f t="shared" si="14"/>
        <v>4265.5780031500008</v>
      </c>
      <c r="AI14" s="706">
        <f t="shared" si="6"/>
        <v>-214.12860734005153</v>
      </c>
      <c r="AJ14" s="707">
        <f t="shared" si="14"/>
        <v>4697.0437630199995</v>
      </c>
      <c r="AK14" s="705">
        <f t="shared" si="7"/>
        <v>-431.46575986999869</v>
      </c>
    </row>
    <row r="15" spans="1:38" ht="21.75" customHeight="1" x14ac:dyDescent="0.3">
      <c r="C15" s="100" t="s">
        <v>5</v>
      </c>
      <c r="D15" s="109" t="s">
        <v>53</v>
      </c>
      <c r="E15" s="773">
        <f>+('[1]11월'!$Z$10+'[1]11월'!$Z$19)/1000</f>
        <v>27072.088841585581</v>
      </c>
      <c r="F15" s="774">
        <f>+('[2]11월'!$Z$10+'[2]11월'!$Z$19)/1000</f>
        <v>25171.805039999996</v>
      </c>
      <c r="G15" s="775">
        <f t="shared" si="8"/>
        <v>-1900.283801585585</v>
      </c>
      <c r="H15" s="776">
        <f>+('[3]11월'!$Z$10+'[3]11월'!$Z$19)/1000</f>
        <v>30176.667281000002</v>
      </c>
      <c r="I15" s="777">
        <f t="shared" si="9"/>
        <v>-5004.8622410000062</v>
      </c>
      <c r="J15" s="773">
        <f>+[4]손익총괄!J15+E15</f>
        <v>271161.94883466873</v>
      </c>
      <c r="K15" s="774">
        <f>+[4]손익총괄!K15+F15</f>
        <v>272340.28749799001</v>
      </c>
      <c r="L15" s="775">
        <f t="shared" si="1"/>
        <v>1178.3386633212795</v>
      </c>
      <c r="M15" s="776">
        <f>+[4]손익총괄!M15+H15</f>
        <v>284970.03732400999</v>
      </c>
      <c r="N15" s="777">
        <f t="shared" si="2"/>
        <v>-12629.749826019979</v>
      </c>
      <c r="O15" s="99"/>
      <c r="P15" s="102"/>
      <c r="Q15" s="110"/>
      <c r="R15" s="303" t="s">
        <v>169</v>
      </c>
      <c r="S15" s="316">
        <f>+[5]중부권!$T$61</f>
        <v>105757.17438983051</v>
      </c>
      <c r="T15" s="112">
        <f>+[5]중부권!$U$61</f>
        <v>103847.08571540602</v>
      </c>
      <c r="U15" s="751">
        <f t="shared" si="10"/>
        <v>-1910.0886744244926</v>
      </c>
      <c r="V15" s="752">
        <f>+[6]중부권!$Q$85</f>
        <v>98678.012633921942</v>
      </c>
      <c r="W15" s="753">
        <f t="shared" si="11"/>
        <v>5169.073081484079</v>
      </c>
      <c r="X15" s="104"/>
      <c r="Z15" s="789" t="s">
        <v>206</v>
      </c>
      <c r="AA15" s="738" t="str">
        <f>+D30</f>
        <v>레미콘</v>
      </c>
      <c r="AB15" s="739">
        <f>+E30/100</f>
        <v>52.632179800197243</v>
      </c>
      <c r="AC15" s="740">
        <f>+F30/100</f>
        <v>21.959233970000042</v>
      </c>
      <c r="AD15" s="741">
        <f t="shared" si="4"/>
        <v>-30.6729458301972</v>
      </c>
      <c r="AE15" s="742">
        <f>+H30/100</f>
        <v>37.42873402999993</v>
      </c>
      <c r="AF15" s="743">
        <f t="shared" si="5"/>
        <v>-15.469500059999888</v>
      </c>
      <c r="AG15" s="744">
        <f>+J30/100</f>
        <v>473.29443207397037</v>
      </c>
      <c r="AH15" s="740">
        <f>+K30/100</f>
        <v>324.69060133009987</v>
      </c>
      <c r="AI15" s="741">
        <f t="shared" si="6"/>
        <v>-148.6038307438705</v>
      </c>
      <c r="AJ15" s="742">
        <f>+M30/100</f>
        <v>515.43262534990004</v>
      </c>
      <c r="AK15" s="739">
        <f t="shared" si="7"/>
        <v>-190.74202401980017</v>
      </c>
    </row>
    <row r="16" spans="1:38" ht="21.75" customHeight="1" x14ac:dyDescent="0.3">
      <c r="C16" s="100"/>
      <c r="D16" s="105" t="s">
        <v>3</v>
      </c>
      <c r="E16" s="771">
        <f>+('[1]11월'!$AA$10+'[1]11월'!$AA$19)/1000</f>
        <v>10954.962716042106</v>
      </c>
      <c r="F16" s="772">
        <f>+('[2]11월'!$AO$10+'[2]11월'!$AO$19)/1000</f>
        <v>9692.7754810000006</v>
      </c>
      <c r="G16" s="748">
        <f>+F16-E16</f>
        <v>-1262.1872350421054</v>
      </c>
      <c r="H16" s="749">
        <f>+('[3]11월'!$AO$10+'[3]11월'!$AO$19)/1000</f>
        <v>12188.790817999999</v>
      </c>
      <c r="I16" s="750">
        <f>+F16-H16</f>
        <v>-2496.0153369999989</v>
      </c>
      <c r="J16" s="771">
        <f>+[4]손익총괄!J16+E16</f>
        <v>96983.428447242099</v>
      </c>
      <c r="K16" s="772">
        <f>+[4]손익총괄!K16+F16</f>
        <v>94392.929130000004</v>
      </c>
      <c r="L16" s="748">
        <f t="shared" si="1"/>
        <v>-2590.4993172420945</v>
      </c>
      <c r="M16" s="749">
        <f>+[4]손익총괄!M16+H16</f>
        <v>106558.76994899998</v>
      </c>
      <c r="N16" s="750">
        <f t="shared" si="2"/>
        <v>-12165.840818999975</v>
      </c>
      <c r="O16" s="99"/>
      <c r="P16" s="102"/>
      <c r="Q16" s="113" t="s">
        <v>73</v>
      </c>
      <c r="R16" s="304"/>
      <c r="S16" s="317">
        <f>+[5]합계!$T$61</f>
        <v>103034.69681751658</v>
      </c>
      <c r="T16" s="114">
        <f>+[5]합계!$U$61</f>
        <v>100000.49797339522</v>
      </c>
      <c r="U16" s="754">
        <f>+T16-S16</f>
        <v>-3034.1988441213616</v>
      </c>
      <c r="V16" s="755">
        <f>+[6]합계!$Q$85</f>
        <v>96359.433871623667</v>
      </c>
      <c r="W16" s="756">
        <f>+T16-V16</f>
        <v>3641.0641017715534</v>
      </c>
      <c r="X16" s="104"/>
      <c r="Z16" s="790"/>
      <c r="AA16" s="696" t="str">
        <f>+D31</f>
        <v>%</v>
      </c>
      <c r="AB16" s="697">
        <f>+E31</f>
        <v>0.15963123778285768</v>
      </c>
      <c r="AC16" s="698">
        <f>+F31</f>
        <v>7.8231182051219872E-2</v>
      </c>
      <c r="AD16" s="699">
        <f t="shared" si="4"/>
        <v>-8.1400055731637805E-2</v>
      </c>
      <c r="AE16" s="700">
        <f>+H31</f>
        <v>0.10808884740643659</v>
      </c>
      <c r="AF16" s="701">
        <f t="shared" si="5"/>
        <v>-2.9857665355216723E-2</v>
      </c>
      <c r="AG16" s="702">
        <f>+J31</f>
        <v>0.14529316031438544</v>
      </c>
      <c r="AH16" s="698">
        <f>+K31</f>
        <v>0.10393673673237001</v>
      </c>
      <c r="AI16" s="699">
        <f t="shared" si="6"/>
        <v>-4.1356423582015425E-2</v>
      </c>
      <c r="AJ16" s="700">
        <f>+M31</f>
        <v>0.14985948603244403</v>
      </c>
      <c r="AK16" s="697">
        <f t="shared" si="7"/>
        <v>-4.592274930007402E-2</v>
      </c>
      <c r="AL16" s="703"/>
    </row>
    <row r="17" spans="2:37" ht="21.75" customHeight="1" x14ac:dyDescent="0.3">
      <c r="C17" s="100"/>
      <c r="D17" s="105" t="s">
        <v>1</v>
      </c>
      <c r="E17" s="771">
        <f>+('[1]11월'!$AE$10+'[1]11월'!$AE$19)/1000</f>
        <v>1978.6361876794092</v>
      </c>
      <c r="F17" s="772">
        <f>+('[2]11월'!$AN$10+'[2]11월'!$AN$19)/1000</f>
        <v>1633.2769580000001</v>
      </c>
      <c r="G17" s="748">
        <f t="shared" si="8"/>
        <v>-345.35922967940905</v>
      </c>
      <c r="H17" s="749">
        <f>+('[3]11월'!$AN$10+'[3]11월'!$AN$19)/1000</f>
        <v>1876.957318</v>
      </c>
      <c r="I17" s="750">
        <f t="shared" si="9"/>
        <v>-243.68035999999984</v>
      </c>
      <c r="J17" s="771">
        <f>+[4]손익총괄!J17+E17</f>
        <v>18486.773109789505</v>
      </c>
      <c r="K17" s="772">
        <f>+[4]손익총괄!K17+F17</f>
        <v>15409.909845</v>
      </c>
      <c r="L17" s="748">
        <f t="shared" si="1"/>
        <v>-3076.8632647895047</v>
      </c>
      <c r="M17" s="749">
        <f>+[4]손익총괄!M17+H17</f>
        <v>13679.935332969999</v>
      </c>
      <c r="N17" s="750">
        <f t="shared" si="2"/>
        <v>1729.9745120300013</v>
      </c>
      <c r="O17" s="99"/>
      <c r="P17" s="102"/>
      <c r="Q17" s="296" t="s">
        <v>75</v>
      </c>
      <c r="R17" s="305" t="s">
        <v>19</v>
      </c>
      <c r="S17" s="318">
        <f>+[5]수도권!$Q$90</f>
        <v>22997.89998821239</v>
      </c>
      <c r="T17" s="118">
        <f>+[5]수도권!$R$90</f>
        <v>14160.070246709671</v>
      </c>
      <c r="U17" s="757">
        <f t="shared" si="10"/>
        <v>-8837.8297415027191</v>
      </c>
      <c r="V17" s="758">
        <f>+[6]수도권!$Q$90</f>
        <v>13522.24291433164</v>
      </c>
      <c r="W17" s="759">
        <f t="shared" si="11"/>
        <v>637.82733237803041</v>
      </c>
      <c r="X17" s="104"/>
      <c r="Z17" s="790"/>
      <c r="AA17" s="667" t="str">
        <f>+D32</f>
        <v>건자재</v>
      </c>
      <c r="AB17" s="675">
        <f>+E32/100</f>
        <v>1.6573532922105119</v>
      </c>
      <c r="AC17" s="681">
        <f>+F32/100</f>
        <v>1.1835664899999983</v>
      </c>
      <c r="AD17" s="678">
        <f t="shared" si="4"/>
        <v>-0.47378680221051361</v>
      </c>
      <c r="AE17" s="671">
        <f>+H32/100</f>
        <v>0.98190128999999726</v>
      </c>
      <c r="AF17" s="687">
        <f t="shared" si="5"/>
        <v>0.20166520000000099</v>
      </c>
      <c r="AG17" s="684">
        <f>+J32/100</f>
        <v>11.613904280210683</v>
      </c>
      <c r="AH17" s="681">
        <f>+K32/100</f>
        <v>6.0186034800001131</v>
      </c>
      <c r="AI17" s="678">
        <f t="shared" si="6"/>
        <v>-5.5953008002105697</v>
      </c>
      <c r="AJ17" s="671">
        <f>+M32/100</f>
        <v>8.6828041200001369</v>
      </c>
      <c r="AK17" s="675">
        <f t="shared" si="7"/>
        <v>-2.6642006400000238</v>
      </c>
    </row>
    <row r="18" spans="2:37" ht="21.75" customHeight="1" x14ac:dyDescent="0.3">
      <c r="C18" s="100"/>
      <c r="D18" s="115" t="s">
        <v>4</v>
      </c>
      <c r="E18" s="778">
        <f>+('[1]11월'!$E$10+'[1]11월'!$E$19)/1000-E15-E16-E17</f>
        <v>65.289346999994223</v>
      </c>
      <c r="F18" s="779">
        <f>+('[2]11월'!$F$10+'[2]11월'!$F$19)/1000-F15-F16-F17</f>
        <v>-208.79434100000594</v>
      </c>
      <c r="G18" s="751">
        <f t="shared" si="8"/>
        <v>-274.08368800000017</v>
      </c>
      <c r="H18" s="752">
        <f>+('[3]11월'!$F$10+'[3]11월'!$F$19)/1000-H15-H16-H17</f>
        <v>28.582472999997435</v>
      </c>
      <c r="I18" s="753">
        <f t="shared" si="9"/>
        <v>-237.37681400000338</v>
      </c>
      <c r="J18" s="778">
        <f>+[4]손익총괄!J18+E18</f>
        <v>-669.93586700002288</v>
      </c>
      <c r="K18" s="779">
        <f>+[4]손익총괄!K18+F18</f>
        <v>-538.61189900000841</v>
      </c>
      <c r="L18" s="751">
        <f t="shared" si="1"/>
        <v>131.32396800001447</v>
      </c>
      <c r="M18" s="752">
        <f>+[4]손익총괄!M18+H18</f>
        <v>585.33794900001362</v>
      </c>
      <c r="N18" s="753">
        <f t="shared" si="2"/>
        <v>-1123.949848000022</v>
      </c>
      <c r="O18" s="99"/>
      <c r="P18" s="102"/>
      <c r="Q18" s="297"/>
      <c r="R18" s="306" t="s">
        <v>20</v>
      </c>
      <c r="S18" s="319">
        <f>+[5]영남권!$Q$90</f>
        <v>26459.648394860516</v>
      </c>
      <c r="T18" s="119">
        <f>+[5]영남권!$R$90</f>
        <v>21227.895743780246</v>
      </c>
      <c r="U18" s="760">
        <f t="shared" si="10"/>
        <v>-5231.7526510802709</v>
      </c>
      <c r="V18" s="761">
        <f>+[6]영남권!$Q$90</f>
        <v>21637.599653715617</v>
      </c>
      <c r="W18" s="762">
        <f t="shared" si="11"/>
        <v>-409.70390993537148</v>
      </c>
      <c r="X18" s="104"/>
      <c r="Z18" s="790"/>
      <c r="AA18" s="667" t="str">
        <f>+D33</f>
        <v>골재</v>
      </c>
      <c r="AB18" s="675">
        <f>+E33/100</f>
        <v>2.5924999907297535</v>
      </c>
      <c r="AC18" s="681">
        <f>+F33/100</f>
        <v>-2.9010888612807175</v>
      </c>
      <c r="AD18" s="678">
        <f t="shared" si="4"/>
        <v>-5.493588852010471</v>
      </c>
      <c r="AE18" s="671">
        <f>+H33/100</f>
        <v>1.2797343199999991</v>
      </c>
      <c r="AF18" s="687">
        <f t="shared" si="5"/>
        <v>-4.1808231812807168</v>
      </c>
      <c r="AG18" s="684">
        <f>+J33/100</f>
        <v>18.063167811090228</v>
      </c>
      <c r="AH18" s="681">
        <f>+K33/100</f>
        <v>-2.9410413886542539</v>
      </c>
      <c r="AI18" s="678">
        <f t="shared" si="6"/>
        <v>-21.00420919974448</v>
      </c>
      <c r="AJ18" s="671">
        <f>+M33/100</f>
        <v>8.9153957103000145</v>
      </c>
      <c r="AK18" s="675">
        <f t="shared" si="7"/>
        <v>-11.856437098954268</v>
      </c>
    </row>
    <row r="19" spans="2:37" ht="21.75" customHeight="1" x14ac:dyDescent="0.3">
      <c r="C19" s="100" t="s">
        <v>8</v>
      </c>
      <c r="D19" s="120"/>
      <c r="E19" s="771">
        <f>SUM(E15:E18)</f>
        <v>40070.97709230709</v>
      </c>
      <c r="F19" s="772">
        <f>SUM(F15:F18)</f>
        <v>36289.06313799999</v>
      </c>
      <c r="G19" s="748">
        <f t="shared" si="8"/>
        <v>-3781.9139543070996</v>
      </c>
      <c r="H19" s="749">
        <f>SUM(H15:H18)</f>
        <v>44270.997889999999</v>
      </c>
      <c r="I19" s="750">
        <f t="shared" si="9"/>
        <v>-7981.9347520000083</v>
      </c>
      <c r="J19" s="771">
        <f>SUM(J15:J18)</f>
        <v>385962.21452470036</v>
      </c>
      <c r="K19" s="772">
        <f>SUM(K15:K18)</f>
        <v>381604.51457399002</v>
      </c>
      <c r="L19" s="748">
        <f t="shared" si="1"/>
        <v>-4357.6999507103465</v>
      </c>
      <c r="M19" s="749">
        <f>SUM(M15:M18)</f>
        <v>405794.08055497997</v>
      </c>
      <c r="N19" s="750">
        <f t="shared" si="2"/>
        <v>-24189.565980989952</v>
      </c>
      <c r="O19" s="99"/>
      <c r="P19" s="102"/>
      <c r="Q19" s="297"/>
      <c r="R19" s="307" t="s">
        <v>169</v>
      </c>
      <c r="S19" s="320">
        <f>+[5]중부권!$Q$90</f>
        <v>28568.038914014745</v>
      </c>
      <c r="T19" s="121">
        <f>+[5]중부권!$R$90</f>
        <v>23600.464320257539</v>
      </c>
      <c r="U19" s="763">
        <f t="shared" si="10"/>
        <v>-4967.5745937572065</v>
      </c>
      <c r="V19" s="764">
        <f>+[6]중부권!$Q$90</f>
        <v>23589.717036388392</v>
      </c>
      <c r="W19" s="765">
        <f t="shared" si="11"/>
        <v>10.747283869146486</v>
      </c>
      <c r="X19" s="104"/>
      <c r="AA19" s="667" t="s">
        <v>225</v>
      </c>
      <c r="AB19" s="675">
        <f>+'사업장별(당월)'!T35/100</f>
        <v>-11.739157817876601</v>
      </c>
      <c r="AC19" s="681">
        <f>+'사업장별(당월)'!U35/100</f>
        <v>-12.654310908749755</v>
      </c>
      <c r="AD19" s="678">
        <f>+AC19-AB19</f>
        <v>-0.91515309087315444</v>
      </c>
      <c r="AE19" s="671">
        <f>+'사업장별(당월)'!W35/100</f>
        <v>-12.023067360000001</v>
      </c>
      <c r="AF19" s="687">
        <f t="shared" si="5"/>
        <v>-0.63124354874975452</v>
      </c>
      <c r="AG19" s="684">
        <f>+'사업장별(누계)'!T35/100</f>
        <v>-149.71778667118954</v>
      </c>
      <c r="AH19" s="681">
        <f>+'사업장별(누계)'!U35/100</f>
        <v>-153.53848254133385</v>
      </c>
      <c r="AI19" s="678">
        <f t="shared" si="6"/>
        <v>-3.8206958701443057</v>
      </c>
      <c r="AJ19" s="671">
        <f>+'사업장별(누계)'!W35/100</f>
        <v>-129.29508915999997</v>
      </c>
      <c r="AK19" s="675">
        <f t="shared" si="7"/>
        <v>-24.243393381333874</v>
      </c>
    </row>
    <row r="20" spans="2:37" ht="21.75" customHeight="1" x14ac:dyDescent="0.3">
      <c r="C20" s="108" t="s">
        <v>18</v>
      </c>
      <c r="D20" s="109" t="s">
        <v>53</v>
      </c>
      <c r="E20" s="773">
        <f t="shared" ref="E20:F23" si="15">+E10-E15</f>
        <v>5899.0141400197244</v>
      </c>
      <c r="F20" s="774">
        <f t="shared" si="15"/>
        <v>2897.8641050000042</v>
      </c>
      <c r="G20" s="775">
        <f t="shared" si="8"/>
        <v>-3001.1500350197202</v>
      </c>
      <c r="H20" s="776">
        <f>+H10-H15</f>
        <v>4451.0810279999932</v>
      </c>
      <c r="I20" s="777">
        <f t="shared" si="9"/>
        <v>-1553.216922999989</v>
      </c>
      <c r="J20" s="773">
        <f t="shared" ref="J20:K23" si="16">+J10-J15</f>
        <v>54589.401779397042</v>
      </c>
      <c r="K20" s="774">
        <f t="shared" si="16"/>
        <v>40052.242360009986</v>
      </c>
      <c r="L20" s="775">
        <f t="shared" si="1"/>
        <v>-14537.159419387055</v>
      </c>
      <c r="M20" s="776">
        <f>+M10-M15</f>
        <v>58973.905762990005</v>
      </c>
      <c r="N20" s="777">
        <f t="shared" si="2"/>
        <v>-18921.663402980019</v>
      </c>
      <c r="O20" s="99"/>
      <c r="P20" s="102"/>
      <c r="Q20" s="298" t="s">
        <v>73</v>
      </c>
      <c r="R20" s="308"/>
      <c r="S20" s="321">
        <f>+[5]합계!$Q$90</f>
        <v>25534.000298680345</v>
      </c>
      <c r="T20" s="122">
        <f>+[5]합계!$R$90</f>
        <v>18957.932401514248</v>
      </c>
      <c r="U20" s="766">
        <f t="shared" si="10"/>
        <v>-6576.0678971660964</v>
      </c>
      <c r="V20" s="767">
        <f>+[6]합계!$Q$90</f>
        <v>18847.795089035004</v>
      </c>
      <c r="W20" s="768">
        <f t="shared" si="11"/>
        <v>110.13731247924443</v>
      </c>
      <c r="X20" s="104"/>
      <c r="AA20" s="667" t="str">
        <f>+'사업장별(누계)'!I34</f>
        <v>임대</v>
      </c>
      <c r="AB20" s="675">
        <f>+('사업장별(당월)'!T33+'사업장별(당월)'!T34)/100</f>
        <v>1.3425598333333333</v>
      </c>
      <c r="AC20" s="681">
        <f>+('사업장별(당월)'!U33+'사업장별(당월)'!U34)/100</f>
        <v>1.26055071</v>
      </c>
      <c r="AD20" s="678">
        <f>+AC20-AB20</f>
        <v>-8.2009123333333322E-2</v>
      </c>
      <c r="AE20" s="671">
        <f>+('사업장별(당월)'!W33+'사업장별(당월)'!W34)/100</f>
        <v>1.28516447</v>
      </c>
      <c r="AF20" s="687">
        <f t="shared" si="5"/>
        <v>-2.461376000000004E-2</v>
      </c>
      <c r="AG20" s="684">
        <f>+('사업장별(누계)'!T33+'사업장별(누계)'!T34)/100</f>
        <v>14.630188406666667</v>
      </c>
      <c r="AH20" s="681">
        <f>+('사업장별(누계)'!U33+'사업장별(누계)'!U34)/100</f>
        <v>14.211182469999999</v>
      </c>
      <c r="AI20" s="678">
        <f t="shared" si="6"/>
        <v>-0.41900593666666808</v>
      </c>
      <c r="AJ20" s="671">
        <f>+('사업장별(누계)'!W33+'사업장별(누계)'!W34)/100</f>
        <v>13.191950409999999</v>
      </c>
      <c r="AK20" s="675">
        <f t="shared" si="7"/>
        <v>1.0192320600000002</v>
      </c>
    </row>
    <row r="21" spans="2:37" ht="21.75" customHeight="1" x14ac:dyDescent="0.3">
      <c r="C21" s="100"/>
      <c r="D21" s="105" t="s">
        <v>3</v>
      </c>
      <c r="E21" s="771">
        <f t="shared" si="15"/>
        <v>287.23938922105117</v>
      </c>
      <c r="F21" s="772">
        <f t="shared" si="15"/>
        <v>250.09353999999985</v>
      </c>
      <c r="G21" s="748">
        <f>+F21-E21</f>
        <v>-37.145849221051321</v>
      </c>
      <c r="H21" s="749">
        <f>+H11-H16</f>
        <v>216.08939699999974</v>
      </c>
      <c r="I21" s="750">
        <f>+F21-H21</f>
        <v>34.004143000000113</v>
      </c>
      <c r="J21" s="771">
        <f t="shared" si="16"/>
        <v>2545.7336580210685</v>
      </c>
      <c r="K21" s="772">
        <f t="shared" si="16"/>
        <v>2161.0162170000112</v>
      </c>
      <c r="L21" s="748">
        <f t="shared" si="1"/>
        <v>-384.71744102105731</v>
      </c>
      <c r="M21" s="749">
        <f>+M11-M16</f>
        <v>2186.8542150000139</v>
      </c>
      <c r="N21" s="750">
        <f t="shared" si="2"/>
        <v>-25.837998000002699</v>
      </c>
      <c r="O21" s="99"/>
      <c r="P21" s="102"/>
      <c r="Q21" s="156" t="s">
        <v>106</v>
      </c>
      <c r="R21" s="157"/>
      <c r="S21" s="158"/>
      <c r="T21" s="164"/>
      <c r="U21" s="158"/>
      <c r="X21" s="104"/>
      <c r="AA21" s="667" t="str">
        <f>+'사업장별(누계)'!I37</f>
        <v>대손</v>
      </c>
      <c r="AB21" s="675">
        <f>+'사업장별(당월)'!T37/100</f>
        <v>0</v>
      </c>
      <c r="AC21" s="681">
        <f>+'사업장별(당월)'!U37/100</f>
        <v>0</v>
      </c>
      <c r="AD21" s="678">
        <f>+AC21-AB21</f>
        <v>0</v>
      </c>
      <c r="AE21" s="671">
        <f>+'사업장별(당월)'!W37/100</f>
        <v>0</v>
      </c>
      <c r="AF21" s="687">
        <f t="shared" si="5"/>
        <v>0</v>
      </c>
      <c r="AG21" s="684">
        <f>+'사업장별(누계)'!T37/100</f>
        <v>0</v>
      </c>
      <c r="AH21" s="681">
        <f>+'사업장별(누계)'!U37/100</f>
        <v>-5.7385933299999996</v>
      </c>
      <c r="AI21" s="678">
        <f t="shared" si="6"/>
        <v>-5.7385933299999996</v>
      </c>
      <c r="AJ21" s="671">
        <f>+'사업장별(누계)'!W37/100</f>
        <v>-19.742219769999998</v>
      </c>
      <c r="AK21" s="675">
        <f t="shared" si="7"/>
        <v>14.003626439999998</v>
      </c>
    </row>
    <row r="22" spans="2:37" ht="21.75" customHeight="1" x14ac:dyDescent="0.3">
      <c r="C22" s="100"/>
      <c r="D22" s="105" t="s">
        <v>1</v>
      </c>
      <c r="E22" s="771">
        <f t="shared" si="15"/>
        <v>294.43474907297536</v>
      </c>
      <c r="F22" s="772">
        <f t="shared" si="15"/>
        <v>-219.25145800000018</v>
      </c>
      <c r="G22" s="748">
        <f t="shared" si="8"/>
        <v>-513.68620707297555</v>
      </c>
      <c r="H22" s="749">
        <f>+H12-H17</f>
        <v>137.77318199999991</v>
      </c>
      <c r="I22" s="750">
        <f t="shared" si="9"/>
        <v>-357.02464000000009</v>
      </c>
      <c r="J22" s="771">
        <f t="shared" si="16"/>
        <v>2388.792716220134</v>
      </c>
      <c r="K22" s="772">
        <f t="shared" si="16"/>
        <v>379.71973499999876</v>
      </c>
      <c r="L22" s="748">
        <f t="shared" si="1"/>
        <v>-2009.0729812201353</v>
      </c>
      <c r="M22" s="749">
        <f>+M12-M17</f>
        <v>1193.0180670300015</v>
      </c>
      <c r="N22" s="750">
        <f t="shared" si="2"/>
        <v>-813.29833203000271</v>
      </c>
      <c r="O22" s="99"/>
      <c r="P22" s="102"/>
      <c r="Q22" s="344" t="s">
        <v>11</v>
      </c>
      <c r="R22" s="345"/>
      <c r="S22" s="346" t="s">
        <v>15</v>
      </c>
      <c r="T22" s="347" t="s">
        <v>16</v>
      </c>
      <c r="U22" s="348" t="s">
        <v>113</v>
      </c>
      <c r="V22" s="347" t="s">
        <v>17</v>
      </c>
      <c r="W22" s="349" t="s">
        <v>114</v>
      </c>
      <c r="X22" s="104"/>
      <c r="Z22" s="790"/>
      <c r="AA22" s="667" t="str">
        <f>+D34</f>
        <v>기타</v>
      </c>
      <c r="AB22" s="675">
        <f>+AB26-AB19-AB20-AB21</f>
        <v>-1.1499503344445692</v>
      </c>
      <c r="AC22" s="681">
        <f>+AC26-AC19-AC20-AC21</f>
        <v>1.9206588800001296</v>
      </c>
      <c r="AD22" s="678">
        <f>+AC22-AB22</f>
        <v>3.0706092144446986</v>
      </c>
      <c r="AE22" s="671">
        <f>+AE26-AE19-AE20-AE21</f>
        <v>-0.26000684000008456</v>
      </c>
      <c r="AF22" s="687">
        <f>+AC22-AE22</f>
        <v>2.1806657200002144</v>
      </c>
      <c r="AG22" s="684">
        <f>+AG26-AG19-AG20-AG21</f>
        <v>2.74654834110944</v>
      </c>
      <c r="AH22" s="681">
        <f>+AH26-AH19-AH20-AH21</f>
        <v>3.5373479700001527</v>
      </c>
      <c r="AI22" s="678">
        <f t="shared" si="6"/>
        <v>0.79079962889071265</v>
      </c>
      <c r="AJ22" s="671">
        <f>+AJ26-AJ19-AJ20-AJ21</f>
        <v>-3.7740458099999472</v>
      </c>
      <c r="AK22" s="675">
        <f t="shared" si="7"/>
        <v>7.3113937800000999</v>
      </c>
    </row>
    <row r="23" spans="2:37" ht="21.75" customHeight="1" x14ac:dyDescent="0.3">
      <c r="C23" s="100"/>
      <c r="D23" s="115" t="s">
        <v>4</v>
      </c>
      <c r="E23" s="778">
        <f t="shared" si="15"/>
        <v>99.618153333340842</v>
      </c>
      <c r="F23" s="779">
        <f t="shared" si="15"/>
        <v>374.11890900001117</v>
      </c>
      <c r="G23" s="751">
        <f t="shared" si="8"/>
        <v>274.50075566667033</v>
      </c>
      <c r="H23" s="752">
        <f>+H13-H18</f>
        <v>157.77294599999823</v>
      </c>
      <c r="I23" s="753">
        <f t="shared" si="9"/>
        <v>216.34596300001294</v>
      </c>
      <c r="J23" s="778">
        <f t="shared" si="16"/>
        <v>2484.518370666678</v>
      </c>
      <c r="K23" s="779">
        <f t="shared" si="16"/>
        <v>2360.3074290000068</v>
      </c>
      <c r="L23" s="751">
        <f t="shared" si="1"/>
        <v>-124.21094166667126</v>
      </c>
      <c r="M23" s="752">
        <f>+M13-M18</f>
        <v>1556.5177019999962</v>
      </c>
      <c r="N23" s="753">
        <f t="shared" si="2"/>
        <v>803.78972700001054</v>
      </c>
      <c r="O23" s="99"/>
      <c r="P23" s="102"/>
      <c r="Q23" s="159" t="s">
        <v>107</v>
      </c>
      <c r="R23" s="160"/>
      <c r="S23" s="330">
        <f>+'[7]11월'!$F$10</f>
        <v>976086.95652173914</v>
      </c>
      <c r="T23" s="336">
        <f>+'[7]11월'!$G$10</f>
        <v>798803.69146262086</v>
      </c>
      <c r="U23" s="333">
        <f>+T23-S23</f>
        <v>-177283.26505911828</v>
      </c>
      <c r="V23" s="312">
        <f>+'[8]11월'!$G$10</f>
        <v>985246.58044154115</v>
      </c>
      <c r="W23" s="309">
        <f>+T23-V23</f>
        <v>-186442.88897892029</v>
      </c>
      <c r="X23" s="104"/>
      <c r="Z23" s="790"/>
      <c r="AA23" s="710" t="s">
        <v>207</v>
      </c>
      <c r="AB23" s="711">
        <f>SUM(AB15,AB17:AB22)</f>
        <v>45.335484764149669</v>
      </c>
      <c r="AC23" s="723">
        <f>SUM(AC15,AC17:AC22)</f>
        <v>10.768610279969694</v>
      </c>
      <c r="AD23" s="712">
        <f>+AC23-AB23</f>
        <v>-34.566874484179976</v>
      </c>
      <c r="AE23" s="713">
        <f>SUM(AE15,AE17:AE22)</f>
        <v>28.69245990999984</v>
      </c>
      <c r="AF23" s="714">
        <f>+AC23-AE23</f>
        <v>-17.923849630030148</v>
      </c>
      <c r="AG23" s="715">
        <f>SUM(AG15,AG17:AG22)</f>
        <v>370.63045424185788</v>
      </c>
      <c r="AH23" s="723">
        <f>SUM(AH15,AH17:AH22)</f>
        <v>186.23961799011209</v>
      </c>
      <c r="AI23" s="712">
        <f>+AH23-AG23</f>
        <v>-184.39083625174578</v>
      </c>
      <c r="AJ23" s="713">
        <f>SUM(AJ15,AJ17:AJ22)</f>
        <v>393.41142085020022</v>
      </c>
      <c r="AK23" s="711">
        <f>+AH23-AJ23</f>
        <v>-207.17180286008812</v>
      </c>
    </row>
    <row r="24" spans="2:37" ht="21.75" customHeight="1" thickBot="1" x14ac:dyDescent="0.35">
      <c r="C24" s="116" t="s">
        <v>8</v>
      </c>
      <c r="D24" s="117"/>
      <c r="E24" s="778">
        <f>SUM(E20:E23)</f>
        <v>6580.3064316470918</v>
      </c>
      <c r="F24" s="779">
        <f>SUM(F20:F23)</f>
        <v>3302.825096000015</v>
      </c>
      <c r="G24" s="751">
        <f t="shared" si="8"/>
        <v>-3277.4813356470768</v>
      </c>
      <c r="H24" s="752">
        <f>SUM(H20:H23)</f>
        <v>4962.7165529999911</v>
      </c>
      <c r="I24" s="753">
        <f t="shared" si="9"/>
        <v>-1659.8914569999761</v>
      </c>
      <c r="J24" s="778">
        <f>SUM(J20:J23)</f>
        <v>62008.446524304927</v>
      </c>
      <c r="K24" s="779">
        <f>SUM(K20:K23)</f>
        <v>44953.285741010004</v>
      </c>
      <c r="L24" s="751">
        <f t="shared" si="1"/>
        <v>-17055.160783294923</v>
      </c>
      <c r="M24" s="752">
        <f>SUM(M20:M23)</f>
        <v>63910.29574702002</v>
      </c>
      <c r="N24" s="753">
        <f t="shared" si="2"/>
        <v>-18957.010006010016</v>
      </c>
      <c r="O24" s="99"/>
      <c r="P24" s="102"/>
      <c r="Q24" s="161" t="s">
        <v>108</v>
      </c>
      <c r="R24" s="162"/>
      <c r="S24" s="331">
        <f>+'[7]11월'!$F$15</f>
        <v>2.3224944320712693E-2</v>
      </c>
      <c r="T24" s="337">
        <f>+'[7]11월'!$G$15</f>
        <v>2.3726716491380119E-2</v>
      </c>
      <c r="U24" s="334">
        <f>+T24-S24</f>
        <v>5.0177217066742566E-4</v>
      </c>
      <c r="V24" s="313">
        <f>+'[8]11월'!$G$15</f>
        <v>1.6194918759915581E-2</v>
      </c>
      <c r="W24" s="310">
        <f>+T24-V24</f>
        <v>7.531797731464538E-3</v>
      </c>
      <c r="X24" s="104"/>
      <c r="Z24" s="695"/>
      <c r="AA24" s="716" t="str">
        <f t="shared" ref="AA24:AK24" si="17">+D36</f>
        <v>%</v>
      </c>
      <c r="AB24" s="717">
        <f t="shared" si="17"/>
        <v>9.7179501483321828E-2</v>
      </c>
      <c r="AC24" s="724">
        <f t="shared" si="17"/>
        <v>2.7199031822690393E-2</v>
      </c>
      <c r="AD24" s="718">
        <f t="shared" si="17"/>
        <v>-6.9980469660631428E-2</v>
      </c>
      <c r="AE24" s="719">
        <f t="shared" si="17"/>
        <v>5.827807272843169E-2</v>
      </c>
      <c r="AF24" s="720">
        <f t="shared" si="17"/>
        <v>-3.1079040905741297E-2</v>
      </c>
      <c r="AG24" s="721">
        <f t="shared" si="17"/>
        <v>8.2735430345808589E-2</v>
      </c>
      <c r="AH24" s="724">
        <f t="shared" si="17"/>
        <v>4.366105082419771E-2</v>
      </c>
      <c r="AI24" s="718">
        <f t="shared" si="17"/>
        <v>-3.9074379521610879E-2</v>
      </c>
      <c r="AJ24" s="719">
        <f t="shared" si="17"/>
        <v>8.3757239808481862E-2</v>
      </c>
      <c r="AK24" s="717">
        <f t="shared" si="17"/>
        <v>-4.0096188984284152E-2</v>
      </c>
    </row>
    <row r="25" spans="2:37" ht="21.75" customHeight="1" x14ac:dyDescent="0.3">
      <c r="C25" s="108" t="s">
        <v>6</v>
      </c>
      <c r="D25" s="109" t="s">
        <v>53</v>
      </c>
      <c r="E25" s="773">
        <f>+('[1]11월'!$Z$13+'[1]11월'!$Z$20)/1000</f>
        <v>635.79615999999999</v>
      </c>
      <c r="F25" s="774">
        <f>+('[2]11월'!$Z$13+'[2]11월'!$Z$20)/1000</f>
        <v>701.94070799999986</v>
      </c>
      <c r="G25" s="775">
        <f t="shared" si="8"/>
        <v>66.144547999999872</v>
      </c>
      <c r="H25" s="776">
        <f>+('[3]11월'!$Z$13+'[3]11월'!$Z$20)/1000</f>
        <v>708.20762500000001</v>
      </c>
      <c r="I25" s="777">
        <f t="shared" si="9"/>
        <v>-6.2669170000001486</v>
      </c>
      <c r="J25" s="773">
        <f>+[4]손익총괄!J25+E25</f>
        <v>7259.9585720000005</v>
      </c>
      <c r="K25" s="774">
        <f>+[4]손익총괄!K25+F25</f>
        <v>7583.1822270000011</v>
      </c>
      <c r="L25" s="775">
        <f t="shared" si="1"/>
        <v>323.22365500000069</v>
      </c>
      <c r="M25" s="776">
        <f>+[4]손익총괄!M25+H25</f>
        <v>7430.6432280000008</v>
      </c>
      <c r="N25" s="777">
        <f t="shared" si="2"/>
        <v>152.53899900000033</v>
      </c>
      <c r="O25" s="99"/>
      <c r="P25" s="102"/>
      <c r="Q25" s="156" t="s">
        <v>109</v>
      </c>
      <c r="R25" s="163"/>
      <c r="S25" s="75"/>
      <c r="T25" s="164"/>
      <c r="U25" s="75"/>
      <c r="X25" s="104"/>
    </row>
    <row r="26" spans="2:37" ht="21.75" customHeight="1" x14ac:dyDescent="0.3">
      <c r="C26" s="100"/>
      <c r="D26" s="105" t="s">
        <v>85</v>
      </c>
      <c r="E26" s="771">
        <f>+('[1]11월'!$AA$13+'[1]11월'!$AA$20)/1000</f>
        <v>121.50406</v>
      </c>
      <c r="F26" s="772">
        <f>+('[2]11월'!$AO$13+'[2]11월'!$AO$20)/1000</f>
        <v>131.73689100000001</v>
      </c>
      <c r="G26" s="748">
        <f>+F26-E26</f>
        <v>10.232831000000019</v>
      </c>
      <c r="H26" s="749">
        <f>+('[3]11월'!$AO$13+'[3]11월'!$AO$20)/1000</f>
        <v>117.89926800000001</v>
      </c>
      <c r="I26" s="750">
        <f>+F26-H26</f>
        <v>13.837623000000008</v>
      </c>
      <c r="J26" s="771">
        <f>+[4]손익총괄!J26+E26</f>
        <v>1384.3432300000002</v>
      </c>
      <c r="K26" s="772">
        <f>+[4]손익총괄!K26+F26</f>
        <v>1559.1558689999999</v>
      </c>
      <c r="L26" s="748">
        <f t="shared" si="1"/>
        <v>174.81263899999976</v>
      </c>
      <c r="M26" s="749">
        <f>+[4]손익총괄!M26+H26</f>
        <v>1318.5738030000002</v>
      </c>
      <c r="N26" s="750">
        <f t="shared" si="2"/>
        <v>240.58206599999971</v>
      </c>
      <c r="O26" s="99"/>
      <c r="P26" s="102"/>
      <c r="Q26" s="344" t="s">
        <v>11</v>
      </c>
      <c r="R26" s="345"/>
      <c r="S26" s="346" t="s">
        <v>15</v>
      </c>
      <c r="T26" s="347" t="s">
        <v>16</v>
      </c>
      <c r="U26" s="348" t="s">
        <v>113</v>
      </c>
      <c r="V26" s="347" t="s">
        <v>17</v>
      </c>
      <c r="W26" s="349" t="s">
        <v>114</v>
      </c>
      <c r="X26" s="104"/>
      <c r="AB26" s="659">
        <f>+'사업장별(당월)'!T41/100</f>
        <v>-11.546548318987837</v>
      </c>
      <c r="AC26" s="659">
        <f>+'사업장별(당월)'!U41/100</f>
        <v>-9.4731013187496256</v>
      </c>
      <c r="AD26" s="659">
        <f>+AC26-AB26</f>
        <v>2.073447000238211</v>
      </c>
      <c r="AE26" s="659">
        <f>+'사업장별(당월)'!W41/100</f>
        <v>-10.997909730000085</v>
      </c>
      <c r="AF26" s="659">
        <f>+AE26-AD26</f>
        <v>-13.071356730238296</v>
      </c>
      <c r="AG26">
        <f>+'사업장별(누계)'!T41/100</f>
        <v>-132.34104992341344</v>
      </c>
      <c r="AH26">
        <f>+'사업장별(누계)'!U41/100</f>
        <v>-141.5285454313337</v>
      </c>
      <c r="AJ26">
        <f>+'사업장별(누계)'!W41/100</f>
        <v>-139.61940432999992</v>
      </c>
    </row>
    <row r="27" spans="2:37" ht="21.75" customHeight="1" x14ac:dyDescent="0.3">
      <c r="C27" s="100"/>
      <c r="D27" s="105" t="s">
        <v>1</v>
      </c>
      <c r="E27" s="771">
        <f>+('[1]11월'!$AE$13+'[1]11월'!$AE$20+'[1]11월'!$AE$22)/1000</f>
        <v>35.184750000000008</v>
      </c>
      <c r="F27" s="772">
        <f>+('[2]11월'!$AN$13+'[2]11월'!$AN$20+'[2]11월'!$AN$22)/1000</f>
        <v>70.857428128071518</v>
      </c>
      <c r="G27" s="748">
        <f t="shared" si="8"/>
        <v>35.67267812807151</v>
      </c>
      <c r="H27" s="749">
        <f>+('[3]11월'!$AN$13+'[3]11월'!$AN$20+'[3]11월'!$AN$22)/1000</f>
        <v>9.7997499999999995</v>
      </c>
      <c r="I27" s="750">
        <f t="shared" si="9"/>
        <v>61.057678128071515</v>
      </c>
      <c r="J27" s="771">
        <f>+[4]손익총괄!J27+E27</f>
        <v>582.4759351111112</v>
      </c>
      <c r="K27" s="772">
        <f>+[4]손익총괄!K27+F27</f>
        <v>673.82387386542416</v>
      </c>
      <c r="L27" s="748">
        <f t="shared" si="1"/>
        <v>91.347938754312963</v>
      </c>
      <c r="M27" s="749">
        <f>+[4]손익총괄!M27+H27</f>
        <v>301.47849599999995</v>
      </c>
      <c r="N27" s="750">
        <f t="shared" si="2"/>
        <v>372.34537786542421</v>
      </c>
      <c r="O27" s="99"/>
      <c r="P27" s="102"/>
      <c r="Q27" s="1" t="s">
        <v>110</v>
      </c>
      <c r="R27" s="299" t="s">
        <v>111</v>
      </c>
      <c r="S27" s="330">
        <f>(+'[9]서부산크라샤(당월)'!$N$66+'[9]부산모래장(당월)'!$Q$48+'[9]부산크라샤(당월)'!$N$66)/1000</f>
        <v>63.8345471507767</v>
      </c>
      <c r="T27" s="336">
        <f>(+'[9]서부산크라샤(당월)'!$O$66+'[9]부산모래장(당월)'!$R$48+'[9]부산크라샤(당월)'!$O$66)/1000</f>
        <v>36.921999999999997</v>
      </c>
      <c r="U27" s="333">
        <f>+T27-S27</f>
        <v>-26.912547150776703</v>
      </c>
      <c r="V27" s="312">
        <f>('[10]부산골재(당월)'!$R$48+'[10]서부산골재(당월)'!$O$66+'[10]부산크라샤(당월)'!$O$66)/1000</f>
        <v>67.376999999999995</v>
      </c>
      <c r="W27" s="309">
        <f>+T27-V27</f>
        <v>-30.454999999999998</v>
      </c>
      <c r="X27" s="104"/>
    </row>
    <row r="28" spans="2:37" ht="21.75" customHeight="1" x14ac:dyDescent="0.3">
      <c r="B28" s="97"/>
      <c r="C28" s="100"/>
      <c r="D28" s="115" t="s">
        <v>4</v>
      </c>
      <c r="E28" s="778">
        <f>+('[1]11월'!$E$13+'[1]11월'!$E$20)/1000-E25-E26-E27+('[1]11월'!$E$22/1000)</f>
        <v>1254.2729852321197</v>
      </c>
      <c r="F28" s="779">
        <f>+('[2]11월'!$F$13+'[2]11월'!$F$20)/1000-F25-F26-F27+'[2]11월'!$F$22/1000</f>
        <v>1321.4290408749757</v>
      </c>
      <c r="G28" s="751">
        <f t="shared" si="8"/>
        <v>67.156055642856018</v>
      </c>
      <c r="H28" s="752">
        <f>+('[3]11월'!$F$13+'[3]11월'!$F$20)/1000-H25-H26-H27+'[3]11월'!$F$22/1000</f>
        <v>1257.5639189999999</v>
      </c>
      <c r="I28" s="753">
        <f t="shared" si="9"/>
        <v>63.865121874975785</v>
      </c>
      <c r="J28" s="778">
        <f>+[4]손익총괄!J28+E28</f>
        <v>15718.62336300801</v>
      </c>
      <c r="K28" s="779">
        <f>+[4]손익총괄!K28+F28</f>
        <v>16513.161972133385</v>
      </c>
      <c r="L28" s="751">
        <f t="shared" si="1"/>
        <v>794.53860912537493</v>
      </c>
      <c r="M28" s="752">
        <f>+[4]손익총괄!M28+H28</f>
        <v>15518.458134999999</v>
      </c>
      <c r="N28" s="753">
        <f t="shared" si="2"/>
        <v>994.7038371333856</v>
      </c>
      <c r="O28" s="99"/>
      <c r="P28" s="102"/>
      <c r="Q28" s="2"/>
      <c r="R28" s="300" t="s">
        <v>112</v>
      </c>
      <c r="S28" s="332">
        <f>(+'[9]서부산크라샤(당월)'!$N$59+'[9]부산모래장(당월)'!$Q$47+'[9]부산크라샤(당월)'!$N$59)/1000</f>
        <v>60.8</v>
      </c>
      <c r="T28" s="153">
        <f>(+'[9]서부산크라샤(당월)'!$O$59+'[9]부산모래장(당월)'!$R$47+'[9]부산크라샤(당월)'!$O$59)/1000</f>
        <v>29.204000000000001</v>
      </c>
      <c r="U28" s="335">
        <f>+T28-S28</f>
        <v>-31.595999999999997</v>
      </c>
      <c r="V28" s="73">
        <f>+('[10]부산골재(당월)'!$R$47+'[10]서부산골재(당월)'!$O$59+'[10]부산크라샤(당월)'!$O$59)/1000</f>
        <v>38.097000000000001</v>
      </c>
      <c r="W28" s="311">
        <f>+T28-V28</f>
        <v>-8.8930000000000007</v>
      </c>
      <c r="X28" s="104"/>
    </row>
    <row r="29" spans="2:37" ht="21.75" customHeight="1" x14ac:dyDescent="0.3">
      <c r="C29" s="116" t="s">
        <v>8</v>
      </c>
      <c r="D29" s="117"/>
      <c r="E29" s="778">
        <f>SUM(E25:E28)</f>
        <v>2046.7579552321197</v>
      </c>
      <c r="F29" s="779">
        <f>SUM(F25:F28)</f>
        <v>2225.964068003047</v>
      </c>
      <c r="G29" s="751">
        <f t="shared" si="8"/>
        <v>179.20611277092735</v>
      </c>
      <c r="H29" s="752">
        <f>SUM(H25:H28)</f>
        <v>2093.470562</v>
      </c>
      <c r="I29" s="753">
        <f t="shared" si="9"/>
        <v>132.49350600304706</v>
      </c>
      <c r="J29" s="778">
        <f>SUM(J25:J28)</f>
        <v>24945.401100119121</v>
      </c>
      <c r="K29" s="779">
        <f>SUM(K25:K28)</f>
        <v>26329.323941998809</v>
      </c>
      <c r="L29" s="751">
        <f t="shared" si="1"/>
        <v>1383.9228418796883</v>
      </c>
      <c r="M29" s="752">
        <f>SUM(M25:M28)</f>
        <v>24569.153661999997</v>
      </c>
      <c r="N29" s="753">
        <f t="shared" si="2"/>
        <v>1760.1702799988125</v>
      </c>
      <c r="O29" s="99"/>
      <c r="P29" s="102"/>
      <c r="Q29" s="815" t="s">
        <v>141</v>
      </c>
      <c r="R29" s="816"/>
      <c r="S29" s="332">
        <f>SUM(S27:S28)</f>
        <v>124.6345471507767</v>
      </c>
      <c r="T29" s="153">
        <f>SUM(T27:T28)</f>
        <v>66.126000000000005</v>
      </c>
      <c r="U29" s="335">
        <f>+T29-S29</f>
        <v>-58.508547150776693</v>
      </c>
      <c r="V29" s="73">
        <f>SUM(V27:V28)</f>
        <v>105.47399999999999</v>
      </c>
      <c r="W29" s="311">
        <f>+T29-V29</f>
        <v>-39.347999999999985</v>
      </c>
      <c r="X29" s="104"/>
    </row>
    <row r="30" spans="2:37" ht="21.75" customHeight="1" x14ac:dyDescent="0.3">
      <c r="B30" s="597"/>
      <c r="C30" s="100" t="s">
        <v>7</v>
      </c>
      <c r="D30" s="109" t="s">
        <v>53</v>
      </c>
      <c r="E30" s="773">
        <f>+E20-E25</f>
        <v>5263.2179800197246</v>
      </c>
      <c r="F30" s="780">
        <f>+F20-F25</f>
        <v>2195.9233970000041</v>
      </c>
      <c r="G30" s="775">
        <f t="shared" si="8"/>
        <v>-3067.2945830197204</v>
      </c>
      <c r="H30" s="776">
        <f>+H20-H25</f>
        <v>3742.8734029999932</v>
      </c>
      <c r="I30" s="777">
        <f t="shared" si="9"/>
        <v>-1546.9500059999891</v>
      </c>
      <c r="J30" s="773">
        <f>+J20-J25</f>
        <v>47329.443207397038</v>
      </c>
      <c r="K30" s="780">
        <f>+K20-K25</f>
        <v>32469.060133009985</v>
      </c>
      <c r="L30" s="775">
        <f t="shared" si="1"/>
        <v>-14860.383074387053</v>
      </c>
      <c r="M30" s="776">
        <f>+M20-M25</f>
        <v>51543.262534990004</v>
      </c>
      <c r="N30" s="777">
        <f t="shared" si="2"/>
        <v>-19074.202401980019</v>
      </c>
      <c r="O30" s="99"/>
      <c r="P30" s="102"/>
      <c r="Q30" s="156" t="s">
        <v>183</v>
      </c>
      <c r="X30" s="104"/>
      <c r="Z30" s="597"/>
      <c r="AA30" s="597"/>
    </row>
    <row r="31" spans="2:37" ht="21.75" customHeight="1" x14ac:dyDescent="0.3">
      <c r="B31" s="597"/>
      <c r="C31" s="100"/>
      <c r="D31" s="123" t="s">
        <v>10</v>
      </c>
      <c r="E31" s="322">
        <f>+E30/E10</f>
        <v>0.15963123778285768</v>
      </c>
      <c r="F31" s="328">
        <f>+F30/F10</f>
        <v>7.8231182051219872E-2</v>
      </c>
      <c r="G31" s="325">
        <f t="shared" si="8"/>
        <v>-8.1400055731637805E-2</v>
      </c>
      <c r="H31" s="124">
        <f>+H30/H10</f>
        <v>0.10808884740643659</v>
      </c>
      <c r="I31" s="125">
        <f t="shared" si="9"/>
        <v>-2.9857665355216723E-2</v>
      </c>
      <c r="J31" s="322">
        <f>+J30/J10</f>
        <v>0.14529316031438544</v>
      </c>
      <c r="K31" s="328">
        <f>+K30/K10</f>
        <v>0.10393673673237001</v>
      </c>
      <c r="L31" s="325">
        <f t="shared" si="1"/>
        <v>-4.1356423582015425E-2</v>
      </c>
      <c r="M31" s="124">
        <f>+M30/M10</f>
        <v>0.14985948603244403</v>
      </c>
      <c r="N31" s="125">
        <f t="shared" si="2"/>
        <v>-4.592274930007402E-2</v>
      </c>
      <c r="O31" s="99"/>
      <c r="P31" s="102"/>
      <c r="Q31" s="344" t="s">
        <v>11</v>
      </c>
      <c r="R31" s="345"/>
      <c r="S31" s="346" t="s">
        <v>15</v>
      </c>
      <c r="T31" s="347" t="s">
        <v>16</v>
      </c>
      <c r="U31" s="348" t="s">
        <v>113</v>
      </c>
      <c r="V31" s="347" t="s">
        <v>17</v>
      </c>
      <c r="W31" s="349" t="s">
        <v>114</v>
      </c>
      <c r="X31" s="104"/>
    </row>
    <row r="32" spans="2:37" ht="21.75" customHeight="1" x14ac:dyDescent="0.3">
      <c r="B32" s="597"/>
      <c r="C32" s="100"/>
      <c r="D32" s="105" t="s">
        <v>3</v>
      </c>
      <c r="E32" s="771">
        <f t="shared" ref="E32:F34" si="18">+E21-E26</f>
        <v>165.73532922105119</v>
      </c>
      <c r="F32" s="772">
        <f t="shared" si="18"/>
        <v>118.35664899999983</v>
      </c>
      <c r="G32" s="748">
        <f>+F32-E32</f>
        <v>-47.378680221051354</v>
      </c>
      <c r="H32" s="749">
        <f>+H21-H26</f>
        <v>98.190128999999729</v>
      </c>
      <c r="I32" s="750">
        <f>+F32-H32</f>
        <v>20.166520000000105</v>
      </c>
      <c r="J32" s="771">
        <f t="shared" ref="J32:K34" si="19">+J21-J26</f>
        <v>1161.3904280210684</v>
      </c>
      <c r="K32" s="772">
        <f t="shared" si="19"/>
        <v>601.8603480000113</v>
      </c>
      <c r="L32" s="748">
        <f t="shared" si="1"/>
        <v>-559.53008002105707</v>
      </c>
      <c r="M32" s="749">
        <f>+M21-M26</f>
        <v>868.28041200001371</v>
      </c>
      <c r="N32" s="750">
        <f t="shared" si="2"/>
        <v>-266.42006400000241</v>
      </c>
      <c r="O32" s="99"/>
      <c r="P32" s="102"/>
      <c r="Q32" s="817" t="s">
        <v>168</v>
      </c>
      <c r="R32" s="818"/>
      <c r="S32" s="602">
        <f>+'사업장별(당월)'!T33</f>
        <v>72.210526000000002</v>
      </c>
      <c r="T32" s="603">
        <f>+'사업장별(당월)'!U33</f>
        <v>67.392237999999992</v>
      </c>
      <c r="U32" s="604">
        <f>+T32-S32</f>
        <v>-4.8182880000000097</v>
      </c>
      <c r="V32" s="605">
        <f>+'사업장별(당월)'!W33</f>
        <v>71.822104999999993</v>
      </c>
      <c r="W32" s="606">
        <f>+T32-V32</f>
        <v>-4.4298670000000016</v>
      </c>
      <c r="X32" s="104"/>
      <c r="Z32" s="597"/>
      <c r="AA32" s="597"/>
    </row>
    <row r="33" spans="2:31" ht="21.75" customHeight="1" x14ac:dyDescent="0.3">
      <c r="B33" s="597"/>
      <c r="C33" s="100"/>
      <c r="D33" s="105" t="s">
        <v>1</v>
      </c>
      <c r="E33" s="771">
        <f t="shared" si="18"/>
        <v>259.24999907297536</v>
      </c>
      <c r="F33" s="772">
        <f t="shared" si="18"/>
        <v>-290.10888612807173</v>
      </c>
      <c r="G33" s="748">
        <f t="shared" si="8"/>
        <v>-549.35888520104709</v>
      </c>
      <c r="H33" s="749">
        <f>+H22-H27</f>
        <v>127.9734319999999</v>
      </c>
      <c r="I33" s="750">
        <f t="shared" si="9"/>
        <v>-418.08231812807162</v>
      </c>
      <c r="J33" s="771">
        <f t="shared" si="19"/>
        <v>1806.3167811090229</v>
      </c>
      <c r="K33" s="772">
        <f t="shared" si="19"/>
        <v>-294.1041388654254</v>
      </c>
      <c r="L33" s="748">
        <f t="shared" si="1"/>
        <v>-2100.4209199744482</v>
      </c>
      <c r="M33" s="749">
        <f>+M22-M27</f>
        <v>891.53957103000153</v>
      </c>
      <c r="N33" s="750">
        <f t="shared" si="2"/>
        <v>-1185.643709895427</v>
      </c>
      <c r="O33" s="99"/>
      <c r="P33" s="102"/>
      <c r="Q33" s="819" t="s">
        <v>59</v>
      </c>
      <c r="R33" s="820"/>
      <c r="S33" s="191">
        <f>+'사업장별(당월)'!T34</f>
        <v>62.045457333333324</v>
      </c>
      <c r="T33" s="612">
        <f>+'사업장별(당월)'!U34</f>
        <v>58.662832999999999</v>
      </c>
      <c r="U33" s="204">
        <f>+T33-S33</f>
        <v>-3.3826243333333252</v>
      </c>
      <c r="V33" s="613">
        <f>+'사업장별(당월)'!W34</f>
        <v>56.694341999999999</v>
      </c>
      <c r="W33" s="221">
        <f>+T33-V33</f>
        <v>1.9684910000000002</v>
      </c>
      <c r="X33" s="104"/>
      <c r="Z33" s="597"/>
      <c r="AA33" s="597"/>
    </row>
    <row r="34" spans="2:31" ht="21.75" customHeight="1" x14ac:dyDescent="0.3">
      <c r="B34" s="597"/>
      <c r="C34" s="100"/>
      <c r="D34" s="115" t="s">
        <v>4</v>
      </c>
      <c r="E34" s="778">
        <f t="shared" si="18"/>
        <v>-1154.6548318987789</v>
      </c>
      <c r="F34" s="779">
        <f t="shared" si="18"/>
        <v>-947.31013187496455</v>
      </c>
      <c r="G34" s="751">
        <f t="shared" si="8"/>
        <v>207.34470002381431</v>
      </c>
      <c r="H34" s="752">
        <f>+H23-H28</f>
        <v>-1099.7909730000017</v>
      </c>
      <c r="I34" s="753">
        <f t="shared" si="9"/>
        <v>152.48084112503716</v>
      </c>
      <c r="J34" s="778">
        <f t="shared" si="19"/>
        <v>-13234.104992341332</v>
      </c>
      <c r="K34" s="779">
        <f t="shared" si="19"/>
        <v>-14152.854543133377</v>
      </c>
      <c r="L34" s="751">
        <f t="shared" si="1"/>
        <v>-918.74955079204483</v>
      </c>
      <c r="M34" s="752">
        <f>+M23-M28</f>
        <v>-13961.940433000003</v>
      </c>
      <c r="N34" s="753">
        <f t="shared" si="2"/>
        <v>-190.91411013337347</v>
      </c>
      <c r="O34" s="99"/>
      <c r="P34" s="102"/>
      <c r="Q34" s="624" t="s">
        <v>38</v>
      </c>
      <c r="R34" s="625"/>
      <c r="S34" s="619">
        <f>+'사업장별(당월)'!T35</f>
        <v>-1173.9157817876601</v>
      </c>
      <c r="T34" s="620">
        <f>+'사업장별(당월)'!U35</f>
        <v>-1265.4310908749756</v>
      </c>
      <c r="U34" s="621">
        <f>+T34-S34</f>
        <v>-91.515309087315472</v>
      </c>
      <c r="V34" s="622">
        <f>+'사업장별(당월)'!W35</f>
        <v>-1202.306736</v>
      </c>
      <c r="W34" s="623">
        <f>+T34-V34</f>
        <v>-63.124354874975552</v>
      </c>
      <c r="X34" s="104"/>
      <c r="Z34" s="597"/>
      <c r="AA34" s="597"/>
    </row>
    <row r="35" spans="2:31" ht="21.75" customHeight="1" x14ac:dyDescent="0.3">
      <c r="B35" s="597"/>
      <c r="C35" s="100" t="s">
        <v>8</v>
      </c>
      <c r="D35" s="120"/>
      <c r="E35" s="771">
        <f>SUM(E30,E32:E34)</f>
        <v>4533.5484764149724</v>
      </c>
      <c r="F35" s="781">
        <f>SUM(F30,F32:F34)</f>
        <v>1076.8610279969676</v>
      </c>
      <c r="G35" s="748">
        <f t="shared" si="8"/>
        <v>-3456.6874484180048</v>
      </c>
      <c r="H35" s="749">
        <f>SUM(H30,H32:H34)</f>
        <v>2869.2459909999907</v>
      </c>
      <c r="I35" s="750">
        <f t="shared" si="9"/>
        <v>-1792.3849630030231</v>
      </c>
      <c r="J35" s="771">
        <f>SUM(J30,J32:J34)</f>
        <v>37063.045424185802</v>
      </c>
      <c r="K35" s="781">
        <f>SUM(K30,K32:K34)</f>
        <v>18623.961799011195</v>
      </c>
      <c r="L35" s="748">
        <f t="shared" si="1"/>
        <v>-18439.083625174608</v>
      </c>
      <c r="M35" s="749">
        <f>SUM(M30,M32:M34)</f>
        <v>39341.142085020016</v>
      </c>
      <c r="N35" s="750">
        <f t="shared" si="2"/>
        <v>-20717.180286008821</v>
      </c>
      <c r="O35" s="99"/>
      <c r="P35" s="102"/>
      <c r="Q35" s="626" t="s">
        <v>166</v>
      </c>
      <c r="R35" s="627"/>
      <c r="S35" s="614">
        <f>+S36-S32-S33-S34</f>
        <v>-114.99503344445702</v>
      </c>
      <c r="T35" s="615">
        <f>+T36-T32-T33-T34</f>
        <v>192.06588800001305</v>
      </c>
      <c r="U35" s="616">
        <f>+T35-S35</f>
        <v>307.06092144447007</v>
      </c>
      <c r="V35" s="617">
        <f>+V36-V32-V33-V34</f>
        <v>-26.000684000008505</v>
      </c>
      <c r="W35" s="618">
        <f>+T35-V35</f>
        <v>218.06657200002155</v>
      </c>
      <c r="X35" s="104"/>
      <c r="Z35" s="597"/>
      <c r="AA35" s="597"/>
      <c r="AD35" s="98"/>
      <c r="AE35" s="597"/>
    </row>
    <row r="36" spans="2:31" ht="21.75" customHeight="1" thickBot="1" x14ac:dyDescent="0.35">
      <c r="C36" s="126"/>
      <c r="D36" s="127" t="s">
        <v>9</v>
      </c>
      <c r="E36" s="323">
        <f>+E35/E14</f>
        <v>9.7179501483321828E-2</v>
      </c>
      <c r="F36" s="329">
        <f>+F35/F14</f>
        <v>2.7199031822690393E-2</v>
      </c>
      <c r="G36" s="326">
        <f t="shared" si="8"/>
        <v>-6.9980469660631428E-2</v>
      </c>
      <c r="H36" s="128">
        <f>+H35/H14</f>
        <v>5.827807272843169E-2</v>
      </c>
      <c r="I36" s="129">
        <f t="shared" si="9"/>
        <v>-3.1079040905741297E-2</v>
      </c>
      <c r="J36" s="323">
        <f>+J35/J14</f>
        <v>8.2735430345808589E-2</v>
      </c>
      <c r="K36" s="329">
        <f>+K35/K14</f>
        <v>4.366105082419771E-2</v>
      </c>
      <c r="L36" s="326">
        <f t="shared" si="1"/>
        <v>-3.9074379521610879E-2</v>
      </c>
      <c r="M36" s="128">
        <f>+M35/M14</f>
        <v>8.3757239808481862E-2</v>
      </c>
      <c r="N36" s="129">
        <f t="shared" si="2"/>
        <v>-4.0096188984284152E-2</v>
      </c>
      <c r="O36" s="99"/>
      <c r="P36" s="130"/>
      <c r="Q36" s="807" t="s">
        <v>165</v>
      </c>
      <c r="R36" s="808"/>
      <c r="S36" s="607">
        <f>+'사업장별(당월)'!T41</f>
        <v>-1154.6548318987836</v>
      </c>
      <c r="T36" s="608">
        <f>+'사업장별(당월)'!U41</f>
        <v>-947.31013187496251</v>
      </c>
      <c r="U36" s="609">
        <f>+T36-S36</f>
        <v>207.34470002382113</v>
      </c>
      <c r="V36" s="610">
        <f>+'사업장별(당월)'!W41</f>
        <v>-1099.7909730000085</v>
      </c>
      <c r="W36" s="611">
        <f>+T36-V36</f>
        <v>152.48084112504603</v>
      </c>
      <c r="X36" s="131"/>
      <c r="AA36" s="597"/>
    </row>
    <row r="37" spans="2:31" ht="20.100000000000001" customHeight="1" thickTop="1" x14ac:dyDescent="0.3">
      <c r="F37" s="597"/>
    </row>
    <row r="38" spans="2:31" x14ac:dyDescent="0.3">
      <c r="E38" s="98">
        <f>+'[1]11월'!$E$26/1000</f>
        <v>4533.5484764149696</v>
      </c>
      <c r="F38" s="350">
        <f>+'[2]11월'!$F$26/1000</f>
        <v>1076.8610279969657</v>
      </c>
      <c r="H38" s="350">
        <f>+'[3]11월'!$F$26/1000</f>
        <v>2869.2459909999898</v>
      </c>
      <c r="J38" s="599">
        <f>+[4]손익총괄!J38+E38</f>
        <v>37063.045424185824</v>
      </c>
      <c r="K38" s="599">
        <f>+[4]손익총괄!K38+F38</f>
        <v>18623.961799011198</v>
      </c>
      <c r="L38" s="600"/>
      <c r="M38" s="599">
        <f>+[4]손익총괄!M38+H38</f>
        <v>39341.142085020001</v>
      </c>
      <c r="N38" s="600"/>
      <c r="O38" s="600"/>
    </row>
    <row r="39" spans="2:31" x14ac:dyDescent="0.3">
      <c r="E39" t="b">
        <f>+E35=E38</f>
        <v>1</v>
      </c>
      <c r="F39" t="b">
        <f>+F35=F38</f>
        <v>1</v>
      </c>
      <c r="H39" t="b">
        <f>+H35=H38</f>
        <v>1</v>
      </c>
      <c r="J39" t="b">
        <f>+J35=J38</f>
        <v>1</v>
      </c>
      <c r="K39" t="b">
        <f>+K35=K38</f>
        <v>1</v>
      </c>
      <c r="M39" t="b">
        <f>+M35=M38</f>
        <v>1</v>
      </c>
    </row>
    <row r="40" spans="2:31" x14ac:dyDescent="0.3">
      <c r="E40" s="601">
        <f>+E35-E38</f>
        <v>0</v>
      </c>
      <c r="F40" s="601">
        <f>+F35-F38</f>
        <v>1.8189894035458565E-12</v>
      </c>
      <c r="G40" s="598"/>
      <c r="H40" s="601">
        <f>+H35-H38</f>
        <v>0</v>
      </c>
      <c r="I40" s="598"/>
      <c r="J40" s="601">
        <f>+J35-J38</f>
        <v>0</v>
      </c>
      <c r="K40" s="601">
        <f>+K35-K38</f>
        <v>0</v>
      </c>
      <c r="L40" s="598"/>
      <c r="M40" s="601">
        <f>+M35-M38</f>
        <v>0</v>
      </c>
      <c r="N40" s="598"/>
      <c r="O40" s="98"/>
      <c r="P40" s="98"/>
    </row>
    <row r="42" spans="2:31" x14ac:dyDescent="0.3">
      <c r="E42" s="97"/>
      <c r="F42" s="97"/>
      <c r="G42" s="97"/>
    </row>
  </sheetData>
  <mergeCells count="11">
    <mergeCell ref="Z10:Z13"/>
    <mergeCell ref="AB5:AF5"/>
    <mergeCell ref="AG5:AK5"/>
    <mergeCell ref="Z7:Z9"/>
    <mergeCell ref="Z5:AA6"/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L78"/>
  <sheetViews>
    <sheetView showGridLines="0" showZeros="0" tabSelected="1" view="pageBreakPreview" topLeftCell="I13" zoomScale="85" zoomScaleNormal="85" zoomScaleSheetLayoutView="85" workbookViewId="0">
      <selection activeCell="AB34" sqref="AB3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239</v>
      </c>
      <c r="AD3" s="5"/>
      <c r="AG3" s="5"/>
    </row>
    <row r="4" spans="1:36" ht="18" customHeight="1" x14ac:dyDescent="0.3">
      <c r="H4" s="7"/>
      <c r="AD4" s="5"/>
      <c r="AG4" s="5" t="s">
        <v>94</v>
      </c>
    </row>
    <row r="5" spans="1:36" s="8" customFormat="1" ht="19.5" customHeight="1" x14ac:dyDescent="0.3">
      <c r="G5" s="792"/>
      <c r="H5" s="830" t="s">
        <v>48</v>
      </c>
      <c r="I5" s="831"/>
      <c r="J5" s="172" t="s">
        <v>66</v>
      </c>
      <c r="K5" s="173"/>
      <c r="L5" s="173"/>
      <c r="M5" s="173"/>
      <c r="N5" s="174"/>
      <c r="O5" s="172" t="s">
        <v>67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68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1:36" s="8" customFormat="1" ht="19.5" customHeight="1" x14ac:dyDescent="0.3">
      <c r="A6" s="8" t="s">
        <v>235</v>
      </c>
      <c r="G6" s="792"/>
      <c r="H6" s="832"/>
      <c r="I6" s="833"/>
      <c r="J6" s="175" t="s">
        <v>49</v>
      </c>
      <c r="K6" s="176" t="s">
        <v>50</v>
      </c>
      <c r="L6" s="177" t="s">
        <v>51</v>
      </c>
      <c r="M6" s="176" t="s">
        <v>52</v>
      </c>
      <c r="N6" s="178" t="s">
        <v>51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1:36" s="8" customFormat="1" ht="19.5" customHeight="1" x14ac:dyDescent="0.3">
      <c r="B7" s="8" t="s">
        <v>22</v>
      </c>
      <c r="G7" s="793" t="str">
        <f>+I7</f>
        <v>안양</v>
      </c>
      <c r="H7" s="78" t="s">
        <v>53</v>
      </c>
      <c r="I7" s="79" t="s">
        <v>22</v>
      </c>
      <c r="J7" s="36">
        <f>+IFERROR(HLOOKUP($B7,'[1]11월'!$D$6:$BN$259,2,),)/1000</f>
        <v>45</v>
      </c>
      <c r="K7" s="37">
        <f>+IFERROR(HLOOKUP($B7,'[2]11월'!$F$6:$CP$99,2,),)/1000</f>
        <v>38.566000000000003</v>
      </c>
      <c r="L7" s="38">
        <f t="shared" ref="L7:L26" si="0">+K7-J7</f>
        <v>-6.4339999999999975</v>
      </c>
      <c r="M7" s="39">
        <f>+IFERROR(HLOOKUP($B7,'[3]11월'!$F$6:$CC$57,2,),)/1000</f>
        <v>52.411000000000001</v>
      </c>
      <c r="N7" s="40">
        <f>+K7-M7</f>
        <v>-13.844999999999999</v>
      </c>
      <c r="O7" s="36">
        <f>+IFERROR(HLOOKUP($B7,'[1]11월'!$D$6:$BN$259,3,),)/1000</f>
        <v>4576.7896999999994</v>
      </c>
      <c r="P7" s="37">
        <f>+IFERROR(HLOOKUP($B7,'[2]11월'!$F$6:$CP$99,3,),)/1000</f>
        <v>3786.524261</v>
      </c>
      <c r="Q7" s="38">
        <f>+P7-O7</f>
        <v>-790.26543899999933</v>
      </c>
      <c r="R7" s="39">
        <f>+IFERROR(HLOOKUP($B7,'[3]11월'!$F$6:$CC$57,3,),)/1000</f>
        <v>4739.0450549999996</v>
      </c>
      <c r="S7" s="40">
        <f>+P7-R7</f>
        <v>-952.52079399999957</v>
      </c>
      <c r="T7" s="36">
        <f>+IFERROR(HLOOKUP($B7,'[1]11월'!$D$6:$BN$259,16,),)/1000</f>
        <v>669.44376637940684</v>
      </c>
      <c r="U7" s="37">
        <f>+IFERROR(HLOOKUP($B7,'[2]11월'!$F$6:$CP$99,16,),)/1000</f>
        <v>302.27515799999986</v>
      </c>
      <c r="V7" s="41">
        <f>+U7-T7</f>
        <v>-367.16860837940698</v>
      </c>
      <c r="W7" s="42">
        <f>+IFERROR(HLOOKUP($B7,'[3]11월'!$F$6:$CC$57,16,),)/1000</f>
        <v>289.11730599999987</v>
      </c>
      <c r="X7" s="40">
        <f>+U7-W7</f>
        <v>13.157851999999991</v>
      </c>
      <c r="Y7" s="36">
        <f>+[5]안양!$Q$85</f>
        <v>101706.43777777777</v>
      </c>
      <c r="Z7" s="37">
        <f>+[5]안양!$R$85</f>
        <v>98187.636493358237</v>
      </c>
      <c r="AA7" s="43">
        <f>+[6]안양!$Q$85</f>
        <v>90390.318880235733</v>
      </c>
      <c r="AB7" s="44">
        <f>+[5]안양!$Q$89</f>
        <v>80285.824462554228</v>
      </c>
      <c r="AC7" s="37">
        <f>+[5]안양!$R$89</f>
        <v>83030.588300907912</v>
      </c>
      <c r="AD7" s="45">
        <f>+[6]안양!$Q$89</f>
        <v>79011.360740726581</v>
      </c>
      <c r="AE7" s="44">
        <f>+Y7-AB7</f>
        <v>21420.613315223542</v>
      </c>
      <c r="AF7" s="37">
        <f>+Z7-AC7</f>
        <v>15157.048192450326</v>
      </c>
      <c r="AG7" s="45">
        <f>+AA7-AD7</f>
        <v>11378.958139509152</v>
      </c>
      <c r="AH7" s="18"/>
      <c r="AI7" s="19"/>
    </row>
    <row r="8" spans="1:36" s="8" customFormat="1" ht="19.5" customHeight="1" x14ac:dyDescent="0.3">
      <c r="B8" s="8" t="s">
        <v>23</v>
      </c>
      <c r="G8" s="794" t="str">
        <f t="shared" ref="G8:G26" si="1">+I8</f>
        <v>인천</v>
      </c>
      <c r="H8" s="80" t="s">
        <v>54</v>
      </c>
      <c r="I8" s="81" t="s">
        <v>23</v>
      </c>
      <c r="J8" s="46">
        <f>+IFERROR(HLOOKUP($B8,'[1]11월'!$D$6:$BN$259,2,),)/1000</f>
        <v>36</v>
      </c>
      <c r="K8" s="47">
        <f>+IFERROR(HLOOKUP($B8,'[2]11월'!$F$6:$CP$99,2,),)/1000</f>
        <v>29.507000000000001</v>
      </c>
      <c r="L8" s="48">
        <f t="shared" si="0"/>
        <v>-6.4929999999999986</v>
      </c>
      <c r="M8" s="49">
        <f>+IFERROR(HLOOKUP($B8,'[3]11월'!$F$6:$CC$57,2,),)/1000</f>
        <v>38.281999999999996</v>
      </c>
      <c r="N8" s="50">
        <f t="shared" ref="N8:N26" si="2">+K8-M8</f>
        <v>-8.774999999999995</v>
      </c>
      <c r="O8" s="46">
        <f>+IFERROR(HLOOKUP($B8,'[1]11월'!$D$6:$BN$259,3,),)/1000</f>
        <v>3840.6235099999999</v>
      </c>
      <c r="P8" s="47">
        <f>+IFERROR(HLOOKUP($B8,'[2]11월'!$F$6:$CP$99,3,),)/1000</f>
        <v>2907.4014480000001</v>
      </c>
      <c r="Q8" s="48">
        <f t="shared" ref="Q8:Q26" si="3">+P8-O8</f>
        <v>-933.22206199999982</v>
      </c>
      <c r="R8" s="49">
        <f>+IFERROR(HLOOKUP($B8,'[3]11월'!$F$6:$CC$57,3,),)/1000</f>
        <v>3653.7018809999995</v>
      </c>
      <c r="S8" s="50">
        <f t="shared" ref="S8:S26" si="4">+P8-R8</f>
        <v>-746.30043299999943</v>
      </c>
      <c r="T8" s="46">
        <f>+IFERROR(HLOOKUP($B8,'[1]11월'!$D$6:$BN$259,16,),)/1000</f>
        <v>631.27754955971557</v>
      </c>
      <c r="U8" s="47">
        <f>+IFERROR(HLOOKUP($B8,'[2]11월'!$F$6:$CP$99,16,),)/1000</f>
        <v>72.336657000000145</v>
      </c>
      <c r="V8" s="48">
        <f t="shared" ref="V8:V26" si="5">+U8-T8</f>
        <v>-558.94089255971539</v>
      </c>
      <c r="W8" s="49">
        <f>+IFERROR(HLOOKUP($B8,'[3]11월'!$F$6:$CC$57,16,),)/1000</f>
        <v>197.38629699999956</v>
      </c>
      <c r="X8" s="50">
        <f t="shared" ref="X8:X26" si="6">+U8-W8</f>
        <v>-125.04963999999941</v>
      </c>
      <c r="Y8" s="46">
        <f>+[5]인천!$Q$85</f>
        <v>106683.98638888888</v>
      </c>
      <c r="Z8" s="47">
        <f>+[5]인천!$R$85</f>
        <v>98532.600671027205</v>
      </c>
      <c r="AA8" s="51">
        <f>+[6]인천!$Q$85</f>
        <v>95427.936641999841</v>
      </c>
      <c r="AB8" s="52">
        <f>+[5]인천!$Q$89</f>
        <v>81462.253985180563</v>
      </c>
      <c r="AC8" s="47">
        <f>+[5]인천!$R$89</f>
        <v>85841.298098756233</v>
      </c>
      <c r="AD8" s="53">
        <f>+[6]인천!$Q$89</f>
        <v>82915.993334204672</v>
      </c>
      <c r="AE8" s="52">
        <f t="shared" ref="AE8:AE27" si="7">+Y8-AB8</f>
        <v>25221.732403708316</v>
      </c>
      <c r="AF8" s="47">
        <f t="shared" ref="AF8:AF27" si="8">+Z8-AC8</f>
        <v>12691.302572270972</v>
      </c>
      <c r="AG8" s="53">
        <f t="shared" ref="AG8:AG27" si="9">+AA8-AD8</f>
        <v>12511.943307795169</v>
      </c>
      <c r="AH8" s="18"/>
      <c r="AI8" s="19"/>
      <c r="AJ8" s="96"/>
    </row>
    <row r="9" spans="1:36" s="8" customFormat="1" ht="19.5" customHeight="1" x14ac:dyDescent="0.3">
      <c r="B9" s="8" t="s">
        <v>24</v>
      </c>
      <c r="G9" s="794" t="str">
        <f t="shared" si="1"/>
        <v>파주</v>
      </c>
      <c r="H9" s="80"/>
      <c r="I9" s="81" t="s">
        <v>24</v>
      </c>
      <c r="J9" s="46">
        <f>+IFERROR(HLOOKUP($B9,'[1]11월'!$D$6:$BN$259,2,),)/1000</f>
        <v>23</v>
      </c>
      <c r="K9" s="47">
        <f>+IFERROR(HLOOKUP($B9,'[2]11월'!$F$6:$CP$99,2,),)/1000</f>
        <v>22.349</v>
      </c>
      <c r="L9" s="48">
        <f t="shared" si="0"/>
        <v>-0.6509999999999998</v>
      </c>
      <c r="M9" s="49">
        <f>+IFERROR(HLOOKUP($B9,'[3]11월'!$F$6:$CC$57,2,),)/1000</f>
        <v>32.521999999999998</v>
      </c>
      <c r="N9" s="50">
        <f t="shared" si="2"/>
        <v>-10.172999999999998</v>
      </c>
      <c r="O9" s="46">
        <f>+IFERROR(HLOOKUP($B9,'[1]11월'!$D$6:$BN$259,3,),)/1000</f>
        <v>2308.8134706053079</v>
      </c>
      <c r="P9" s="47">
        <f>+IFERROR(HLOOKUP($B9,'[2]11월'!$F$6:$CP$99,3,),)/1000</f>
        <v>2134.5209269999996</v>
      </c>
      <c r="Q9" s="48">
        <f t="shared" si="3"/>
        <v>-174.29254360530831</v>
      </c>
      <c r="R9" s="49">
        <f>+IFERROR(HLOOKUP($B9,'[3]11월'!$F$6:$CC$57,3,),)/1000</f>
        <v>3216.1734609999999</v>
      </c>
      <c r="S9" s="50">
        <f t="shared" si="4"/>
        <v>-1081.6525340000003</v>
      </c>
      <c r="T9" s="46">
        <f>+IFERROR(HLOOKUP($B9,'[1]11월'!$D$6:$BN$259,16,),)/1000</f>
        <v>291.23696176557002</v>
      </c>
      <c r="U9" s="47">
        <f>+IFERROR(HLOOKUP($B9,'[2]11월'!$F$6:$CP$99,16,),)/1000</f>
        <v>79.622708999999745</v>
      </c>
      <c r="V9" s="48">
        <f t="shared" si="5"/>
        <v>-211.61425276557026</v>
      </c>
      <c r="W9" s="49">
        <f>+IFERROR(HLOOKUP($B9,'[3]11월'!$F$6:$CC$57,16,),)/1000</f>
        <v>229.24384199999989</v>
      </c>
      <c r="X9" s="50">
        <f t="shared" si="6"/>
        <v>-149.62113300000016</v>
      </c>
      <c r="Y9" s="46">
        <f>+[5]파주!$Q$85</f>
        <v>100383.19437414382</v>
      </c>
      <c r="Z9" s="47">
        <f>+[5]파주!$R$85</f>
        <v>95512.911955888267</v>
      </c>
      <c r="AA9" s="51">
        <f>+[6]파주!$Q$85</f>
        <v>98825.228103794914</v>
      </c>
      <c r="AB9" s="52">
        <f>+[5]파주!$Q$89</f>
        <v>78647.244076157076</v>
      </c>
      <c r="AC9" s="47">
        <f>+[5]파주!$R$89</f>
        <v>81942.562676466638</v>
      </c>
      <c r="AD9" s="53">
        <f>+[6]파주!$Q$89</f>
        <v>84723.197437024937</v>
      </c>
      <c r="AE9" s="52">
        <f t="shared" si="7"/>
        <v>21735.950297986739</v>
      </c>
      <c r="AF9" s="47">
        <f t="shared" si="8"/>
        <v>13570.349279421629</v>
      </c>
      <c r="AG9" s="53">
        <f t="shared" si="9"/>
        <v>14102.030666769977</v>
      </c>
      <c r="AH9" s="18"/>
      <c r="AI9" s="19"/>
      <c r="AJ9" s="96"/>
    </row>
    <row r="10" spans="1:36" s="8" customFormat="1" ht="19.5" customHeight="1" x14ac:dyDescent="0.3">
      <c r="B10" s="8" t="s">
        <v>175</v>
      </c>
      <c r="G10" s="794" t="str">
        <f t="shared" si="1"/>
        <v>김포</v>
      </c>
      <c r="H10" s="80"/>
      <c r="I10" s="81" t="s">
        <v>172</v>
      </c>
      <c r="J10" s="46">
        <f>+IFERROR(HLOOKUP($B10,'[1]11월'!$D$6:$BN$259,2,),)/1000</f>
        <v>17.5</v>
      </c>
      <c r="K10" s="47">
        <f>+IFERROR(HLOOKUP($B10,'[2]11월'!$F$6:$CP$99,2,),)/1000</f>
        <v>17.224</v>
      </c>
      <c r="L10" s="48">
        <f t="shared" si="0"/>
        <v>-0.2759999999999998</v>
      </c>
      <c r="M10" s="49">
        <f>+IFERROR(HLOOKUP($B10,'[3]11월'!$F$6:$CC$57,2,),)/1000</f>
        <v>16.05668</v>
      </c>
      <c r="N10" s="50">
        <f t="shared" si="2"/>
        <v>1.1673200000000001</v>
      </c>
      <c r="O10" s="46">
        <f>+IFERROR(HLOOKUP($B10,'[1]11월'!$D$6:$BN$259,3,),)/1000</f>
        <v>1690.5764999999999</v>
      </c>
      <c r="P10" s="47">
        <f>+IFERROR(HLOOKUP($B10,'[2]11월'!$F$6:$CP$99,3,),)/1000</f>
        <v>1650.7338</v>
      </c>
      <c r="Q10" s="48">
        <f t="shared" si="3"/>
        <v>-39.842699999999923</v>
      </c>
      <c r="R10" s="49">
        <f>+IFERROR(HLOOKUP($B10,'[3]11월'!$F$6:$CC$57,3,),)/1000</f>
        <v>1538.7715819999999</v>
      </c>
      <c r="S10" s="50">
        <f t="shared" si="4"/>
        <v>111.96221800000012</v>
      </c>
      <c r="T10" s="46">
        <f>+IFERROR(HLOOKUP($B10,'[1]11월'!$D$6:$BN$259,16,),)/1000</f>
        <v>264.0516088844393</v>
      </c>
      <c r="U10" s="47">
        <f>+IFERROR(HLOOKUP($B10,'[2]11월'!$F$6:$CP$99,16,),)/1000</f>
        <v>98.878248000000056</v>
      </c>
      <c r="V10" s="48">
        <f t="shared" si="5"/>
        <v>-165.17336088443926</v>
      </c>
      <c r="W10" s="49">
        <f>+IFERROR(HLOOKUP($B10,'[3]11월'!$F$6:$CC$57,16,),)/1000</f>
        <v>184.97632399999972</v>
      </c>
      <c r="X10" s="50">
        <f t="shared" si="6"/>
        <v>-86.098075999999665</v>
      </c>
      <c r="Y10" s="46">
        <f>+[5]김포!$Q$85</f>
        <v>96604.371428571423</v>
      </c>
      <c r="Z10" s="47">
        <f>+[5]김포!$R$85</f>
        <v>95901.215663354757</v>
      </c>
      <c r="AA10" s="51">
        <f>+[6]김포!$Q$85</f>
        <v>95784.705518835646</v>
      </c>
      <c r="AB10" s="52">
        <f>+[5]김포!$Q$89</f>
        <v>72466.769943111402</v>
      </c>
      <c r="AC10" s="47">
        <f>+[5]김포!$R$89</f>
        <v>80686.638174807202</v>
      </c>
      <c r="AD10" s="53">
        <f>+[6]김포!$Q$89</f>
        <v>73858.941649909626</v>
      </c>
      <c r="AE10" s="52">
        <f t="shared" si="7"/>
        <v>24137.601485460022</v>
      </c>
      <c r="AF10" s="47">
        <f t="shared" si="8"/>
        <v>15214.577488547555</v>
      </c>
      <c r="AG10" s="53">
        <f t="shared" si="9"/>
        <v>21925.76386892602</v>
      </c>
      <c r="AH10" s="18"/>
      <c r="AI10" s="19"/>
      <c r="AJ10" s="96"/>
    </row>
    <row r="11" spans="1:36" s="8" customFormat="1" ht="19.5" customHeight="1" x14ac:dyDescent="0.3">
      <c r="B11" s="8" t="s">
        <v>25</v>
      </c>
      <c r="G11" s="792" t="str">
        <f t="shared" si="1"/>
        <v>부산</v>
      </c>
      <c r="H11" s="80"/>
      <c r="I11" s="82" t="s">
        <v>25</v>
      </c>
      <c r="J11" s="63">
        <f>+IFERROR(HLOOKUP($B11,'[1]11월'!$D$6:$BN$259,2,),)/1000</f>
        <v>24</v>
      </c>
      <c r="K11" s="64">
        <f>+IFERROR(HLOOKUP($B11,'[2]11월'!$F$6:$CP$99,2,),)/1000</f>
        <v>19.12</v>
      </c>
      <c r="L11" s="65">
        <f t="shared" si="0"/>
        <v>-4.879999999999999</v>
      </c>
      <c r="M11" s="66">
        <f>+IFERROR(HLOOKUP($B11,'[3]11월'!$F$6:$CC$57,2,),)/1000</f>
        <v>24.287500000000001</v>
      </c>
      <c r="N11" s="67">
        <f t="shared" si="2"/>
        <v>-5.1675000000000004</v>
      </c>
      <c r="O11" s="63">
        <f>+IFERROR(HLOOKUP($B11,'[1]11월'!$D$6:$BN$259,3,),)/1000</f>
        <v>2582.3960619999998</v>
      </c>
      <c r="P11" s="64">
        <f>+IFERROR(HLOOKUP($B11,'[2]11월'!$F$6:$CP$99,3,),)/1000</f>
        <v>2100.7500060000002</v>
      </c>
      <c r="Q11" s="65">
        <f t="shared" si="3"/>
        <v>-481.64605599999959</v>
      </c>
      <c r="R11" s="66">
        <f>+IFERROR(HLOOKUP($B11,'[3]11월'!$F$6:$CC$57,3,),)/1000</f>
        <v>2488.475606</v>
      </c>
      <c r="S11" s="67">
        <f t="shared" si="4"/>
        <v>-387.72559999999976</v>
      </c>
      <c r="T11" s="63">
        <f>+IFERROR(HLOOKUP($B11,'[1]11월'!$D$6:$BN$259,16,),)/1000</f>
        <v>440.56962946690476</v>
      </c>
      <c r="U11" s="64">
        <f>+IFERROR(HLOOKUP($B11,'[2]11월'!$F$6:$CP$99,16,),)/1000</f>
        <v>175.17909099999994</v>
      </c>
      <c r="V11" s="65">
        <f t="shared" si="5"/>
        <v>-265.39053846690479</v>
      </c>
      <c r="W11" s="66">
        <f>+IFERROR(HLOOKUP($B11,'[3]11월'!$F$6:$CC$57,16,),)/1000</f>
        <v>295.99216300000012</v>
      </c>
      <c r="X11" s="67">
        <f t="shared" si="6"/>
        <v>-120.81307200000018</v>
      </c>
      <c r="Y11" s="63">
        <f>+[5]부산!$Q$85</f>
        <v>107599.83591666666</v>
      </c>
      <c r="Z11" s="64">
        <f>+[5]부산!$R$85</f>
        <v>109871.86223849373</v>
      </c>
      <c r="AA11" s="68">
        <f>+[6]부산!$Q$85</f>
        <v>102459.10884199692</v>
      </c>
      <c r="AB11" s="69">
        <f>+[5]부산!$Q$89</f>
        <v>78841.491236909773</v>
      </c>
      <c r="AC11" s="64">
        <f>+[5]부산!$R$89</f>
        <v>86400.777563064708</v>
      </c>
      <c r="AD11" s="70">
        <f>+[6]부산!$Q$89</f>
        <v>79670.333710709951</v>
      </c>
      <c r="AE11" s="69">
        <f t="shared" si="7"/>
        <v>28758.34467975689</v>
      </c>
      <c r="AF11" s="64">
        <f t="shared" si="8"/>
        <v>23471.084675429025</v>
      </c>
      <c r="AG11" s="70">
        <f t="shared" si="9"/>
        <v>22788.775131286966</v>
      </c>
      <c r="AH11" s="18"/>
      <c r="AI11" s="19"/>
      <c r="AJ11" s="96"/>
    </row>
    <row r="12" spans="1:36" s="8" customFormat="1" ht="19.5" customHeight="1" x14ac:dyDescent="0.3">
      <c r="B12" s="8" t="s">
        <v>26</v>
      </c>
      <c r="G12" s="792" t="str">
        <f t="shared" si="1"/>
        <v>서부산</v>
      </c>
      <c r="H12" s="80"/>
      <c r="I12" s="81" t="s">
        <v>26</v>
      </c>
      <c r="J12" s="46">
        <f>+IFERROR(HLOOKUP($B12,'[1]11월'!$D$6:$BN$259,2,),)/1000</f>
        <v>26</v>
      </c>
      <c r="K12" s="47">
        <f>+IFERROR(HLOOKUP($B12,'[2]11월'!$F$6:$CP$99,2,),)/1000</f>
        <v>19.931999999999999</v>
      </c>
      <c r="L12" s="48">
        <f t="shared" si="0"/>
        <v>-6.0680000000000014</v>
      </c>
      <c r="M12" s="49">
        <f>+IFERROR(HLOOKUP($B12,'[3]11월'!$F$6:$CC$57,2,),)/1000</f>
        <v>29.358000000000001</v>
      </c>
      <c r="N12" s="50">
        <f t="shared" si="2"/>
        <v>-9.4260000000000019</v>
      </c>
      <c r="O12" s="46">
        <f>+IFERROR(HLOOKUP($B12,'[1]11월'!$D$6:$BN$259,3,),)/1000</f>
        <v>2719.0035200000002</v>
      </c>
      <c r="P12" s="47">
        <f>+IFERROR(HLOOKUP($B12,'[2]11월'!$F$6:$CP$99,3,),)/1000</f>
        <v>1883.6582900000001</v>
      </c>
      <c r="Q12" s="48">
        <f t="shared" si="3"/>
        <v>-835.34523000000013</v>
      </c>
      <c r="R12" s="49">
        <f>+IFERROR(HLOOKUP($B12,'[3]11월'!$F$6:$CC$57,3,),)/1000</f>
        <v>2851.8056099999999</v>
      </c>
      <c r="S12" s="50">
        <f t="shared" si="4"/>
        <v>-968.14731999999981</v>
      </c>
      <c r="T12" s="46">
        <f>+IFERROR(HLOOKUP($B12,'[1]11월'!$D$6:$BN$259,16,),)/1000</f>
        <v>511.79380615329109</v>
      </c>
      <c r="U12" s="47">
        <f>+IFERROR(HLOOKUP($B12,'[2]11월'!$F$6:$CP$99,16,),)/1000</f>
        <v>124.87579599999992</v>
      </c>
      <c r="V12" s="48">
        <f t="shared" si="5"/>
        <v>-386.91801015329116</v>
      </c>
      <c r="W12" s="49">
        <f>+IFERROR(HLOOKUP($B12,'[3]11월'!$F$6:$CC$57,16,),)/1000</f>
        <v>436.141186</v>
      </c>
      <c r="X12" s="50">
        <f t="shared" si="6"/>
        <v>-311.26539000000008</v>
      </c>
      <c r="Y12" s="46">
        <f>+[5]서부산!$Q$85</f>
        <v>104577.05846153846</v>
      </c>
      <c r="Z12" s="47">
        <f>+[5]서부산!$R$85</f>
        <v>94504.228878185822</v>
      </c>
      <c r="AA12" s="51">
        <f>+[6]서부산!$Q$85</f>
        <v>97138.960760269765</v>
      </c>
      <c r="AB12" s="52">
        <f>+[5]서부산!$Q$89</f>
        <v>76327.594733420425</v>
      </c>
      <c r="AC12" s="47">
        <f>+[5]서부산!$R$89</f>
        <v>77003.708354407107</v>
      </c>
      <c r="AD12" s="53">
        <f>+[6]서부산!$Q$89</f>
        <v>74683.793352404304</v>
      </c>
      <c r="AE12" s="52">
        <f t="shared" si="7"/>
        <v>28249.463728118033</v>
      </c>
      <c r="AF12" s="47">
        <f t="shared" si="8"/>
        <v>17500.520523778716</v>
      </c>
      <c r="AG12" s="53">
        <f t="shared" si="9"/>
        <v>22455.167407865461</v>
      </c>
      <c r="AH12" s="18"/>
      <c r="AI12" s="19"/>
      <c r="AJ12" s="96"/>
    </row>
    <row r="13" spans="1:36" s="8" customFormat="1" ht="19.5" customHeight="1" x14ac:dyDescent="0.3">
      <c r="B13" s="8" t="s">
        <v>27</v>
      </c>
      <c r="G13" s="792" t="str">
        <f t="shared" si="1"/>
        <v>김해</v>
      </c>
      <c r="H13" s="80"/>
      <c r="I13" s="81" t="s">
        <v>27</v>
      </c>
      <c r="J13" s="46">
        <f>+IFERROR(HLOOKUP($B13,'[1]11월'!$D$6:$BN$259,2,),)/1000</f>
        <v>14</v>
      </c>
      <c r="K13" s="47">
        <f>+IFERROR(HLOOKUP($B13,'[2]11월'!$F$6:$CP$99,2,),)/1000</f>
        <v>12.286</v>
      </c>
      <c r="L13" s="48">
        <f t="shared" si="0"/>
        <v>-1.7140000000000004</v>
      </c>
      <c r="M13" s="49">
        <f>+IFERROR(HLOOKUP($B13,'[3]11월'!$F$6:$CC$57,2,),)/1000</f>
        <v>16.068999999999999</v>
      </c>
      <c r="N13" s="50">
        <f t="shared" si="2"/>
        <v>-3.7829999999999995</v>
      </c>
      <c r="O13" s="46">
        <f>+IFERROR(HLOOKUP($B13,'[1]11월'!$D$6:$BN$259,3,),)/1000</f>
        <v>1414.0056000000002</v>
      </c>
      <c r="P13" s="47">
        <f>+IFERROR(HLOOKUP($B13,'[2]11월'!$F$6:$CP$99,3,),)/1000</f>
        <v>1181.5016000000001</v>
      </c>
      <c r="Q13" s="48">
        <f t="shared" si="3"/>
        <v>-232.50400000000013</v>
      </c>
      <c r="R13" s="49">
        <f>+IFERROR(HLOOKUP($B13,'[3]11월'!$F$6:$CC$57,3,),)/1000</f>
        <v>1581.87949</v>
      </c>
      <c r="S13" s="50">
        <f t="shared" si="4"/>
        <v>-400.37788999999998</v>
      </c>
      <c r="T13" s="46">
        <f>+IFERROR(HLOOKUP($B13,'[1]11월'!$D$6:$BN$259,16,),)/1000</f>
        <v>199.30404861214993</v>
      </c>
      <c r="U13" s="47">
        <f>+IFERROR(HLOOKUP($B13,'[2]11월'!$F$6:$CP$99,16,),)/1000</f>
        <v>84.464322000000067</v>
      </c>
      <c r="V13" s="48">
        <f t="shared" si="5"/>
        <v>-114.83972661214986</v>
      </c>
      <c r="W13" s="49">
        <f>+IFERROR(HLOOKUP($B13,'[3]11월'!$F$6:$CC$57,16,),)/1000</f>
        <v>188.29217800000015</v>
      </c>
      <c r="X13" s="50">
        <f t="shared" si="6"/>
        <v>-103.82785600000008</v>
      </c>
      <c r="Y13" s="46">
        <f>+[5]김해!$Q$85</f>
        <v>101000.40000000001</v>
      </c>
      <c r="Z13" s="47">
        <f>+[5]김해!$R$85</f>
        <v>96166.498453524342</v>
      </c>
      <c r="AA13" s="51">
        <f>+[6]김해!$Q$85</f>
        <v>98442.932976538665</v>
      </c>
      <c r="AB13" s="52">
        <f>+[5]김해!$Q$89</f>
        <v>77024.581660291791</v>
      </c>
      <c r="AC13" s="47">
        <f>+[5]김해!$R$89</f>
        <v>77299.138206088232</v>
      </c>
      <c r="AD13" s="53">
        <f>+[6]김해!$Q$89</f>
        <v>78010.995892712672</v>
      </c>
      <c r="AE13" s="52">
        <f t="shared" si="7"/>
        <v>23975.818339708218</v>
      </c>
      <c r="AF13" s="47">
        <f t="shared" si="8"/>
        <v>18867.360247436111</v>
      </c>
      <c r="AG13" s="53">
        <f t="shared" si="9"/>
        <v>20431.937083825993</v>
      </c>
      <c r="AH13" s="18"/>
      <c r="AI13" s="19"/>
      <c r="AJ13" s="96"/>
    </row>
    <row r="14" spans="1:36" s="8" customFormat="1" ht="19.5" customHeight="1" x14ac:dyDescent="0.3">
      <c r="B14" s="8" t="s">
        <v>28</v>
      </c>
      <c r="G14" s="792" t="str">
        <f t="shared" si="1"/>
        <v>정관</v>
      </c>
      <c r="H14" s="80"/>
      <c r="I14" s="81" t="s">
        <v>28</v>
      </c>
      <c r="J14" s="46">
        <f>+IFERROR(HLOOKUP($B14,'[1]11월'!$D$6:$BN$259,2,),)/1000</f>
        <v>19</v>
      </c>
      <c r="K14" s="47">
        <f>+IFERROR(HLOOKUP($B14,'[2]11월'!$F$6:$CP$99,2,),)/1000</f>
        <v>18.062999999999999</v>
      </c>
      <c r="L14" s="48">
        <f t="shared" si="0"/>
        <v>-0.93700000000000117</v>
      </c>
      <c r="M14" s="49">
        <f>+IFERROR(HLOOKUP($B14,'[3]11월'!$F$6:$CC$57,2,),)/1000</f>
        <v>22.187000000000001</v>
      </c>
      <c r="N14" s="50">
        <f t="shared" si="2"/>
        <v>-4.1240000000000023</v>
      </c>
      <c r="O14" s="46">
        <f>+IFERROR(HLOOKUP($B14,'[1]11월'!$D$6:$BN$259,3,),)/1000</f>
        <v>1976</v>
      </c>
      <c r="P14" s="47">
        <f>+IFERROR(HLOOKUP($B14,'[2]11월'!$F$6:$CP$99,3,),)/1000</f>
        <v>1827.778409</v>
      </c>
      <c r="Q14" s="48">
        <f t="shared" si="3"/>
        <v>-148.22159099999999</v>
      </c>
      <c r="R14" s="49">
        <f>+IFERROR(HLOOKUP($B14,'[3]11월'!$F$6:$CC$57,3,),)/1000</f>
        <v>2237.4767999999999</v>
      </c>
      <c r="S14" s="50">
        <f t="shared" si="4"/>
        <v>-409.6983909999999</v>
      </c>
      <c r="T14" s="46">
        <f>+IFERROR(HLOOKUP($B14,'[1]11월'!$D$6:$BN$259,16,),)/1000</f>
        <v>288.71255045942132</v>
      </c>
      <c r="U14" s="47">
        <f>+IFERROR(HLOOKUP($B14,'[2]11월'!$F$6:$CP$99,16,),)/1000</f>
        <v>141.17147200000005</v>
      </c>
      <c r="V14" s="48">
        <f t="shared" si="5"/>
        <v>-147.54107845942127</v>
      </c>
      <c r="W14" s="49">
        <f>+IFERROR(HLOOKUP($B14,'[3]11월'!$F$6:$CC$57,16,),)/1000</f>
        <v>345.89393199999961</v>
      </c>
      <c r="X14" s="50">
        <f t="shared" si="6"/>
        <v>-204.72245999999956</v>
      </c>
      <c r="Y14" s="46">
        <f>+[5]정관!$Q$85</f>
        <v>104000</v>
      </c>
      <c r="Z14" s="47">
        <f>+[5]정관!$R$85</f>
        <v>101189.08315340753</v>
      </c>
      <c r="AA14" s="51">
        <f>+[6]정관!$Q$85</f>
        <v>100846.29738134943</v>
      </c>
      <c r="AB14" s="52">
        <f>+[5]정관!$Q$89</f>
        <v>79201.726829621126</v>
      </c>
      <c r="AC14" s="47">
        <f>+[5]정관!$R$89</f>
        <v>82675.658810511755</v>
      </c>
      <c r="AD14" s="53">
        <f>+[6]정관!$Q$89</f>
        <v>76983.404380943801</v>
      </c>
      <c r="AE14" s="52">
        <f t="shared" si="7"/>
        <v>24798.273170378874</v>
      </c>
      <c r="AF14" s="47">
        <f t="shared" si="8"/>
        <v>18513.424342895771</v>
      </c>
      <c r="AG14" s="53">
        <f t="shared" si="9"/>
        <v>23862.893000405631</v>
      </c>
      <c r="AH14" s="18"/>
      <c r="AI14" s="19"/>
      <c r="AJ14" s="96"/>
    </row>
    <row r="15" spans="1:36" s="8" customFormat="1" ht="19.5" customHeight="1" x14ac:dyDescent="0.3">
      <c r="B15" s="8" t="s">
        <v>29</v>
      </c>
      <c r="G15" s="792" t="str">
        <f t="shared" si="1"/>
        <v>양산</v>
      </c>
      <c r="H15" s="80"/>
      <c r="I15" s="81" t="s">
        <v>29</v>
      </c>
      <c r="J15" s="46">
        <f>+IFERROR(HLOOKUP($B15,'[1]11월'!$D$6:$BN$259,2,),)/1000</f>
        <v>12</v>
      </c>
      <c r="K15" s="47">
        <f>+IFERROR(HLOOKUP($B15,'[2]11월'!$F$6:$CP$99,2,),)/1000</f>
        <v>10.32</v>
      </c>
      <c r="L15" s="48">
        <f t="shared" si="0"/>
        <v>-1.6799999999999997</v>
      </c>
      <c r="M15" s="49">
        <f>+IFERROR(HLOOKUP($B15,'[3]11월'!$F$6:$CC$57,2,),)/1000</f>
        <v>13.651</v>
      </c>
      <c r="N15" s="50">
        <f t="shared" si="2"/>
        <v>-3.3309999999999995</v>
      </c>
      <c r="O15" s="46">
        <f>+IFERROR(HLOOKUP($B15,'[1]11월'!$D$6:$BN$259,3,),)/1000</f>
        <v>1166.5218300000004</v>
      </c>
      <c r="P15" s="47">
        <f>+IFERROR(HLOOKUP($B15,'[2]11월'!$F$6:$CP$99,3,),)/1000</f>
        <v>1034.8856000000001</v>
      </c>
      <c r="Q15" s="48">
        <f t="shared" si="3"/>
        <v>-131.6362300000003</v>
      </c>
      <c r="R15" s="49">
        <f>+IFERROR(HLOOKUP($B15,'[3]11월'!$F$6:$CC$57,3,),)/1000</f>
        <v>1229.7333999999998</v>
      </c>
      <c r="S15" s="50">
        <f t="shared" si="4"/>
        <v>-194.84779999999978</v>
      </c>
      <c r="T15" s="46">
        <f>+IFERROR(HLOOKUP($B15,'[1]11월'!$D$6:$BN$259,16,),)/1000</f>
        <v>172.32306729061892</v>
      </c>
      <c r="U15" s="47">
        <f>+IFERROR(HLOOKUP($B15,'[2]11월'!$F$6:$CP$99,16,),)/1000</f>
        <v>98.711030999999963</v>
      </c>
      <c r="V15" s="48">
        <f t="shared" si="5"/>
        <v>-73.61203629061896</v>
      </c>
      <c r="W15" s="49">
        <f>+IFERROR(HLOOKUP($B15,'[3]11월'!$F$6:$CC$57,16,),)/1000</f>
        <v>75.512558999999797</v>
      </c>
      <c r="X15" s="50">
        <f t="shared" si="6"/>
        <v>23.198472000000166</v>
      </c>
      <c r="Y15" s="46">
        <f>+[5]양산!$Q$85</f>
        <v>97210.152500000026</v>
      </c>
      <c r="Z15" s="47">
        <f>+[5]양산!$R$85</f>
        <v>100279.61240310076</v>
      </c>
      <c r="AA15" s="51">
        <f>+[6]양산!$Q$85</f>
        <v>90083.759431543469</v>
      </c>
      <c r="AB15" s="52">
        <f>+[5]양산!$Q$89</f>
        <v>71708.560633189205</v>
      </c>
      <c r="AC15" s="47">
        <f>+[5]양산!$R$89</f>
        <v>76706.994768962511</v>
      </c>
      <c r="AD15" s="53">
        <f>+[6]양산!$Q$89</f>
        <v>73954.289826411768</v>
      </c>
      <c r="AE15" s="52">
        <f t="shared" si="7"/>
        <v>25501.591866810821</v>
      </c>
      <c r="AF15" s="47">
        <f t="shared" si="8"/>
        <v>23572.617634138252</v>
      </c>
      <c r="AG15" s="53">
        <f t="shared" si="9"/>
        <v>16129.469605131701</v>
      </c>
      <c r="AH15" s="18"/>
      <c r="AI15" s="19"/>
      <c r="AJ15" s="96"/>
    </row>
    <row r="16" spans="1:36" s="8" customFormat="1" ht="19.5" customHeight="1" x14ac:dyDescent="0.3">
      <c r="B16" s="8" t="s">
        <v>30</v>
      </c>
      <c r="G16" s="792" t="str">
        <f t="shared" si="1"/>
        <v>창원</v>
      </c>
      <c r="H16" s="80"/>
      <c r="I16" s="81" t="s">
        <v>30</v>
      </c>
      <c r="J16" s="46">
        <f>+IFERROR(HLOOKUP($B16,'[1]11월'!$D$6:$BN$259,2,),)/1000</f>
        <v>16</v>
      </c>
      <c r="K16" s="47">
        <f>+IFERROR(HLOOKUP($B16,'[2]11월'!$F$6:$CP$99,2,),)/1000</f>
        <v>13.393000000000001</v>
      </c>
      <c r="L16" s="48">
        <f t="shared" si="0"/>
        <v>-2.6069999999999993</v>
      </c>
      <c r="M16" s="49">
        <f>+IFERROR(HLOOKUP($B16,'[3]11월'!$F$6:$CC$57,2,),)/1000</f>
        <v>24.905000000000001</v>
      </c>
      <c r="N16" s="50">
        <f t="shared" si="2"/>
        <v>-11.512</v>
      </c>
      <c r="O16" s="46">
        <f>+IFERROR(HLOOKUP($B16,'[1]11월'!$D$6:$BN$259,3,),)/1000</f>
        <v>1628.6015</v>
      </c>
      <c r="P16" s="47">
        <f>+IFERROR(HLOOKUP($B16,'[2]11월'!$F$6:$CP$99,3,),)/1000</f>
        <v>1320.8885</v>
      </c>
      <c r="Q16" s="48">
        <f t="shared" si="3"/>
        <v>-307.71299999999997</v>
      </c>
      <c r="R16" s="49">
        <f>+IFERROR(HLOOKUP($B16,'[3]11월'!$F$6:$CC$57,3,),)/1000</f>
        <v>2379.7132000000001</v>
      </c>
      <c r="S16" s="50">
        <f t="shared" si="4"/>
        <v>-1058.8247000000001</v>
      </c>
      <c r="T16" s="46">
        <f>+IFERROR(HLOOKUP($B16,'[1]11월'!$D$6:$BN$259,16,),)/1000</f>
        <v>283.85297836206314</v>
      </c>
      <c r="U16" s="47">
        <f>+IFERROR(HLOOKUP($B16,'[2]11월'!$F$6:$CP$99,16,),)/1000</f>
        <v>134.08562200000003</v>
      </c>
      <c r="V16" s="48">
        <f t="shared" si="5"/>
        <v>-149.76735636206311</v>
      </c>
      <c r="W16" s="49">
        <f>+IFERROR(HLOOKUP($B16,'[3]11월'!$F$6:$CC$57,16,),)/1000</f>
        <v>375.28587300000015</v>
      </c>
      <c r="X16" s="50">
        <f t="shared" si="6"/>
        <v>-241.20025100000012</v>
      </c>
      <c r="Y16" s="46">
        <f>+[5]창원!$Q$85</f>
        <v>101787.59375</v>
      </c>
      <c r="Z16" s="47">
        <f>+[5]창원!$R$85</f>
        <v>98625.289330247149</v>
      </c>
      <c r="AA16" s="51">
        <f>+[6]창원!$Q$85</f>
        <v>95551.624171853051</v>
      </c>
      <c r="AB16" s="52">
        <f>+[5]창원!$Q$89</f>
        <v>72750.016410964919</v>
      </c>
      <c r="AC16" s="47">
        <f>+[5]창원!$R$89</f>
        <v>75355.289479578889</v>
      </c>
      <c r="AD16" s="53">
        <f>+[6]창원!$Q$89</f>
        <v>72769.449869504126</v>
      </c>
      <c r="AE16" s="52">
        <f t="shared" si="7"/>
        <v>29037.577339035081</v>
      </c>
      <c r="AF16" s="47">
        <f t="shared" si="8"/>
        <v>23269.99985066826</v>
      </c>
      <c r="AG16" s="53">
        <f t="shared" si="9"/>
        <v>22782.174302348925</v>
      </c>
      <c r="AH16" s="18"/>
      <c r="AI16" s="19"/>
      <c r="AJ16" s="96"/>
    </row>
    <row r="17" spans="2:38" s="8" customFormat="1" ht="19.5" customHeight="1" x14ac:dyDescent="0.3">
      <c r="B17" s="8" t="s">
        <v>96</v>
      </c>
      <c r="G17" s="792" t="str">
        <f t="shared" si="1"/>
        <v>대구</v>
      </c>
      <c r="H17" s="80"/>
      <c r="I17" s="81" t="s">
        <v>87</v>
      </c>
      <c r="J17" s="46">
        <f>+IFERROR(HLOOKUP($B17,'[1]11월'!$D$6:$BN$259,2,),)/1000</f>
        <v>16.5</v>
      </c>
      <c r="K17" s="47">
        <f>+IFERROR(HLOOKUP($B17,'[2]11월'!$F$6:$CP$99,2,),)/1000</f>
        <v>15.449</v>
      </c>
      <c r="L17" s="48">
        <f t="shared" si="0"/>
        <v>-1.0510000000000002</v>
      </c>
      <c r="M17" s="49">
        <f>+IFERROR(HLOOKUP($B17,'[3]11월'!$F$6:$CC$57,2,),)/1000</f>
        <v>19.431000000000001</v>
      </c>
      <c r="N17" s="50">
        <f t="shared" si="2"/>
        <v>-3.9820000000000011</v>
      </c>
      <c r="O17" s="46">
        <f>+IFERROR(HLOOKUP($B17,'[1]11월'!$D$6:$BN$259,3,),)/1000</f>
        <v>1613.04</v>
      </c>
      <c r="P17" s="47">
        <f>+IFERROR(HLOOKUP($B17,'[2]11월'!$F$6:$CP$99,3,),)/1000</f>
        <v>1485.46525</v>
      </c>
      <c r="Q17" s="48">
        <f t="shared" si="3"/>
        <v>-127.57474999999999</v>
      </c>
      <c r="R17" s="49">
        <f>+IFERROR(HLOOKUP($B17,'[3]11월'!$F$6:$CC$57,3,),)/1000</f>
        <v>1786.2266000000002</v>
      </c>
      <c r="S17" s="50">
        <f t="shared" si="4"/>
        <v>-300.76135000000022</v>
      </c>
      <c r="T17" s="46">
        <f>+IFERROR(HLOOKUP($B17,'[1]11월'!$D$6:$BN$259,16,),)/1000</f>
        <v>284.59643278226957</v>
      </c>
      <c r="U17" s="47">
        <f>+IFERROR(HLOOKUP($B17,'[2]11월'!$F$6:$CP$99,16,),)/1000</f>
        <v>166.75688400000007</v>
      </c>
      <c r="V17" s="48">
        <f t="shared" si="5"/>
        <v>-117.8395487822695</v>
      </c>
      <c r="W17" s="49">
        <f>+IFERROR(HLOOKUP($B17,'[3]11월'!$F$6:$CC$57,16,),)/1000</f>
        <v>222.08831200000006</v>
      </c>
      <c r="X17" s="50">
        <f t="shared" si="6"/>
        <v>-55.331427999999988</v>
      </c>
      <c r="Y17" s="46">
        <f>+[5]대구!$Q$85</f>
        <v>97760</v>
      </c>
      <c r="Z17" s="47">
        <f>+[5]대구!$R$85</f>
        <v>96152.841607871058</v>
      </c>
      <c r="AA17" s="51">
        <f>+[6]대구!$Q$85</f>
        <v>91926.64299315527</v>
      </c>
      <c r="AB17" s="52">
        <f>+[5]대구!$Q$89</f>
        <v>71060.781802609359</v>
      </c>
      <c r="AC17" s="47">
        <f>+[5]대구!$R$89</f>
        <v>74152.653181435686</v>
      </c>
      <c r="AD17" s="53">
        <f>+[6]대구!$Q$89</f>
        <v>71502.713601976226</v>
      </c>
      <c r="AE17" s="52">
        <f t="shared" si="7"/>
        <v>26699.218197390641</v>
      </c>
      <c r="AF17" s="47">
        <f t="shared" si="8"/>
        <v>22000.188426435372</v>
      </c>
      <c r="AG17" s="53">
        <f t="shared" si="9"/>
        <v>20423.929391179045</v>
      </c>
      <c r="AH17" s="18"/>
      <c r="AI17" s="19"/>
      <c r="AJ17" s="96"/>
    </row>
    <row r="18" spans="2:38" s="8" customFormat="1" ht="19.5" customHeight="1" x14ac:dyDescent="0.3">
      <c r="B18" s="8" t="s">
        <v>98</v>
      </c>
      <c r="G18" s="794" t="str">
        <f t="shared" si="1"/>
        <v>울산</v>
      </c>
      <c r="H18" s="80"/>
      <c r="I18" s="83" t="s">
        <v>88</v>
      </c>
      <c r="J18" s="10">
        <f>+IFERROR(HLOOKUP($B18,'[1]11월'!$D$6:$BN$259,2,),)/1000</f>
        <v>12</v>
      </c>
      <c r="K18" s="11">
        <f>+IFERROR(HLOOKUP($B18,'[2]11월'!$F$6:$CP$99,2,),)/1000</f>
        <v>12.988</v>
      </c>
      <c r="L18" s="12">
        <f t="shared" si="0"/>
        <v>0.98799999999999955</v>
      </c>
      <c r="M18" s="13">
        <f>+IFERROR(HLOOKUP($B18,'[3]11월'!$F$6:$CC$57,2,),)/1000</f>
        <v>5.2705000000000002</v>
      </c>
      <c r="N18" s="14">
        <f t="shared" si="2"/>
        <v>7.7174999999999994</v>
      </c>
      <c r="O18" s="10">
        <f>+IFERROR(HLOOKUP($B18,'[1]11월'!$D$6:$BN$259,3,),)/1000</f>
        <v>1215.058</v>
      </c>
      <c r="P18" s="11">
        <f>+IFERROR(HLOOKUP($B18,'[2]11월'!$F$6:$CP$99,3,),)/1000</f>
        <v>1407.4653000000001</v>
      </c>
      <c r="Q18" s="12">
        <f t="shared" si="3"/>
        <v>192.40730000000008</v>
      </c>
      <c r="R18" s="13">
        <f>+IFERROR(HLOOKUP($B18,'[3]11월'!$F$6:$CC$57,3,),)/1000</f>
        <v>526.10090000000002</v>
      </c>
      <c r="S18" s="14">
        <f t="shared" si="4"/>
        <v>881.36440000000005</v>
      </c>
      <c r="T18" s="10">
        <f>+IFERROR(HLOOKUP($B18,'[1]11월'!$D$6:$BN$259,16,),)/1000</f>
        <v>120.14689272030083</v>
      </c>
      <c r="U18" s="11">
        <f>+IFERROR(HLOOKUP($B18,'[2]11월'!$F$6:$CP$99,16,),)/1000</f>
        <v>169.85774900000004</v>
      </c>
      <c r="V18" s="12">
        <f t="shared" si="5"/>
        <v>49.710856279699215</v>
      </c>
      <c r="W18" s="13">
        <f>+IFERROR(HLOOKUP($B18,'[3]11월'!$F$6:$CC$57,16,),)/1000</f>
        <v>-18.246208000000031</v>
      </c>
      <c r="X18" s="14">
        <f t="shared" si="6"/>
        <v>188.10395700000007</v>
      </c>
      <c r="Y18" s="10">
        <f>+[5]울산!$Q$85</f>
        <v>101254.83333333334</v>
      </c>
      <c r="Z18" s="11">
        <f>+[5]울산!$R$85</f>
        <v>108366.59223898983</v>
      </c>
      <c r="AA18" s="15">
        <f>+[6]울산!$Q$85</f>
        <v>99801.71477565018</v>
      </c>
      <c r="AB18" s="16">
        <f>+[5]울산!$Q$89</f>
        <v>80550.788769878622</v>
      </c>
      <c r="AC18" s="11">
        <f>+[5]울산!$R$89</f>
        <v>83931.342392978142</v>
      </c>
      <c r="AD18" s="17">
        <f>+[6]울산!$Q$89</f>
        <v>80390.959321710965</v>
      </c>
      <c r="AE18" s="16">
        <f t="shared" si="7"/>
        <v>20704.044563454721</v>
      </c>
      <c r="AF18" s="11">
        <f t="shared" si="8"/>
        <v>24435.249846011691</v>
      </c>
      <c r="AG18" s="17">
        <f t="shared" si="9"/>
        <v>19410.755453939215</v>
      </c>
      <c r="AH18" s="18"/>
      <c r="AI18" s="19"/>
      <c r="AJ18" s="96"/>
    </row>
    <row r="19" spans="2:38" s="8" customFormat="1" ht="19.5" customHeight="1" x14ac:dyDescent="0.3">
      <c r="B19" s="8" t="s">
        <v>93</v>
      </c>
      <c r="G19" s="794" t="str">
        <f t="shared" si="1"/>
        <v>아산</v>
      </c>
      <c r="H19" s="80"/>
      <c r="I19" s="81" t="s">
        <v>31</v>
      </c>
      <c r="J19" s="46">
        <f>+IFERROR(HLOOKUP($B19,'[1]11월'!$D$6:$BN$259,2,),)/1000</f>
        <v>28</v>
      </c>
      <c r="K19" s="47">
        <f>+IFERROR(HLOOKUP($B19,'[2]11월'!$F$6:$CP$99,2,),)/1000</f>
        <v>27.751000000000001</v>
      </c>
      <c r="L19" s="48">
        <f t="shared" si="0"/>
        <v>-0.24899999999999878</v>
      </c>
      <c r="M19" s="49">
        <f>+IFERROR(HLOOKUP($B19,'[3]11월'!$F$6:$CC$57,2,),)/1000</f>
        <v>30.917999999999999</v>
      </c>
      <c r="N19" s="50">
        <f t="shared" si="2"/>
        <v>-3.166999999999998</v>
      </c>
      <c r="O19" s="46">
        <f>+IFERROR(HLOOKUP($B19,'[1]11월'!$D$6:$BN$259,3,),)/1000</f>
        <v>2828.0149999999999</v>
      </c>
      <c r="P19" s="47">
        <f>+IFERROR(HLOOKUP($B19,'[2]11월'!$F$6:$CP$99,3,),)/1000</f>
        <v>2807.1351370000002</v>
      </c>
      <c r="Q19" s="48">
        <f t="shared" si="3"/>
        <v>-20.879862999999659</v>
      </c>
      <c r="R19" s="49">
        <f>+IFERROR(HLOOKUP($B19,'[3]11월'!$F$6:$CC$57,3,),)/1000</f>
        <v>2979.6451999999999</v>
      </c>
      <c r="S19" s="50">
        <f t="shared" si="4"/>
        <v>-172.51006299999972</v>
      </c>
      <c r="T19" s="46">
        <f>+IFERROR(HLOOKUP($B19,'[1]11월'!$D$6:$BN$259,16,),)/1000</f>
        <v>446.1752727703493</v>
      </c>
      <c r="U19" s="47">
        <f>+IFERROR(HLOOKUP($B19,'[2]11월'!$F$6:$CP$99,16,),)/1000</f>
        <v>245.55113900000026</v>
      </c>
      <c r="V19" s="48">
        <f t="shared" si="5"/>
        <v>-200.62413377034903</v>
      </c>
      <c r="W19" s="49">
        <f>+IFERROR(HLOOKUP($B19,'[3]11월'!$F$6:$CC$57,16,),)/1000</f>
        <v>374.96461099999982</v>
      </c>
      <c r="X19" s="50">
        <f t="shared" si="6"/>
        <v>-129.41347199999956</v>
      </c>
      <c r="Y19" s="46">
        <f>+[5]아산!$Q$85</f>
        <v>101000.53571428572</v>
      </c>
      <c r="Z19" s="47">
        <f>+[5]아산!$R$85</f>
        <v>100993.94329953512</v>
      </c>
      <c r="AA19" s="51">
        <f>+[6]아산!$Q$85</f>
        <v>96250.587116242459</v>
      </c>
      <c r="AB19" s="52">
        <f>+[5]아산!$Q$89</f>
        <v>77568.064344664177</v>
      </c>
      <c r="AC19" s="47">
        <f>+[5]아산!$R$89</f>
        <v>82819.721522223452</v>
      </c>
      <c r="AD19" s="53">
        <f>+[6]아산!$Q$89</f>
        <v>77247.813073996324</v>
      </c>
      <c r="AE19" s="52">
        <f t="shared" si="7"/>
        <v>23432.471369621548</v>
      </c>
      <c r="AF19" s="47">
        <f t="shared" si="8"/>
        <v>18174.221777311672</v>
      </c>
      <c r="AG19" s="53">
        <f t="shared" si="9"/>
        <v>19002.774042246136</v>
      </c>
      <c r="AH19" s="18"/>
      <c r="AI19" s="19"/>
      <c r="AJ19" s="96"/>
    </row>
    <row r="20" spans="2:38" s="8" customFormat="1" ht="19.5" customHeight="1" x14ac:dyDescent="0.3">
      <c r="B20" s="8" t="s">
        <v>89</v>
      </c>
      <c r="G20" s="794" t="str">
        <f t="shared" si="1"/>
        <v>전주</v>
      </c>
      <c r="H20" s="80"/>
      <c r="I20" s="81" t="s">
        <v>89</v>
      </c>
      <c r="J20" s="46">
        <f>+IFERROR(HLOOKUP($B20,'[1]11월'!$D$6:$BN$259,2,),)/1000</f>
        <v>12</v>
      </c>
      <c r="K20" s="47">
        <f>+IFERROR(HLOOKUP($B20,'[2]11월'!$F$6:$CP$99,2,),)/1000</f>
        <v>9.1184999999999992</v>
      </c>
      <c r="L20" s="48">
        <f t="shared" si="0"/>
        <v>-2.8815000000000008</v>
      </c>
      <c r="M20" s="49">
        <f>+IFERROR(HLOOKUP($B20,'[3]11월'!$F$6:$CC$57,2,),)/1000</f>
        <v>11.305999999999999</v>
      </c>
      <c r="N20" s="50">
        <f t="shared" si="2"/>
        <v>-2.1875</v>
      </c>
      <c r="O20" s="46">
        <f>+IFERROR(HLOOKUP($B20,'[1]11월'!$D$6:$BN$259,3,),)/1000</f>
        <v>1221.5592599999998</v>
      </c>
      <c r="P20" s="47">
        <f>+IFERROR(HLOOKUP($B20,'[2]11월'!$F$6:$CP$99,3,),)/1000</f>
        <v>903.67658199999994</v>
      </c>
      <c r="Q20" s="48">
        <f t="shared" si="3"/>
        <v>-317.88267799999983</v>
      </c>
      <c r="R20" s="49">
        <f>+IFERROR(HLOOKUP($B20,'[3]11월'!$F$6:$CC$57,3,),)/1000</f>
        <v>968.30039999999997</v>
      </c>
      <c r="S20" s="50">
        <f t="shared" si="4"/>
        <v>-64.623818000000028</v>
      </c>
      <c r="T20" s="46">
        <f>+IFERROR(HLOOKUP($B20,'[1]11월'!$D$6:$BN$259,16,),)/1000</f>
        <v>204.11100551136289</v>
      </c>
      <c r="U20" s="47">
        <f>+IFERROR(HLOOKUP($B20,'[2]11월'!$F$6:$CP$99,16,),)/1000</f>
        <v>64.24647700000007</v>
      </c>
      <c r="V20" s="48">
        <f t="shared" si="5"/>
        <v>-139.86452851136283</v>
      </c>
      <c r="W20" s="49">
        <f>+IFERROR(HLOOKUP($B20,'[3]11월'!$F$6:$CC$57,16,),)/1000</f>
        <v>56.852235999999955</v>
      </c>
      <c r="X20" s="50">
        <f t="shared" si="6"/>
        <v>7.3942410000001146</v>
      </c>
      <c r="Y20" s="46">
        <f>+[5]전주!$Q$85</f>
        <v>101796.60499999998</v>
      </c>
      <c r="Z20" s="47">
        <f>+[5]전주!$R$85</f>
        <v>99117.983709411114</v>
      </c>
      <c r="AA20" s="51">
        <f>+[6]전주!$Q$85</f>
        <v>85633.894401133948</v>
      </c>
      <c r="AB20" s="52">
        <f>+[5]전주!$Q$89</f>
        <v>73495.474750370791</v>
      </c>
      <c r="AC20" s="47">
        <f>+[5]전주!$R$89</f>
        <v>76865.183048981839</v>
      </c>
      <c r="AD20" s="53">
        <f>+[6]전주!$Q$89</f>
        <v>68516.279145995766</v>
      </c>
      <c r="AE20" s="52">
        <f t="shared" si="7"/>
        <v>28301.13024962919</v>
      </c>
      <c r="AF20" s="47">
        <f t="shared" si="8"/>
        <v>22252.800660429275</v>
      </c>
      <c r="AG20" s="53">
        <f t="shared" si="9"/>
        <v>17117.615255138182</v>
      </c>
      <c r="AH20" s="18"/>
      <c r="AI20" s="19"/>
      <c r="AJ20" s="96"/>
    </row>
    <row r="21" spans="2:38" s="8" customFormat="1" ht="19.5" customHeight="1" x14ac:dyDescent="0.3">
      <c r="B21" s="8" t="s">
        <v>90</v>
      </c>
      <c r="G21" s="794" t="str">
        <f t="shared" si="1"/>
        <v>군산</v>
      </c>
      <c r="H21" s="80"/>
      <c r="I21" s="81" t="s">
        <v>90</v>
      </c>
      <c r="J21" s="46">
        <f>+IFERROR(HLOOKUP($B21,'[1]11월'!$D$6:$BN$259,2,),)/1000</f>
        <v>7</v>
      </c>
      <c r="K21" s="47">
        <f>+IFERROR(HLOOKUP($B21,'[2]11월'!$F$6:$CP$99,2,),)/1000</f>
        <v>7.1470000000000002</v>
      </c>
      <c r="L21" s="48">
        <f t="shared" si="0"/>
        <v>0.14700000000000024</v>
      </c>
      <c r="M21" s="49">
        <f>+IFERROR(HLOOKUP($B21,'[3]11월'!$F$6:$CC$57,2,),)/1000</f>
        <v>10.182499999999999</v>
      </c>
      <c r="N21" s="50">
        <f t="shared" si="2"/>
        <v>-3.035499999999999</v>
      </c>
      <c r="O21" s="46">
        <f>+IFERROR(HLOOKUP($B21,'[1]11월'!$D$6:$BN$259,3,),)/1000</f>
        <v>762.99902899999995</v>
      </c>
      <c r="P21" s="47">
        <f>+IFERROR(HLOOKUP($B21,'[2]11월'!$F$6:$CP$99,3,),)/1000</f>
        <v>764.91769999999997</v>
      </c>
      <c r="Q21" s="48">
        <f t="shared" si="3"/>
        <v>1.9186710000000176</v>
      </c>
      <c r="R21" s="49">
        <f>+IFERROR(HLOOKUP($B21,'[3]11월'!$F$6:$CC$57,3,),)/1000</f>
        <v>1059.870643</v>
      </c>
      <c r="S21" s="50">
        <f t="shared" si="4"/>
        <v>-294.952943</v>
      </c>
      <c r="T21" s="46">
        <f>+IFERROR(HLOOKUP($B21,'[1]11월'!$D$6:$BN$259,16,),)/1000</f>
        <v>193.4112638406009</v>
      </c>
      <c r="U21" s="47">
        <f>+IFERROR(HLOOKUP($B21,'[2]11월'!$F$6:$CP$99,16,),)/1000</f>
        <v>153.19347700000003</v>
      </c>
      <c r="V21" s="48">
        <f t="shared" si="5"/>
        <v>-40.217786840600866</v>
      </c>
      <c r="W21" s="49">
        <f>+IFERROR(HLOOKUP($B21,'[3]11월'!$F$6:$CC$57,16,),)/1000</f>
        <v>286.2794219999999</v>
      </c>
      <c r="X21" s="50">
        <f t="shared" si="6"/>
        <v>-133.08594499999987</v>
      </c>
      <c r="Y21" s="46">
        <f>+[5]군산!$Q$85</f>
        <v>108999.86128571429</v>
      </c>
      <c r="Z21" s="47">
        <f>+[5]군산!$R$85</f>
        <v>107026.40268644186</v>
      </c>
      <c r="AA21" s="51">
        <f>+[6]군산!$Q$85</f>
        <v>104087.46800883868</v>
      </c>
      <c r="AB21" s="52">
        <f>+[5]군산!$Q$89</f>
        <v>70884.732734888428</v>
      </c>
      <c r="AC21" s="47">
        <f>+[5]군산!$R$89</f>
        <v>73409.949069539667</v>
      </c>
      <c r="AD21" s="53">
        <f>+[6]군산!$Q$89</f>
        <v>68690.170783206486</v>
      </c>
      <c r="AE21" s="52">
        <f t="shared" si="7"/>
        <v>38115.128550825859</v>
      </c>
      <c r="AF21" s="47">
        <f t="shared" si="8"/>
        <v>33616.453616902189</v>
      </c>
      <c r="AG21" s="53">
        <f t="shared" si="9"/>
        <v>35397.297225632195</v>
      </c>
      <c r="AH21" s="18"/>
      <c r="AI21" s="19"/>
      <c r="AJ21" s="96"/>
    </row>
    <row r="22" spans="2:38" s="8" customFormat="1" ht="19.5" customHeight="1" x14ac:dyDescent="0.3">
      <c r="B22" s="8" t="s">
        <v>91</v>
      </c>
      <c r="G22" s="794" t="str">
        <f t="shared" si="1"/>
        <v>원주</v>
      </c>
      <c r="H22" s="80"/>
      <c r="I22" s="81" t="s">
        <v>91</v>
      </c>
      <c r="J22" s="46">
        <f>+IFERROR(HLOOKUP($B22,'[1]11월'!$D$6:$BN$259,2,),)/1000</f>
        <v>5</v>
      </c>
      <c r="K22" s="47">
        <f>+IFERROR(HLOOKUP($B22,'[2]11월'!$F$6:$CP$99,2,),)/1000</f>
        <v>4.5540000000000003</v>
      </c>
      <c r="L22" s="48">
        <f t="shared" si="0"/>
        <v>-0.44599999999999973</v>
      </c>
      <c r="M22" s="49">
        <f>+IFERROR(HLOOKUP($B22,'[3]11월'!$F$6:$CC$57,2,),)/1000</f>
        <v>5.9844999999999997</v>
      </c>
      <c r="N22" s="50">
        <f t="shared" si="2"/>
        <v>-1.4304999999999994</v>
      </c>
      <c r="O22" s="46">
        <f>+IFERROR(HLOOKUP($B22,'[1]11월'!$D$6:$BN$259,3,),)/1000</f>
        <v>539.5</v>
      </c>
      <c r="P22" s="47">
        <f>+IFERROR(HLOOKUP($B22,'[2]11월'!$F$6:$CP$99,3,),)/1000</f>
        <v>521.41489999999999</v>
      </c>
      <c r="Q22" s="48">
        <f t="shared" si="3"/>
        <v>-18.085100000000011</v>
      </c>
      <c r="R22" s="49">
        <f>+IFERROR(HLOOKUP($B22,'[3]11월'!$F$6:$CC$57,3,),)/1000</f>
        <v>615.87139999999988</v>
      </c>
      <c r="S22" s="50">
        <f t="shared" si="4"/>
        <v>-94.456499999999892</v>
      </c>
      <c r="T22" s="46">
        <f>+IFERROR(HLOOKUP($B22,'[1]11월'!$D$6:$BN$259,16,),)/1000</f>
        <v>96.951877009758903</v>
      </c>
      <c r="U22" s="47">
        <f>+IFERROR(HLOOKUP($B22,'[2]11월'!$F$6:$CP$99,16,),)/1000</f>
        <v>96.375568999999984</v>
      </c>
      <c r="V22" s="48">
        <f t="shared" si="5"/>
        <v>-0.57630800975891816</v>
      </c>
      <c r="W22" s="49">
        <f>+IFERROR(HLOOKUP($B22,'[3]11월'!$F$6:$CC$57,16,),)/1000</f>
        <v>84.897066999999907</v>
      </c>
      <c r="X22" s="50">
        <f t="shared" si="6"/>
        <v>11.478502000000077</v>
      </c>
      <c r="Y22" s="46">
        <f>+[5]원주!$Q$85</f>
        <v>107900</v>
      </c>
      <c r="Z22" s="47">
        <f>+[5]원주!$R$85</f>
        <v>114496.02547211244</v>
      </c>
      <c r="AA22" s="51">
        <f>+[6]원주!$Q$85</f>
        <v>103024.56388913485</v>
      </c>
      <c r="AB22" s="52">
        <f>+[5]원주!$Q$89</f>
        <v>73124.292513522101</v>
      </c>
      <c r="AC22" s="47">
        <f>+[5]원주!$R$89</f>
        <v>74946.43390425999</v>
      </c>
      <c r="AD22" s="53">
        <f>+[6]원주!$Q$89</f>
        <v>74178.192154431948</v>
      </c>
      <c r="AE22" s="52">
        <f t="shared" si="7"/>
        <v>34775.707486477899</v>
      </c>
      <c r="AF22" s="47">
        <f t="shared" si="8"/>
        <v>39549.591567852447</v>
      </c>
      <c r="AG22" s="53">
        <f t="shared" si="9"/>
        <v>28846.371734702901</v>
      </c>
      <c r="AH22" s="18"/>
      <c r="AI22" s="19"/>
      <c r="AJ22" s="96"/>
    </row>
    <row r="23" spans="2:38" s="8" customFormat="1" ht="19.5" customHeight="1" x14ac:dyDescent="0.3">
      <c r="B23" s="8" t="s">
        <v>92</v>
      </c>
      <c r="G23" s="792" t="str">
        <f t="shared" si="1"/>
        <v>제주</v>
      </c>
      <c r="H23" s="80"/>
      <c r="I23" s="81" t="s">
        <v>92</v>
      </c>
      <c r="J23" s="46">
        <f>+IFERROR(HLOOKUP($B23,'[1]11월'!$D$6:$BN$259,2,),)/1000</f>
        <v>7</v>
      </c>
      <c r="K23" s="47">
        <f>+IFERROR(HLOOKUP($B23,'[2]11월'!$F$6:$CP$99,2,),)/1000</f>
        <v>2.9009999999999998</v>
      </c>
      <c r="L23" s="48">
        <f t="shared" si="0"/>
        <v>-4.0990000000000002</v>
      </c>
      <c r="M23" s="49">
        <f>+IFERROR(HLOOKUP($B23,'[3]11월'!$F$6:$CC$57,2,),)/1000</f>
        <v>6.3775000000000004</v>
      </c>
      <c r="N23" s="50">
        <f t="shared" si="2"/>
        <v>-3.4765000000000006</v>
      </c>
      <c r="O23" s="46">
        <f>+IFERROR(HLOOKUP($B23,'[1]11월'!$D$6:$BN$259,3,),)/1000</f>
        <v>887.6</v>
      </c>
      <c r="P23" s="47">
        <f>+IFERROR(HLOOKUP($B23,'[2]11월'!$F$6:$CP$99,3,),)/1000</f>
        <v>350.951435</v>
      </c>
      <c r="Q23" s="48">
        <f t="shared" si="3"/>
        <v>-536.64856499999996</v>
      </c>
      <c r="R23" s="49">
        <f>+IFERROR(HLOOKUP($B23,'[3]11월'!$F$6:$CC$57,3,),)/1000</f>
        <v>774.9570809999999</v>
      </c>
      <c r="S23" s="50">
        <f t="shared" si="4"/>
        <v>-424.0056459999999</v>
      </c>
      <c r="T23" s="46">
        <f>+IFERROR(HLOOKUP($B23,'[1]11월'!$D$6:$BN$259,16,),)/1000</f>
        <v>165.25926845150897</v>
      </c>
      <c r="U23" s="47">
        <f>+IFERROR(HLOOKUP($B23,'[2]11월'!$F$6:$CP$99,16,),)/1000</f>
        <v>-11.658004000000037</v>
      </c>
      <c r="V23" s="48">
        <f t="shared" si="5"/>
        <v>-176.91727245150901</v>
      </c>
      <c r="W23" s="49">
        <f>+IFERROR(HLOOKUP($B23,'[3]11월'!$F$6:$CC$57,16,),)/1000</f>
        <v>118.19630299999989</v>
      </c>
      <c r="X23" s="50">
        <f t="shared" si="6"/>
        <v>-129.85430699999992</v>
      </c>
      <c r="Y23" s="46">
        <f>+[5]제주!$Q$85</f>
        <v>126800</v>
      </c>
      <c r="Z23" s="47">
        <f>+[5]제주!$R$85</f>
        <v>120976.02033781455</v>
      </c>
      <c r="AA23" s="51">
        <f>+[6]제주!$Q$85</f>
        <v>121552.07784866348</v>
      </c>
      <c r="AB23" s="52">
        <f>+[5]제주!$Q$89</f>
        <v>91213.271815179265</v>
      </c>
      <c r="AC23" s="47">
        <f>+[5]제주!$R$89</f>
        <v>91677.9147766323</v>
      </c>
      <c r="AD23" s="53">
        <f>+[6]제주!$Q$89</f>
        <v>87747.614263865413</v>
      </c>
      <c r="AE23" s="52">
        <f t="shared" si="7"/>
        <v>35586.728184820735</v>
      </c>
      <c r="AF23" s="47">
        <f t="shared" si="8"/>
        <v>29298.105561182252</v>
      </c>
      <c r="AG23" s="53">
        <f t="shared" si="9"/>
        <v>33804.463584798068</v>
      </c>
      <c r="AH23" s="18"/>
      <c r="AI23" s="19"/>
      <c r="AJ23" s="96"/>
    </row>
    <row r="24" spans="2:38" s="8" customFormat="1" ht="19.5" customHeight="1" x14ac:dyDescent="0.3">
      <c r="G24" s="795" t="str">
        <f t="shared" si="1"/>
        <v>수도권</v>
      </c>
      <c r="H24" s="80"/>
      <c r="I24" s="84" t="s">
        <v>55</v>
      </c>
      <c r="J24" s="23">
        <f>SUM(J7:J10)</f>
        <v>121.5</v>
      </c>
      <c r="K24" s="20">
        <f>SUM(K7:K10)</f>
        <v>107.64600000000002</v>
      </c>
      <c r="L24" s="21">
        <f t="shared" si="0"/>
        <v>-13.853999999999985</v>
      </c>
      <c r="M24" s="25">
        <f>SUM(M7:M10)</f>
        <v>139.27168</v>
      </c>
      <c r="N24" s="22">
        <f t="shared" si="2"/>
        <v>-31.625679999999988</v>
      </c>
      <c r="O24" s="23">
        <f>SUM(O7:O10)</f>
        <v>12416.803180605306</v>
      </c>
      <c r="P24" s="20">
        <f>SUM(P7:P10)</f>
        <v>10479.180436000001</v>
      </c>
      <c r="Q24" s="21">
        <f t="shared" si="3"/>
        <v>-1937.6227446053053</v>
      </c>
      <c r="R24" s="25">
        <f>SUM(R7:R10)</f>
        <v>13147.691978999999</v>
      </c>
      <c r="S24" s="22">
        <f t="shared" si="4"/>
        <v>-2668.5115429999987</v>
      </c>
      <c r="T24" s="23">
        <f>SUM(T7:T10)</f>
        <v>1856.0098865891316</v>
      </c>
      <c r="U24" s="20">
        <f>SUM(U7:U10)</f>
        <v>553.11277199999984</v>
      </c>
      <c r="V24" s="21">
        <f t="shared" si="5"/>
        <v>-1302.8971145891319</v>
      </c>
      <c r="W24" s="25">
        <f>SUM(W7:W10)</f>
        <v>900.72376899999904</v>
      </c>
      <c r="X24" s="22">
        <f t="shared" si="6"/>
        <v>-347.6109969999992</v>
      </c>
      <c r="Y24" s="23">
        <f>+[5]수도권!$Q$85</f>
        <v>102195.91095148401</v>
      </c>
      <c r="Z24" s="20">
        <f>+[5]수도권!$R$85</f>
        <v>97363.140990806569</v>
      </c>
      <c r="AA24" s="24">
        <f>+[6]수도권!$Q$85</f>
        <v>94344.988732817117</v>
      </c>
      <c r="AB24" s="29">
        <f>+[5]수도권!$Q$89</f>
        <v>79198.010963271619</v>
      </c>
      <c r="AC24" s="20">
        <f>+[5]수도권!$R$89</f>
        <v>83203.070744096898</v>
      </c>
      <c r="AD24" s="30">
        <f>+[6]수도권!$Q$89</f>
        <v>80822.745818485477</v>
      </c>
      <c r="AE24" s="29">
        <f t="shared" si="7"/>
        <v>22997.89998821239</v>
      </c>
      <c r="AF24" s="20">
        <f t="shared" si="8"/>
        <v>14160.070246709671</v>
      </c>
      <c r="AG24" s="30">
        <f t="shared" si="9"/>
        <v>13522.24291433164</v>
      </c>
      <c r="AH24" s="18"/>
      <c r="AI24" s="19"/>
      <c r="AJ24" s="96"/>
    </row>
    <row r="25" spans="2:38" s="8" customFormat="1" ht="19.5" customHeight="1" x14ac:dyDescent="0.3">
      <c r="G25" s="792" t="str">
        <f t="shared" si="1"/>
        <v>영남권</v>
      </c>
      <c r="H25" s="80"/>
      <c r="I25" s="84" t="s">
        <v>56</v>
      </c>
      <c r="J25" s="23">
        <f>SUM(J11:J18)</f>
        <v>139.5</v>
      </c>
      <c r="K25" s="20">
        <f>SUM(K11:K18)</f>
        <v>121.551</v>
      </c>
      <c r="L25" s="21">
        <f t="shared" si="0"/>
        <v>-17.948999999999998</v>
      </c>
      <c r="M25" s="25">
        <f>SUM(M11:M18)</f>
        <v>155.15899999999999</v>
      </c>
      <c r="N25" s="22">
        <f t="shared" si="2"/>
        <v>-33.60799999999999</v>
      </c>
      <c r="O25" s="23">
        <f>SUM(O11:O18)</f>
        <v>14314.626512000003</v>
      </c>
      <c r="P25" s="20">
        <f>SUM(P11:P18)</f>
        <v>12242.392955000001</v>
      </c>
      <c r="Q25" s="21">
        <f t="shared" si="3"/>
        <v>-2072.2335570000014</v>
      </c>
      <c r="R25" s="25">
        <f>SUM(R11:R18)</f>
        <v>15081.411605999998</v>
      </c>
      <c r="S25" s="22">
        <f t="shared" si="4"/>
        <v>-2839.0186509999967</v>
      </c>
      <c r="T25" s="23">
        <f>SUM(T11:T18)</f>
        <v>2301.2994058470194</v>
      </c>
      <c r="U25" s="20">
        <f>SUM(U11:U18)</f>
        <v>1095.1019670000001</v>
      </c>
      <c r="V25" s="21">
        <f t="shared" si="5"/>
        <v>-1206.1974388470194</v>
      </c>
      <c r="W25" s="25">
        <f>SUM(W11:W18)</f>
        <v>1920.9599949999999</v>
      </c>
      <c r="X25" s="22">
        <f t="shared" si="6"/>
        <v>-825.85802799999988</v>
      </c>
      <c r="Y25" s="23">
        <f>+[5]영남권!$Q$85</f>
        <v>102613.8101218638</v>
      </c>
      <c r="Z25" s="20">
        <f>+[5]영남권!$R$85</f>
        <v>100718.15908548675</v>
      </c>
      <c r="AA25" s="24">
        <f>+[6]영남권!$Q$85</f>
        <v>97198.734060862349</v>
      </c>
      <c r="AB25" s="29">
        <f>+[5]영남권!$Q$89</f>
        <v>76154.161727003288</v>
      </c>
      <c r="AC25" s="20">
        <f>+[5]영남권!$R$89</f>
        <v>79490.263341706508</v>
      </c>
      <c r="AD25" s="30">
        <f>+[6]영남권!$Q$89</f>
        <v>75561.134407146732</v>
      </c>
      <c r="AE25" s="29">
        <f t="shared" si="7"/>
        <v>26459.648394860516</v>
      </c>
      <c r="AF25" s="20">
        <f t="shared" si="8"/>
        <v>21227.895743780246</v>
      </c>
      <c r="AG25" s="30">
        <f t="shared" si="9"/>
        <v>21637.599653715617</v>
      </c>
      <c r="AH25" s="18"/>
      <c r="AI25" s="19"/>
      <c r="AJ25" s="96"/>
    </row>
    <row r="26" spans="2:38" s="8" customFormat="1" ht="19.5" customHeight="1" x14ac:dyDescent="0.3">
      <c r="G26" s="792" t="str">
        <f t="shared" si="1"/>
        <v>중부권</v>
      </c>
      <c r="H26" s="80"/>
      <c r="I26" s="84" t="s">
        <v>171</v>
      </c>
      <c r="J26" s="23">
        <f>SUM(J19:J23)</f>
        <v>59</v>
      </c>
      <c r="K26" s="20">
        <f>SUM(K19:K23)</f>
        <v>51.471500000000006</v>
      </c>
      <c r="L26" s="21">
        <f t="shared" si="0"/>
        <v>-7.528499999999994</v>
      </c>
      <c r="M26" s="25">
        <f>SUM(M19:M23)</f>
        <v>64.768499999999989</v>
      </c>
      <c r="N26" s="22">
        <f t="shared" si="2"/>
        <v>-13.296999999999983</v>
      </c>
      <c r="O26" s="23">
        <f>SUM(O19:O23)</f>
        <v>6239.6732889999994</v>
      </c>
      <c r="P26" s="20">
        <f>SUM(P19:P23)</f>
        <v>5348.0957539999999</v>
      </c>
      <c r="Q26" s="21">
        <f t="shared" si="3"/>
        <v>-891.57753499999944</v>
      </c>
      <c r="R26" s="25">
        <f>SUM(R19:R23)</f>
        <v>6398.6447239999998</v>
      </c>
      <c r="S26" s="22">
        <f t="shared" si="4"/>
        <v>-1050.5489699999998</v>
      </c>
      <c r="T26" s="23">
        <f>SUM(T19:T23)</f>
        <v>1105.9086875835808</v>
      </c>
      <c r="U26" s="20">
        <f>SUM(U19:U23)</f>
        <v>547.70865800000036</v>
      </c>
      <c r="V26" s="21">
        <f t="shared" si="5"/>
        <v>-558.20002958358043</v>
      </c>
      <c r="W26" s="25">
        <f>SUM(W19:W23)</f>
        <v>921.18963899999949</v>
      </c>
      <c r="X26" s="22">
        <f t="shared" si="6"/>
        <v>-373.48098099999913</v>
      </c>
      <c r="Y26" s="23">
        <f>+[5]중부권!$Q$85</f>
        <v>105757.17438983051</v>
      </c>
      <c r="Z26" s="20">
        <f>+[5]중부권!$R$85</f>
        <v>103847.08571540602</v>
      </c>
      <c r="AA26" s="24">
        <f>+[6]중부권!$Q$85</f>
        <v>98678.012633921942</v>
      </c>
      <c r="AB26" s="29">
        <f>+[5]중부권!$Q$89</f>
        <v>77189.135475815769</v>
      </c>
      <c r="AC26" s="20">
        <f>+[5]중부권!$R$89</f>
        <v>80246.621395148482</v>
      </c>
      <c r="AD26" s="30">
        <f>+[6]중부권!$Q$89</f>
        <v>75088.29559753355</v>
      </c>
      <c r="AE26" s="29">
        <f t="shared" si="7"/>
        <v>28568.038914014745</v>
      </c>
      <c r="AF26" s="20">
        <f t="shared" si="8"/>
        <v>23600.464320257539</v>
      </c>
      <c r="AG26" s="30">
        <f t="shared" si="9"/>
        <v>23589.717036388392</v>
      </c>
      <c r="AH26" s="18"/>
      <c r="AI26" s="19"/>
      <c r="AJ26" s="96"/>
    </row>
    <row r="27" spans="2:38" s="3" customFormat="1" ht="19.5" customHeight="1" x14ac:dyDescent="0.3">
      <c r="B27" s="26"/>
      <c r="G27" s="794">
        <f>+K27/J27</f>
        <v>0.87708906249999996</v>
      </c>
      <c r="H27" s="629" t="s">
        <v>115</v>
      </c>
      <c r="I27" s="630"/>
      <c r="J27" s="631">
        <f>SUM(J24:J26)</f>
        <v>320</v>
      </c>
      <c r="K27" s="632">
        <f>SUM(K24:K26)</f>
        <v>280.66849999999999</v>
      </c>
      <c r="L27" s="633">
        <f t="shared" ref="L27:L32" si="10">+K27-J27</f>
        <v>-39.331500000000005</v>
      </c>
      <c r="M27" s="634">
        <f>SUM(M24:M26)</f>
        <v>359.19917999999996</v>
      </c>
      <c r="N27" s="635">
        <f t="shared" ref="N27:N32" si="11">+K27-M27</f>
        <v>-78.530679999999961</v>
      </c>
      <c r="O27" s="631">
        <f>SUM(O24:O26)</f>
        <v>32971.102981605305</v>
      </c>
      <c r="P27" s="632">
        <f>SUM(P24:P26)</f>
        <v>28069.669145</v>
      </c>
      <c r="Q27" s="633">
        <f t="shared" ref="Q27:Q43" si="12">+P27-O27</f>
        <v>-4901.4338366053053</v>
      </c>
      <c r="R27" s="634">
        <f>SUM(R24:R26)</f>
        <v>34627.748308999995</v>
      </c>
      <c r="S27" s="635">
        <f t="shared" ref="S27:S34" si="13">+P27-R27</f>
        <v>-6558.0791639999952</v>
      </c>
      <c r="T27" s="631">
        <f>SUM(T24:T26)</f>
        <v>5263.2179800197318</v>
      </c>
      <c r="U27" s="632">
        <f>SUM(U24:U26)</f>
        <v>2195.9233970000005</v>
      </c>
      <c r="V27" s="633">
        <f t="shared" ref="V27:V32" si="14">+U27-T27</f>
        <v>-3067.2945830197314</v>
      </c>
      <c r="W27" s="634">
        <f>SUM(W24:W26)</f>
        <v>3742.8734029999987</v>
      </c>
      <c r="X27" s="635">
        <f t="shared" ref="X27:X32" si="15">+U27-W27</f>
        <v>-1546.9500059999982</v>
      </c>
      <c r="Y27" s="631">
        <f>+[5]합계!$Q$85</f>
        <v>103034.69681751658</v>
      </c>
      <c r="Z27" s="632">
        <f>+[5]합계!$R$85</f>
        <v>100000.49797339522</v>
      </c>
      <c r="AA27" s="636">
        <f>+[6]합계!$Q$85</f>
        <v>96359.433871623667</v>
      </c>
      <c r="AB27" s="637">
        <f>+[5]합계!$Q$89</f>
        <v>77500.696518836237</v>
      </c>
      <c r="AC27" s="632">
        <f>+[5]합계!$R$89</f>
        <v>81042.565571880972</v>
      </c>
      <c r="AD27" s="638">
        <f>+[6]합계!$Q$89</f>
        <v>77511.638782588663</v>
      </c>
      <c r="AE27" s="637">
        <f t="shared" si="7"/>
        <v>25534.000298680345</v>
      </c>
      <c r="AF27" s="632">
        <f t="shared" si="8"/>
        <v>18957.932401514248</v>
      </c>
      <c r="AG27" s="638">
        <f t="shared" si="9"/>
        <v>18847.795089035004</v>
      </c>
      <c r="AH27" s="27"/>
      <c r="AI27" s="28"/>
      <c r="AJ27" s="96"/>
      <c r="AL27" s="26"/>
    </row>
    <row r="28" spans="2:38" s="8" customFormat="1" ht="19.5" customHeight="1" x14ac:dyDescent="0.3">
      <c r="B28" s="8" t="s">
        <v>192</v>
      </c>
      <c r="E28" s="8" t="s">
        <v>201</v>
      </c>
      <c r="G28" s="792" t="s">
        <v>3</v>
      </c>
      <c r="H28" s="835" t="s">
        <v>63</v>
      </c>
      <c r="I28" s="836"/>
      <c r="J28" s="167">
        <f>+IFERROR(HLOOKUP($B28,'[1]11월'!$D$6:$BN$259,2,),)</f>
        <v>9200</v>
      </c>
      <c r="K28" s="168">
        <f>+IFERROR(HLOOKUP($E28,'[2]11월'!$F$6:$CP$99,2,),)</f>
        <v>10221.802</v>
      </c>
      <c r="L28" s="169">
        <f>+K28-J28</f>
        <v>1021.8019999999997</v>
      </c>
      <c r="M28" s="170">
        <f>+IFERROR(HLOOKUP($E28,'[3]11월'!$F$6:$CC$57,2,),)</f>
        <v>10109.272999999999</v>
      </c>
      <c r="N28" s="171">
        <f>+K28-M28</f>
        <v>112.52900000000045</v>
      </c>
      <c r="O28" s="167">
        <f>+IFERROR(HLOOKUP($B28,'[1]11월'!$D$6:$BN$259,3,),)/1000</f>
        <v>11242.202105263157</v>
      </c>
      <c r="P28" s="168">
        <f>+IFERROR(HLOOKUP($E28,'[2]11월'!$F$6:$CP$99,3,),)/1000</f>
        <v>9942.8690210000004</v>
      </c>
      <c r="Q28" s="169">
        <f>+P28-O28</f>
        <v>-1299.3330842631567</v>
      </c>
      <c r="R28" s="170">
        <f>+IFERROR(HLOOKUP($E28,'[3]11월'!$F$6:$CC$57,3,),)/1000</f>
        <v>12404.880214999999</v>
      </c>
      <c r="S28" s="171">
        <f t="shared" si="13"/>
        <v>-2462.0111939999988</v>
      </c>
      <c r="T28" s="167">
        <f>+IFERROR(HLOOKUP($B28,'[1]11월'!$D$6:$BN$259,16,),)/1000</f>
        <v>165.7353292210517</v>
      </c>
      <c r="U28" s="168">
        <f>+IFERROR(HLOOKUP($E28,'[2]11월'!$F$6:$CP$99,16,),)/1000</f>
        <v>118.35664899999911</v>
      </c>
      <c r="V28" s="169">
        <f t="shared" si="14"/>
        <v>-47.378680221052591</v>
      </c>
      <c r="W28" s="170">
        <f>+IFERROR(HLOOKUP($E28,'[3]11월'!$F$6:$CC$57,16,),)/1000</f>
        <v>98.190128999999871</v>
      </c>
      <c r="X28" s="171">
        <f t="shared" si="15"/>
        <v>20.166519999999238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3" t="str">
        <f>+I29</f>
        <v>부산모래장</v>
      </c>
      <c r="H29" s="86" t="s">
        <v>60</v>
      </c>
      <c r="I29" s="81" t="s">
        <v>193</v>
      </c>
      <c r="J29" s="56">
        <f>+IFERROR(HLOOKUP($B29,'[1]11월'!$D$6:$BN$259,2,),)/1000</f>
        <v>29.768648431551352</v>
      </c>
      <c r="K29" s="57">
        <f>+IFERROR(HLOOKUP($C29,'[2]11월'!$F$6:$CP$99,2,),)/1000</f>
        <v>25.492000000000001</v>
      </c>
      <c r="L29" s="38">
        <f t="shared" si="10"/>
        <v>-4.2766484315513509</v>
      </c>
      <c r="M29" s="38">
        <f>+IFERROR(HLOOKUP($C29,'[3]11월'!$F$6:$CC$57,2,),)/1000</f>
        <v>31.346</v>
      </c>
      <c r="N29" s="58">
        <f t="shared" si="11"/>
        <v>-5.8539999999999992</v>
      </c>
      <c r="O29" s="56">
        <f>+IFERROR(HLOOKUP($B29,'[1]11월'!$D$6:$BN$259,3,),)/1000</f>
        <v>846.36177016930935</v>
      </c>
      <c r="P29" s="57">
        <f>+IFERROR(HLOOKUP($C29,'[2]11월'!$F$6:$CP$99,3,),)/1000</f>
        <v>701.3415</v>
      </c>
      <c r="Q29" s="38">
        <f t="shared" si="12"/>
        <v>-145.02027016930936</v>
      </c>
      <c r="R29" s="38">
        <f>+IFERROR(HLOOKUP($C29,'[3]11월'!$F$6:$CC$57,3,),)/1000</f>
        <v>893.32449999999994</v>
      </c>
      <c r="S29" s="58">
        <f t="shared" si="13"/>
        <v>-191.98299999999995</v>
      </c>
      <c r="T29" s="56">
        <f>+IFERROR(HLOOKUP($B29,'[1]11월'!$D$6:$BN$259,21,),)/1000</f>
        <v>68.431450538153513</v>
      </c>
      <c r="U29" s="57">
        <f>+IFERROR(HLOOKUP($C29,'[2]11월'!$F$6:$CP$99,21,),)/1000</f>
        <v>1.8739536340295855</v>
      </c>
      <c r="V29" s="38">
        <f t="shared" si="14"/>
        <v>-66.557496904123923</v>
      </c>
      <c r="W29" s="38">
        <f>+IFERROR(HLOOKUP($C29,'[3]11월'!$F$6:$CC$57,16,),)/1000</f>
        <v>56.281423000000004</v>
      </c>
      <c r="X29" s="58">
        <f t="shared" si="15"/>
        <v>-54.407469365970421</v>
      </c>
      <c r="Y29" s="628" t="s">
        <v>250</v>
      </c>
      <c r="Z29" s="587"/>
      <c r="AA29" s="587"/>
      <c r="AB29" s="587"/>
      <c r="AC29" s="587"/>
      <c r="AD29" s="587"/>
      <c r="AE29" s="587"/>
      <c r="AF29" s="587"/>
      <c r="AG29" s="51"/>
      <c r="AH29" s="18"/>
      <c r="AI29" s="19"/>
    </row>
    <row r="30" spans="2:38" s="8" customFormat="1" ht="19.5" customHeight="1" x14ac:dyDescent="0.3">
      <c r="B30" s="8" t="s">
        <v>194</v>
      </c>
      <c r="C30" s="81" t="s">
        <v>62</v>
      </c>
      <c r="G30" s="793" t="str">
        <f>+I30</f>
        <v>서부산CR</v>
      </c>
      <c r="H30" s="85"/>
      <c r="I30" s="81" t="s">
        <v>219</v>
      </c>
      <c r="J30" s="54">
        <f>+IFERROR(HLOOKUP($B30,'[1]11월'!$D$6:$BN$259,2,),)/1000</f>
        <v>51.375563333333332</v>
      </c>
      <c r="K30" s="59">
        <f>+IFERROR(HLOOKUP($C30,'[2]11월'!$F$6:$CP$99,2,),)/1000</f>
        <v>1.202</v>
      </c>
      <c r="L30" s="48">
        <f t="shared" si="10"/>
        <v>-50.173563333333334</v>
      </c>
      <c r="M30" s="48">
        <f>+IFERROR(HLOOKUP($C30,'[3]11월'!$F$6:$CC$57,2,),)/1000</f>
        <v>37.866</v>
      </c>
      <c r="N30" s="60">
        <f t="shared" si="11"/>
        <v>-36.664000000000001</v>
      </c>
      <c r="O30" s="54">
        <f>+IFERROR(HLOOKUP($B30,'[1]11월'!$D$6:$BN$259,3,),)/1000</f>
        <v>637.61411666666675</v>
      </c>
      <c r="P30" s="59">
        <f>+IFERROR(HLOOKUP($C30,'[2]11월'!$F$6:$CP$99,3,),)/1000</f>
        <v>14.423999999999999</v>
      </c>
      <c r="Q30" s="48">
        <f t="shared" si="12"/>
        <v>-623.19011666666677</v>
      </c>
      <c r="R30" s="48">
        <f>+IFERROR(HLOOKUP($C30,'[3]11월'!$F$6:$CC$57,3,),)/1000</f>
        <v>482.524</v>
      </c>
      <c r="S30" s="60">
        <f t="shared" si="13"/>
        <v>-468.1</v>
      </c>
      <c r="T30" s="54">
        <f>+IFERROR(HLOOKUP($B30,'[1]11월'!$D$6:$BN$259,21,),)/1000</f>
        <v>118.26266422002352</v>
      </c>
      <c r="U30" s="59">
        <f>+IFERROR(HLOOKUP($C30,'[2]11월'!$F$6:$CP$99,21,),)/1000</f>
        <v>-70.358754802101046</v>
      </c>
      <c r="V30" s="48">
        <f t="shared" si="14"/>
        <v>-188.62141902212457</v>
      </c>
      <c r="W30" s="48">
        <f>+IFERROR(HLOOKUP($C30,'[3]11월'!$F$6:$CC$57,16,),)/1000</f>
        <v>86.54813</v>
      </c>
      <c r="X30" s="60">
        <f t="shared" si="15"/>
        <v>-156.90688480210105</v>
      </c>
      <c r="Y30" s="628" t="s">
        <v>255</v>
      </c>
      <c r="Z30" s="587"/>
      <c r="AA30" s="587"/>
      <c r="AB30" s="587"/>
      <c r="AC30" s="587"/>
      <c r="AD30" s="587"/>
      <c r="AE30" s="587"/>
      <c r="AF30" s="587"/>
      <c r="AG30" s="51"/>
      <c r="AH30" s="18"/>
      <c r="AI30" s="19"/>
      <c r="AJ30" s="784"/>
      <c r="AK30" s="98"/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3" t="str">
        <f>+I31</f>
        <v>부산CR</v>
      </c>
      <c r="H31" s="85"/>
      <c r="I31" s="83" t="s">
        <v>221</v>
      </c>
      <c r="J31" s="54">
        <f>+IFERROR(HLOOKUP($B31,'[1]11월'!$D$6:$BN$259,2,),)/1000</f>
        <v>43.490335385892017</v>
      </c>
      <c r="K31" s="59">
        <f>+IFERROR(HLOOKUP($C31,'[2]11월'!$F$6:$CP$99,2,),)/1000</f>
        <v>39.432000000000002</v>
      </c>
      <c r="L31" s="48">
        <f t="shared" si="10"/>
        <v>-4.0583353858920148</v>
      </c>
      <c r="M31" s="48">
        <f>+IFERROR(HLOOKUP($C31,'[3]11월'!$F$6:$CC$57,2,),)/1000</f>
        <v>36.262</v>
      </c>
      <c r="N31" s="60">
        <f t="shared" si="11"/>
        <v>3.1700000000000017</v>
      </c>
      <c r="O31" s="54">
        <f>+IFERROR(HLOOKUP($B31,'[1]11월'!$D$6:$BN$259,3,),)/1000</f>
        <v>789.0950499164087</v>
      </c>
      <c r="P31" s="59">
        <f>+IFERROR(HLOOKUP($C31,'[2]11월'!$F$6:$CP$99,3,),)/1000</f>
        <v>698.26</v>
      </c>
      <c r="Q31" s="48">
        <f t="shared" si="12"/>
        <v>-90.835049916408707</v>
      </c>
      <c r="R31" s="48">
        <f>+IFERROR(HLOOKUP($C31,'[3]11월'!$F$6:$CC$57,3,),)/1000</f>
        <v>638.88199999999995</v>
      </c>
      <c r="S31" s="60">
        <f t="shared" si="13"/>
        <v>59.378000000000043</v>
      </c>
      <c r="T31" s="54">
        <f>+IFERROR(HLOOKUP($B31,'[1]11월'!$D$6:$BN$259,21,),)/1000</f>
        <v>72.555884314798305</v>
      </c>
      <c r="U31" s="59">
        <f>+IFERROR(HLOOKUP($C31,'[2]11월'!$F$6:$CP$99,21,),)/1000</f>
        <v>-221.62408496000009</v>
      </c>
      <c r="V31" s="48">
        <f t="shared" si="14"/>
        <v>-294.1799692747984</v>
      </c>
      <c r="W31" s="48">
        <f>+IFERROR(HLOOKUP($C31,'[3]11월'!$F$6:$CC$57,16,),)/1000</f>
        <v>-14.85612099999997</v>
      </c>
      <c r="X31" s="60">
        <f t="shared" si="15"/>
        <v>-206.76796396000012</v>
      </c>
      <c r="Y31" s="628"/>
      <c r="Z31" s="587"/>
      <c r="AA31" s="587"/>
      <c r="AB31" s="587"/>
      <c r="AC31" s="587"/>
      <c r="AD31" s="587"/>
      <c r="AE31" s="587"/>
      <c r="AF31" s="587"/>
      <c r="AG31" s="51"/>
      <c r="AH31" s="18"/>
      <c r="AI31" s="19"/>
      <c r="AJ31" s="784"/>
      <c r="AK31" s="98"/>
      <c r="AL31" s="98"/>
    </row>
    <row r="32" spans="2:38" s="3" customFormat="1" ht="19.5" customHeight="1" x14ac:dyDescent="0.3">
      <c r="G32" s="796"/>
      <c r="H32" s="146" t="s">
        <v>42</v>
      </c>
      <c r="I32" s="147"/>
      <c r="J32" s="148">
        <f>SUM(J29:J31)</f>
        <v>124.63454715077671</v>
      </c>
      <c r="K32" s="152">
        <f>SUM(K29:K31)</f>
        <v>66.126000000000005</v>
      </c>
      <c r="L32" s="150">
        <f t="shared" si="10"/>
        <v>-58.508547150776707</v>
      </c>
      <c r="M32" s="150">
        <f>SUM(M29:M31)</f>
        <v>105.474</v>
      </c>
      <c r="N32" s="151">
        <f t="shared" si="11"/>
        <v>-39.347999999999999</v>
      </c>
      <c r="O32" s="148">
        <f>SUM(O29:O31)</f>
        <v>2273.070936752385</v>
      </c>
      <c r="P32" s="152">
        <f>SUM(P29:P31)</f>
        <v>1414.0255</v>
      </c>
      <c r="Q32" s="150">
        <f t="shared" si="12"/>
        <v>-859.04543675238506</v>
      </c>
      <c r="R32" s="150">
        <f>SUM(R29:R31)</f>
        <v>2014.7305000000001</v>
      </c>
      <c r="S32" s="151">
        <f t="shared" si="13"/>
        <v>-600.70500000000015</v>
      </c>
      <c r="T32" s="148">
        <f>SUM(T29:T31)</f>
        <v>259.24999907297536</v>
      </c>
      <c r="U32" s="152">
        <f>SUM(U29:U31)</f>
        <v>-290.10888612807156</v>
      </c>
      <c r="V32" s="150">
        <f t="shared" si="14"/>
        <v>-549.35888520104686</v>
      </c>
      <c r="W32" s="150">
        <f>SUM(W29:W31)</f>
        <v>127.97343200000003</v>
      </c>
      <c r="X32" s="151">
        <f t="shared" si="15"/>
        <v>-418.08231812807162</v>
      </c>
      <c r="Y32" s="628" t="s">
        <v>252</v>
      </c>
      <c r="Z32" s="587"/>
      <c r="AA32" s="587"/>
      <c r="AB32" s="587"/>
      <c r="AC32" s="587"/>
      <c r="AD32" s="587"/>
      <c r="AE32" s="587"/>
      <c r="AF32" s="587"/>
      <c r="AG32" s="51"/>
      <c r="AH32" s="27"/>
      <c r="AI32" s="28"/>
    </row>
    <row r="33" spans="2:38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(IFERROR(HLOOKUP($B33,'[1]11월'!$D$6:$BN$259,3,),)++IFERROR(HLOOKUP($C33,'[1]11월'!$D$6:$BN$259,3,),)+IFERROR(HLOOKUP($D33,'[1]11월'!$D$6:$BN$259,3,),))/1000</f>
        <v>90.84</v>
      </c>
      <c r="P33" s="47">
        <f>+IFERROR(HLOOKUP($E33,'[2]11월'!$F$6:$CP$99,3,),)/1000</f>
        <v>90.84</v>
      </c>
      <c r="Q33" s="49">
        <f t="shared" si="12"/>
        <v>0</v>
      </c>
      <c r="R33" s="48">
        <f>+IFERROR(HLOOKUP($E33,'[3]11월'!$F$6:$CC$57,3,),)/1000</f>
        <v>90.84</v>
      </c>
      <c r="S33" s="60">
        <f t="shared" si="13"/>
        <v>0</v>
      </c>
      <c r="T33" s="46">
        <f>(IFERROR(HLOOKUP($B33,'[1]11월'!$D$6:$BN$259,21,),)++IFERROR(HLOOKUP($C33,'[1]11월'!$D$6:$BN$259,21,),)+IFERROR(HLOOKUP($D33,'[1]11월'!$D$6:$BN$259,21,),))/1000</f>
        <v>72.210526000000002</v>
      </c>
      <c r="U33" s="47">
        <f>+IFERROR(HLOOKUP($E33,'[2]11월'!$F$6:$CP$99,16,),)/1000</f>
        <v>67.392237999999992</v>
      </c>
      <c r="V33" s="49">
        <f t="shared" ref="V33:V40" si="16">+U33-T33</f>
        <v>-4.8182880000000097</v>
      </c>
      <c r="W33" s="48">
        <f>+IFERROR(HLOOKUP($E33,'[3]11월'!$F$6:$CC$57,16,),)/1000</f>
        <v>71.822104999999993</v>
      </c>
      <c r="X33" s="60">
        <f t="shared" ref="X33:X39" si="17">+U33-W33</f>
        <v>-4.4298670000000016</v>
      </c>
      <c r="Y33" s="628" t="s">
        <v>253</v>
      </c>
      <c r="Z33" s="587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8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 t="str">
        <f t="shared" ref="G34:G39" si="18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19">+K34-M34</f>
        <v>0</v>
      </c>
      <c r="O34" s="46">
        <f>(+IFERROR(HLOOKUP($B34,'[1]11월'!$D$6:$BN$259,3,),)+IFERROR(HLOOKUP($C34,'[1]11월'!$D$6:$BN$259,3,),))/1000</f>
        <v>72.297500333333332</v>
      </c>
      <c r="P34" s="47">
        <f>+IFERROR(HLOOKUP($E34,'[2]11월'!$F$6:$CP$99,3,),)/1000</f>
        <v>72.663967999999997</v>
      </c>
      <c r="Q34" s="49">
        <f>+P34-O34</f>
        <v>0.36646766666666508</v>
      </c>
      <c r="R34" s="48">
        <f>+IFERROR(HLOOKUP($E34,'[3]11월'!$F$6:$CC$57,3,),)/1000</f>
        <v>93.741319000000004</v>
      </c>
      <c r="S34" s="60">
        <f t="shared" si="13"/>
        <v>-21.077351000000007</v>
      </c>
      <c r="T34" s="46">
        <f>(+IFERROR(HLOOKUP($B34,'[1]11월'!$D$6:$BN$259,21,),)+IFERROR(HLOOKUP($C34,'[1]11월'!$D$6:$BN$259,21,),))/1000</f>
        <v>62.045457333333324</v>
      </c>
      <c r="U34" s="47">
        <f>+IFERROR(HLOOKUP($E34,'[2]11월'!$F$6:$CP$99,16,),)/1000</f>
        <v>58.662832999999999</v>
      </c>
      <c r="V34" s="49">
        <f t="shared" si="16"/>
        <v>-3.3826243333333252</v>
      </c>
      <c r="W34" s="48">
        <f>+IFERROR(HLOOKUP($E34,'[3]11월'!$F$6:$CC$57,16,),)/1000</f>
        <v>56.694341999999999</v>
      </c>
      <c r="X34" s="60">
        <f t="shared" si="17"/>
        <v>1.9684910000000002</v>
      </c>
      <c r="Y34" s="628" t="s">
        <v>254</v>
      </c>
      <c r="Z34" s="587"/>
      <c r="AA34" s="587"/>
      <c r="AB34" s="587"/>
      <c r="AC34" s="587"/>
      <c r="AD34" s="587"/>
      <c r="AE34" s="587"/>
      <c r="AF34" s="587"/>
      <c r="AG34" s="51"/>
      <c r="AH34" s="18"/>
      <c r="AI34" s="19"/>
    </row>
    <row r="35" spans="2:38" s="8" customFormat="1" ht="19.5" customHeight="1" x14ac:dyDescent="0.3">
      <c r="B35" s="8" t="s">
        <v>200</v>
      </c>
      <c r="D35"/>
      <c r="E35"/>
      <c r="F35"/>
      <c r="G35" s="792" t="str">
        <f t="shared" si="18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19"/>
        <v>0</v>
      </c>
      <c r="O35" s="46"/>
      <c r="P35" s="47"/>
      <c r="Q35" s="49">
        <f t="shared" ref="Q35:Q40" si="20">+P35-O35</f>
        <v>0</v>
      </c>
      <c r="R35" s="48"/>
      <c r="S35" s="60">
        <f t="shared" ref="S35:S40" si="21">+P35-R35</f>
        <v>0</v>
      </c>
      <c r="T35" s="46">
        <f>-'[1]11월'!$Z$22/1000</f>
        <v>-1173.9157817876601</v>
      </c>
      <c r="U35" s="47">
        <f>+-'[2]11월'!$Z$22/1000</f>
        <v>-1265.4310908749756</v>
      </c>
      <c r="V35" s="49">
        <f t="shared" si="16"/>
        <v>-91.515309087315472</v>
      </c>
      <c r="W35" s="48">
        <f>+-'[3]11월'!$Z$22/1000</f>
        <v>-1202.306736</v>
      </c>
      <c r="X35" s="60">
        <f t="shared" si="17"/>
        <v>-63.124354874975552</v>
      </c>
      <c r="Y35" s="628"/>
      <c r="Z35" s="587"/>
      <c r="AA35" s="587"/>
      <c r="AB35" s="587"/>
      <c r="AC35" s="587"/>
      <c r="AD35" s="587"/>
      <c r="AE35" s="587"/>
      <c r="AF35" s="587"/>
      <c r="AG35" s="51"/>
      <c r="AH35" s="18"/>
      <c r="AI35" s="19"/>
      <c r="AK35" s="596"/>
      <c r="AL35" s="98"/>
    </row>
    <row r="36" spans="2:38" s="8" customFormat="1" ht="19.5" customHeight="1" x14ac:dyDescent="0.3">
      <c r="D36"/>
      <c r="E36"/>
      <c r="F36"/>
      <c r="G36" s="792" t="str">
        <f t="shared" si="18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19"/>
        <v>0</v>
      </c>
      <c r="O36" s="46"/>
      <c r="P36" s="47"/>
      <c r="Q36" s="49">
        <f t="shared" si="20"/>
        <v>0</v>
      </c>
      <c r="R36" s="48"/>
      <c r="S36" s="60">
        <f t="shared" si="21"/>
        <v>0</v>
      </c>
      <c r="T36" s="46">
        <f>+'[1]11월'!$AS$26/1000</f>
        <v>0</v>
      </c>
      <c r="U36" s="47">
        <f>'[2]11월'!$BD$26/1000</f>
        <v>241.78824</v>
      </c>
      <c r="V36" s="49">
        <f t="shared" si="16"/>
        <v>241.78824</v>
      </c>
      <c r="W36" s="48">
        <f>-'[3]11월'!$BD$26/1000</f>
        <v>0</v>
      </c>
      <c r="X36" s="60">
        <f t="shared" si="17"/>
        <v>241.78824</v>
      </c>
      <c r="Y36" s="628"/>
      <c r="Z36" s="587"/>
      <c r="AA36" s="587"/>
      <c r="AB36" s="587"/>
      <c r="AC36" s="587"/>
      <c r="AD36" s="587"/>
      <c r="AE36" s="587"/>
      <c r="AF36" s="587"/>
      <c r="AG36" s="51"/>
      <c r="AH36" s="18"/>
      <c r="AI36" s="19"/>
      <c r="AK36" s="98"/>
      <c r="AL36" s="98"/>
    </row>
    <row r="37" spans="2:38" s="8" customFormat="1" ht="19.5" customHeight="1" x14ac:dyDescent="0.3">
      <c r="D37"/>
      <c r="E37"/>
      <c r="F37"/>
      <c r="G37" s="792" t="str">
        <f t="shared" si="18"/>
        <v>대손</v>
      </c>
      <c r="H37" s="87"/>
      <c r="I37" s="88" t="s">
        <v>117</v>
      </c>
      <c r="J37" s="46"/>
      <c r="K37" s="47"/>
      <c r="L37" s="49"/>
      <c r="M37" s="48"/>
      <c r="N37" s="60">
        <f t="shared" si="19"/>
        <v>0</v>
      </c>
      <c r="O37" s="46"/>
      <c r="P37" s="47"/>
      <c r="Q37" s="49">
        <f t="shared" si="20"/>
        <v>0</v>
      </c>
      <c r="R37" s="48"/>
      <c r="S37" s="60">
        <f t="shared" si="21"/>
        <v>0</v>
      </c>
      <c r="T37" s="46"/>
      <c r="U37" s="47">
        <f>'[2]11월'!$BE$26/1000</f>
        <v>0</v>
      </c>
      <c r="V37" s="49">
        <f t="shared" si="16"/>
        <v>0</v>
      </c>
      <c r="W37" s="48">
        <f>'[3]11월'!$BE$26/1000</f>
        <v>0</v>
      </c>
      <c r="X37" s="60">
        <f t="shared" si="17"/>
        <v>0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J37" s="96"/>
      <c r="AK37" s="98"/>
      <c r="AL37" s="98"/>
    </row>
    <row r="38" spans="2:38" s="8" customFormat="1" ht="19.5" customHeight="1" x14ac:dyDescent="0.3">
      <c r="D38"/>
      <c r="E38"/>
      <c r="F38"/>
      <c r="G38" s="792" t="str">
        <f t="shared" si="18"/>
        <v>미운영 공장</v>
      </c>
      <c r="H38" s="87"/>
      <c r="I38" s="88" t="s">
        <v>177</v>
      </c>
      <c r="J38" s="46"/>
      <c r="K38" s="47"/>
      <c r="L38" s="49"/>
      <c r="M38" s="48">
        <f>SUM(M54:M59)</f>
        <v>0</v>
      </c>
      <c r="N38" s="60">
        <f t="shared" si="19"/>
        <v>0</v>
      </c>
      <c r="O38" s="46"/>
      <c r="P38" s="47"/>
      <c r="Q38" s="49">
        <f t="shared" si="20"/>
        <v>0</v>
      </c>
      <c r="R38" s="48">
        <f>+IFERROR(HLOOKUP($I$38,'[3]11월'!$F$6:$BJ$50,3,),)/1000</f>
        <v>0</v>
      </c>
      <c r="S38" s="60">
        <f t="shared" si="21"/>
        <v>0</v>
      </c>
      <c r="T38" s="46">
        <f>SUM('[1]11월'!$AM$26:$AQ$26)/1000</f>
        <v>-35.713225444459646</v>
      </c>
      <c r="U38" s="47">
        <f>+'[2]11월'!$BF$26/1000</f>
        <v>-32.976667999999997</v>
      </c>
      <c r="V38" s="49">
        <f t="shared" si="16"/>
        <v>2.736557444459649</v>
      </c>
      <c r="W38" s="48">
        <f>+'[3]11월'!$BF$26/1000</f>
        <v>-9.3025889999999993</v>
      </c>
      <c r="X38" s="60">
        <f>+U38-W38</f>
        <v>-23.674078999999999</v>
      </c>
      <c r="Y38" s="586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  <c r="AK38" s="98"/>
      <c r="AL38" s="98"/>
    </row>
    <row r="39" spans="2:38" s="8" customFormat="1" ht="19.5" customHeight="1" x14ac:dyDescent="0.3">
      <c r="B39" t="s">
        <v>39</v>
      </c>
      <c r="D39"/>
      <c r="G39" s="792" t="str">
        <f t="shared" si="18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19"/>
        <v>0</v>
      </c>
      <c r="O39" s="46">
        <f>IFERROR(HLOOKUP($B39,'[1]11월'!$D$6:$BN$259,3,),)/1000</f>
        <v>1.77</v>
      </c>
      <c r="P39" s="47">
        <f>+('[2]11월'!$F$8-SUM('[2]11월'!$Z$8,'[2]11월'!$AH$8,'[2]11월'!$AN$8,'[2]11월'!$AO$8,'[2]11월'!$BA$8,'[2]11월'!$BD$8,'[2]11월'!$BE$8,'[2]11월'!$BF$8))/1000</f>
        <v>1.8206000000014901</v>
      </c>
      <c r="Q39" s="55">
        <f t="shared" si="20"/>
        <v>5.060000000149012E-2</v>
      </c>
      <c r="R39" s="61">
        <f>+('[3]11월'!$F$8-SUM('[3]11월'!$Z$8,'[3]11월'!$AH$8,'[3]11월'!$AN$8,'[3]11월'!$AO$8,'[3]11월'!$BA$8,'[3]11월'!$BD$8,'[3]11월'!$BE$8,'[3]11월'!$BF$8))/1000</f>
        <v>1.7741000000014902</v>
      </c>
      <c r="S39" s="62">
        <f t="shared" si="21"/>
        <v>4.6499999999999986E-2</v>
      </c>
      <c r="T39" s="46">
        <f>+('[1]11월'!$E$26-'[1]11월'!$Z$26-'[1]11월'!$AA$26-'[1]11월'!$AE$26-'[1]11월'!$AL$26-'[1]11월'!$AM$26-'[1]11월'!$AN$26-'[1]11월'!$AO$26-'[1]11월'!$AP$26-'[1]11월'!$AQ$26-'[1]11월'!$AS$26)/1000</f>
        <v>-79.281807999997241</v>
      </c>
      <c r="U39" s="47">
        <f>+('[2]11월'!$F$26-SUM('[2]11월'!$Z$26,'[2]11월'!$AH$26,'[2]11월'!$AN$26,'[2]11월'!$AO$26,'[2]11월'!$BA$26,'[2]11월'!$BD$26,'[2]11월'!$BE$26,'[2]11월'!$BF$26))/1000</f>
        <v>-16.745683999986852</v>
      </c>
      <c r="V39" s="49">
        <f t="shared" si="16"/>
        <v>62.536124000010389</v>
      </c>
      <c r="W39" s="61">
        <f>+('[3]11월'!$F$26-SUM('[3]11월'!$Z$26,'[3]11월'!$AH$26,'[3]11월'!$AN$26,'[3]11월'!$AO$26,'[3]11월'!$BA$26,'[3]11월'!$BD$26,'[3]11월'!$BE$26,'[3]11월'!$BF$26))/1000</f>
        <v>-16.698095000008585</v>
      </c>
      <c r="X39" s="60">
        <f t="shared" si="17"/>
        <v>-4.75889999782666E-2</v>
      </c>
      <c r="Y39" s="595"/>
      <c r="Z39" s="587"/>
      <c r="AA39" s="587"/>
      <c r="AB39" s="587"/>
      <c r="AC39" s="587"/>
      <c r="AD39" s="587"/>
      <c r="AE39" s="587"/>
      <c r="AF39" s="587"/>
      <c r="AG39" s="51"/>
      <c r="AH39" s="18"/>
      <c r="AI39" s="19"/>
    </row>
    <row r="40" spans="2:38" s="8" customFormat="1" ht="19.5" customHeight="1" x14ac:dyDescent="0.3">
      <c r="G40" s="792"/>
      <c r="H40" s="87"/>
      <c r="I40" s="88"/>
      <c r="J40" s="46"/>
      <c r="K40" s="47"/>
      <c r="L40" s="55"/>
      <c r="M40" s="61"/>
      <c r="N40" s="62">
        <f t="shared" si="19"/>
        <v>0</v>
      </c>
      <c r="O40" s="46"/>
      <c r="P40" s="47"/>
      <c r="Q40" s="55">
        <f t="shared" si="20"/>
        <v>0</v>
      </c>
      <c r="R40" s="61"/>
      <c r="S40" s="62">
        <f t="shared" si="21"/>
        <v>0</v>
      </c>
      <c r="T40" s="46"/>
      <c r="U40" s="47"/>
      <c r="V40" s="49">
        <f t="shared" si="16"/>
        <v>0</v>
      </c>
      <c r="W40" s="61"/>
      <c r="X40" s="60"/>
      <c r="Y40" s="586"/>
      <c r="Z40" s="587"/>
      <c r="AA40" s="587"/>
      <c r="AB40" s="587"/>
      <c r="AC40" s="587"/>
      <c r="AD40" s="587"/>
      <c r="AE40" s="587"/>
      <c r="AF40" s="587"/>
      <c r="AG40" s="51"/>
      <c r="AH40" s="31"/>
    </row>
    <row r="41" spans="2:38" s="3" customFormat="1" ht="19.5" customHeight="1" x14ac:dyDescent="0.3">
      <c r="D41" s="657"/>
      <c r="G41" s="796"/>
      <c r="H41" s="146" t="s">
        <v>118</v>
      </c>
      <c r="I41" s="147"/>
      <c r="J41" s="646">
        <f>SUM(J33:J40)</f>
        <v>0</v>
      </c>
      <c r="K41" s="647">
        <f>SUM(K33:K40)</f>
        <v>0</v>
      </c>
      <c r="L41" s="647">
        <f>+K41-J41</f>
        <v>0</v>
      </c>
      <c r="M41" s="647">
        <f>SUM(M33:M40)</f>
        <v>0</v>
      </c>
      <c r="N41" s="648">
        <f t="shared" si="19"/>
        <v>0</v>
      </c>
      <c r="O41" s="148">
        <f>SUM(O33:O40)</f>
        <v>164.90750033333333</v>
      </c>
      <c r="P41" s="149">
        <f>SUM(P33:P40)</f>
        <v>165.32456800000148</v>
      </c>
      <c r="Q41" s="153">
        <f t="shared" si="12"/>
        <v>0.41706766666814588</v>
      </c>
      <c r="R41" s="154">
        <f>SUM(R33:R40)</f>
        <v>186.35541900000149</v>
      </c>
      <c r="S41" s="155">
        <f>+P41-R41</f>
        <v>-21.030851000000013</v>
      </c>
      <c r="T41" s="148">
        <f>SUM(T33:T40)</f>
        <v>-1154.6548318987836</v>
      </c>
      <c r="U41" s="149">
        <f>SUM(U33:U40)</f>
        <v>-947.31013187496251</v>
      </c>
      <c r="V41" s="153">
        <f>+U41-T41</f>
        <v>207.34470002382113</v>
      </c>
      <c r="W41" s="154">
        <f>SUM(W33:W40)</f>
        <v>-1099.7909730000085</v>
      </c>
      <c r="X41" s="155">
        <f>+U41-W41</f>
        <v>152.48084112504603</v>
      </c>
      <c r="Y41" s="588"/>
      <c r="Z41" s="589"/>
      <c r="AA41" s="589"/>
      <c r="AB41" s="589"/>
      <c r="AC41" s="589"/>
      <c r="AD41" s="589"/>
      <c r="AE41" s="589"/>
      <c r="AF41" s="589"/>
      <c r="AG41" s="590"/>
      <c r="AH41" s="26"/>
    </row>
    <row r="42" spans="2:38" s="8" customFormat="1" ht="19.5" customHeight="1" x14ac:dyDescent="0.3">
      <c r="G42" s="792"/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>
        <v>19</v>
      </c>
      <c r="V42" s="32">
        <v>12.4</v>
      </c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 x14ac:dyDescent="0.3">
      <c r="G43" s="797">
        <f>+P43/O43</f>
        <v>0.84867736197806076</v>
      </c>
      <c r="H43" s="639" t="s">
        <v>41</v>
      </c>
      <c r="I43" s="640"/>
      <c r="J43" s="652"/>
      <c r="K43" s="653"/>
      <c r="L43" s="653"/>
      <c r="M43" s="653"/>
      <c r="N43" s="654"/>
      <c r="O43" s="641">
        <f>+O27+O32+O28+O41</f>
        <v>46651.283523954182</v>
      </c>
      <c r="P43" s="642">
        <f>+P27+P32+P28+P41</f>
        <v>39591.888234000005</v>
      </c>
      <c r="Q43" s="643">
        <f t="shared" si="12"/>
        <v>-7059.3952899541764</v>
      </c>
      <c r="R43" s="644">
        <f>+R27+R32+R28+R41</f>
        <v>49233.71444299999</v>
      </c>
      <c r="S43" s="645">
        <f>+P43-R43</f>
        <v>-9641.8262089999844</v>
      </c>
      <c r="T43" s="641">
        <f>+T27+T32+T28+T41</f>
        <v>4533.548476414976</v>
      </c>
      <c r="U43" s="642">
        <f>+U27+U32+U28+U41</f>
        <v>1076.8610279969655</v>
      </c>
      <c r="V43" s="643">
        <f>+U43-T43</f>
        <v>-3456.6874484180107</v>
      </c>
      <c r="W43" s="644">
        <f>+W27+W32+W28+W41</f>
        <v>2869.2459909999907</v>
      </c>
      <c r="X43" s="645">
        <f>+U43-W43</f>
        <v>-1792.3849630030252</v>
      </c>
      <c r="Y43" s="837"/>
      <c r="Z43" s="838"/>
      <c r="AA43" s="838"/>
      <c r="AB43" s="838"/>
      <c r="AC43" s="838"/>
      <c r="AD43" s="838"/>
      <c r="AE43" s="838"/>
      <c r="AF43" s="838"/>
      <c r="AG43" s="839"/>
      <c r="AH43" s="26"/>
    </row>
    <row r="44" spans="2:38" s="34" customFormat="1" x14ac:dyDescent="0.3">
      <c r="G44" s="794">
        <f>+U43/T43</f>
        <v>0.23753160104036694</v>
      </c>
      <c r="P44" s="661">
        <f>+P43/O43</f>
        <v>0.84867736197806076</v>
      </c>
      <c r="T44" s="661">
        <f>+T43/O43</f>
        <v>9.7179501483321898E-2</v>
      </c>
      <c r="U44" s="661">
        <f>+U43/P43</f>
        <v>2.7199031822690341E-2</v>
      </c>
      <c r="AC44" s="35"/>
      <c r="AF44" s="35"/>
    </row>
    <row r="45" spans="2:38" s="34" customFormat="1" ht="17.25" thickBot="1" x14ac:dyDescent="0.35">
      <c r="G45" s="798"/>
      <c r="AC45" s="35"/>
      <c r="AF45" s="35"/>
    </row>
    <row r="46" spans="2:38" s="34" customFormat="1" x14ac:dyDescent="0.3">
      <c r="G46" s="798"/>
      <c r="I46" s="834" t="s">
        <v>101</v>
      </c>
      <c r="J46" s="138">
        <f>+'[1]11월'!$Z$7/1000</f>
        <v>320</v>
      </c>
      <c r="K46" s="139">
        <f>+'[2]11월'!$AI$7/1000</f>
        <v>280.66849999999999</v>
      </c>
      <c r="L46" s="139"/>
      <c r="M46" s="139">
        <f>+'[3]11월'!$Z$7/1000</f>
        <v>359.19918000000001</v>
      </c>
      <c r="N46" s="139"/>
      <c r="O46" s="139">
        <f>+'[1]11월'!$E$8/1000</f>
        <v>46651.283523954182</v>
      </c>
      <c r="P46" s="139">
        <f>+'[2]11월'!$F$8/1000</f>
        <v>39591.888234000005</v>
      </c>
      <c r="Q46" s="139"/>
      <c r="R46" s="139">
        <f>+'[3]11월'!$F$8/1000</f>
        <v>49233.71444299999</v>
      </c>
      <c r="S46" s="139"/>
      <c r="T46" s="144">
        <f>+'[1]11월'!$E$26/1000</f>
        <v>4533.5484764149696</v>
      </c>
      <c r="U46" s="139">
        <f>+'[2]11월'!$F$26/1000</f>
        <v>1076.8610279969657</v>
      </c>
      <c r="V46" s="139"/>
      <c r="W46" s="139">
        <f>+'[3]11월'!$F$26/1000</f>
        <v>2869.2459909999898</v>
      </c>
      <c r="X46" s="140"/>
      <c r="AC46" s="35"/>
      <c r="AF46" s="35"/>
    </row>
    <row r="47" spans="2:38" s="34" customFormat="1" ht="17.25" thickBot="1" x14ac:dyDescent="0.35">
      <c r="G47" s="798"/>
      <c r="I47" s="834"/>
      <c r="J47" s="143">
        <f>+J46-J27</f>
        <v>0</v>
      </c>
      <c r="K47" s="141">
        <f>+K46-K27</f>
        <v>0</v>
      </c>
      <c r="L47" s="141"/>
      <c r="M47" s="141">
        <f>+M46-M27</f>
        <v>0</v>
      </c>
      <c r="N47" s="141"/>
      <c r="O47" s="145">
        <f>+O46-O43</f>
        <v>0</v>
      </c>
      <c r="P47" s="145">
        <f>+P46-P43</f>
        <v>0</v>
      </c>
      <c r="Q47" s="141"/>
      <c r="R47" s="145">
        <f>+R46-R43</f>
        <v>0</v>
      </c>
      <c r="S47" s="141"/>
      <c r="T47" s="145">
        <f>+T46-T43</f>
        <v>0</v>
      </c>
      <c r="U47" s="145">
        <f>+U46-U43</f>
        <v>0</v>
      </c>
      <c r="V47" s="141"/>
      <c r="W47" s="141">
        <f>+W46-W43</f>
        <v>0</v>
      </c>
      <c r="X47" s="142"/>
      <c r="AC47" s="35"/>
      <c r="AF47" s="35"/>
      <c r="AG47" s="34" t="s">
        <v>102</v>
      </c>
    </row>
    <row r="48" spans="2:38" x14ac:dyDescent="0.3">
      <c r="T48" s="658"/>
      <c r="U48" s="658"/>
      <c r="V48" s="658"/>
    </row>
    <row r="49" spans="10:33" x14ac:dyDescent="0.3">
      <c r="T49" s="658"/>
      <c r="U49" s="658"/>
      <c r="V49" s="658"/>
      <c r="AC49" s="35"/>
      <c r="AD49" s="34"/>
      <c r="AE49" s="34"/>
      <c r="AF49" s="35"/>
    </row>
    <row r="50" spans="10:33" x14ac:dyDescent="0.3">
      <c r="S50" t="s">
        <v>53</v>
      </c>
      <c r="T50" s="598">
        <f>(+T27+T35)/100</f>
        <v>40.893021982320718</v>
      </c>
      <c r="U50" s="598">
        <f>(+U27+U35)/100</f>
        <v>9.3049230612502498</v>
      </c>
      <c r="V50" s="598">
        <f>+U50-T50</f>
        <v>-31.588098921070468</v>
      </c>
      <c r="W50" s="597">
        <f>+U50/T50-1</f>
        <v>-0.77245694717125457</v>
      </c>
      <c r="AC50" s="35"/>
      <c r="AD50" s="34"/>
      <c r="AE50" s="34"/>
      <c r="AF50" s="35"/>
    </row>
    <row r="51" spans="10:33" x14ac:dyDescent="0.3">
      <c r="S51" t="s">
        <v>3</v>
      </c>
      <c r="T51" s="6">
        <f>+T28/100</f>
        <v>1.657353292210517</v>
      </c>
      <c r="U51" s="6">
        <f>+U28/100</f>
        <v>1.1835664899999911</v>
      </c>
      <c r="V51" s="598">
        <f t="shared" ref="V51:V56" si="22">+U51-T51</f>
        <v>-0.47378680221052583</v>
      </c>
      <c r="Y51" s="586" t="s">
        <v>228</v>
      </c>
      <c r="AC51" s="35"/>
      <c r="AD51" s="34"/>
      <c r="AE51" s="34"/>
      <c r="AF51" s="35"/>
    </row>
    <row r="52" spans="10:33" x14ac:dyDescent="0.3">
      <c r="S52" t="s">
        <v>1</v>
      </c>
      <c r="T52" s="6">
        <f>+T32/100</f>
        <v>2.5924999907297535</v>
      </c>
      <c r="U52" s="6">
        <f>+U32/100</f>
        <v>-2.9010888612807157</v>
      </c>
      <c r="V52" s="598">
        <f t="shared" si="22"/>
        <v>-5.4935888520104692</v>
      </c>
      <c r="AC52" s="35"/>
      <c r="AD52" s="34"/>
      <c r="AE52" s="34"/>
      <c r="AF52" s="35"/>
    </row>
    <row r="53" spans="10:33" x14ac:dyDescent="0.3">
      <c r="S53" t="s">
        <v>59</v>
      </c>
      <c r="T53" s="6">
        <f>(T33+T34)/100</f>
        <v>1.3425598333333333</v>
      </c>
      <c r="U53" s="6">
        <f>(U33+U34)/100</f>
        <v>1.26055071</v>
      </c>
      <c r="V53" s="598">
        <f t="shared" si="22"/>
        <v>-8.2009123333333322E-2</v>
      </c>
      <c r="AC53" s="35"/>
      <c r="AD53" s="34"/>
      <c r="AE53" s="34"/>
      <c r="AF53" s="35"/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 t="s">
        <v>4</v>
      </c>
      <c r="T54" s="598">
        <f>(T46/100)-T50-T51-T52-T53</f>
        <v>-1.1499503344446242</v>
      </c>
      <c r="U54" s="598">
        <f>(U46/100)-U50-U51-U52-U53</f>
        <v>1.9206588800001319</v>
      </c>
      <c r="V54" s="598">
        <f t="shared" si="22"/>
        <v>3.0706092144447563</v>
      </c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>
        <f>SUM(T53:T54)</f>
        <v>0.19260949888870904</v>
      </c>
      <c r="U55" s="598">
        <f>SUM(U53:U54)</f>
        <v>3.1812095900001318</v>
      </c>
      <c r="V55" s="598">
        <f>SUM(V53:V54)</f>
        <v>2.9886000911114232</v>
      </c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/>
      <c r="T56" s="598">
        <f>SUM(T50:T54)</f>
        <v>45.335484764149697</v>
      </c>
      <c r="U56" s="598">
        <f>SUM(U50:U54)</f>
        <v>10.768610279969657</v>
      </c>
      <c r="V56" s="598">
        <f t="shared" si="22"/>
        <v>-34.56687448418004</v>
      </c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J57" s="598"/>
      <c r="K57" s="598"/>
      <c r="L57" s="598"/>
      <c r="M57" s="598"/>
      <c r="N57" s="598"/>
      <c r="O57" s="598"/>
      <c r="P57" s="598"/>
      <c r="Q57" s="598"/>
      <c r="R57" s="598"/>
      <c r="S57" s="598"/>
      <c r="T57" s="598"/>
      <c r="U57" s="598"/>
      <c r="V57" s="598"/>
      <c r="W57" s="598"/>
      <c r="X57" s="598"/>
      <c r="Y57" s="598"/>
      <c r="Z57" s="598"/>
      <c r="AA57" s="598"/>
      <c r="AB57" s="598"/>
      <c r="AC57" s="598"/>
      <c r="AD57" s="598"/>
      <c r="AE57" s="598"/>
      <c r="AF57" s="598"/>
      <c r="AG57" s="598"/>
    </row>
    <row r="58" spans="10:33" x14ac:dyDescent="0.3">
      <c r="J58" s="598"/>
      <c r="K58" s="598"/>
      <c r="L58" s="598"/>
      <c r="M58" s="598"/>
      <c r="N58" s="598"/>
      <c r="O58" s="598"/>
      <c r="P58" s="598"/>
      <c r="Q58" s="598"/>
      <c r="R58" s="598"/>
      <c r="S58" s="598" t="s">
        <v>59</v>
      </c>
      <c r="T58" s="658">
        <f>+(T33+T34)/100</f>
        <v>1.3425598333333333</v>
      </c>
      <c r="U58" s="658">
        <f>+(U33+U34)/100</f>
        <v>1.26055071</v>
      </c>
      <c r="V58" s="598">
        <f>+U58-T58</f>
        <v>-8.2009123333333322E-2</v>
      </c>
      <c r="W58" s="598"/>
      <c r="X58" s="598"/>
      <c r="Y58" s="598"/>
      <c r="Z58" s="598"/>
      <c r="AA58" s="598"/>
      <c r="AB58" s="598"/>
      <c r="AC58" s="598"/>
      <c r="AD58" s="598"/>
      <c r="AE58" s="598"/>
      <c r="AF58" s="598"/>
      <c r="AG58" s="598"/>
    </row>
    <row r="59" spans="10:33" x14ac:dyDescent="0.3">
      <c r="J59" s="598"/>
      <c r="K59" s="598"/>
      <c r="L59" s="598"/>
      <c r="M59" s="598"/>
      <c r="N59" s="598"/>
      <c r="O59" s="598"/>
      <c r="P59" s="598"/>
      <c r="Q59" s="598"/>
      <c r="R59" s="598"/>
      <c r="S59" s="598" t="str">
        <f>+I36</f>
        <v>OPC 소급분</v>
      </c>
      <c r="T59" s="598">
        <f t="shared" ref="T59:U62" si="23">+T36/100</f>
        <v>0</v>
      </c>
      <c r="U59" s="598">
        <f t="shared" si="23"/>
        <v>2.4178823999999999</v>
      </c>
      <c r="V59" s="598">
        <f>+U59-T59</f>
        <v>2.4178823999999999</v>
      </c>
      <c r="W59" s="598"/>
      <c r="X59" s="598"/>
      <c r="Y59" s="598"/>
      <c r="Z59" s="598"/>
      <c r="AA59" s="598"/>
      <c r="AB59" s="598"/>
      <c r="AC59" s="598"/>
      <c r="AD59" s="598"/>
      <c r="AE59" s="598"/>
      <c r="AF59" s="598"/>
      <c r="AG59" s="598"/>
    </row>
    <row r="60" spans="10:33" x14ac:dyDescent="0.3">
      <c r="S60" s="598" t="str">
        <f>+I37</f>
        <v>대손</v>
      </c>
      <c r="T60" s="598">
        <f t="shared" si="23"/>
        <v>0</v>
      </c>
      <c r="U60" s="598">
        <f t="shared" si="23"/>
        <v>0</v>
      </c>
      <c r="V60" s="598">
        <f>+U60-T60</f>
        <v>0</v>
      </c>
      <c r="AC60" s="598"/>
      <c r="AD60" s="598"/>
      <c r="AE60" s="598"/>
      <c r="AF60" s="598"/>
    </row>
    <row r="61" spans="10:33" x14ac:dyDescent="0.3">
      <c r="S61" s="598" t="str">
        <f>+I38</f>
        <v>미운영 공장</v>
      </c>
      <c r="T61" s="598">
        <f t="shared" si="23"/>
        <v>-0.35713225444459645</v>
      </c>
      <c r="U61" s="598">
        <f t="shared" si="23"/>
        <v>-0.32976667999999998</v>
      </c>
      <c r="V61" s="598">
        <f>+U61-T61</f>
        <v>2.7365574444596474E-2</v>
      </c>
      <c r="AC61" s="598"/>
      <c r="AD61" s="598"/>
      <c r="AE61" s="598"/>
    </row>
    <row r="62" spans="10:33" x14ac:dyDescent="0.3">
      <c r="S62" s="598" t="str">
        <f>+I39</f>
        <v>기타</v>
      </c>
      <c r="T62" s="598">
        <f t="shared" si="23"/>
        <v>-0.79281807999997245</v>
      </c>
      <c r="U62" s="598">
        <f t="shared" si="23"/>
        <v>-0.16745683999986852</v>
      </c>
      <c r="V62" s="598">
        <f>+U62-T62</f>
        <v>0.62536124000010396</v>
      </c>
      <c r="AC62" s="598"/>
      <c r="AD62" s="598"/>
      <c r="AE62" s="598"/>
    </row>
    <row r="63" spans="10:33" x14ac:dyDescent="0.3">
      <c r="T63" s="6">
        <f>SUM(T58:T62)</f>
        <v>0.19260949888876433</v>
      </c>
      <c r="U63" s="6">
        <f>SUM(U58:U62)</f>
        <v>3.1812095900001314</v>
      </c>
      <c r="V63" s="6">
        <f>SUM(V58:V62)</f>
        <v>2.9886000911113673</v>
      </c>
      <c r="AC63" s="598"/>
      <c r="AE63" s="598"/>
    </row>
    <row r="64" spans="10:33" x14ac:dyDescent="0.3">
      <c r="AC64" s="598"/>
      <c r="AE64" s="598"/>
    </row>
    <row r="65" spans="29:31" x14ac:dyDescent="0.3">
      <c r="AC65" s="598"/>
      <c r="AE65" s="598"/>
    </row>
    <row r="66" spans="29:31" x14ac:dyDescent="0.3">
      <c r="AC66" s="598"/>
      <c r="AE66" s="598"/>
    </row>
    <row r="67" spans="29:31" x14ac:dyDescent="0.3">
      <c r="AC67" s="598"/>
      <c r="AE67" s="598"/>
    </row>
    <row r="68" spans="29:31" x14ac:dyDescent="0.3">
      <c r="AC68" s="598"/>
      <c r="AE68" s="598"/>
    </row>
    <row r="69" spans="29:31" x14ac:dyDescent="0.3">
      <c r="AC69" s="598"/>
      <c r="AE69" s="598"/>
    </row>
    <row r="70" spans="29:31" x14ac:dyDescent="0.3">
      <c r="AC70" s="598"/>
      <c r="AE70" s="598"/>
    </row>
    <row r="71" spans="29:31" x14ac:dyDescent="0.3">
      <c r="AC71" s="598"/>
      <c r="AE71" s="598"/>
    </row>
    <row r="72" spans="29:31" x14ac:dyDescent="0.3">
      <c r="AC72" s="598"/>
      <c r="AE72" s="598"/>
    </row>
    <row r="73" spans="29:31" x14ac:dyDescent="0.3">
      <c r="AC73" s="598"/>
      <c r="AE73" s="598"/>
    </row>
    <row r="74" spans="29:31" x14ac:dyDescent="0.3">
      <c r="AC74" s="598"/>
      <c r="AE74" s="598"/>
    </row>
    <row r="75" spans="29:31" x14ac:dyDescent="0.3">
      <c r="AC75" s="598"/>
      <c r="AE75" s="598"/>
    </row>
    <row r="76" spans="29:31" x14ac:dyDescent="0.3">
      <c r="AC76" s="598"/>
      <c r="AE76" s="598"/>
    </row>
    <row r="77" spans="29:31" x14ac:dyDescent="0.3">
      <c r="AC77" s="598"/>
      <c r="AE77" s="598"/>
    </row>
    <row r="78" spans="29:31" x14ac:dyDescent="0.3">
      <c r="AC78" s="598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 codeName="Sheet4">
    <tabColor theme="1" tint="0.249977111117893"/>
    <pageSetUpPr fitToPage="1"/>
  </sheetPr>
  <dimension ref="A1:AM63"/>
  <sheetViews>
    <sheetView showGridLines="0" showZeros="0" view="pageBreakPreview" topLeftCell="F1" zoomScale="85" zoomScaleNormal="85" zoomScaleSheetLayoutView="85" workbookViewId="0">
      <selection activeCell="V30" sqref="V30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240</v>
      </c>
      <c r="AD3" s="5"/>
      <c r="AG3" s="5"/>
    </row>
    <row r="4" spans="1:39" ht="18" customHeight="1" x14ac:dyDescent="0.3">
      <c r="H4" s="7"/>
      <c r="AD4" s="5"/>
      <c r="AG4" s="5" t="s">
        <v>94</v>
      </c>
    </row>
    <row r="5" spans="1:39" s="8" customFormat="1" ht="19.5" customHeight="1" x14ac:dyDescent="0.3">
      <c r="G5" s="792"/>
      <c r="H5" s="830" t="s">
        <v>11</v>
      </c>
      <c r="I5" s="831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21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1:39" s="8" customFormat="1" ht="19.5" customHeight="1" x14ac:dyDescent="0.3">
      <c r="A6" s="8" t="s">
        <v>235</v>
      </c>
      <c r="G6" s="792"/>
      <c r="H6" s="832"/>
      <c r="I6" s="833"/>
      <c r="J6" s="175" t="s">
        <v>12</v>
      </c>
      <c r="K6" s="176" t="s">
        <v>13</v>
      </c>
      <c r="L6" s="177" t="s">
        <v>37</v>
      </c>
      <c r="M6" s="176" t="s">
        <v>14</v>
      </c>
      <c r="N6" s="178" t="s">
        <v>37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1:39" s="8" customFormat="1" ht="19.5" customHeight="1" x14ac:dyDescent="0.3">
      <c r="B7" s="8" t="s">
        <v>22</v>
      </c>
      <c r="F7" s="9">
        <f>+U7/T7</f>
        <v>0.59504131929221982</v>
      </c>
      <c r="G7" s="794">
        <f t="shared" ref="G7:G22" si="0">+K7/J7</f>
        <v>0.90008078602620101</v>
      </c>
      <c r="H7" s="78" t="s">
        <v>53</v>
      </c>
      <c r="I7" s="79" t="s">
        <v>22</v>
      </c>
      <c r="J7" s="36">
        <f>+'사업장별(당월)'!J7+'[4]사업장별(누계)'!J7</f>
        <v>458</v>
      </c>
      <c r="K7" s="37">
        <f>+'사업장별(당월)'!K7+'[4]사업장별(누계)'!K7</f>
        <v>412.23700000000008</v>
      </c>
      <c r="L7" s="38">
        <f t="shared" ref="L7:L32" si="1">+K7-J7</f>
        <v>-45.76299999999992</v>
      </c>
      <c r="M7" s="39">
        <f>+'사업장별(당월)'!M7+'[4]사업장별(누계)'!M7</f>
        <v>503.72900000000004</v>
      </c>
      <c r="N7" s="40">
        <f>+K7-M7</f>
        <v>-91.491999999999962</v>
      </c>
      <c r="O7" s="36">
        <f>+'사업장별(당월)'!O7+'[4]사업장별(누계)'!O7</f>
        <v>45972.7042</v>
      </c>
      <c r="P7" s="37">
        <f>+'사업장별(당월)'!P7+'[4]사업장별(누계)'!P7</f>
        <v>40826.389593</v>
      </c>
      <c r="Q7" s="38">
        <f>+P7-O7</f>
        <v>-5146.3146070000003</v>
      </c>
      <c r="R7" s="39">
        <f>+'사업장별(당월)'!R7+'[4]사업장별(누계)'!R7</f>
        <v>46803.177634000007</v>
      </c>
      <c r="S7" s="40">
        <f>+P7-R7</f>
        <v>-5976.7880410000071</v>
      </c>
      <c r="T7" s="36">
        <f>+'사업장별(당월)'!T7+'[4]사업장별(누계)'!T7</f>
        <v>6381.7859817145145</v>
      </c>
      <c r="U7" s="37">
        <f>+'사업장별(당월)'!U7+'[4]사업장별(누계)'!U7</f>
        <v>3797.4263499999988</v>
      </c>
      <c r="V7" s="41">
        <f>+U7-T7</f>
        <v>-2584.3596317145157</v>
      </c>
      <c r="W7" s="42">
        <f>+'사업장별(당월)'!W7+'[4]사업장별(누계)'!W7</f>
        <v>6517.3077219799998</v>
      </c>
      <c r="X7" s="40">
        <f>+U7-W7</f>
        <v>-2719.8813719800009</v>
      </c>
      <c r="Y7" s="36">
        <f>+[11]안양!$Q$85</f>
        <v>100377.08340611354</v>
      </c>
      <c r="Z7" s="37">
        <f>+[11]안양!$R$85</f>
        <v>99032.751272891415</v>
      </c>
      <c r="AA7" s="43">
        <f>+[12]안양!$Q$85</f>
        <v>92889.087168736529</v>
      </c>
      <c r="AB7" s="44">
        <f>+[11]안양!$Q$89</f>
        <v>79110.733594810736</v>
      </c>
      <c r="AC7" s="37">
        <f>+[11]안양!$R$89</f>
        <v>81711.510937924613</v>
      </c>
      <c r="AD7" s="45">
        <f>+[12]안양!$Q$89</f>
        <v>73537.469759804051</v>
      </c>
      <c r="AE7" s="44">
        <f>+Y7-AB7</f>
        <v>21266.349811302804</v>
      </c>
      <c r="AF7" s="37">
        <f>+Z7-AC7</f>
        <v>17321.240334966802</v>
      </c>
      <c r="AG7" s="45">
        <f>+AA7-AD7</f>
        <v>19351.617408932478</v>
      </c>
      <c r="AH7" s="18"/>
      <c r="AI7" s="791">
        <f>+U7/T7-1</f>
        <v>-0.40495868070778018</v>
      </c>
      <c r="AJ7" s="9">
        <f>+U7/T7</f>
        <v>0.59504131929221982</v>
      </c>
      <c r="AK7" s="801">
        <f>+Z7-Y7</f>
        <v>-1344.332133222124</v>
      </c>
      <c r="AL7" s="801">
        <f>+AC7-AB7</f>
        <v>2600.7773431138776</v>
      </c>
      <c r="AM7" s="801">
        <f>+AF7-AE7</f>
        <v>-3945.1094763360015</v>
      </c>
    </row>
    <row r="8" spans="1:39" s="8" customFormat="1" ht="19.5" customHeight="1" x14ac:dyDescent="0.3">
      <c r="B8" s="8" t="s">
        <v>23</v>
      </c>
      <c r="F8" s="9">
        <f t="shared" ref="F8:F27" si="2">+U8/T8</f>
        <v>0.42385025489384193</v>
      </c>
      <c r="G8" s="794">
        <f t="shared" si="0"/>
        <v>0.86215697674418601</v>
      </c>
      <c r="H8" s="80" t="s">
        <v>54</v>
      </c>
      <c r="I8" s="81" t="s">
        <v>23</v>
      </c>
      <c r="J8" s="46">
        <f>+'사업장별(당월)'!J8+'[4]사업장별(누계)'!J8</f>
        <v>344</v>
      </c>
      <c r="K8" s="47">
        <f>+'사업장별(당월)'!K8+'[4]사업장별(누계)'!K8</f>
        <v>296.58199999999999</v>
      </c>
      <c r="L8" s="48">
        <f t="shared" si="1"/>
        <v>-47.418000000000006</v>
      </c>
      <c r="M8" s="49">
        <f>+'사업장별(당월)'!M8+'[4]사업장별(누계)'!M8</f>
        <v>410.20499999999998</v>
      </c>
      <c r="N8" s="50">
        <f t="shared" ref="N8:N32" si="3">+K8-M8</f>
        <v>-113.62299999999999</v>
      </c>
      <c r="O8" s="46">
        <f>+'사업장별(당월)'!O8+'[4]사업장별(누계)'!O8</f>
        <v>35293.239170569599</v>
      </c>
      <c r="P8" s="47">
        <f>+'사업장별(당월)'!P8+'[4]사업장별(누계)'!P8</f>
        <v>29518.041177999999</v>
      </c>
      <c r="Q8" s="48">
        <f t="shared" ref="Q8:Q43" si="4">+P8-O8</f>
        <v>-5775.1979925695996</v>
      </c>
      <c r="R8" s="49">
        <f>+'사업장별(당월)'!R8+'[4]사업장별(누계)'!R8</f>
        <v>39438.591517000001</v>
      </c>
      <c r="S8" s="50">
        <f t="shared" ref="S8:S40" si="5">+P8-R8</f>
        <v>-9920.5503390000013</v>
      </c>
      <c r="T8" s="46">
        <f>+'사업장별(당월)'!T8+'[4]사업장별(누계)'!T8</f>
        <v>4092.7150614654533</v>
      </c>
      <c r="U8" s="47">
        <f>+'사업장별(당월)'!U8+'[4]사업장별(누계)'!U8</f>
        <v>1734.6983220099983</v>
      </c>
      <c r="V8" s="48">
        <f t="shared" ref="V8:V40" si="6">+U8-T8</f>
        <v>-2358.0167394554551</v>
      </c>
      <c r="W8" s="49">
        <f>+'사업장별(당월)'!W8+'[4]사업장별(누계)'!W8</f>
        <v>4666.1956459999983</v>
      </c>
      <c r="X8" s="50">
        <f t="shared" ref="X8:X39" si="7">+U8-W8</f>
        <v>-2931.49732399</v>
      </c>
      <c r="Y8" s="46">
        <f>+[11]인천!$Q$85</f>
        <v>102596.62549584186</v>
      </c>
      <c r="Z8" s="47">
        <f>+[11]인천!$R$85</f>
        <v>99531.020265119572</v>
      </c>
      <c r="AA8" s="51">
        <f>+[12]인천!$Q$85</f>
        <v>96118.628085237608</v>
      </c>
      <c r="AB8" s="52">
        <f>+[11]인천!$Q$89</f>
        <v>81209.329732407205</v>
      </c>
      <c r="AC8" s="47">
        <f>+[11]인천!$R$89</f>
        <v>82712.024558403224</v>
      </c>
      <c r="AD8" s="53">
        <f>+[12]인천!$Q$89</f>
        <v>76710.002121629499</v>
      </c>
      <c r="AE8" s="52">
        <f t="shared" ref="AE8:AG27" si="8">+Y8-AB8</f>
        <v>21387.295763434653</v>
      </c>
      <c r="AF8" s="47">
        <f t="shared" si="8"/>
        <v>16818.995706716349</v>
      </c>
      <c r="AG8" s="53">
        <f t="shared" si="8"/>
        <v>19408.625963608109</v>
      </c>
      <c r="AH8" s="18"/>
      <c r="AI8" s="791">
        <f t="shared" ref="AI8:AI27" si="9">+U8/T8-1</f>
        <v>-0.57614974510615813</v>
      </c>
      <c r="AJ8" s="96"/>
      <c r="AK8" s="801">
        <f t="shared" ref="AK8:AK18" si="10">+Z8-Y8</f>
        <v>-3065.6052307222853</v>
      </c>
      <c r="AL8" s="801">
        <f t="shared" ref="AL8:AL18" si="11">+AC8-AB8</f>
        <v>1502.6948259960191</v>
      </c>
      <c r="AM8" s="801">
        <f t="shared" ref="AM8:AM18" si="12">+AF8-AE8</f>
        <v>-4568.3000567183044</v>
      </c>
    </row>
    <row r="9" spans="1:39" s="8" customFormat="1" ht="19.5" customHeight="1" x14ac:dyDescent="0.3">
      <c r="B9" s="8" t="s">
        <v>24</v>
      </c>
      <c r="F9" s="9">
        <f t="shared" si="2"/>
        <v>0.49994162776130191</v>
      </c>
      <c r="G9" s="794">
        <f t="shared" si="0"/>
        <v>0.99272014925373142</v>
      </c>
      <c r="H9" s="80"/>
      <c r="I9" s="81" t="s">
        <v>24</v>
      </c>
      <c r="J9" s="46">
        <f>+'사업장별(당월)'!J9+'[4]사업장별(누계)'!J9</f>
        <v>268</v>
      </c>
      <c r="K9" s="47">
        <f>+'사업장별(당월)'!K9+'[4]사업장별(누계)'!K9</f>
        <v>266.04900000000004</v>
      </c>
      <c r="L9" s="48">
        <f t="shared" si="1"/>
        <v>-1.950999999999965</v>
      </c>
      <c r="M9" s="49">
        <f>+'사업장별(당월)'!M9+'[4]사업장별(누계)'!M9</f>
        <v>295.71100000000001</v>
      </c>
      <c r="N9" s="50">
        <f t="shared" si="3"/>
        <v>-29.661999999999978</v>
      </c>
      <c r="O9" s="46">
        <f>+'사업장별(당월)'!O9+'[4]사업장별(누계)'!O9</f>
        <v>26497.578758746196</v>
      </c>
      <c r="P9" s="47">
        <f>+'사업장별(당월)'!P9+'[4]사업장별(누계)'!P9</f>
        <v>25690.116805999998</v>
      </c>
      <c r="Q9" s="48">
        <f t="shared" si="4"/>
        <v>-807.46195274619822</v>
      </c>
      <c r="R9" s="49">
        <f>+'사업장별(당월)'!R9+'[4]사업장별(누계)'!R9</f>
        <v>27580.717404999992</v>
      </c>
      <c r="S9" s="50">
        <f t="shared" si="5"/>
        <v>-1890.600598999994</v>
      </c>
      <c r="T9" s="46">
        <f>+'사업장별(당월)'!T9+'[4]사업장별(누계)'!T9</f>
        <v>3547.5969083470764</v>
      </c>
      <c r="U9" s="47">
        <f>+'사업장별(당월)'!U9+'[4]사업장별(누계)'!U9</f>
        <v>1773.5913729999995</v>
      </c>
      <c r="V9" s="48">
        <f t="shared" si="6"/>
        <v>-1774.0055353470768</v>
      </c>
      <c r="W9" s="49">
        <f>+'사업장별(당월)'!W9+'[4]사업장별(누계)'!W9</f>
        <v>2875.4888300099983</v>
      </c>
      <c r="X9" s="50">
        <f t="shared" si="7"/>
        <v>-1101.8974570099988</v>
      </c>
      <c r="Y9" s="46">
        <f>+[11]파주!$Q$85</f>
        <v>98871.562532635071</v>
      </c>
      <c r="Z9" s="47">
        <f>+[11]파주!$R$85</f>
        <v>96569.206871020288</v>
      </c>
      <c r="AA9" s="51">
        <f>+[12]파주!$Q$85</f>
        <v>93243.274566463879</v>
      </c>
      <c r="AB9" s="52">
        <f>+[11]파주!$Q$89</f>
        <v>76546.537416197229</v>
      </c>
      <c r="AC9" s="47">
        <f>+[11]파주!$R$89</f>
        <v>80413.640619127342</v>
      </c>
      <c r="AD9" s="53">
        <f>+[12]파주!$Q$89</f>
        <v>75251.334353499988</v>
      </c>
      <c r="AE9" s="52">
        <f t="shared" si="8"/>
        <v>22325.025116437842</v>
      </c>
      <c r="AF9" s="47">
        <f t="shared" si="8"/>
        <v>16155.566251892946</v>
      </c>
      <c r="AG9" s="53">
        <f t="shared" si="8"/>
        <v>17991.940212963891</v>
      </c>
      <c r="AH9" s="18"/>
      <c r="AI9" s="791">
        <f t="shared" si="9"/>
        <v>-0.50005837223869809</v>
      </c>
      <c r="AJ9" s="96"/>
      <c r="AK9" s="801">
        <f t="shared" si="10"/>
        <v>-2302.3556616147835</v>
      </c>
      <c r="AL9" s="801">
        <f t="shared" si="11"/>
        <v>3867.1032029301132</v>
      </c>
      <c r="AM9" s="801">
        <f t="shared" si="12"/>
        <v>-6169.4588645448966</v>
      </c>
    </row>
    <row r="10" spans="1:39" s="8" customFormat="1" ht="19.5" customHeight="1" x14ac:dyDescent="0.3">
      <c r="B10" s="8" t="s">
        <v>175</v>
      </c>
      <c r="F10" s="9">
        <f t="shared" si="2"/>
        <v>0.45203493148823332</v>
      </c>
      <c r="G10" s="794">
        <f t="shared" si="0"/>
        <v>0.76936151603498526</v>
      </c>
      <c r="H10" s="80"/>
      <c r="I10" s="81" t="s">
        <v>172</v>
      </c>
      <c r="J10" s="46">
        <f>+'사업장별(당월)'!J10+'[4]사업장별(누계)'!J10</f>
        <v>171.5</v>
      </c>
      <c r="K10" s="47">
        <f>+'사업장별(당월)'!K10+'[4]사업장별(누계)'!K10</f>
        <v>131.94549999999998</v>
      </c>
      <c r="L10" s="48">
        <f t="shared" si="1"/>
        <v>-39.554500000000019</v>
      </c>
      <c r="M10" s="49">
        <f>+'사업장별(당월)'!M10+'[4]사업장별(누계)'!M10</f>
        <v>179.75668000000002</v>
      </c>
      <c r="N10" s="50">
        <f t="shared" si="3"/>
        <v>-47.811180000000036</v>
      </c>
      <c r="O10" s="46">
        <f>+'사업장별(당월)'!O10+'[4]사업장별(누계)'!O10</f>
        <v>16432.831999999999</v>
      </c>
      <c r="P10" s="47">
        <f>+'사업장별(당월)'!P10+'[4]사업장별(누계)'!P10</f>
        <v>12847.273596000001</v>
      </c>
      <c r="Q10" s="48">
        <f t="shared" si="4"/>
        <v>-3585.5584039999976</v>
      </c>
      <c r="R10" s="49">
        <f>+'사업장별(당월)'!R10+'[4]사업장별(누계)'!R10</f>
        <v>16306.353857</v>
      </c>
      <c r="S10" s="50">
        <f t="shared" si="5"/>
        <v>-3459.0802609999992</v>
      </c>
      <c r="T10" s="46">
        <f>+'사업장별(당월)'!T10+'[4]사업장별(누계)'!T10</f>
        <v>2288.9326419830754</v>
      </c>
      <c r="U10" s="47">
        <f>+'사업장별(당월)'!U10+'[4]사업장별(누계)'!U10</f>
        <v>1034.6775100000004</v>
      </c>
      <c r="V10" s="48">
        <f t="shared" si="6"/>
        <v>-1254.255131983075</v>
      </c>
      <c r="W10" s="49">
        <f>+'사업장별(당월)'!W10+'[4]사업장별(누계)'!W10</f>
        <v>2065.771968</v>
      </c>
      <c r="X10" s="50">
        <f t="shared" si="7"/>
        <v>-1031.0944579999996</v>
      </c>
      <c r="Y10" s="46">
        <f>+[11]김포!$Q$85</f>
        <v>95818.262390670556</v>
      </c>
      <c r="Z10" s="47">
        <f>+[11]김포!$R$85</f>
        <v>97387.55469379187</v>
      </c>
      <c r="AA10" s="51">
        <f>+[12]김포!$Q$85</f>
        <v>90678.117503733607</v>
      </c>
      <c r="AB10" s="52">
        <f>+[11]김포!$Q$89</f>
        <v>71876.080316263236</v>
      </c>
      <c r="AC10" s="47">
        <f>+[11]김포!$R$89</f>
        <v>76106.663756691472</v>
      </c>
      <c r="AD10" s="53">
        <f>+[12]김포!$Q$89</f>
        <v>68917.861694385487</v>
      </c>
      <c r="AE10" s="52">
        <f t="shared" si="8"/>
        <v>23942.182074407319</v>
      </c>
      <c r="AF10" s="47">
        <f t="shared" si="8"/>
        <v>21280.890937100397</v>
      </c>
      <c r="AG10" s="53">
        <f t="shared" si="8"/>
        <v>21760.25580934812</v>
      </c>
      <c r="AH10" s="18"/>
      <c r="AI10" s="791">
        <f t="shared" si="9"/>
        <v>-0.54796506851176674</v>
      </c>
      <c r="AJ10" s="96"/>
      <c r="AK10" s="801">
        <f t="shared" si="10"/>
        <v>1569.292303121314</v>
      </c>
      <c r="AL10" s="801">
        <f t="shared" si="11"/>
        <v>4230.5834404282359</v>
      </c>
      <c r="AM10" s="801">
        <f t="shared" si="12"/>
        <v>-2661.2911373069219</v>
      </c>
    </row>
    <row r="11" spans="1:39" s="8" customFormat="1" ht="19.5" customHeight="1" x14ac:dyDescent="0.3">
      <c r="B11" s="8" t="s">
        <v>25</v>
      </c>
      <c r="F11" s="9">
        <f t="shared" si="2"/>
        <v>0.6113455375570821</v>
      </c>
      <c r="G11" s="794">
        <f t="shared" si="0"/>
        <v>0.95735619469026556</v>
      </c>
      <c r="H11" s="80"/>
      <c r="I11" s="82" t="s">
        <v>25</v>
      </c>
      <c r="J11" s="63">
        <f>+'사업장별(당월)'!J11+'[4]사업장별(누계)'!J11</f>
        <v>226</v>
      </c>
      <c r="K11" s="64">
        <f>+'사업장별(당월)'!K11+'[4]사업장별(누계)'!K11</f>
        <v>216.36250000000001</v>
      </c>
      <c r="L11" s="65">
        <f t="shared" si="1"/>
        <v>-9.6374999999999886</v>
      </c>
      <c r="M11" s="66">
        <f>+'사업장별(당월)'!M11+'[4]사업장별(누계)'!M11</f>
        <v>256.92500000000001</v>
      </c>
      <c r="N11" s="67">
        <f t="shared" si="3"/>
        <v>-40.5625</v>
      </c>
      <c r="O11" s="63">
        <f>+'사업장별(당월)'!O11+'[4]사업장별(누계)'!O11</f>
        <v>24317.606009749998</v>
      </c>
      <c r="P11" s="64">
        <f>+'사업장별(당월)'!P11+'[4]사업장별(누계)'!P11</f>
        <v>23344.605807</v>
      </c>
      <c r="Q11" s="65">
        <f t="shared" si="4"/>
        <v>-973.0002027499977</v>
      </c>
      <c r="R11" s="66">
        <f>+'사업장별(당월)'!R11+'[4]사업장별(누계)'!R11</f>
        <v>26544.928226</v>
      </c>
      <c r="S11" s="67">
        <f t="shared" si="5"/>
        <v>-3200.3224190000001</v>
      </c>
      <c r="T11" s="63">
        <f>+'사업장별(당월)'!T11+'[4]사업장별(누계)'!T11</f>
        <v>3641.2870663869812</v>
      </c>
      <c r="U11" s="64">
        <f>+'사업장별(당월)'!U11+'[4]사업장별(누계)'!U11</f>
        <v>2226.0845989999993</v>
      </c>
      <c r="V11" s="65">
        <f t="shared" si="6"/>
        <v>-1415.2024673869819</v>
      </c>
      <c r="W11" s="66">
        <f>+'사업장별(당월)'!W11+'[4]사업장별(누계)'!W11</f>
        <v>4514.1624999999995</v>
      </c>
      <c r="X11" s="67">
        <f t="shared" si="7"/>
        <v>-2288.0779010000001</v>
      </c>
      <c r="Y11" s="63">
        <f>+[11]부산!$Q$85</f>
        <v>107600.02659181414</v>
      </c>
      <c r="Z11" s="64">
        <f>+[11]부산!$R$85</f>
        <v>107895.80360275003</v>
      </c>
      <c r="AA11" s="68">
        <f>+[12]부산!$Q$85</f>
        <v>103317.80957867079</v>
      </c>
      <c r="AB11" s="69">
        <f>+[11]부산!$Q$89</f>
        <v>78518.418898912656</v>
      </c>
      <c r="AC11" s="64">
        <f>+[11]부산!$R$89</f>
        <v>84173.331259848856</v>
      </c>
      <c r="AD11" s="70">
        <f>+[12]부산!$Q$89</f>
        <v>74962.443755420303</v>
      </c>
      <c r="AE11" s="69">
        <f t="shared" si="8"/>
        <v>29081.607692901482</v>
      </c>
      <c r="AF11" s="64">
        <f t="shared" si="8"/>
        <v>23722.472342901179</v>
      </c>
      <c r="AG11" s="70">
        <f t="shared" si="8"/>
        <v>28355.365823250482</v>
      </c>
      <c r="AH11" s="18"/>
      <c r="AI11" s="791">
        <f t="shared" si="9"/>
        <v>-0.3886544624429179</v>
      </c>
      <c r="AJ11" s="96"/>
      <c r="AK11" s="96">
        <f t="shared" si="10"/>
        <v>295.77701093589712</v>
      </c>
      <c r="AL11" s="96">
        <f t="shared" si="11"/>
        <v>5654.9123609361995</v>
      </c>
      <c r="AM11" s="96">
        <f t="shared" si="12"/>
        <v>-5359.1353500003024</v>
      </c>
    </row>
    <row r="12" spans="1:39" s="8" customFormat="1" ht="19.5" customHeight="1" x14ac:dyDescent="0.3">
      <c r="B12" s="8" t="s">
        <v>26</v>
      </c>
      <c r="F12" s="9">
        <f t="shared" si="2"/>
        <v>0.50496151831773772</v>
      </c>
      <c r="G12" s="794">
        <f t="shared" si="0"/>
        <v>0.86024242424242425</v>
      </c>
      <c r="H12" s="80"/>
      <c r="I12" s="81" t="s">
        <v>26</v>
      </c>
      <c r="J12" s="46">
        <f>+'사업장별(당월)'!J12+'[4]사업장별(누계)'!J12</f>
        <v>264</v>
      </c>
      <c r="K12" s="47">
        <f>+'사업장별(당월)'!K12+'[4]사업장별(누계)'!K12</f>
        <v>227.10400000000001</v>
      </c>
      <c r="L12" s="48">
        <f t="shared" si="1"/>
        <v>-36.895999999999987</v>
      </c>
      <c r="M12" s="49">
        <f>+'사업장별(당월)'!M12+'[4]사업장별(누계)'!M12</f>
        <v>249.60199999999998</v>
      </c>
      <c r="N12" s="50">
        <f t="shared" si="3"/>
        <v>-22.497999999999962</v>
      </c>
      <c r="O12" s="46">
        <f>+'사업장별(당월)'!O12+'[4]사업장별(누계)'!O12</f>
        <v>27440.994279999999</v>
      </c>
      <c r="P12" s="47">
        <f>+'사업장별(당월)'!P12+'[4]사업장별(누계)'!P12</f>
        <v>22714.892038000002</v>
      </c>
      <c r="Q12" s="48">
        <f t="shared" si="4"/>
        <v>-4726.1022419999972</v>
      </c>
      <c r="R12" s="49">
        <f>+'사업장별(당월)'!R12+'[4]사업장별(누계)'!R12</f>
        <v>24969.910802000002</v>
      </c>
      <c r="S12" s="50">
        <f t="shared" si="5"/>
        <v>-2255.0187640000004</v>
      </c>
      <c r="T12" s="46">
        <f>+'사업장별(당월)'!T12+'[4]사업장별(누계)'!T12</f>
        <v>4783.49298783616</v>
      </c>
      <c r="U12" s="47">
        <f>+'사업장별(당월)'!U12+'[4]사업장별(누계)'!U12</f>
        <v>2415.4798819999992</v>
      </c>
      <c r="V12" s="48">
        <f t="shared" si="6"/>
        <v>-2368.0131058361608</v>
      </c>
      <c r="W12" s="49">
        <f>+'사업장별(당월)'!W12+'[4]사업장별(누계)'!W12</f>
        <v>4339.2144309999994</v>
      </c>
      <c r="X12" s="50">
        <f t="shared" si="7"/>
        <v>-1923.7345490000002</v>
      </c>
      <c r="Y12" s="46">
        <f>+[11]서부산!$Q$85</f>
        <v>103943.16015151514</v>
      </c>
      <c r="Z12" s="47">
        <f>+[11]서부산!$R$85</f>
        <v>100020.63052976516</v>
      </c>
      <c r="AA12" s="51">
        <f>+[12]서부산!$Q$85</f>
        <v>100038.90514499083</v>
      </c>
      <c r="AB12" s="52">
        <f>+[11]서부산!$Q$89</f>
        <v>76825.862410553265</v>
      </c>
      <c r="AC12" s="47">
        <f>+[11]서부산!$R$89</f>
        <v>78572.215964328017</v>
      </c>
      <c r="AD12" s="53">
        <f>+[12]서부산!$Q$89</f>
        <v>73578.50124983977</v>
      </c>
      <c r="AE12" s="52">
        <f t="shared" si="8"/>
        <v>27117.297740961876</v>
      </c>
      <c r="AF12" s="47">
        <f t="shared" si="8"/>
        <v>21448.414565437139</v>
      </c>
      <c r="AG12" s="53">
        <f t="shared" si="8"/>
        <v>26460.403895151059</v>
      </c>
      <c r="AH12" s="18"/>
      <c r="AI12" s="791">
        <f t="shared" si="9"/>
        <v>-0.49503848168226228</v>
      </c>
      <c r="AJ12" s="96"/>
      <c r="AK12" s="96">
        <f t="shared" si="10"/>
        <v>-3922.5296217499854</v>
      </c>
      <c r="AL12" s="96">
        <f t="shared" si="11"/>
        <v>1746.3535537747521</v>
      </c>
      <c r="AM12" s="96">
        <f t="shared" si="12"/>
        <v>-5668.8831755247375</v>
      </c>
    </row>
    <row r="13" spans="1:39" s="8" customFormat="1" ht="19.5" customHeight="1" x14ac:dyDescent="0.3">
      <c r="B13" s="8" t="s">
        <v>27</v>
      </c>
      <c r="F13" s="9">
        <f t="shared" si="2"/>
        <v>0.49431225283533359</v>
      </c>
      <c r="G13" s="794">
        <f t="shared" si="0"/>
        <v>1.1188473282442748</v>
      </c>
      <c r="H13" s="80"/>
      <c r="I13" s="81" t="s">
        <v>27</v>
      </c>
      <c r="J13" s="46">
        <f>+'사업장별(당월)'!J13+'[4]사업장별(누계)'!J13</f>
        <v>131</v>
      </c>
      <c r="K13" s="47">
        <f>+'사업장별(당월)'!K13+'[4]사업장별(누계)'!K13</f>
        <v>146.56899999999999</v>
      </c>
      <c r="L13" s="48">
        <f t="shared" si="1"/>
        <v>15.568999999999988</v>
      </c>
      <c r="M13" s="49">
        <f>+'사업장별(당월)'!M13+'[4]사업장별(누계)'!M13</f>
        <v>148.53700000000001</v>
      </c>
      <c r="N13" s="50">
        <f t="shared" si="3"/>
        <v>-1.9680000000000177</v>
      </c>
      <c r="O13" s="46">
        <f>+'사업장별(당월)'!O13+'[4]사업장별(누계)'!O13</f>
        <v>13230.994599999998</v>
      </c>
      <c r="P13" s="47">
        <f>+'사업장별(당월)'!P13+'[4]사업장별(누계)'!P13</f>
        <v>13958.763499999997</v>
      </c>
      <c r="Q13" s="48">
        <f t="shared" si="4"/>
        <v>727.76889999999912</v>
      </c>
      <c r="R13" s="49">
        <f>+'사업장별(당월)'!R13+'[4]사업장별(누계)'!R13</f>
        <v>14531.778387999999</v>
      </c>
      <c r="S13" s="50">
        <f t="shared" si="5"/>
        <v>-573.01488800000152</v>
      </c>
      <c r="T13" s="46">
        <f>+'사업장별(당월)'!T13+'[4]사업장별(누계)'!T13</f>
        <v>1627.5541934988273</v>
      </c>
      <c r="U13" s="47">
        <f>+'사업장별(당월)'!U13+'[4]사업장별(누계)'!U13</f>
        <v>804.5199799999998</v>
      </c>
      <c r="V13" s="48">
        <f t="shared" si="6"/>
        <v>-823.03421349882751</v>
      </c>
      <c r="W13" s="49">
        <f>+'사업장별(당월)'!W13+'[4]사업장별(누계)'!W13</f>
        <v>1924.0345610000004</v>
      </c>
      <c r="X13" s="50">
        <f t="shared" si="7"/>
        <v>-1119.5145810000006</v>
      </c>
      <c r="Y13" s="46">
        <f>+[11]김해!$Q$85</f>
        <v>100999.95877862597</v>
      </c>
      <c r="Z13" s="47">
        <f>+[11]김해!$R$85</f>
        <v>95311.762142570573</v>
      </c>
      <c r="AA13" s="51">
        <f>+[12]김해!$Q$85</f>
        <v>97846.672520298889</v>
      </c>
      <c r="AB13" s="52">
        <f>+[11]김해!$Q$89</f>
        <v>76527.26420294978</v>
      </c>
      <c r="AC13" s="47">
        <f>+[11]김해!$R$89</f>
        <v>78622.375624195964</v>
      </c>
      <c r="AD13" s="53">
        <f>+[12]김해!$Q$89</f>
        <v>74441.090346901896</v>
      </c>
      <c r="AE13" s="52">
        <f t="shared" si="8"/>
        <v>24472.694575676185</v>
      </c>
      <c r="AF13" s="47">
        <f t="shared" si="8"/>
        <v>16689.386518374609</v>
      </c>
      <c r="AG13" s="53">
        <f t="shared" si="8"/>
        <v>23405.582173396993</v>
      </c>
      <c r="AH13" s="18"/>
      <c r="AI13" s="791">
        <f t="shared" si="9"/>
        <v>-0.50568774716466636</v>
      </c>
      <c r="AJ13" s="96"/>
      <c r="AK13" s="96">
        <f t="shared" si="10"/>
        <v>-5688.1966360553924</v>
      </c>
      <c r="AL13" s="96">
        <f t="shared" si="11"/>
        <v>2095.1114212461835</v>
      </c>
      <c r="AM13" s="96">
        <f t="shared" si="12"/>
        <v>-7783.3080573015759</v>
      </c>
    </row>
    <row r="14" spans="1:39" s="8" customFormat="1" ht="19.5" customHeight="1" x14ac:dyDescent="0.3">
      <c r="B14" s="8" t="s">
        <v>28</v>
      </c>
      <c r="F14" s="9">
        <f t="shared" si="2"/>
        <v>0.6902330082974939</v>
      </c>
      <c r="G14" s="794">
        <f t="shared" si="0"/>
        <v>1.1269764397905759</v>
      </c>
      <c r="H14" s="80"/>
      <c r="I14" s="81" t="s">
        <v>28</v>
      </c>
      <c r="J14" s="46">
        <f>+'사업장별(당월)'!J14+'[4]사업장별(누계)'!J14</f>
        <v>191</v>
      </c>
      <c r="K14" s="47">
        <f>+'사업장별(당월)'!K14+'[4]사업장별(누계)'!K14</f>
        <v>215.2525</v>
      </c>
      <c r="L14" s="48">
        <f t="shared" si="1"/>
        <v>24.252499999999998</v>
      </c>
      <c r="M14" s="49">
        <f>+'사업장별(당월)'!M14+'[4]사업장별(누계)'!M14</f>
        <v>211.50299999999999</v>
      </c>
      <c r="N14" s="50">
        <f t="shared" si="3"/>
        <v>3.7495000000000118</v>
      </c>
      <c r="O14" s="46">
        <f>+'사업장별(당월)'!O14+'[4]사업장별(누계)'!O14</f>
        <v>19864</v>
      </c>
      <c r="P14" s="47">
        <f>+'사업장별(당월)'!P14+'[4]사업장별(누계)'!P14</f>
        <v>21744.947480999996</v>
      </c>
      <c r="Q14" s="48">
        <f t="shared" si="4"/>
        <v>1880.9474809999956</v>
      </c>
      <c r="R14" s="49">
        <f>+'사업장별(당월)'!R14+'[4]사업장별(누계)'!R14</f>
        <v>21280.145619999999</v>
      </c>
      <c r="S14" s="50">
        <f t="shared" si="5"/>
        <v>464.80186099999628</v>
      </c>
      <c r="T14" s="46">
        <f>+'사업장별(당월)'!T14+'[4]사업장별(누계)'!T14</f>
        <v>2729.7883879061083</v>
      </c>
      <c r="U14" s="47">
        <f>+'사업장별(당월)'!U14+'[4]사업장별(누계)'!U14</f>
        <v>1884.1900509999994</v>
      </c>
      <c r="V14" s="48">
        <f t="shared" si="6"/>
        <v>-845.5983369061089</v>
      </c>
      <c r="W14" s="49">
        <f>+'사업장별(당월)'!W14+'[4]사업장별(누계)'!W14</f>
        <v>3307.6585150000001</v>
      </c>
      <c r="X14" s="50">
        <f t="shared" si="7"/>
        <v>-1423.4684640000007</v>
      </c>
      <c r="Y14" s="46">
        <f>+[11]정관!$Q$85</f>
        <v>104000</v>
      </c>
      <c r="Z14" s="47">
        <f>+[11]정관!$R$85</f>
        <v>101020.6500783963</v>
      </c>
      <c r="AA14" s="51">
        <f>+[12]정관!$Q$85</f>
        <v>100613.91857325901</v>
      </c>
      <c r="AB14" s="52">
        <f>+[11]정관!$Q$89</f>
        <v>78335.48274452881</v>
      </c>
      <c r="AC14" s="47">
        <f>+[11]정관!$R$89</f>
        <v>81846.370391693024</v>
      </c>
      <c r="AD14" s="53">
        <f>+[12]정관!$Q$89</f>
        <v>75106.687312120703</v>
      </c>
      <c r="AE14" s="52">
        <f t="shared" si="8"/>
        <v>25664.51725547119</v>
      </c>
      <c r="AF14" s="47">
        <f t="shared" si="8"/>
        <v>19174.279686703274</v>
      </c>
      <c r="AG14" s="53">
        <f t="shared" si="8"/>
        <v>25507.231261138309</v>
      </c>
      <c r="AH14" s="18"/>
      <c r="AI14" s="791">
        <f t="shared" si="9"/>
        <v>-0.3097669917025061</v>
      </c>
      <c r="AJ14" s="96"/>
      <c r="AK14" s="96">
        <f t="shared" si="10"/>
        <v>-2979.3499216037017</v>
      </c>
      <c r="AL14" s="96">
        <f t="shared" si="11"/>
        <v>3510.8876471642143</v>
      </c>
      <c r="AM14" s="96">
        <f t="shared" si="12"/>
        <v>-6490.2375687679159</v>
      </c>
    </row>
    <row r="15" spans="1:39" s="8" customFormat="1" ht="19.5" customHeight="1" x14ac:dyDescent="0.3">
      <c r="B15" s="8" t="s">
        <v>29</v>
      </c>
      <c r="F15" s="9">
        <f t="shared" si="2"/>
        <v>0.76027381629008994</v>
      </c>
      <c r="G15" s="794">
        <f t="shared" si="0"/>
        <v>1.1610932203389832</v>
      </c>
      <c r="H15" s="80"/>
      <c r="I15" s="81" t="s">
        <v>214</v>
      </c>
      <c r="J15" s="46">
        <f>+'사업장별(당월)'!J15+'[4]사업장별(누계)'!J15</f>
        <v>118</v>
      </c>
      <c r="K15" s="47">
        <f>+'사업장별(당월)'!K15+'[4]사업장별(누계)'!K15</f>
        <v>137.00900000000001</v>
      </c>
      <c r="L15" s="48">
        <f t="shared" si="1"/>
        <v>19.009000000000015</v>
      </c>
      <c r="M15" s="49">
        <f>+'사업장별(당월)'!M15+'[4]사업장별(누계)'!M15</f>
        <v>149.99600000000004</v>
      </c>
      <c r="N15" s="50">
        <f t="shared" si="3"/>
        <v>-12.987000000000023</v>
      </c>
      <c r="O15" s="46">
        <f>+'사업장별(당월)'!O15+'[4]사업장별(누계)'!O15</f>
        <v>11419.254824</v>
      </c>
      <c r="P15" s="47">
        <f>+'사업장별(당월)'!P15+'[4]사업장별(누계)'!P15</f>
        <v>12783.635018000001</v>
      </c>
      <c r="Q15" s="48">
        <f t="shared" si="4"/>
        <v>1364.3801940000012</v>
      </c>
      <c r="R15" s="49">
        <f>+'사업장별(당월)'!R15+'[4]사업장별(누계)'!R15</f>
        <v>13997.476220999999</v>
      </c>
      <c r="S15" s="50">
        <f t="shared" si="5"/>
        <v>-1213.8412029999981</v>
      </c>
      <c r="T15" s="46">
        <f>+'사업장별(당월)'!T15+'[4]사업장별(누계)'!T15</f>
        <v>1558.4726655217373</v>
      </c>
      <c r="U15" s="47">
        <f>+'사업장별(당월)'!U15+'[4]사업장별(누계)'!U15</f>
        <v>1184.8659610000002</v>
      </c>
      <c r="V15" s="48">
        <f t="shared" si="6"/>
        <v>-373.60670452173713</v>
      </c>
      <c r="W15" s="49">
        <f>+'사업장별(당월)'!W15+'[4]사업장별(누계)'!W15</f>
        <v>2030.3429339999998</v>
      </c>
      <c r="X15" s="50">
        <f t="shared" si="7"/>
        <v>-845.47697299999959</v>
      </c>
      <c r="Y15" s="46">
        <f>+[11]양산!$Q$85</f>
        <v>96773.345966101697</v>
      </c>
      <c r="Z15" s="47">
        <f>+[11]양산!$R$85</f>
        <v>93305.074980475722</v>
      </c>
      <c r="AA15" s="51">
        <f>+[12]양산!$Q$85</f>
        <v>93320.331426170815</v>
      </c>
      <c r="AB15" s="52">
        <f>+[11]양산!$Q$89</f>
        <v>70510.721069024832</v>
      </c>
      <c r="AC15" s="47">
        <f>+[11]양산!$R$89</f>
        <v>73270.585711366395</v>
      </c>
      <c r="AD15" s="53">
        <f>+[12]양산!$Q$89</f>
        <v>69103.407481981762</v>
      </c>
      <c r="AE15" s="52">
        <f t="shared" si="8"/>
        <v>26262.624897076865</v>
      </c>
      <c r="AF15" s="47">
        <f t="shared" si="8"/>
        <v>20034.489269109326</v>
      </c>
      <c r="AG15" s="53">
        <f t="shared" si="8"/>
        <v>24216.923944189053</v>
      </c>
      <c r="AH15" s="18"/>
      <c r="AI15" s="791">
        <f t="shared" si="9"/>
        <v>-0.23972618370991006</v>
      </c>
      <c r="AJ15" s="96"/>
      <c r="AK15" s="96">
        <f t="shared" si="10"/>
        <v>-3468.2709856259753</v>
      </c>
      <c r="AL15" s="96">
        <f t="shared" si="11"/>
        <v>2759.864642341563</v>
      </c>
      <c r="AM15" s="96">
        <f t="shared" si="12"/>
        <v>-6228.1356279675383</v>
      </c>
    </row>
    <row r="16" spans="1:39" s="8" customFormat="1" ht="19.5" customHeight="1" x14ac:dyDescent="0.3">
      <c r="B16" s="8" t="s">
        <v>30</v>
      </c>
      <c r="F16" s="9">
        <f t="shared" si="2"/>
        <v>0.89035174244195969</v>
      </c>
      <c r="G16" s="794">
        <f t="shared" si="0"/>
        <v>1.0516714285714286</v>
      </c>
      <c r="H16" s="80"/>
      <c r="I16" s="81" t="s">
        <v>30</v>
      </c>
      <c r="J16" s="46">
        <f>+'사업장별(당월)'!J16+'[4]사업장별(누계)'!J16</f>
        <v>175</v>
      </c>
      <c r="K16" s="47">
        <f>+'사업장별(당월)'!K16+'[4]사업장별(누계)'!K16</f>
        <v>184.04250000000002</v>
      </c>
      <c r="L16" s="48">
        <f t="shared" si="1"/>
        <v>9.0425000000000182</v>
      </c>
      <c r="M16" s="49">
        <f>+'사업장별(당월)'!M16+'[4]사업장별(누계)'!M16</f>
        <v>222.55</v>
      </c>
      <c r="N16" s="50">
        <f t="shared" si="3"/>
        <v>-38.507499999999993</v>
      </c>
      <c r="O16" s="46">
        <f>+'사업장별(당월)'!O16+'[4]사업장별(누계)'!O16</f>
        <v>17666.62</v>
      </c>
      <c r="P16" s="47">
        <f>+'사업장별(당월)'!P16+'[4]사업장별(누계)'!P16</f>
        <v>18512.7048</v>
      </c>
      <c r="Q16" s="48">
        <f t="shared" si="4"/>
        <v>846.08480000000054</v>
      </c>
      <c r="R16" s="49">
        <f>+'사업장별(당월)'!R16+'[4]사업장별(누계)'!R16</f>
        <v>21277.454119999995</v>
      </c>
      <c r="S16" s="50">
        <f t="shared" si="5"/>
        <v>-2764.7493199999954</v>
      </c>
      <c r="T16" s="46">
        <f>+'사업장별(당월)'!T16+'[4]사업장별(누계)'!T16</f>
        <v>2889.7070139307552</v>
      </c>
      <c r="U16" s="47">
        <f>+'사업장별(당월)'!U16+'[4]사업장별(누계)'!U16</f>
        <v>2572.8556750000002</v>
      </c>
      <c r="V16" s="48">
        <f t="shared" si="6"/>
        <v>-316.85133893075499</v>
      </c>
      <c r="W16" s="49">
        <f>+'사업장별(당월)'!W16+'[4]사업장별(누계)'!W16</f>
        <v>4091.581596999999</v>
      </c>
      <c r="X16" s="50">
        <f t="shared" si="7"/>
        <v>-1518.7259219999987</v>
      </c>
      <c r="Y16" s="46">
        <f>+[11]창원!$Q$85</f>
        <v>100952.11428571428</v>
      </c>
      <c r="Z16" s="47">
        <f>+[11]창원!$R$85</f>
        <v>100589.29214719427</v>
      </c>
      <c r="AA16" s="51">
        <f>+[12]창원!$Q$85</f>
        <v>95607.522444394504</v>
      </c>
      <c r="AB16" s="52">
        <f>+[11]창원!$Q$89</f>
        <v>72358.141351387836</v>
      </c>
      <c r="AC16" s="47">
        <f>+[11]창원!$R$89</f>
        <v>74940.844303422651</v>
      </c>
      <c r="AD16" s="53">
        <f>+[12]창원!$Q$89</f>
        <v>68034.869278315324</v>
      </c>
      <c r="AE16" s="52">
        <f t="shared" si="8"/>
        <v>28593.972934326448</v>
      </c>
      <c r="AF16" s="47">
        <f t="shared" si="8"/>
        <v>25648.447843771617</v>
      </c>
      <c r="AG16" s="53">
        <f t="shared" si="8"/>
        <v>27572.653166079181</v>
      </c>
      <c r="AH16" s="18"/>
      <c r="AI16" s="791">
        <f t="shared" si="9"/>
        <v>-0.10964825755804031</v>
      </c>
      <c r="AJ16" s="96"/>
      <c r="AK16" s="96">
        <f t="shared" si="10"/>
        <v>-362.82213852001587</v>
      </c>
      <c r="AL16" s="96">
        <f t="shared" si="11"/>
        <v>2582.7029520348151</v>
      </c>
      <c r="AM16" s="96">
        <f t="shared" si="12"/>
        <v>-2945.525090554831</v>
      </c>
    </row>
    <row r="17" spans="2:39" s="8" customFormat="1" ht="19.5" customHeight="1" x14ac:dyDescent="0.3">
      <c r="B17" s="8" t="s">
        <v>87</v>
      </c>
      <c r="F17" s="9">
        <f t="shared" si="2"/>
        <v>0.80079540515754177</v>
      </c>
      <c r="G17" s="794">
        <f t="shared" si="0"/>
        <v>0.98466666666666658</v>
      </c>
      <c r="H17" s="80"/>
      <c r="I17" s="81" t="s">
        <v>87</v>
      </c>
      <c r="J17" s="46">
        <f>+'사업장별(당월)'!J17+'[4]사업장별(누계)'!J17</f>
        <v>174</v>
      </c>
      <c r="K17" s="47">
        <f>+'사업장별(당월)'!K17+'[4]사업장별(누계)'!K17</f>
        <v>171.33199999999999</v>
      </c>
      <c r="L17" s="48">
        <f t="shared" si="1"/>
        <v>-2.6680000000000064</v>
      </c>
      <c r="M17" s="49">
        <f>+'사업장별(당월)'!M17+'[4]사업장별(누계)'!M17</f>
        <v>215.96849999999998</v>
      </c>
      <c r="N17" s="50">
        <f t="shared" si="3"/>
        <v>-44.636499999999984</v>
      </c>
      <c r="O17" s="46">
        <f>+'사업장별(당월)'!O17+'[4]사업장별(누계)'!O17</f>
        <v>17012.620000000003</v>
      </c>
      <c r="P17" s="47">
        <f>+'사업장별(당월)'!P17+'[4]사업장별(누계)'!P17</f>
        <v>17088.237752000001</v>
      </c>
      <c r="Q17" s="48">
        <f t="shared" si="4"/>
        <v>75.617751999998291</v>
      </c>
      <c r="R17" s="49">
        <f>+'사업장별(당월)'!R17+'[4]사업장별(누계)'!R17</f>
        <v>20108.986900000004</v>
      </c>
      <c r="S17" s="50">
        <f t="shared" si="5"/>
        <v>-3020.7491480000026</v>
      </c>
      <c r="T17" s="46">
        <f>+'사업장별(당월)'!T17+'[4]사업장별(누계)'!T17</f>
        <v>2976.3666470227786</v>
      </c>
      <c r="U17" s="47">
        <f>+'사업장별(당월)'!U17+'[4]사업장별(누계)'!U17</f>
        <v>2383.4607350000001</v>
      </c>
      <c r="V17" s="48">
        <f t="shared" si="6"/>
        <v>-592.90591202277847</v>
      </c>
      <c r="W17" s="49">
        <f>+'사업장별(당월)'!W17+'[4]사업장별(누계)'!W17</f>
        <v>3700.9790940000003</v>
      </c>
      <c r="X17" s="50">
        <f t="shared" si="7"/>
        <v>-1317.5183590000001</v>
      </c>
      <c r="Y17" s="46">
        <f>+[11]대구!$Q$85</f>
        <v>97773.678160919546</v>
      </c>
      <c r="Z17" s="47">
        <f>+[11]대구!$R$85</f>
        <v>99737.351761492304</v>
      </c>
      <c r="AA17" s="51">
        <f>+[12]대구!$Q$85</f>
        <v>93109.125349222741</v>
      </c>
      <c r="AB17" s="52">
        <f>+[11]대구!$Q$89</f>
        <v>69829.796308302713</v>
      </c>
      <c r="AC17" s="47">
        <f>+[11]대구!$R$89</f>
        <v>74594.202893138281</v>
      </c>
      <c r="AD17" s="53">
        <f>+[12]대구!$Q$89</f>
        <v>67287.192301183066</v>
      </c>
      <c r="AE17" s="52">
        <f t="shared" si="8"/>
        <v>27943.881852616832</v>
      </c>
      <c r="AF17" s="47">
        <f t="shared" si="8"/>
        <v>25143.148868354023</v>
      </c>
      <c r="AG17" s="53">
        <f t="shared" si="8"/>
        <v>25821.933048039675</v>
      </c>
      <c r="AH17" s="18"/>
      <c r="AI17" s="791">
        <f t="shared" si="9"/>
        <v>-0.19920459484245823</v>
      </c>
      <c r="AJ17" s="96"/>
      <c r="AK17" s="96">
        <f t="shared" si="10"/>
        <v>1963.673600572758</v>
      </c>
      <c r="AL17" s="96">
        <f t="shared" si="11"/>
        <v>4764.4065848355676</v>
      </c>
      <c r="AM17" s="96">
        <f t="shared" si="12"/>
        <v>-2800.7329842628096</v>
      </c>
    </row>
    <row r="18" spans="2:39" s="8" customFormat="1" ht="19.5" customHeight="1" x14ac:dyDescent="0.3">
      <c r="B18" s="8" t="s">
        <v>88</v>
      </c>
      <c r="F18" s="9">
        <f t="shared" si="2"/>
        <v>2.1548843747060307</v>
      </c>
      <c r="G18" s="794">
        <f t="shared" si="0"/>
        <v>1.2424693877551021</v>
      </c>
      <c r="H18" s="80"/>
      <c r="I18" s="83" t="s">
        <v>88</v>
      </c>
      <c r="J18" s="10">
        <f>+'사업장별(당월)'!J18+'[4]사업장별(누계)'!J18</f>
        <v>98</v>
      </c>
      <c r="K18" s="11">
        <f>+'사업장별(당월)'!K18+'[4]사업장별(누계)'!K18</f>
        <v>121.762</v>
      </c>
      <c r="L18" s="12">
        <f t="shared" si="1"/>
        <v>23.762</v>
      </c>
      <c r="M18" s="13">
        <f>+'사업장별(당월)'!M18+'[4]사업장별(누계)'!M18</f>
        <v>92.944000000000003</v>
      </c>
      <c r="N18" s="14">
        <f t="shared" si="3"/>
        <v>28.817999999999998</v>
      </c>
      <c r="O18" s="10">
        <f>+'사업장별(당월)'!O18+'[4]사업장별(누계)'!O18</f>
        <v>9841.7697399999997</v>
      </c>
      <c r="P18" s="11">
        <f>+'사업장별(당월)'!P18+'[4]사업장별(누계)'!P18</f>
        <v>12655.879342</v>
      </c>
      <c r="Q18" s="12">
        <f t="shared" si="4"/>
        <v>2814.1096020000005</v>
      </c>
      <c r="R18" s="13">
        <f>+'사업장별(당월)'!R18+'[4]사업장별(누계)'!R18</f>
        <v>8850.4367499999989</v>
      </c>
      <c r="S18" s="14">
        <f t="shared" si="5"/>
        <v>3805.4425920000012</v>
      </c>
      <c r="T18" s="10">
        <f>+'사업장별(당월)'!T18+'[4]사업장별(누계)'!T18</f>
        <v>653.42140790829501</v>
      </c>
      <c r="U18" s="11">
        <f>+'사업장별(당월)'!U18+'[4]사업장별(누계)'!U18</f>
        <v>1408.0475820000004</v>
      </c>
      <c r="V18" s="12">
        <f t="shared" si="6"/>
        <v>754.62617409170537</v>
      </c>
      <c r="W18" s="13">
        <f>+'사업장별(당월)'!W18+'[4]사업장별(누계)'!W18</f>
        <v>544.17112600000007</v>
      </c>
      <c r="X18" s="14">
        <f t="shared" si="7"/>
        <v>863.8764560000003</v>
      </c>
      <c r="Y18" s="10">
        <f>+[11]울산!$Q$85</f>
        <v>100426.22183673468</v>
      </c>
      <c r="Z18" s="11">
        <f>+[11]울산!$R$85</f>
        <v>103939.48310638788</v>
      </c>
      <c r="AA18" s="15">
        <f>+[12]울산!$Q$85</f>
        <v>95231.884223586283</v>
      </c>
      <c r="AB18" s="16">
        <f>+[11]울산!$Q$89</f>
        <v>78757.543020125784</v>
      </c>
      <c r="AC18" s="11">
        <f>+[11]울산!$R$89</f>
        <v>80482.90322024576</v>
      </c>
      <c r="AD18" s="17">
        <f>+[12]울산!$Q$89</f>
        <v>74357.90164664964</v>
      </c>
      <c r="AE18" s="16">
        <f t="shared" si="8"/>
        <v>21668.678816608895</v>
      </c>
      <c r="AF18" s="11">
        <f t="shared" si="8"/>
        <v>23456.579886142121</v>
      </c>
      <c r="AG18" s="17">
        <f t="shared" si="8"/>
        <v>20873.982576936643</v>
      </c>
      <c r="AH18" s="18"/>
      <c r="AI18" s="791">
        <f t="shared" si="9"/>
        <v>1.1548843747060307</v>
      </c>
      <c r="AJ18" s="9">
        <f>+U18/T18</f>
        <v>2.1548843747060307</v>
      </c>
      <c r="AK18" s="96">
        <f t="shared" si="10"/>
        <v>3513.2612696532015</v>
      </c>
      <c r="AL18" s="96">
        <f t="shared" si="11"/>
        <v>1725.3602001199761</v>
      </c>
      <c r="AM18" s="96">
        <f t="shared" si="12"/>
        <v>1787.9010695332254</v>
      </c>
    </row>
    <row r="19" spans="2:39" s="8" customFormat="1" ht="19.5" customHeight="1" x14ac:dyDescent="0.3">
      <c r="B19" s="8" t="s">
        <v>93</v>
      </c>
      <c r="F19" s="9">
        <f t="shared" si="2"/>
        <v>1.0938483119220943</v>
      </c>
      <c r="G19" s="794">
        <f t="shared" si="0"/>
        <v>1.1652667984189722</v>
      </c>
      <c r="H19" s="80"/>
      <c r="I19" s="81" t="s">
        <v>31</v>
      </c>
      <c r="J19" s="46">
        <f>+'사업장별(당월)'!J19+'[4]사업장별(누계)'!J19</f>
        <v>253</v>
      </c>
      <c r="K19" s="47">
        <f>+'사업장별(당월)'!K19+'[4]사업장별(누계)'!K19</f>
        <v>294.81249999999994</v>
      </c>
      <c r="L19" s="48">
        <f t="shared" si="1"/>
        <v>41.812499999999943</v>
      </c>
      <c r="M19" s="49">
        <f>+'사업장별(당월)'!M19+'[4]사업장별(누계)'!M19</f>
        <v>284.70800000000003</v>
      </c>
      <c r="N19" s="50">
        <f t="shared" si="3"/>
        <v>10.104499999999916</v>
      </c>
      <c r="O19" s="46">
        <f>+'사업장별(당월)'!O19+'[4]사업장별(누계)'!O19</f>
        <v>25553.023399999998</v>
      </c>
      <c r="P19" s="47">
        <f>+'사업장별(당월)'!P19+'[4]사업장별(누계)'!P19</f>
        <v>29720.660144000001</v>
      </c>
      <c r="Q19" s="48">
        <f t="shared" si="4"/>
        <v>4167.6367440000031</v>
      </c>
      <c r="R19" s="49">
        <f>+'사업장별(당월)'!R19+'[4]사업장별(누계)'!R19</f>
        <v>27249.357983000002</v>
      </c>
      <c r="S19" s="50">
        <f t="shared" si="5"/>
        <v>2471.3021609999996</v>
      </c>
      <c r="T19" s="46">
        <f>+'사업장별(당월)'!T19+'[4]사업장별(누계)'!T19</f>
        <v>3774.0316212089365</v>
      </c>
      <c r="U19" s="47">
        <f>+'사업장별(당월)'!U19+'[4]사업장별(누계)'!U19</f>
        <v>4128.2181179999998</v>
      </c>
      <c r="V19" s="48">
        <f t="shared" si="6"/>
        <v>354.18649679106329</v>
      </c>
      <c r="W19" s="49">
        <f>+'사업장별(당월)'!W19+'[4]사업장별(누계)'!W19</f>
        <v>4404.9380909999991</v>
      </c>
      <c r="X19" s="50">
        <f t="shared" si="7"/>
        <v>-276.7199729999993</v>
      </c>
      <c r="Y19" s="46">
        <f>+[11]아산!$Q$85</f>
        <v>101000.09249011858</v>
      </c>
      <c r="Z19" s="47">
        <f>+[11]아산!$R$85</f>
        <v>100750.64671326856</v>
      </c>
      <c r="AA19" s="51">
        <f>+[12]아산!$Q$85</f>
        <v>95762.788613621684</v>
      </c>
      <c r="AB19" s="52">
        <f>+[11]아산!$Q$89</f>
        <v>76766.281377599109</v>
      </c>
      <c r="AC19" s="47">
        <f>+[11]아산!$R$89</f>
        <v>77303.283334270542</v>
      </c>
      <c r="AD19" s="53">
        <f>+[12]아산!$Q$89</f>
        <v>71591.022610596105</v>
      </c>
      <c r="AE19" s="52">
        <f t="shared" si="8"/>
        <v>24233.81111251947</v>
      </c>
      <c r="AF19" s="47">
        <f t="shared" si="8"/>
        <v>23447.363378998023</v>
      </c>
      <c r="AG19" s="53">
        <f t="shared" si="8"/>
        <v>24171.766003025579</v>
      </c>
      <c r="AH19" s="18"/>
      <c r="AI19" s="791">
        <f t="shared" si="9"/>
        <v>9.3848311922094307E-2</v>
      </c>
      <c r="AJ19" s="9">
        <f>+U19/T19</f>
        <v>1.0938483119220943</v>
      </c>
    </row>
    <row r="20" spans="2:39" s="8" customFormat="1" ht="19.5" customHeight="1" x14ac:dyDescent="0.3">
      <c r="B20" s="8" t="s">
        <v>89</v>
      </c>
      <c r="F20" s="9">
        <f t="shared" si="2"/>
        <v>0.29414472740391001</v>
      </c>
      <c r="G20" s="794">
        <f t="shared" si="0"/>
        <v>0.73076356589147262</v>
      </c>
      <c r="H20" s="80"/>
      <c r="I20" s="81" t="s">
        <v>89</v>
      </c>
      <c r="J20" s="46">
        <f>+'사업장별(당월)'!J20+'[4]사업장별(누계)'!J20</f>
        <v>129</v>
      </c>
      <c r="K20" s="47">
        <f>+'사업장별(당월)'!K20+'[4]사업장별(누계)'!K20</f>
        <v>94.268499999999975</v>
      </c>
      <c r="L20" s="48">
        <f t="shared" si="1"/>
        <v>-34.731500000000025</v>
      </c>
      <c r="M20" s="49">
        <f>+'사업장별(당월)'!M20+'[4]사업장별(누계)'!M20</f>
        <v>118.1935</v>
      </c>
      <c r="N20" s="50">
        <f t="shared" si="3"/>
        <v>-23.925000000000026</v>
      </c>
      <c r="O20" s="46">
        <f>+'사업장별(당월)'!O20+'[4]사업장별(누계)'!O20</f>
        <v>13222.102997000002</v>
      </c>
      <c r="P20" s="47">
        <f>+'사업장별(당월)'!P20+'[4]사업장별(누계)'!P20</f>
        <v>9096.3853839999992</v>
      </c>
      <c r="Q20" s="48">
        <f t="shared" si="4"/>
        <v>-4125.7176130000025</v>
      </c>
      <c r="R20" s="49">
        <f>+'사업장별(당월)'!R20+'[4]사업장별(누계)'!R20</f>
        <v>11492.294706000001</v>
      </c>
      <c r="S20" s="50">
        <f t="shared" si="5"/>
        <v>-2395.9093220000013</v>
      </c>
      <c r="T20" s="46">
        <f>+'사업장별(당월)'!T20+'[4]사업장별(누계)'!T20</f>
        <v>2139.6395018013645</v>
      </c>
      <c r="U20" s="47">
        <f>+'사업장별(당월)'!U20+'[4]사업장별(누계)'!U20</f>
        <v>629.36367800000016</v>
      </c>
      <c r="V20" s="48">
        <f t="shared" si="6"/>
        <v>-1510.2758238013644</v>
      </c>
      <c r="W20" s="49">
        <f>+'사업장별(당월)'!W20+'[4]사업장별(누계)'!W20</f>
        <v>1768.83851</v>
      </c>
      <c r="X20" s="50">
        <f t="shared" si="7"/>
        <v>-1139.4748319999999</v>
      </c>
      <c r="Y20" s="46">
        <f>+[11]전주!$Q$85</f>
        <v>102496.92245736433</v>
      </c>
      <c r="Z20" s="47">
        <f>+[11]전주!$R$85</f>
        <v>96496.299153918822</v>
      </c>
      <c r="AA20" s="51">
        <f>+[12]전주!$Q$85</f>
        <v>97314.15730087836</v>
      </c>
      <c r="AB20" s="52">
        <f>+[11]전주!$Q$89</f>
        <v>73531.955211759836</v>
      </c>
      <c r="AC20" s="47">
        <f>+[11]전주!$R$89</f>
        <v>72512.447353062889</v>
      </c>
      <c r="AD20" s="53">
        <f>+[12]전주!$Q$89</f>
        <v>69099.635625285257</v>
      </c>
      <c r="AE20" s="52">
        <f t="shared" si="8"/>
        <v>28964.967245604494</v>
      </c>
      <c r="AF20" s="47">
        <f t="shared" si="8"/>
        <v>23983.851800855933</v>
      </c>
      <c r="AG20" s="53">
        <f t="shared" si="8"/>
        <v>28214.521675593103</v>
      </c>
      <c r="AH20" s="18"/>
      <c r="AI20" s="791">
        <f t="shared" si="9"/>
        <v>-0.70585527259609004</v>
      </c>
      <c r="AJ20" s="9"/>
    </row>
    <row r="21" spans="2:39" s="8" customFormat="1" ht="19.5" customHeight="1" x14ac:dyDescent="0.3">
      <c r="B21" s="8" t="s">
        <v>90</v>
      </c>
      <c r="F21" s="9">
        <f t="shared" si="2"/>
        <v>1.4252968198905009</v>
      </c>
      <c r="G21" s="794">
        <f t="shared" si="0"/>
        <v>1.270321917808219</v>
      </c>
      <c r="H21" s="80"/>
      <c r="I21" s="81" t="s">
        <v>90</v>
      </c>
      <c r="J21" s="46">
        <f>+'사업장별(당월)'!J21+'[4]사업장별(누계)'!J21</f>
        <v>73</v>
      </c>
      <c r="K21" s="47">
        <f>+'사업장별(당월)'!K21+'[4]사업장별(누계)'!K21</f>
        <v>92.733499999999992</v>
      </c>
      <c r="L21" s="48">
        <f t="shared" si="1"/>
        <v>19.733499999999992</v>
      </c>
      <c r="M21" s="49">
        <f>+'사업장별(당월)'!M21+'[4]사업장별(누계)'!M21</f>
        <v>89.475999999999999</v>
      </c>
      <c r="N21" s="50">
        <f t="shared" si="3"/>
        <v>3.2574999999999932</v>
      </c>
      <c r="O21" s="46">
        <f>+'사업장별(당월)'!O21+'[4]사업장별(누계)'!O21</f>
        <v>7957.0106339999984</v>
      </c>
      <c r="P21" s="47">
        <f>+'사업장별(당월)'!P21+'[4]사업장별(누계)'!P21</f>
        <v>10452.617786000001</v>
      </c>
      <c r="Q21" s="48">
        <f t="shared" si="4"/>
        <v>2495.6071520000023</v>
      </c>
      <c r="R21" s="49">
        <f>+'사업장별(당월)'!R21+'[4]사업장별(누계)'!R21</f>
        <v>8927.9291009999997</v>
      </c>
      <c r="S21" s="50">
        <f t="shared" si="5"/>
        <v>1524.688685000001</v>
      </c>
      <c r="T21" s="46">
        <f>+'사업장별(당월)'!T21+'[4]사업장별(누계)'!T21</f>
        <v>1995.2448755329979</v>
      </c>
      <c r="U21" s="47">
        <f>+'사업장별(당월)'!U21+'[4]사업장별(누계)'!U21</f>
        <v>2843.8161760000003</v>
      </c>
      <c r="V21" s="48">
        <f t="shared" si="6"/>
        <v>848.5713004670024</v>
      </c>
      <c r="W21" s="49">
        <f>+'사업장별(당월)'!W21+'[4]사업장별(누계)'!W21</f>
        <v>2144.718132</v>
      </c>
      <c r="X21" s="50">
        <f t="shared" si="7"/>
        <v>699.0980440000003</v>
      </c>
      <c r="Y21" s="46">
        <f>+[11]군산!$Q$85</f>
        <v>109000.14567123285</v>
      </c>
      <c r="Z21" s="47">
        <f>+[11]군산!$R$85</f>
        <v>112730.49001689491</v>
      </c>
      <c r="AA21" s="51">
        <f>+[12]군산!$Q$85</f>
        <v>99680.206175777406</v>
      </c>
      <c r="AB21" s="52">
        <f>+[11]군산!$Q$89</f>
        <v>69790.705451598478</v>
      </c>
      <c r="AC21" s="47">
        <f>+[11]군산!$R$89</f>
        <v>72387.599889895791</v>
      </c>
      <c r="AD21" s="53">
        <f>+[12]군산!$Q$89</f>
        <v>65536.495893576139</v>
      </c>
      <c r="AE21" s="52">
        <f t="shared" si="8"/>
        <v>39209.440219634373</v>
      </c>
      <c r="AF21" s="47">
        <f t="shared" si="8"/>
        <v>40342.890126999118</v>
      </c>
      <c r="AG21" s="53">
        <f t="shared" si="8"/>
        <v>34143.710282201268</v>
      </c>
      <c r="AH21" s="18"/>
      <c r="AI21" s="791">
        <f t="shared" si="9"/>
        <v>0.42529681989050094</v>
      </c>
      <c r="AJ21" s="9">
        <f>+U21/T21</f>
        <v>1.4252968198905009</v>
      </c>
    </row>
    <row r="22" spans="2:39" s="8" customFormat="1" ht="19.5" customHeight="1" x14ac:dyDescent="0.3">
      <c r="B22" s="8" t="s">
        <v>91</v>
      </c>
      <c r="F22" s="9">
        <f t="shared" si="2"/>
        <v>1.3353251171544194</v>
      </c>
      <c r="G22" s="794">
        <f t="shared" si="0"/>
        <v>1.0798392857142856</v>
      </c>
      <c r="H22" s="80"/>
      <c r="I22" s="81" t="s">
        <v>91</v>
      </c>
      <c r="J22" s="46">
        <f>+'사업장별(당월)'!J22+'[4]사업장별(누계)'!J22</f>
        <v>56</v>
      </c>
      <c r="K22" s="47">
        <f>+'사업장별(당월)'!K22+'[4]사업장별(누계)'!K22</f>
        <v>60.470999999999997</v>
      </c>
      <c r="L22" s="48">
        <f t="shared" si="1"/>
        <v>4.4709999999999965</v>
      </c>
      <c r="M22" s="49">
        <f>+'사업장별(당월)'!M22+'[4]사업장별(누계)'!M22</f>
        <v>52.846999999999994</v>
      </c>
      <c r="N22" s="50">
        <f t="shared" si="3"/>
        <v>7.6240000000000023</v>
      </c>
      <c r="O22" s="46">
        <f>+'사업장별(당월)'!O22+'[4]사업장별(누계)'!O22</f>
        <v>6042.4</v>
      </c>
      <c r="P22" s="47">
        <f>+'사업장별(당월)'!P22+'[4]사업장별(누계)'!P22</f>
        <v>6790.7075670000004</v>
      </c>
      <c r="Q22" s="48">
        <f t="shared" si="4"/>
        <v>748.30756700000074</v>
      </c>
      <c r="R22" s="49">
        <f>+'사업장별(당월)'!R22+'[4]사업장별(누계)'!R22</f>
        <v>5378.2754459999996</v>
      </c>
      <c r="S22" s="50">
        <f t="shared" si="5"/>
        <v>1412.4321210000007</v>
      </c>
      <c r="T22" s="46">
        <f>+'사업장별(당월)'!T22+'[4]사업장별(누계)'!T22</f>
        <v>995.55279978027056</v>
      </c>
      <c r="U22" s="47">
        <f>+'사업장별(당월)'!U22+'[4]사업장별(누계)'!U22</f>
        <v>1329.386659</v>
      </c>
      <c r="V22" s="48">
        <f t="shared" si="6"/>
        <v>333.83385921972945</v>
      </c>
      <c r="W22" s="49">
        <f>+'사업장별(당월)'!W22+'[4]사업장별(누계)'!W22</f>
        <v>872.28081399999996</v>
      </c>
      <c r="X22" s="50">
        <f t="shared" si="7"/>
        <v>457.10584500000004</v>
      </c>
      <c r="Y22" s="46">
        <f>+[11]원주!$Q$85</f>
        <v>107900</v>
      </c>
      <c r="Z22" s="47">
        <f>+[11]원주!$R$85</f>
        <v>112301.91050332572</v>
      </c>
      <c r="AA22" s="51">
        <f>+[12]원주!$Q$85</f>
        <v>101782.45863237068</v>
      </c>
      <c r="AB22" s="52">
        <f>+[11]원주!$Q$89</f>
        <v>73291.892321700667</v>
      </c>
      <c r="AC22" s="47">
        <f>+[11]원주!$R$89</f>
        <v>73905.733164565347</v>
      </c>
      <c r="AD22" s="53">
        <f>+[12]원주!$Q$89</f>
        <v>68485.162045276229</v>
      </c>
      <c r="AE22" s="52">
        <f t="shared" si="8"/>
        <v>34608.107678299333</v>
      </c>
      <c r="AF22" s="47">
        <f t="shared" si="8"/>
        <v>38396.177338760375</v>
      </c>
      <c r="AG22" s="53">
        <f t="shared" si="8"/>
        <v>33297.296587094446</v>
      </c>
      <c r="AH22" s="18"/>
      <c r="AI22" s="791">
        <f t="shared" si="9"/>
        <v>0.33532511715441937</v>
      </c>
      <c r="AJ22" s="9">
        <f>+U22/T22</f>
        <v>1.3353251171544194</v>
      </c>
    </row>
    <row r="23" spans="2:39" s="8" customFormat="1" ht="19.5" customHeight="1" x14ac:dyDescent="0.3">
      <c r="B23" s="8" t="s">
        <v>92</v>
      </c>
      <c r="F23" s="9">
        <f t="shared" si="2"/>
        <v>0.2539192145058829</v>
      </c>
      <c r="G23" s="794">
        <f t="shared" ref="G23:G28" si="13">+K23/J23</f>
        <v>0.5937539682539682</v>
      </c>
      <c r="H23" s="80"/>
      <c r="I23" s="81" t="s">
        <v>92</v>
      </c>
      <c r="J23" s="46">
        <f>+'사업장별(당월)'!J23+'[4]사업장별(누계)'!J23</f>
        <v>63</v>
      </c>
      <c r="K23" s="47">
        <f>+'사업장별(당월)'!K23+'[4]사업장별(누계)'!K23</f>
        <v>37.406499999999994</v>
      </c>
      <c r="L23" s="48">
        <f t="shared" si="1"/>
        <v>-25.593500000000006</v>
      </c>
      <c r="M23" s="49">
        <f>+'사업장별(당월)'!M23+'[4]사업장별(누계)'!M23</f>
        <v>77.066499999999991</v>
      </c>
      <c r="N23" s="50">
        <f t="shared" si="3"/>
        <v>-39.659999999999997</v>
      </c>
      <c r="O23" s="46">
        <f>+'사업장별(당월)'!O23+'[4]사업장별(누계)'!O23</f>
        <v>7986.6000000000022</v>
      </c>
      <c r="P23" s="47">
        <f>+'사업장별(당월)'!P23+'[4]사업장별(누계)'!P23</f>
        <v>4646.6720660000001</v>
      </c>
      <c r="Q23" s="48">
        <f t="shared" si="4"/>
        <v>-3339.9279340000021</v>
      </c>
      <c r="R23" s="49">
        <f>+'사업장별(당월)'!R23+'[4]사업장별(누계)'!R23</f>
        <v>9206.1284110000015</v>
      </c>
      <c r="S23" s="50">
        <f t="shared" si="5"/>
        <v>-4559.4563450000014</v>
      </c>
      <c r="T23" s="46">
        <f>+'사업장별(당월)'!T23+'[4]사업장별(누계)'!T23</f>
        <v>1253.8534455517688</v>
      </c>
      <c r="U23" s="47">
        <f>+'사업장별(당월)'!U23+'[4]사업장별(누계)'!U23</f>
        <v>318.37748199999993</v>
      </c>
      <c r="V23" s="48">
        <f t="shared" si="6"/>
        <v>-935.47596355176893</v>
      </c>
      <c r="W23" s="49">
        <f>+'사업장별(당월)'!W23+'[4]사업장별(누계)'!W23</f>
        <v>1775.578064</v>
      </c>
      <c r="X23" s="50">
        <f t="shared" si="7"/>
        <v>-1457.2005820000002</v>
      </c>
      <c r="Y23" s="46">
        <f>+[11]제주!$Q$85</f>
        <v>126771.42857142857</v>
      </c>
      <c r="Z23" s="47">
        <f>+[11]제주!$R$85</f>
        <v>124220.97940197558</v>
      </c>
      <c r="AA23" s="51">
        <f>+[12]제주!$Q$85</f>
        <v>119497.40473845266</v>
      </c>
      <c r="AB23" s="52">
        <f>+[11]제주!$Q$89</f>
        <v>90782.939031133486</v>
      </c>
      <c r="AC23" s="47">
        <f>+[11]제주!$R$89</f>
        <v>89473.327577477568</v>
      </c>
      <c r="AD23" s="53">
        <f>+[12]제주!$Q$89</f>
        <v>84120.246834529535</v>
      </c>
      <c r="AE23" s="52">
        <f t="shared" si="8"/>
        <v>35988.489540295079</v>
      </c>
      <c r="AF23" s="47">
        <f t="shared" si="8"/>
        <v>34747.651824498011</v>
      </c>
      <c r="AG23" s="53">
        <f t="shared" si="8"/>
        <v>35377.157903923129</v>
      </c>
      <c r="AH23" s="18"/>
      <c r="AI23" s="791">
        <f t="shared" si="9"/>
        <v>-0.74608078549411716</v>
      </c>
      <c r="AJ23" s="9">
        <f>+U23/T23</f>
        <v>0.2539192145058829</v>
      </c>
    </row>
    <row r="24" spans="2:39" s="8" customFormat="1" ht="19.5" customHeight="1" x14ac:dyDescent="0.3">
      <c r="F24" s="9">
        <f t="shared" si="2"/>
        <v>0.51133455407339468</v>
      </c>
      <c r="G24" s="794">
        <f t="shared" si="13"/>
        <v>0.89151308900523574</v>
      </c>
      <c r="H24" s="80"/>
      <c r="I24" s="84" t="s">
        <v>55</v>
      </c>
      <c r="J24" s="23">
        <f>SUM(J7:J10)</f>
        <v>1241.5</v>
      </c>
      <c r="K24" s="20">
        <f>SUM(K7:K10)</f>
        <v>1106.8135000000002</v>
      </c>
      <c r="L24" s="21">
        <f t="shared" si="1"/>
        <v>-134.6864999999998</v>
      </c>
      <c r="M24" s="25">
        <f>SUM(M7:M10)</f>
        <v>1389.4016799999999</v>
      </c>
      <c r="N24" s="22">
        <f t="shared" si="3"/>
        <v>-282.58817999999974</v>
      </c>
      <c r="O24" s="23">
        <f>SUM(O7:O10)</f>
        <v>124196.35412931579</v>
      </c>
      <c r="P24" s="20">
        <f>SUM(P7:P10)</f>
        <v>108881.82117299999</v>
      </c>
      <c r="Q24" s="21">
        <f t="shared" si="4"/>
        <v>-15314.532956315801</v>
      </c>
      <c r="R24" s="25">
        <f>SUM(R7:R10)</f>
        <v>130128.840413</v>
      </c>
      <c r="S24" s="22">
        <f t="shared" si="5"/>
        <v>-21247.019240000009</v>
      </c>
      <c r="T24" s="23">
        <f>SUM(T7:T10)</f>
        <v>16311.030593510121</v>
      </c>
      <c r="U24" s="20">
        <f>SUM(U7:U10)</f>
        <v>8340.3935550099959</v>
      </c>
      <c r="V24" s="21">
        <f t="shared" si="6"/>
        <v>-7970.6370385001246</v>
      </c>
      <c r="W24" s="25">
        <f>SUM(W7:W10)</f>
        <v>16124.764165989996</v>
      </c>
      <c r="X24" s="22">
        <f t="shared" si="7"/>
        <v>-7784.3706109800005</v>
      </c>
      <c r="Y24" s="23">
        <f>+[11]수도권!$Q$85</f>
        <v>100037.33719638808</v>
      </c>
      <c r="Z24" s="20">
        <f>+[11]수도권!$R$85</f>
        <v>98382.992816590253</v>
      </c>
      <c r="AA24" s="24">
        <f>+[12]수도권!$Q$85</f>
        <v>93635.781747175584</v>
      </c>
      <c r="AB24" s="29">
        <f>+[11]수도권!$Q$89</f>
        <v>78139.303436287883</v>
      </c>
      <c r="AC24" s="20">
        <f>+[11]수도권!$R$89</f>
        <v>81005.534421401957</v>
      </c>
      <c r="AD24" s="30">
        <f>+[12]수도권!$Q$89</f>
        <v>74238.290867937816</v>
      </c>
      <c r="AE24" s="29">
        <f t="shared" si="8"/>
        <v>21898.033760100196</v>
      </c>
      <c r="AF24" s="20">
        <f t="shared" si="8"/>
        <v>17377.458395188296</v>
      </c>
      <c r="AG24" s="30">
        <f t="shared" si="8"/>
        <v>19397.490879237768</v>
      </c>
      <c r="AH24" s="18"/>
      <c r="AI24" s="791">
        <f t="shared" si="9"/>
        <v>-0.48866544592660532</v>
      </c>
      <c r="AJ24" s="96"/>
      <c r="AK24" s="96">
        <f>+Z24-Y24</f>
        <v>-1654.3443797978252</v>
      </c>
      <c r="AL24" s="96">
        <f>+AC24-AB24</f>
        <v>2866.2309851140744</v>
      </c>
      <c r="AM24" s="96">
        <f>+AF24-AE24</f>
        <v>-4520.5753649118997</v>
      </c>
    </row>
    <row r="25" spans="2:39" s="8" customFormat="1" ht="19.5" customHeight="1" x14ac:dyDescent="0.3">
      <c r="F25" s="9">
        <f t="shared" si="2"/>
        <v>0.7133000960720044</v>
      </c>
      <c r="G25" s="794">
        <f t="shared" si="13"/>
        <v>1.0308159041394334</v>
      </c>
      <c r="H25" s="80"/>
      <c r="I25" s="84" t="s">
        <v>56</v>
      </c>
      <c r="J25" s="23">
        <f>SUM(J11:J18)</f>
        <v>1377</v>
      </c>
      <c r="K25" s="20">
        <f>SUM(K11:K18)</f>
        <v>1419.4334999999999</v>
      </c>
      <c r="L25" s="21">
        <f t="shared" si="1"/>
        <v>42.433499999999867</v>
      </c>
      <c r="M25" s="25">
        <f>SUM(M11:M18)</f>
        <v>1548.0255</v>
      </c>
      <c r="N25" s="22">
        <f t="shared" si="3"/>
        <v>-128.5920000000001</v>
      </c>
      <c r="O25" s="23">
        <f>SUM(O11:O18)</f>
        <v>140793.85945374999</v>
      </c>
      <c r="P25" s="20">
        <f>SUM(P11:P18)</f>
        <v>142803.66573800001</v>
      </c>
      <c r="Q25" s="21">
        <f t="shared" si="4"/>
        <v>2009.8062842500221</v>
      </c>
      <c r="R25" s="25">
        <f>SUM(R11:R18)</f>
        <v>151561.117027</v>
      </c>
      <c r="S25" s="22">
        <f t="shared" si="5"/>
        <v>-8757.4512889999896</v>
      </c>
      <c r="T25" s="23">
        <f>SUM(T11:T18)</f>
        <v>20860.090370011643</v>
      </c>
      <c r="U25" s="20">
        <f>SUM(U11:U18)</f>
        <v>14879.504465</v>
      </c>
      <c r="V25" s="21">
        <f t="shared" si="6"/>
        <v>-5980.5859050116433</v>
      </c>
      <c r="W25" s="25">
        <f>SUM(W11:W18)</f>
        <v>24452.144758000002</v>
      </c>
      <c r="X25" s="22">
        <f t="shared" si="7"/>
        <v>-9572.6402930000022</v>
      </c>
      <c r="Y25" s="23">
        <f>+[11]영남권!$Q$85</f>
        <v>102246.81151325346</v>
      </c>
      <c r="Z25" s="20">
        <f>+[11]영남권!$R$85</f>
        <v>100621.43537382571</v>
      </c>
      <c r="AA25" s="24">
        <f>+[12]영남권!$Q$85</f>
        <v>97910.755714767482</v>
      </c>
      <c r="AB25" s="29">
        <f>+[11]영남권!$Q$89</f>
        <v>75429.123281471722</v>
      </c>
      <c r="AC25" s="20">
        <f>+[11]영남권!$R$89</f>
        <v>78632.62333711097</v>
      </c>
      <c r="AD25" s="30">
        <f>+[12]영남권!$Q$89</f>
        <v>72044.293765679817</v>
      </c>
      <c r="AE25" s="29">
        <f t="shared" si="8"/>
        <v>26817.688231781736</v>
      </c>
      <c r="AF25" s="20">
        <f t="shared" si="8"/>
        <v>21988.812036714735</v>
      </c>
      <c r="AG25" s="30">
        <f t="shared" si="8"/>
        <v>25866.461949087665</v>
      </c>
      <c r="AH25" s="18"/>
      <c r="AI25" s="791">
        <f t="shared" si="9"/>
        <v>-0.2866999039279956</v>
      </c>
      <c r="AJ25" s="96"/>
      <c r="AK25" s="96">
        <f>+Z25-Y25</f>
        <v>-1625.3761394277535</v>
      </c>
      <c r="AL25" s="96">
        <f>+AC25-AB25</f>
        <v>3203.5000556392479</v>
      </c>
      <c r="AM25" s="96">
        <f>+AF25-AE25</f>
        <v>-4828.8761950670014</v>
      </c>
    </row>
    <row r="26" spans="2:39" s="8" customFormat="1" ht="19.5" customHeight="1" x14ac:dyDescent="0.3">
      <c r="F26" s="9">
        <f t="shared" si="2"/>
        <v>0.91050095586173307</v>
      </c>
      <c r="G26" s="794">
        <f t="shared" si="13"/>
        <v>1.0099163763066199</v>
      </c>
      <c r="H26" s="80"/>
      <c r="I26" s="84" t="s">
        <v>170</v>
      </c>
      <c r="J26" s="23">
        <f>SUM(J19:J23)</f>
        <v>574</v>
      </c>
      <c r="K26" s="20">
        <f>SUM(K19:K23)</f>
        <v>579.69199999999978</v>
      </c>
      <c r="L26" s="21">
        <f t="shared" si="1"/>
        <v>5.6919999999997799</v>
      </c>
      <c r="M26" s="25">
        <f>SUM(M19:M23)</f>
        <v>622.29100000000005</v>
      </c>
      <c r="N26" s="22">
        <f t="shared" si="3"/>
        <v>-42.599000000000274</v>
      </c>
      <c r="O26" s="23">
        <f>SUM(O19:O23)</f>
        <v>60761.137031000006</v>
      </c>
      <c r="P26" s="20">
        <f>SUM(P19:P23)</f>
        <v>60707.042947000002</v>
      </c>
      <c r="Q26" s="21">
        <f t="shared" si="4"/>
        <v>-54.094084000003932</v>
      </c>
      <c r="R26" s="25">
        <f>SUM(R19:R23)</f>
        <v>62253.985647000009</v>
      </c>
      <c r="S26" s="22">
        <f t="shared" si="5"/>
        <v>-1546.9427000000069</v>
      </c>
      <c r="T26" s="23">
        <f>SUM(T19:T23)</f>
        <v>10158.322243875338</v>
      </c>
      <c r="U26" s="20">
        <f>SUM(U19:U23)</f>
        <v>9249.1621130000003</v>
      </c>
      <c r="V26" s="21">
        <f t="shared" si="6"/>
        <v>-909.16013087533793</v>
      </c>
      <c r="W26" s="25">
        <f>SUM(W19:W23)</f>
        <v>10966.353610999999</v>
      </c>
      <c r="X26" s="22">
        <f t="shared" si="7"/>
        <v>-1717.1914979999983</v>
      </c>
      <c r="Y26" s="23">
        <f>+[11]중부권!$Q$85</f>
        <v>105855.63942682925</v>
      </c>
      <c r="Z26" s="20">
        <f>+[11]중부권!$R$85</f>
        <v>104705.87770987728</v>
      </c>
      <c r="AA26" s="24">
        <f>+[12]중부권!$Q$85</f>
        <v>100131.77153636901</v>
      </c>
      <c r="AB26" s="29">
        <f>+[11]중부권!$Q$89</f>
        <v>76351.714351555638</v>
      </c>
      <c r="AC26" s="20">
        <f>+[11]중부권!$R$89</f>
        <v>76169.704930733162</v>
      </c>
      <c r="AD26" s="30">
        <f>+[12]중부권!$Q$89</f>
        <v>71543.564340451863</v>
      </c>
      <c r="AE26" s="29">
        <f t="shared" si="8"/>
        <v>29503.925075273612</v>
      </c>
      <c r="AF26" s="20">
        <f t="shared" si="8"/>
        <v>28536.172779144123</v>
      </c>
      <c r="AG26" s="30">
        <f t="shared" si="8"/>
        <v>28588.207195917144</v>
      </c>
      <c r="AH26" s="18"/>
      <c r="AI26" s="791">
        <f t="shared" si="9"/>
        <v>-8.9499044138266926E-2</v>
      </c>
      <c r="AJ26" s="96"/>
      <c r="AK26" s="96">
        <f>+Z26-Y26</f>
        <v>-1149.7617169519654</v>
      </c>
      <c r="AL26" s="96">
        <f>+AC26-AB26</f>
        <v>-182.00942082247639</v>
      </c>
      <c r="AM26" s="96">
        <f>+AF26-AE26</f>
        <v>-967.75229612948897</v>
      </c>
    </row>
    <row r="27" spans="2:39" s="3" customFormat="1" ht="19.5" customHeight="1" x14ac:dyDescent="0.3">
      <c r="B27" s="26"/>
      <c r="F27" s="9">
        <f t="shared" si="2"/>
        <v>0.68602244042320404</v>
      </c>
      <c r="G27" s="794">
        <f t="shared" si="13"/>
        <v>0.97288613938919355</v>
      </c>
      <c r="H27" s="629" t="s">
        <v>115</v>
      </c>
      <c r="I27" s="630"/>
      <c r="J27" s="631">
        <f>SUM(J24:J26)</f>
        <v>3192.5</v>
      </c>
      <c r="K27" s="632">
        <f>SUM(K24:K26)</f>
        <v>3105.9390000000003</v>
      </c>
      <c r="L27" s="633">
        <f t="shared" si="1"/>
        <v>-86.560999999999694</v>
      </c>
      <c r="M27" s="634">
        <f>SUM(M24:M26)</f>
        <v>3559.7181799999998</v>
      </c>
      <c r="N27" s="635">
        <f t="shared" si="3"/>
        <v>-453.77917999999954</v>
      </c>
      <c r="O27" s="631">
        <f>SUM(O24:O26)</f>
        <v>325751.35061406577</v>
      </c>
      <c r="P27" s="632">
        <f>SUM(P24:P26)</f>
        <v>312392.52985799999</v>
      </c>
      <c r="Q27" s="633">
        <f t="shared" si="4"/>
        <v>-13358.820756065776</v>
      </c>
      <c r="R27" s="634">
        <f>SUM(R24:R26)</f>
        <v>343943.94308700005</v>
      </c>
      <c r="S27" s="635">
        <f t="shared" si="5"/>
        <v>-31551.413229000056</v>
      </c>
      <c r="T27" s="631">
        <f>SUM(T24:T26)</f>
        <v>47329.443207397104</v>
      </c>
      <c r="U27" s="632">
        <f>SUM(U24:U26)</f>
        <v>32469.060133009996</v>
      </c>
      <c r="V27" s="633">
        <f t="shared" si="6"/>
        <v>-14860.383074387108</v>
      </c>
      <c r="W27" s="634">
        <f>SUM(W24:W26)</f>
        <v>51543.262534989997</v>
      </c>
      <c r="X27" s="635">
        <f t="shared" si="7"/>
        <v>-19074.202401980001</v>
      </c>
      <c r="Y27" s="631">
        <f>+[11]합계!$Q$85</f>
        <v>102036.44498482875</v>
      </c>
      <c r="Z27" s="632">
        <f>+[11]합계!$R$85</f>
        <v>100586.22864459116</v>
      </c>
      <c r="AA27" s="636">
        <f>+[12]합계!$Q$85</f>
        <v>96625.233343352549</v>
      </c>
      <c r="AB27" s="637">
        <f>+[11]합계!$Q$89</f>
        <v>76648.93720047953</v>
      </c>
      <c r="AC27" s="632">
        <f>+[11]합계!$R$89</f>
        <v>79017.060036004332</v>
      </c>
      <c r="AD27" s="638">
        <f>+[12]합계!$Q$89</f>
        <v>72813.219169334712</v>
      </c>
      <c r="AE27" s="637">
        <f t="shared" si="8"/>
        <v>25387.507784349218</v>
      </c>
      <c r="AF27" s="632">
        <f t="shared" si="8"/>
        <v>21569.168608586828</v>
      </c>
      <c r="AG27" s="638">
        <f t="shared" si="8"/>
        <v>23812.014174017837</v>
      </c>
      <c r="AH27" s="27"/>
      <c r="AI27" s="791">
        <f t="shared" si="9"/>
        <v>-0.31397755957679596</v>
      </c>
      <c r="AJ27" s="96"/>
      <c r="AK27" s="96">
        <f>+Z27-Y27</f>
        <v>-1450.2163402375882</v>
      </c>
      <c r="AL27" s="96">
        <f>+AC27-AB27</f>
        <v>2368.1228355248022</v>
      </c>
      <c r="AM27" s="96">
        <f>+AF27-AE27</f>
        <v>-3818.3391757623904</v>
      </c>
    </row>
    <row r="28" spans="2:39" s="8" customFormat="1" ht="19.5" customHeight="1" x14ac:dyDescent="0.3">
      <c r="B28" s="8" t="s">
        <v>3</v>
      </c>
      <c r="E28" s="8" t="s">
        <v>201</v>
      </c>
      <c r="G28" s="794">
        <f t="shared" si="13"/>
        <v>1.1936259705159704</v>
      </c>
      <c r="H28" s="835" t="s">
        <v>3</v>
      </c>
      <c r="I28" s="836"/>
      <c r="J28" s="167">
        <f>+'사업장별(당월)'!J28+'[4]사업장별(누계)'!J28</f>
        <v>81400</v>
      </c>
      <c r="K28" s="168">
        <f>+'사업장별(당월)'!K28+'[4]사업장별(누계)'!K28</f>
        <v>97161.153999999995</v>
      </c>
      <c r="L28" s="169">
        <f>+K28-J28</f>
        <v>15761.153999999995</v>
      </c>
      <c r="M28" s="170">
        <f>+'사업장별(당월)'!M28+'[4]사업장별(누계)'!M28</f>
        <v>88735.037000000011</v>
      </c>
      <c r="N28" s="171">
        <f>+K28-M28</f>
        <v>8426.1169999999838</v>
      </c>
      <c r="O28" s="167">
        <f>+'사업장별(당월)'!O28+'[4]사업장별(누계)'!O28</f>
        <v>99529.162105263167</v>
      </c>
      <c r="P28" s="168">
        <f>+'사업장별(당월)'!P28+'[4]사업장별(누계)'!P28</f>
        <v>96553.945347000015</v>
      </c>
      <c r="Q28" s="169">
        <f>+P28-O28</f>
        <v>-2975.2167582631519</v>
      </c>
      <c r="R28" s="170">
        <f>+'사업장별(당월)'!R28+'[4]사업장별(누계)'!R28</f>
        <v>108745.62416399999</v>
      </c>
      <c r="S28" s="171">
        <f t="shared" si="5"/>
        <v>-12191.678816999978</v>
      </c>
      <c r="T28" s="167">
        <f>+'사업장별(당월)'!T28+'[4]사업장별(누계)'!T28</f>
        <v>1161.3904280210616</v>
      </c>
      <c r="U28" s="168">
        <f>+'사업장별(당월)'!U28+'[4]사업장별(누계)'!U28</f>
        <v>601.8603480000022</v>
      </c>
      <c r="V28" s="169">
        <f t="shared" si="6"/>
        <v>-559.53008002105935</v>
      </c>
      <c r="W28" s="170">
        <f>+'사업장별(당월)'!W28+'[4]사업장별(누계)'!W28</f>
        <v>868.28041200000177</v>
      </c>
      <c r="X28" s="171">
        <f t="shared" si="7"/>
        <v>-266.42006399999957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9" s="8" customFormat="1" ht="19.5" customHeight="1" x14ac:dyDescent="0.3">
      <c r="B29" s="8" t="s">
        <v>193</v>
      </c>
      <c r="C29" s="79" t="s">
        <v>61</v>
      </c>
      <c r="G29" s="794">
        <f>+P28/O28</f>
        <v>0.97010708524686939</v>
      </c>
      <c r="H29" s="86" t="s">
        <v>1</v>
      </c>
      <c r="I29" s="79" t="s">
        <v>222</v>
      </c>
      <c r="J29" s="56">
        <f>+'사업장별(당월)'!J29+'[4]사업장별(누계)'!J29</f>
        <v>271.46771845098635</v>
      </c>
      <c r="K29" s="57">
        <f>+'사업장별(당월)'!K29+'[4]사업장별(누계)'!K29</f>
        <v>215.31799999999998</v>
      </c>
      <c r="L29" s="38">
        <f t="shared" si="1"/>
        <v>-56.14971845098637</v>
      </c>
      <c r="M29" s="38">
        <f>+'사업장별(당월)'!M29+'[4]사업장별(누계)'!M29</f>
        <v>284.56599999999997</v>
      </c>
      <c r="N29" s="58">
        <f t="shared" si="3"/>
        <v>-69.24799999999999</v>
      </c>
      <c r="O29" s="56">
        <f>+'사업장별(당월)'!O29+'[4]사업장별(누계)'!O29</f>
        <v>7910.8417364710403</v>
      </c>
      <c r="P29" s="57">
        <f>+'사업장별(당월)'!P29+'[4]사업장별(누계)'!P29</f>
        <v>6284.2150799999999</v>
      </c>
      <c r="Q29" s="38">
        <f t="shared" si="4"/>
        <v>-1626.6266564710404</v>
      </c>
      <c r="R29" s="38">
        <f>+'사업장별(당월)'!R29+'[4]사업장별(누계)'!R29</f>
        <v>8297.4593999999997</v>
      </c>
      <c r="S29" s="58">
        <f t="shared" si="5"/>
        <v>-2013.2443199999998</v>
      </c>
      <c r="T29" s="56">
        <f>+'사업장별(당월)'!T29+'[4]사업장별(누계)'!T29</f>
        <v>441.55061699751224</v>
      </c>
      <c r="U29" s="57">
        <f>+'사업장별(당월)'!U29+'[4]사업장별(누계)'!U29</f>
        <v>361.02867299004521</v>
      </c>
      <c r="V29" s="38">
        <f t="shared" si="6"/>
        <v>-80.521944007467027</v>
      </c>
      <c r="W29" s="38">
        <f>+'사업장별(당월)'!W29+'[4]사업장별(누계)'!W29</f>
        <v>371.01609402000003</v>
      </c>
      <c r="X29" s="58">
        <f t="shared" si="7"/>
        <v>-9.9874210299548167</v>
      </c>
      <c r="Y29" s="800" t="s">
        <v>230</v>
      </c>
      <c r="Z29" s="587"/>
      <c r="AA29" s="587"/>
      <c r="AB29" s="587"/>
      <c r="AC29" s="799"/>
      <c r="AD29" s="587"/>
      <c r="AE29" s="587"/>
      <c r="AF29" s="587"/>
      <c r="AG29" s="51"/>
      <c r="AH29" s="18"/>
      <c r="AI29" s="782">
        <f t="shared" ref="AI29:AK31" si="14">+T29/100</f>
        <v>4.4155061699751226</v>
      </c>
      <c r="AJ29" s="782">
        <f t="shared" si="14"/>
        <v>3.610286729900452</v>
      </c>
      <c r="AK29" s="782">
        <f t="shared" si="14"/>
        <v>-0.80521944007467028</v>
      </c>
    </row>
    <row r="30" spans="2:39" s="8" customFormat="1" ht="19.5" customHeight="1" x14ac:dyDescent="0.3">
      <c r="B30" s="8" t="s">
        <v>194</v>
      </c>
      <c r="C30" s="81" t="s">
        <v>62</v>
      </c>
      <c r="G30" s="792"/>
      <c r="H30" s="85"/>
      <c r="I30" s="81" t="s">
        <v>218</v>
      </c>
      <c r="J30" s="54">
        <f>+'사업장별(당월)'!J30+'[4]사업장별(누계)'!J30</f>
        <v>375.55962021333335</v>
      </c>
      <c r="K30" s="59">
        <f>+'사업장별(당월)'!K30+'[4]사업장별(누계)'!K30</f>
        <v>171.09200000000001</v>
      </c>
      <c r="L30" s="48">
        <f t="shared" si="1"/>
        <v>-204.46762021333333</v>
      </c>
      <c r="M30" s="48">
        <f>+'사업장별(당월)'!M30+'[4]사업장별(누계)'!M30</f>
        <v>373.21</v>
      </c>
      <c r="N30" s="60">
        <f t="shared" si="3"/>
        <v>-202.11799999999997</v>
      </c>
      <c r="O30" s="54">
        <f>+'사업장별(당월)'!O30+'[4]사업장별(누계)'!O30</f>
        <v>4711.318636533334</v>
      </c>
      <c r="P30" s="59">
        <f>+'사업장별(당월)'!P30+'[4]사업장별(누계)'!P30</f>
        <v>2402.163</v>
      </c>
      <c r="Q30" s="48">
        <f t="shared" si="4"/>
        <v>-2309.155636533334</v>
      </c>
      <c r="R30" s="48">
        <f>+'사업장별(당월)'!R30+'[4]사업장별(누계)'!R30</f>
        <v>4482.2480000000005</v>
      </c>
      <c r="S30" s="60">
        <f t="shared" si="5"/>
        <v>-2080.0850000000005</v>
      </c>
      <c r="T30" s="54">
        <f>+'사업장별(당월)'!T30+'[4]사업장별(누계)'!T30</f>
        <v>951.57085917359018</v>
      </c>
      <c r="U30" s="59">
        <f>+'사업장별(당월)'!U30+'[4]사업장별(누계)'!U30</f>
        <v>-126.93227920546936</v>
      </c>
      <c r="V30" s="48">
        <f t="shared" si="6"/>
        <v>-1078.5031383790595</v>
      </c>
      <c r="W30" s="48">
        <f>+'사업장별(당월)'!W30+'[4]사업장별(누계)'!W30</f>
        <v>784.69465700000023</v>
      </c>
      <c r="X30" s="60">
        <f t="shared" si="7"/>
        <v>-911.62693620546963</v>
      </c>
      <c r="Y30" s="628" t="s">
        <v>231</v>
      </c>
      <c r="Z30" s="587"/>
      <c r="AA30" s="587"/>
      <c r="AB30" s="799"/>
      <c r="AC30" s="587"/>
      <c r="AD30" s="799"/>
      <c r="AE30" s="587"/>
      <c r="AF30" s="587"/>
      <c r="AG30" s="51"/>
      <c r="AH30" s="18"/>
      <c r="AI30" s="782">
        <f t="shared" si="14"/>
        <v>9.5157085917359012</v>
      </c>
      <c r="AJ30" s="782">
        <f t="shared" si="14"/>
        <v>-1.2693227920546937</v>
      </c>
      <c r="AK30" s="782">
        <f t="shared" si="14"/>
        <v>-10.785031383790594</v>
      </c>
      <c r="AL30" s="98"/>
    </row>
    <row r="31" spans="2:39" s="8" customFormat="1" ht="19.5" customHeight="1" x14ac:dyDescent="0.3">
      <c r="B31" s="8" t="s">
        <v>176</v>
      </c>
      <c r="C31" s="83" t="s">
        <v>176</v>
      </c>
      <c r="G31" s="792"/>
      <c r="H31" s="85"/>
      <c r="I31" s="83" t="s">
        <v>220</v>
      </c>
      <c r="J31" s="54">
        <f>+'사업장별(당월)'!J31+'[4]사업장별(누계)'!J31</f>
        <v>458.06687103119225</v>
      </c>
      <c r="K31" s="59">
        <f>+'사업장별(당월)'!K31+'[4]사업장별(누계)'!K31</f>
        <v>394.02100000000002</v>
      </c>
      <c r="L31" s="48">
        <f t="shared" si="1"/>
        <v>-64.045871031192235</v>
      </c>
      <c r="M31" s="48">
        <f>+'사업장별(당월)'!M31+'[4]사업장별(누계)'!M31</f>
        <v>120.09100000000001</v>
      </c>
      <c r="N31" s="60">
        <f t="shared" si="3"/>
        <v>273.93</v>
      </c>
      <c r="O31" s="54">
        <f>+'사업장별(당월)'!O31+'[4]사업장별(누계)'!O31</f>
        <v>8253.4054530052654</v>
      </c>
      <c r="P31" s="59">
        <f>+'사업장별(당월)'!P31+'[4]사업장별(누계)'!P31</f>
        <v>7103.2515000000003</v>
      </c>
      <c r="Q31" s="48">
        <f t="shared" si="4"/>
        <v>-1150.1539530052651</v>
      </c>
      <c r="R31" s="48">
        <f>+'사업장별(당월)'!R31+'[4]사업장별(누계)'!R31</f>
        <v>2093.2460000000001</v>
      </c>
      <c r="S31" s="60">
        <f t="shared" si="5"/>
        <v>5010.0055000000002</v>
      </c>
      <c r="T31" s="54">
        <f>+'사업장별(당월)'!T31+'[4]사업장별(누계)'!T31</f>
        <v>413.19530493792047</v>
      </c>
      <c r="U31" s="59">
        <f>+'사업장별(당월)'!U31+'[4]사업장별(누계)'!U31</f>
        <v>-528.20053265000001</v>
      </c>
      <c r="V31" s="48">
        <f t="shared" si="6"/>
        <v>-941.39583758792048</v>
      </c>
      <c r="W31" s="48">
        <f>+'사업장별(당월)'!W31+'[4]사업장별(누계)'!W31</f>
        <v>-264.17117998999998</v>
      </c>
      <c r="X31" s="60">
        <f t="shared" si="7"/>
        <v>-264.02935266000003</v>
      </c>
      <c r="Y31" s="586" t="s">
        <v>232</v>
      </c>
      <c r="Z31" s="587"/>
      <c r="AA31" s="587"/>
      <c r="AB31" s="587"/>
      <c r="AC31" s="587"/>
      <c r="AD31" s="587"/>
      <c r="AE31" s="587"/>
      <c r="AF31" s="587"/>
      <c r="AG31" s="51"/>
      <c r="AH31" s="18"/>
      <c r="AI31" s="782">
        <f t="shared" si="14"/>
        <v>4.1319530493792049</v>
      </c>
      <c r="AJ31" s="782">
        <f t="shared" si="14"/>
        <v>-5.2820053265000002</v>
      </c>
      <c r="AK31" s="782">
        <f t="shared" si="14"/>
        <v>-9.4139583758792043</v>
      </c>
      <c r="AL31" s="98"/>
    </row>
    <row r="32" spans="2:39" s="3" customFormat="1" ht="19.5" customHeight="1" x14ac:dyDescent="0.3">
      <c r="G32" s="794">
        <f>+K32/J32</f>
        <v>0.70621218820342324</v>
      </c>
      <c r="H32" s="146" t="s">
        <v>42</v>
      </c>
      <c r="I32" s="147"/>
      <c r="J32" s="148">
        <f>SUM(J29:J31)</f>
        <v>1105.0942096955118</v>
      </c>
      <c r="K32" s="152">
        <f>SUM(K29:K31)</f>
        <v>780.43100000000004</v>
      </c>
      <c r="L32" s="150">
        <f t="shared" si="1"/>
        <v>-324.6632096955118</v>
      </c>
      <c r="M32" s="150">
        <f>SUM(M29:M31)</f>
        <v>777.86699999999996</v>
      </c>
      <c r="N32" s="151">
        <f t="shared" si="3"/>
        <v>2.5640000000000782</v>
      </c>
      <c r="O32" s="148">
        <f>SUM(O29:O31)</f>
        <v>20875.565826009639</v>
      </c>
      <c r="P32" s="152">
        <f>SUM(P29:P31)</f>
        <v>15789.629580000001</v>
      </c>
      <c r="Q32" s="150">
        <f t="shared" si="4"/>
        <v>-5085.9362460096381</v>
      </c>
      <c r="R32" s="150">
        <f>SUM(R29:R31)</f>
        <v>14872.953399999999</v>
      </c>
      <c r="S32" s="151">
        <f t="shared" si="5"/>
        <v>916.6761800000022</v>
      </c>
      <c r="T32" s="148">
        <f>SUM(T29:T31)</f>
        <v>1806.3167811090229</v>
      </c>
      <c r="U32" s="152">
        <f>SUM(U29:U31)</f>
        <v>-294.10413886542415</v>
      </c>
      <c r="V32" s="150">
        <f t="shared" si="6"/>
        <v>-2100.4209199744473</v>
      </c>
      <c r="W32" s="150">
        <f>SUM(W29:W31)</f>
        <v>891.53957103000039</v>
      </c>
      <c r="X32" s="151">
        <f t="shared" si="7"/>
        <v>-1185.6437098954245</v>
      </c>
      <c r="Y32" s="586" t="s">
        <v>233</v>
      </c>
      <c r="Z32" s="587"/>
      <c r="AA32" s="587"/>
      <c r="AB32" s="587"/>
      <c r="AC32" s="587"/>
      <c r="AD32" s="587"/>
      <c r="AE32" s="587"/>
      <c r="AF32" s="587"/>
      <c r="AG32" s="51"/>
      <c r="AH32" s="27"/>
      <c r="AI32" s="783">
        <f>SUM(AI29:AI31)</f>
        <v>18.063167811090228</v>
      </c>
      <c r="AJ32" s="783">
        <f>SUM(AJ29:AJ31)</f>
        <v>-2.9410413886542419</v>
      </c>
      <c r="AK32" s="783">
        <f>SUM(AK29:AK31)</f>
        <v>-21.004209199744469</v>
      </c>
    </row>
    <row r="33" spans="2:39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999.24000000000024</v>
      </c>
      <c r="P33" s="47">
        <f>+'사업장별(당월)'!P33+'[4]사업장별(누계)'!P33</f>
        <v>999.24000000000024</v>
      </c>
      <c r="Q33" s="49">
        <f t="shared" si="4"/>
        <v>0</v>
      </c>
      <c r="R33" s="48">
        <f>+'사업장별(당월)'!R33+'[4]사업장별(누계)'!R33</f>
        <v>930.49000000000024</v>
      </c>
      <c r="S33" s="60">
        <f t="shared" si="5"/>
        <v>68.75</v>
      </c>
      <c r="T33" s="46">
        <f>+'사업장별(당월)'!T33+'[4]사업장별(누계)'!T33</f>
        <v>742.21489700000006</v>
      </c>
      <c r="U33" s="47">
        <f>+'사업장별(당월)'!U33+'[4]사업장별(누계)'!U33</f>
        <v>695.34818299999995</v>
      </c>
      <c r="V33" s="49">
        <f t="shared" si="6"/>
        <v>-46.866714000000115</v>
      </c>
      <c r="W33" s="48">
        <f>+'사업장별(당월)'!W33+'[4]사업장별(누계)'!W33</f>
        <v>618.77444500000001</v>
      </c>
      <c r="X33" s="60">
        <f t="shared" si="7"/>
        <v>76.573737999999935</v>
      </c>
      <c r="Y33" s="628"/>
      <c r="Z33" s="799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9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15">+K34-M34</f>
        <v>0</v>
      </c>
      <c r="O34" s="46">
        <f>+'사업장별(당월)'!O34+'[4]사업장별(누계)'!O34</f>
        <v>795.87250366666672</v>
      </c>
      <c r="P34" s="47">
        <f>+'사업장별(당월)'!P34+'[4]사업장별(누계)'!P34</f>
        <v>803.15053</v>
      </c>
      <c r="Q34" s="49">
        <f>+P34-O34</f>
        <v>7.2780263333332869</v>
      </c>
      <c r="R34" s="48">
        <f>+'사업장별(당월)'!R34+'[4]사업장별(누계)'!R34</f>
        <v>1037.4613510000001</v>
      </c>
      <c r="S34" s="60">
        <f t="shared" si="5"/>
        <v>-234.31082100000015</v>
      </c>
      <c r="T34" s="46">
        <f>+'사업장별(당월)'!T34+'[4]사업장별(누계)'!T34</f>
        <v>720.80394366666656</v>
      </c>
      <c r="U34" s="47">
        <f>+'사업장별(당월)'!U34+'[4]사업장별(누계)'!U34</f>
        <v>725.77006399999993</v>
      </c>
      <c r="V34" s="49">
        <f t="shared" si="6"/>
        <v>4.9661203333333788</v>
      </c>
      <c r="W34" s="48">
        <f>+'사업장별(당월)'!W34+'[4]사업장별(누계)'!W34</f>
        <v>700.42059600000005</v>
      </c>
      <c r="X34" s="60">
        <f t="shared" si="7"/>
        <v>25.349467999999888</v>
      </c>
      <c r="Y34" s="628"/>
      <c r="Z34" s="799"/>
      <c r="AA34" s="587"/>
      <c r="AB34" s="799"/>
      <c r="AC34" s="799"/>
      <c r="AD34" s="799"/>
      <c r="AE34" s="587"/>
      <c r="AF34" s="587"/>
      <c r="AG34" s="51"/>
      <c r="AH34" s="18"/>
      <c r="AI34" s="19"/>
      <c r="AM34" s="8">
        <v>16</v>
      </c>
    </row>
    <row r="35" spans="2:39" s="8" customFormat="1" ht="19.5" customHeight="1" x14ac:dyDescent="0.3">
      <c r="B35" s="8" t="s">
        <v>200</v>
      </c>
      <c r="D35"/>
      <c r="E35"/>
      <c r="F35"/>
      <c r="G35" s="5" t="s">
        <v>223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15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16">+P35-O35</f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-14971.778667118953</v>
      </c>
      <c r="U35" s="47">
        <f>+'사업장별(당월)'!U35+'[4]사업장별(누계)'!U35</f>
        <v>-15353.848254133385</v>
      </c>
      <c r="V35" s="49">
        <f t="shared" si="6"/>
        <v>-382.06958701443182</v>
      </c>
      <c r="W35" s="48">
        <f>+'사업장별(당월)'!W35+'[4]사업장별(누계)'!W35</f>
        <v>-12929.508915999999</v>
      </c>
      <c r="X35" s="60">
        <f t="shared" si="7"/>
        <v>-2424.3393381333863</v>
      </c>
      <c r="Y35" s="628"/>
      <c r="Z35" s="802"/>
      <c r="AA35" s="587"/>
      <c r="AB35" s="587"/>
      <c r="AC35" s="587"/>
      <c r="AD35" s="799"/>
      <c r="AE35" s="587"/>
      <c r="AF35" s="587"/>
      <c r="AG35" s="51"/>
      <c r="AH35" s="18"/>
      <c r="AK35" s="596"/>
      <c r="AL35" s="98"/>
      <c r="AM35" s="8">
        <v>1</v>
      </c>
    </row>
    <row r="36" spans="2:39" s="8" customFormat="1" ht="19.5" customHeight="1" x14ac:dyDescent="0.3">
      <c r="D36"/>
      <c r="E36"/>
      <c r="F36"/>
      <c r="G36" s="5"/>
      <c r="H36" s="87"/>
      <c r="I36" s="88" t="s">
        <v>116</v>
      </c>
      <c r="J36" s="46"/>
      <c r="K36" s="47"/>
      <c r="L36" s="49"/>
      <c r="M36" s="48"/>
      <c r="N36" s="60">
        <f t="shared" si="15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16"/>
        <v>0</v>
      </c>
      <c r="R36" s="48">
        <f>+'사업장별(당월)'!R36+'[4]사업장별(누계)'!R36</f>
        <v>0</v>
      </c>
      <c r="S36" s="60">
        <f t="shared" si="5"/>
        <v>0</v>
      </c>
      <c r="T36" s="46">
        <f>+'사업장별(당월)'!T36+'[4]사업장별(누계)'!T36</f>
        <v>1329.7</v>
      </c>
      <c r="U36" s="47">
        <f>+'사업장별(당월)'!U36+'[4]사업장별(누계)'!U36</f>
        <v>991.78823999999997</v>
      </c>
      <c r="V36" s="49">
        <f t="shared" si="6"/>
        <v>-337.91176000000007</v>
      </c>
      <c r="W36" s="48">
        <f>+'사업장별(당월)'!W36+'[4]사업장별(누계)'!W36</f>
        <v>0</v>
      </c>
      <c r="X36" s="60">
        <f t="shared" si="7"/>
        <v>991.78823999999997</v>
      </c>
      <c r="Y36" s="628"/>
      <c r="Z36" s="587"/>
      <c r="AA36" s="587"/>
      <c r="AB36" s="587"/>
      <c r="AC36" s="587"/>
      <c r="AD36" s="587"/>
      <c r="AE36" s="587"/>
      <c r="AF36" s="587"/>
      <c r="AG36" s="51"/>
      <c r="AH36" s="18"/>
      <c r="AI36" s="19"/>
      <c r="AK36" s="98"/>
      <c r="AL36" s="98"/>
      <c r="AM36" s="8">
        <f>SUM(AM34:AM35)</f>
        <v>17</v>
      </c>
    </row>
    <row r="37" spans="2:39" s="8" customFormat="1" ht="19.5" customHeight="1" x14ac:dyDescent="0.3">
      <c r="D37"/>
      <c r="E37"/>
      <c r="F37"/>
      <c r="G37" s="5"/>
      <c r="H37" s="87"/>
      <c r="I37" s="88" t="s">
        <v>117</v>
      </c>
      <c r="J37" s="46"/>
      <c r="K37" s="47"/>
      <c r="L37" s="49"/>
      <c r="M37" s="48"/>
      <c r="N37" s="60">
        <f t="shared" si="15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16"/>
        <v>0</v>
      </c>
      <c r="R37" s="48">
        <f>+'사업장별(당월)'!R37+'[4]사업장별(누계)'!R37</f>
        <v>0</v>
      </c>
      <c r="S37" s="60">
        <f t="shared" si="5"/>
        <v>0</v>
      </c>
      <c r="T37" s="46">
        <f>+'사업장별(당월)'!T37+'[4]사업장별(누계)'!T37</f>
        <v>0</v>
      </c>
      <c r="U37" s="47">
        <f>+'사업장별(당월)'!U37+'[4]사업장별(누계)'!U37</f>
        <v>-573.85933299999999</v>
      </c>
      <c r="V37" s="49">
        <f t="shared" si="6"/>
        <v>-573.85933299999999</v>
      </c>
      <c r="W37" s="48">
        <f>+'사업장별(당월)'!W37+'[4]사업장별(누계)'!W37</f>
        <v>-1974.2219769999999</v>
      </c>
      <c r="X37" s="60">
        <f t="shared" si="7"/>
        <v>1400.3626439999998</v>
      </c>
      <c r="Y37" s="586"/>
      <c r="Z37" s="799"/>
      <c r="AA37" s="587"/>
      <c r="AB37" s="799"/>
      <c r="AC37" s="587"/>
      <c r="AD37" s="587"/>
      <c r="AE37" s="587"/>
      <c r="AF37" s="587"/>
      <c r="AG37" s="51"/>
      <c r="AH37" s="18"/>
      <c r="AI37" s="19"/>
      <c r="AK37" s="98"/>
      <c r="AL37" s="98"/>
    </row>
    <row r="38" spans="2:39" s="8" customFormat="1" ht="19.5" customHeight="1" x14ac:dyDescent="0.3">
      <c r="D38"/>
      <c r="E38"/>
      <c r="F38"/>
      <c r="G38" s="5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15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16"/>
        <v>0</v>
      </c>
      <c r="R38" s="48">
        <f>+'사업장별(당월)'!R38+'[4]사업장별(누계)'!R38</f>
        <v>188.626</v>
      </c>
      <c r="S38" s="60">
        <f t="shared" si="5"/>
        <v>-188.626</v>
      </c>
      <c r="T38" s="46">
        <f>+'사업장별(당월)'!T38+'[4]사업장별(누계)'!T38</f>
        <v>-343.11671488905597</v>
      </c>
      <c r="U38" s="47">
        <f>+'사업장별(당월)'!U38+'[4]사업장별(누계)'!U38</f>
        <v>-405.12093700000003</v>
      </c>
      <c r="V38" s="49">
        <f t="shared" si="6"/>
        <v>-62.004222110944056</v>
      </c>
      <c r="W38" s="48">
        <f>+'사업장별(당월)'!W38+'[4]사업장별(누계)'!W38</f>
        <v>-135.880349</v>
      </c>
      <c r="X38" s="60">
        <f>+U38-W38</f>
        <v>-269.240588</v>
      </c>
      <c r="Y38" s="586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  <c r="AK38" s="98"/>
      <c r="AL38" s="98"/>
    </row>
    <row r="39" spans="2:39" s="8" customFormat="1" ht="19.5" customHeight="1" x14ac:dyDescent="0.3">
      <c r="B39" t="s">
        <v>39</v>
      </c>
      <c r="D39"/>
      <c r="G39" s="792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15"/>
        <v>0</v>
      </c>
      <c r="O39" s="46">
        <f>+'사업장별(당월)'!O39+'[4]사업장별(누계)'!O39</f>
        <v>19.47</v>
      </c>
      <c r="P39" s="47">
        <f>+'사업장별(당월)'!P39+'[4]사업장별(누계)'!P39</f>
        <v>19.30500000000373</v>
      </c>
      <c r="Q39" s="55">
        <f t="shared" si="16"/>
        <v>-0.1649999999962688</v>
      </c>
      <c r="R39" s="61">
        <f>+'사업장별(당월)'!R39+'[4]사업장별(누계)'!R39</f>
        <v>-14.721699999988086</v>
      </c>
      <c r="S39" s="62">
        <f t="shared" si="5"/>
        <v>34.02669999999182</v>
      </c>
      <c r="T39" s="46">
        <f>+'사업장별(당월)'!T39+'[4]사업장별(누계)'!T39</f>
        <v>-711.92845100000113</v>
      </c>
      <c r="U39" s="47">
        <f>+'사업장별(당월)'!U39+'[4]사업장별(누계)'!U39</f>
        <v>-232.93250599998504</v>
      </c>
      <c r="V39" s="49">
        <f t="shared" si="6"/>
        <v>478.99594500001609</v>
      </c>
      <c r="W39" s="61">
        <f>+'사업장별(당월)'!W39+'[4]사업장별(누계)'!W39</f>
        <v>-241.52423199999379</v>
      </c>
      <c r="X39" s="60">
        <f t="shared" si="7"/>
        <v>8.5917260000087481</v>
      </c>
      <c r="Y39" s="595"/>
      <c r="Z39" s="799"/>
      <c r="AA39" s="587"/>
      <c r="AB39" s="587"/>
      <c r="AC39" s="587"/>
      <c r="AD39" s="587"/>
      <c r="AE39" s="587"/>
      <c r="AF39" s="587"/>
      <c r="AG39" s="51"/>
      <c r="AH39" s="18"/>
      <c r="AI39" s="19">
        <v>118774940</v>
      </c>
      <c r="AJ39" s="8">
        <v>-63907430</v>
      </c>
    </row>
    <row r="40" spans="2:39" s="8" customFormat="1" ht="19.5" customHeight="1" x14ac:dyDescent="0.3">
      <c r="G40" s="792"/>
      <c r="H40" s="87"/>
      <c r="I40" s="88"/>
      <c r="J40" s="46"/>
      <c r="K40" s="47"/>
      <c r="L40" s="55"/>
      <c r="M40" s="61"/>
      <c r="N40" s="62">
        <f t="shared" si="15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16"/>
        <v>0</v>
      </c>
      <c r="R40" s="61">
        <f>+'사업장별(당월)'!R40+'[4]사업장별(누계)'!R40</f>
        <v>0</v>
      </c>
      <c r="S40" s="62">
        <f t="shared" si="5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6"/>
        <v>0</v>
      </c>
      <c r="W40" s="61">
        <f>+'사업장별(당월)'!W40+'[4]사업장별(누계)'!W40</f>
        <v>0</v>
      </c>
      <c r="X40" s="60"/>
      <c r="Y40" s="786"/>
      <c r="Z40" s="587"/>
      <c r="AA40" s="587"/>
      <c r="AB40" s="587"/>
      <c r="AC40" s="587"/>
      <c r="AD40" s="587"/>
      <c r="AE40" s="587"/>
      <c r="AF40" s="587"/>
      <c r="AG40" s="51"/>
      <c r="AH40" s="31"/>
      <c r="AI40" s="8">
        <v>173503008</v>
      </c>
      <c r="AJ40" s="8">
        <v>-310726527</v>
      </c>
    </row>
    <row r="41" spans="2:39" s="3" customFormat="1" ht="19.5" customHeight="1" x14ac:dyDescent="0.3">
      <c r="D41" s="657"/>
      <c r="G41" s="796"/>
      <c r="H41" s="146" t="s">
        <v>118</v>
      </c>
      <c r="I41" s="147"/>
      <c r="J41" s="646">
        <f>SUM(J33:J40)</f>
        <v>0</v>
      </c>
      <c r="K41" s="647">
        <f>SUM(K33:K40)</f>
        <v>0</v>
      </c>
      <c r="L41" s="647">
        <f>+K41-J41</f>
        <v>0</v>
      </c>
      <c r="M41" s="647">
        <f>SUM(M33:M40)</f>
        <v>0</v>
      </c>
      <c r="N41" s="648">
        <f t="shared" si="15"/>
        <v>0</v>
      </c>
      <c r="O41" s="148">
        <f>SUM(O33:O40)</f>
        <v>1814.582503666667</v>
      </c>
      <c r="P41" s="149">
        <f>SUM(P33:P40)</f>
        <v>1821.6955300000038</v>
      </c>
      <c r="Q41" s="153">
        <f t="shared" si="4"/>
        <v>7.1130263333368475</v>
      </c>
      <c r="R41" s="154">
        <f>SUM(R33:R40)</f>
        <v>2141.8556510000121</v>
      </c>
      <c r="S41" s="155">
        <f>+P41-R41</f>
        <v>-320.1601210000083</v>
      </c>
      <c r="T41" s="148">
        <f>SUM(T33:T40)</f>
        <v>-13234.104992341343</v>
      </c>
      <c r="U41" s="149">
        <f>SUM(U33:U40)</f>
        <v>-14152.85454313337</v>
      </c>
      <c r="V41" s="153">
        <f>+U41-T41</f>
        <v>-918.74955079202664</v>
      </c>
      <c r="W41" s="154">
        <f>SUM(W33:W40)</f>
        <v>-13961.940432999992</v>
      </c>
      <c r="X41" s="155">
        <f>+U41-W41</f>
        <v>-190.91411013337711</v>
      </c>
      <c r="Y41" s="787"/>
      <c r="Z41" s="589"/>
      <c r="AA41" s="589"/>
      <c r="AB41" s="589"/>
      <c r="AC41" s="589"/>
      <c r="AD41" s="589"/>
      <c r="AE41" s="589"/>
      <c r="AF41" s="589"/>
      <c r="AG41" s="590"/>
      <c r="AH41" s="26"/>
      <c r="AI41" s="3">
        <v>786272300</v>
      </c>
    </row>
    <row r="42" spans="2:39" s="8" customFormat="1" ht="19.5" customHeight="1" x14ac:dyDescent="0.3">
      <c r="G42" s="792"/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  <c r="AI42" s="19">
        <v>95057490</v>
      </c>
    </row>
    <row r="43" spans="2:39" s="3" customFormat="1" ht="19.5" customHeight="1" x14ac:dyDescent="0.3">
      <c r="G43" s="797">
        <f>+P43/O43</f>
        <v>0.95220030552031454</v>
      </c>
      <c r="H43" s="639" t="s">
        <v>41</v>
      </c>
      <c r="I43" s="640"/>
      <c r="J43" s="652"/>
      <c r="K43" s="653"/>
      <c r="L43" s="653"/>
      <c r="M43" s="653"/>
      <c r="N43" s="654"/>
      <c r="O43" s="641">
        <f>+O27+O32+O28+O41</f>
        <v>447970.66104900523</v>
      </c>
      <c r="P43" s="642">
        <f>+P27+P32+P28+P41</f>
        <v>426557.80031500006</v>
      </c>
      <c r="Q43" s="643">
        <f t="shared" si="4"/>
        <v>-21412.860734005168</v>
      </c>
      <c r="R43" s="644">
        <f>+R27+R32+R28+R41</f>
        <v>469704.37630200002</v>
      </c>
      <c r="S43" s="645">
        <f>+P43-R43</f>
        <v>-43146.57598699996</v>
      </c>
      <c r="T43" s="641">
        <f>+T27+T32+T28+T41</f>
        <v>37063.045424185846</v>
      </c>
      <c r="U43" s="642">
        <f>+U27+U32+U28+U41</f>
        <v>18623.961799011209</v>
      </c>
      <c r="V43" s="643">
        <f>+U43-T43</f>
        <v>-18439.083625174637</v>
      </c>
      <c r="W43" s="644">
        <f>+W27+W32+W28+W41</f>
        <v>39341.142085020008</v>
      </c>
      <c r="X43" s="645">
        <f>+U43-W43</f>
        <v>-20717.180286008799</v>
      </c>
      <c r="Y43" s="837"/>
      <c r="Z43" s="838"/>
      <c r="AA43" s="838"/>
      <c r="AB43" s="838"/>
      <c r="AC43" s="838"/>
      <c r="AD43" s="838"/>
      <c r="AE43" s="838"/>
      <c r="AF43" s="838"/>
      <c r="AG43" s="839"/>
      <c r="AH43" s="26"/>
      <c r="AI43" s="785">
        <f>SUM(AI39:AI42)</f>
        <v>1173607738</v>
      </c>
      <c r="AJ43" s="3">
        <f>SUM(AJ39:AJ42)</f>
        <v>-374633957</v>
      </c>
      <c r="AK43" s="785">
        <f>SUM(AI43:AJ43)</f>
        <v>798973781</v>
      </c>
    </row>
    <row r="44" spans="2:39" s="34" customFormat="1" x14ac:dyDescent="0.3">
      <c r="G44" s="794">
        <f>+U43/T43</f>
        <v>0.50249410392104377</v>
      </c>
      <c r="P44" s="661">
        <f>+P43/O43</f>
        <v>0.95220030552031454</v>
      </c>
      <c r="T44" s="788">
        <f>+T43/O43</f>
        <v>8.2735430345808686E-2</v>
      </c>
      <c r="U44" s="788">
        <f>+U43/P43</f>
        <v>4.3661050824197745E-2</v>
      </c>
      <c r="AC44" s="35"/>
      <c r="AF44" s="35"/>
    </row>
    <row r="45" spans="2:39" s="34" customFormat="1" ht="17.25" thickBot="1" x14ac:dyDescent="0.35">
      <c r="G45" s="798"/>
      <c r="AC45" s="35"/>
      <c r="AF45" s="35"/>
    </row>
    <row r="46" spans="2:39" s="34" customFormat="1" x14ac:dyDescent="0.3">
      <c r="G46" s="798"/>
      <c r="I46" s="834" t="s">
        <v>101</v>
      </c>
      <c r="J46" s="138">
        <f>+'사업장별(당월)'!J46+'[4]사업장별(누계)'!J46</f>
        <v>3192.5</v>
      </c>
      <c r="K46" s="139">
        <f>+'사업장별(당월)'!K46+'[4]사업장별(누계)'!K46</f>
        <v>3105.9389999999994</v>
      </c>
      <c r="L46" s="139"/>
      <c r="M46" s="139">
        <f>+'사업장별(당월)'!M46+'[4]사업장별(누계)'!M46</f>
        <v>3559.7181800000003</v>
      </c>
      <c r="N46" s="139"/>
      <c r="O46" s="139">
        <f>+'사업장별(당월)'!O46+'[4]사업장별(누계)'!O46</f>
        <v>447970.66104900528</v>
      </c>
      <c r="P46" s="139">
        <f>+'사업장별(당월)'!P46+'[4]사업장별(누계)'!P46</f>
        <v>426557.800315</v>
      </c>
      <c r="Q46" s="139"/>
      <c r="R46" s="139">
        <f>+'사업장별(당월)'!R46+'[4]사업장별(누계)'!R46</f>
        <v>469704.37630200008</v>
      </c>
      <c r="S46" s="139"/>
      <c r="T46" s="144">
        <f>+'사업장별(당월)'!T46+'[4]사업장별(누계)'!T46</f>
        <v>37063.045424185824</v>
      </c>
      <c r="U46" s="139">
        <f>+'사업장별(당월)'!U46+'[4]사업장별(누계)'!U46</f>
        <v>18623.961799011198</v>
      </c>
      <c r="V46" s="139"/>
      <c r="W46" s="139">
        <f>+'사업장별(당월)'!W46+'[4]사업장별(누계)'!W46</f>
        <v>39341.142085020001</v>
      </c>
      <c r="X46" s="140"/>
      <c r="AC46" s="35"/>
      <c r="AF46" s="35"/>
    </row>
    <row r="47" spans="2:39" s="34" customFormat="1" ht="17.25" thickBot="1" x14ac:dyDescent="0.35">
      <c r="G47" s="798"/>
      <c r="I47" s="834"/>
      <c r="J47" s="143">
        <f>+J46-J27</f>
        <v>0</v>
      </c>
      <c r="K47" s="141">
        <f>+K46-K27</f>
        <v>0</v>
      </c>
      <c r="L47" s="141"/>
      <c r="M47" s="141">
        <f>+M46-M27</f>
        <v>0</v>
      </c>
      <c r="N47" s="141"/>
      <c r="O47" s="145">
        <f>+O46-O43</f>
        <v>0</v>
      </c>
      <c r="P47" s="145">
        <f>+P46-P43</f>
        <v>0</v>
      </c>
      <c r="Q47" s="141"/>
      <c r="R47" s="145">
        <f>+R46-R43</f>
        <v>0</v>
      </c>
      <c r="S47" s="141"/>
      <c r="T47" s="145">
        <f>+T46-T43</f>
        <v>0</v>
      </c>
      <c r="U47" s="145">
        <f>+U46-U43</f>
        <v>0</v>
      </c>
      <c r="V47" s="141"/>
      <c r="W47" s="141">
        <f>+W46-W43</f>
        <v>0</v>
      </c>
      <c r="X47" s="142"/>
      <c r="Z47" s="34" t="s">
        <v>215</v>
      </c>
      <c r="AC47" s="35"/>
      <c r="AF47" s="35"/>
      <c r="AG47" s="34" t="s">
        <v>102</v>
      </c>
    </row>
    <row r="48" spans="2:39" x14ac:dyDescent="0.3">
      <c r="T48" s="658"/>
      <c r="U48" s="658"/>
      <c r="V48" s="658"/>
      <c r="Z48" t="s">
        <v>216</v>
      </c>
    </row>
    <row r="49" spans="10:33" x14ac:dyDescent="0.3">
      <c r="P49" s="803"/>
      <c r="T49" s="658"/>
      <c r="U49" s="658"/>
      <c r="V49" s="658"/>
      <c r="Z49" t="s">
        <v>217</v>
      </c>
    </row>
    <row r="50" spans="10:33" x14ac:dyDescent="0.3">
      <c r="S50" t="s">
        <v>53</v>
      </c>
      <c r="T50" s="598">
        <f>(+T27+T35)/100</f>
        <v>323.57664540278148</v>
      </c>
      <c r="U50" s="598">
        <f>(+U27+U35)/100</f>
        <v>171.1521187887661</v>
      </c>
      <c r="V50" s="598">
        <f>+U50-T50</f>
        <v>-152.42452661401538</v>
      </c>
      <c r="W50" s="597">
        <f>+U50/T50-1</f>
        <v>-0.47106158240895446</v>
      </c>
    </row>
    <row r="51" spans="10:33" x14ac:dyDescent="0.3">
      <c r="S51" t="s">
        <v>3</v>
      </c>
      <c r="T51" s="6">
        <f>+T28/100</f>
        <v>11.613904280210615</v>
      </c>
      <c r="U51" s="6">
        <f>+U28/100</f>
        <v>6.0186034800000217</v>
      </c>
      <c r="V51" s="598">
        <f t="shared" ref="V51:V56" si="17">+U51-T51</f>
        <v>-5.5953008002105937</v>
      </c>
    </row>
    <row r="52" spans="10:33" x14ac:dyDescent="0.3">
      <c r="S52" t="s">
        <v>1</v>
      </c>
      <c r="T52" s="6">
        <f>+T32/100</f>
        <v>18.063167811090228</v>
      </c>
      <c r="U52" s="6">
        <f>+U32/100</f>
        <v>-2.9410413886542415</v>
      </c>
      <c r="V52" s="598">
        <f t="shared" si="17"/>
        <v>-21.004209199744469</v>
      </c>
    </row>
    <row r="53" spans="10:33" x14ac:dyDescent="0.3">
      <c r="S53" t="s">
        <v>59</v>
      </c>
      <c r="T53" s="6">
        <f>(T33+T34)/100</f>
        <v>14.630188406666667</v>
      </c>
      <c r="U53" s="6">
        <f>(U33+U34)/100</f>
        <v>14.211182469999999</v>
      </c>
      <c r="V53" s="598">
        <f t="shared" si="17"/>
        <v>-0.41900593666666808</v>
      </c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 t="s">
        <v>4</v>
      </c>
      <c r="T54" s="598">
        <f>(T46/100)-T50-T51-T52-T53</f>
        <v>2.7465483411092233</v>
      </c>
      <c r="U54" s="598">
        <f>(U46/100)-U50-U51-U52-U53</f>
        <v>-2.2012453599999002</v>
      </c>
      <c r="V54" s="598">
        <f t="shared" si="17"/>
        <v>-4.9477937011091235</v>
      </c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>
        <f>SUM(T53:T54)</f>
        <v>17.37673674777589</v>
      </c>
      <c r="U55" s="598">
        <f>SUM(U53:U54)</f>
        <v>12.009937110000099</v>
      </c>
      <c r="V55" s="598">
        <f>SUM(V53:V54)</f>
        <v>-5.3667996377757916</v>
      </c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/>
      <c r="T56" s="598">
        <f>SUM(T50:T54)</f>
        <v>370.63045424185822</v>
      </c>
      <c r="U56" s="598">
        <f>SUM(U50:U54)</f>
        <v>186.23961799011201</v>
      </c>
      <c r="V56" s="598">
        <f t="shared" si="17"/>
        <v>-184.39083625174621</v>
      </c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J57" s="598"/>
      <c r="K57" s="598"/>
      <c r="L57" s="598"/>
      <c r="M57" s="598"/>
      <c r="N57" s="598"/>
      <c r="O57" s="598"/>
      <c r="P57" s="598"/>
      <c r="Q57" s="598"/>
      <c r="R57" s="598"/>
      <c r="S57" s="598"/>
      <c r="T57" s="598"/>
      <c r="U57" s="598"/>
      <c r="V57" s="598"/>
      <c r="W57" s="598"/>
      <c r="X57" s="598"/>
      <c r="Y57" s="598"/>
      <c r="Z57" s="598"/>
      <c r="AA57" s="598"/>
      <c r="AB57" s="598"/>
      <c r="AC57" s="598"/>
      <c r="AD57" s="598"/>
      <c r="AE57" s="598"/>
      <c r="AF57" s="598"/>
      <c r="AG57" s="598"/>
    </row>
    <row r="58" spans="10:33" x14ac:dyDescent="0.3">
      <c r="S58" s="598" t="s">
        <v>59</v>
      </c>
      <c r="T58" s="658">
        <f>+(T33+T34)/100</f>
        <v>14.630188406666667</v>
      </c>
      <c r="U58" s="658">
        <f>+(U33+U34)/100</f>
        <v>14.211182469999999</v>
      </c>
      <c r="V58" s="598">
        <f>+U58-T58</f>
        <v>-0.41900593666666808</v>
      </c>
      <c r="W58" s="598"/>
    </row>
    <row r="59" spans="10:33" x14ac:dyDescent="0.3">
      <c r="S59" s="598" t="str">
        <f>+I36</f>
        <v>OPC 소급분</v>
      </c>
      <c r="T59" s="598">
        <f t="shared" ref="T59:U62" si="18">+T36/100</f>
        <v>13.297000000000001</v>
      </c>
      <c r="U59" s="598">
        <f t="shared" si="18"/>
        <v>9.9178823999999999</v>
      </c>
      <c r="V59" s="598">
        <f>+U59-T59</f>
        <v>-3.3791176000000007</v>
      </c>
      <c r="W59" s="598"/>
    </row>
    <row r="60" spans="10:33" x14ac:dyDescent="0.3">
      <c r="S60" s="598" t="str">
        <f>+I37</f>
        <v>대손</v>
      </c>
      <c r="T60" s="598">
        <f t="shared" si="18"/>
        <v>0</v>
      </c>
      <c r="U60" s="598">
        <f t="shared" si="18"/>
        <v>-5.7385933299999996</v>
      </c>
      <c r="V60" s="598">
        <f>+U60-T60</f>
        <v>-5.7385933299999996</v>
      </c>
    </row>
    <row r="61" spans="10:33" x14ac:dyDescent="0.3">
      <c r="S61" s="598" t="str">
        <f>+I38</f>
        <v>미운영 공장</v>
      </c>
      <c r="T61" s="598">
        <f t="shared" si="18"/>
        <v>-3.4311671488905597</v>
      </c>
      <c r="U61" s="598">
        <f t="shared" si="18"/>
        <v>-4.0512093700000005</v>
      </c>
      <c r="V61" s="598">
        <f>+U61-T61</f>
        <v>-0.62004222110944074</v>
      </c>
    </row>
    <row r="62" spans="10:33" x14ac:dyDescent="0.3">
      <c r="S62" s="598" t="str">
        <f>+I39</f>
        <v>기타</v>
      </c>
      <c r="T62" s="598">
        <f t="shared" si="18"/>
        <v>-7.1192845100000115</v>
      </c>
      <c r="U62" s="598">
        <f t="shared" si="18"/>
        <v>-2.3293250599998503</v>
      </c>
      <c r="V62" s="598">
        <f>+U62-T62</f>
        <v>4.7899594500001612</v>
      </c>
    </row>
    <row r="63" spans="10:33" x14ac:dyDescent="0.3">
      <c r="T63" s="6">
        <f>SUM(T58:T62)</f>
        <v>17.376736747776096</v>
      </c>
      <c r="U63" s="6">
        <f>SUM(U58:U62)</f>
        <v>12.009937110000148</v>
      </c>
      <c r="V63" s="6">
        <f>SUM(V58:V62)</f>
        <v>-5.3667996377759479</v>
      </c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10AB-6E4F-4ABC-909D-7025C62FF76C}">
  <sheetPr>
    <tabColor rgb="FF008000"/>
    <pageSetUpPr fitToPage="1"/>
  </sheetPr>
  <dimension ref="A1:AL75"/>
  <sheetViews>
    <sheetView showGridLines="0" showZeros="0" view="pageBreakPreview" topLeftCell="E19" zoomScale="85" zoomScaleNormal="85" zoomScaleSheetLayoutView="85" workbookViewId="0">
      <selection activeCell="M14" sqref="M1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239</v>
      </c>
      <c r="AD3" s="5"/>
      <c r="AG3" s="5"/>
    </row>
    <row r="4" spans="1:36" ht="18" customHeight="1" x14ac:dyDescent="0.3">
      <c r="H4" s="7"/>
      <c r="AD4" s="5"/>
      <c r="AG4" s="5" t="s">
        <v>94</v>
      </c>
    </row>
    <row r="5" spans="1:36" s="8" customFormat="1" ht="19.5" customHeight="1" x14ac:dyDescent="0.3">
      <c r="G5" s="792"/>
      <c r="H5" s="830" t="s">
        <v>11</v>
      </c>
      <c r="I5" s="831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21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1:36" s="8" customFormat="1" ht="19.5" customHeight="1" x14ac:dyDescent="0.3">
      <c r="A6" s="8" t="s">
        <v>235</v>
      </c>
      <c r="G6" s="792"/>
      <c r="H6" s="832"/>
      <c r="I6" s="833"/>
      <c r="J6" s="175" t="s">
        <v>12</v>
      </c>
      <c r="K6" s="176" t="s">
        <v>13</v>
      </c>
      <c r="L6" s="177" t="s">
        <v>37</v>
      </c>
      <c r="M6" s="176" t="s">
        <v>14</v>
      </c>
      <c r="N6" s="178" t="s">
        <v>37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1:36" s="8" customFormat="1" ht="19.5" customHeight="1" x14ac:dyDescent="0.3">
      <c r="B7" s="8" t="s">
        <v>22</v>
      </c>
      <c r="G7" s="793" t="str">
        <f>+I7</f>
        <v>안양</v>
      </c>
      <c r="H7" s="78" t="s">
        <v>53</v>
      </c>
      <c r="I7" s="79" t="s">
        <v>22</v>
      </c>
      <c r="J7" s="36">
        <f>+IFERROR(HLOOKUP($B7,'[1]11월'!$D$6:$BN$259,2,),)/1000</f>
        <v>45</v>
      </c>
      <c r="K7" s="37">
        <f>+IFERROR(HLOOKUP($B7,'[2]11월'!$F$6:$CP$99,2,),)/1000</f>
        <v>38.566000000000003</v>
      </c>
      <c r="L7" s="38">
        <f t="shared" ref="L7:L32" si="0">+K7-J7</f>
        <v>-6.4339999999999975</v>
      </c>
      <c r="M7" s="39">
        <f>+IFERROR(HLOOKUP($B7,'[3]11월'!$F$6:$CC$57,2,),)/1000</f>
        <v>52.411000000000001</v>
      </c>
      <c r="N7" s="40">
        <f>+K7-M7</f>
        <v>-13.844999999999999</v>
      </c>
      <c r="O7" s="36">
        <f>+IFERROR(HLOOKUP($B7,'[1]11월'!$D$6:$BN$259,3,),)/1000</f>
        <v>4576.7896999999994</v>
      </c>
      <c r="P7" s="37">
        <f>+IFERROR(HLOOKUP($B7,'[2]11월'!$F$6:$CP$99,3,),)/1000</f>
        <v>3786.524261</v>
      </c>
      <c r="Q7" s="38">
        <f>+P7-O7</f>
        <v>-790.26543899999933</v>
      </c>
      <c r="R7" s="39">
        <f>+IFERROR(HLOOKUP($B7,'[3]11월'!$F$6:$CC$57,3,),)/1000</f>
        <v>4739.0450549999996</v>
      </c>
      <c r="S7" s="40">
        <f>+P7-R7</f>
        <v>-952.52079399999957</v>
      </c>
      <c r="T7" s="36">
        <f>+IFERROR(HLOOKUP($B7,'[1]11월'!$D$6:$BN$259,16,),)/1000</f>
        <v>669.44376637940684</v>
      </c>
      <c r="U7" s="37">
        <f>+IFERROR(HLOOKUP($B7,'[2]11월'!$F$6:$CP$99,16,),)/1000</f>
        <v>302.27515799999986</v>
      </c>
      <c r="V7" s="41">
        <f>+U7-T7</f>
        <v>-367.16860837940698</v>
      </c>
      <c r="W7" s="42">
        <f>+IFERROR(HLOOKUP($B7,'[3]11월'!$F$6:$CC$57,16,),)/1000</f>
        <v>289.11730599999987</v>
      </c>
      <c r="X7" s="40">
        <f>+U7-W7</f>
        <v>13.157851999999991</v>
      </c>
      <c r="Y7" s="36">
        <f>+[5]안양!$Q$85</f>
        <v>101706.43777777777</v>
      </c>
      <c r="Z7" s="37">
        <f>+[5]안양!$R$85</f>
        <v>98187.636493358237</v>
      </c>
      <c r="AA7" s="43">
        <f>+[6]안양!$Q$85</f>
        <v>90390.318880235733</v>
      </c>
      <c r="AB7" s="44">
        <f>+[5]안양!$Q$89</f>
        <v>80285.824462554228</v>
      </c>
      <c r="AC7" s="37">
        <f>+[5]안양!$R$89</f>
        <v>83030.588300907912</v>
      </c>
      <c r="AD7" s="45">
        <f>+[6]안양!$Q$89</f>
        <v>79011.360740726581</v>
      </c>
      <c r="AE7" s="44">
        <f>+Y7-AB7</f>
        <v>21420.613315223542</v>
      </c>
      <c r="AF7" s="37">
        <f>+Z7-AC7</f>
        <v>15157.048192450326</v>
      </c>
      <c r="AG7" s="45">
        <f>+AA7-AD7</f>
        <v>11378.958139509152</v>
      </c>
      <c r="AH7" s="18"/>
      <c r="AI7" s="19"/>
    </row>
    <row r="8" spans="1:36" s="8" customFormat="1" ht="19.5" customHeight="1" x14ac:dyDescent="0.3">
      <c r="B8" s="8" t="s">
        <v>23</v>
      </c>
      <c r="G8" s="794" t="str">
        <f t="shared" ref="G8:G26" si="1">+I8</f>
        <v>인천</v>
      </c>
      <c r="H8" s="80" t="s">
        <v>54</v>
      </c>
      <c r="I8" s="81" t="s">
        <v>23</v>
      </c>
      <c r="J8" s="46">
        <f>+IFERROR(HLOOKUP($B8,'[1]11월'!$D$6:$BN$259,2,),)/1000</f>
        <v>36</v>
      </c>
      <c r="K8" s="47">
        <f>+IFERROR(HLOOKUP($B8,'[2]11월'!$F$6:$CP$99,2,),)/1000</f>
        <v>29.507000000000001</v>
      </c>
      <c r="L8" s="48">
        <f t="shared" si="0"/>
        <v>-6.4929999999999986</v>
      </c>
      <c r="M8" s="49">
        <f>+IFERROR(HLOOKUP($B8,'[3]11월'!$F$6:$CC$57,2,),)/1000</f>
        <v>38.281999999999996</v>
      </c>
      <c r="N8" s="50">
        <f t="shared" ref="N8:N32" si="2">+K8-M8</f>
        <v>-8.774999999999995</v>
      </c>
      <c r="O8" s="46">
        <f>+IFERROR(HLOOKUP($B8,'[1]11월'!$D$6:$BN$259,3,),)/1000</f>
        <v>3840.6235099999999</v>
      </c>
      <c r="P8" s="47">
        <f>+IFERROR(HLOOKUP($B8,'[2]11월'!$F$6:$CP$99,3,),)/1000</f>
        <v>2907.4014480000001</v>
      </c>
      <c r="Q8" s="48">
        <f t="shared" ref="Q8:Q42" si="3">+P8-O8</f>
        <v>-933.22206199999982</v>
      </c>
      <c r="R8" s="49">
        <f>+IFERROR(HLOOKUP($B8,'[3]11월'!$F$6:$CC$57,3,),)/1000</f>
        <v>3653.7018809999995</v>
      </c>
      <c r="S8" s="50">
        <f t="shared" ref="S8:S39" si="4">+P8-R8</f>
        <v>-746.30043299999943</v>
      </c>
      <c r="T8" s="46">
        <f>+IFERROR(HLOOKUP($B8,'[1]11월'!$D$6:$BN$259,16,),)/1000</f>
        <v>631.27754955971557</v>
      </c>
      <c r="U8" s="47">
        <f>+IFERROR(HLOOKUP($B8,'[2]11월'!$F$6:$CP$99,16,),)/1000</f>
        <v>72.336657000000145</v>
      </c>
      <c r="V8" s="48">
        <f t="shared" ref="V8:V39" si="5">+U8-T8</f>
        <v>-558.94089255971539</v>
      </c>
      <c r="W8" s="49">
        <f>+IFERROR(HLOOKUP($B8,'[3]11월'!$F$6:$CC$57,16,),)/1000</f>
        <v>197.38629699999956</v>
      </c>
      <c r="X8" s="50">
        <f t="shared" ref="X8:X38" si="6">+U8-W8</f>
        <v>-125.04963999999941</v>
      </c>
      <c r="Y8" s="46">
        <f>+[5]인천!$Q$85</f>
        <v>106683.98638888888</v>
      </c>
      <c r="Z8" s="47">
        <f>+[5]인천!$R$85</f>
        <v>98532.600671027205</v>
      </c>
      <c r="AA8" s="51">
        <f>+[6]인천!$Q$85</f>
        <v>95427.936641999841</v>
      </c>
      <c r="AB8" s="52">
        <f>+[5]인천!$Q$89</f>
        <v>81462.253985180563</v>
      </c>
      <c r="AC8" s="47">
        <f>+[5]인천!$R$89</f>
        <v>85841.298098756233</v>
      </c>
      <c r="AD8" s="53">
        <f>+[6]인천!$Q$89</f>
        <v>82915.993334204672</v>
      </c>
      <c r="AE8" s="52">
        <f t="shared" ref="AE8:AG27" si="7">+Y8-AB8</f>
        <v>25221.732403708316</v>
      </c>
      <c r="AF8" s="47">
        <f t="shared" si="7"/>
        <v>12691.302572270972</v>
      </c>
      <c r="AG8" s="53">
        <f t="shared" si="7"/>
        <v>12511.943307795169</v>
      </c>
      <c r="AH8" s="18"/>
      <c r="AI8" s="19"/>
      <c r="AJ8" s="96"/>
    </row>
    <row r="9" spans="1:36" s="8" customFormat="1" ht="19.5" customHeight="1" x14ac:dyDescent="0.3">
      <c r="B9" s="8" t="s">
        <v>24</v>
      </c>
      <c r="G9" s="794" t="str">
        <f t="shared" si="1"/>
        <v>파주</v>
      </c>
      <c r="H9" s="80"/>
      <c r="I9" s="81" t="s">
        <v>24</v>
      </c>
      <c r="J9" s="46">
        <f>+IFERROR(HLOOKUP($B9,'[1]11월'!$D$6:$BN$259,2,),)/1000</f>
        <v>23</v>
      </c>
      <c r="K9" s="47">
        <f>+IFERROR(HLOOKUP($B9,'[2]11월'!$F$6:$CP$99,2,),)/1000</f>
        <v>22.349</v>
      </c>
      <c r="L9" s="48">
        <f t="shared" si="0"/>
        <v>-0.6509999999999998</v>
      </c>
      <c r="M9" s="49">
        <f>+IFERROR(HLOOKUP($B9,'[3]11월'!$F$6:$CC$57,2,),)/1000</f>
        <v>32.521999999999998</v>
      </c>
      <c r="N9" s="50">
        <f t="shared" si="2"/>
        <v>-10.172999999999998</v>
      </c>
      <c r="O9" s="46">
        <f>+IFERROR(HLOOKUP($B9,'[1]11월'!$D$6:$BN$259,3,),)/1000</f>
        <v>2308.8134706053079</v>
      </c>
      <c r="P9" s="47">
        <f>+IFERROR(HLOOKUP($B9,'[2]11월'!$F$6:$CP$99,3,),)/1000</f>
        <v>2134.5209269999996</v>
      </c>
      <c r="Q9" s="48">
        <f t="shared" si="3"/>
        <v>-174.29254360530831</v>
      </c>
      <c r="R9" s="49">
        <f>+IFERROR(HLOOKUP($B9,'[3]11월'!$F$6:$CC$57,3,),)/1000</f>
        <v>3216.1734609999999</v>
      </c>
      <c r="S9" s="50">
        <f t="shared" si="4"/>
        <v>-1081.6525340000003</v>
      </c>
      <c r="T9" s="46">
        <f>+IFERROR(HLOOKUP($B9,'[1]11월'!$D$6:$BN$259,16,),)/1000</f>
        <v>291.23696176557002</v>
      </c>
      <c r="U9" s="47">
        <f>+IFERROR(HLOOKUP($B9,'[2]11월'!$F$6:$CP$99,16,),)/1000</f>
        <v>79.622708999999745</v>
      </c>
      <c r="V9" s="48">
        <f t="shared" si="5"/>
        <v>-211.61425276557026</v>
      </c>
      <c r="W9" s="49">
        <f>+IFERROR(HLOOKUP($B9,'[3]11월'!$F$6:$CC$57,16,),)/1000</f>
        <v>229.24384199999989</v>
      </c>
      <c r="X9" s="50">
        <f t="shared" si="6"/>
        <v>-149.62113300000016</v>
      </c>
      <c r="Y9" s="46">
        <f>+[5]파주!$Q$85</f>
        <v>100383.19437414382</v>
      </c>
      <c r="Z9" s="47">
        <f>+[5]파주!$R$85</f>
        <v>95512.911955888267</v>
      </c>
      <c r="AA9" s="51">
        <f>+[6]파주!$Q$85</f>
        <v>98825.228103794914</v>
      </c>
      <c r="AB9" s="52">
        <f>+[5]파주!$Q$89</f>
        <v>78647.244076157076</v>
      </c>
      <c r="AC9" s="47">
        <f>+[5]파주!$R$89</f>
        <v>81942.562676466638</v>
      </c>
      <c r="AD9" s="53">
        <f>+[6]파주!$Q$89</f>
        <v>84723.197437024937</v>
      </c>
      <c r="AE9" s="52">
        <f t="shared" si="7"/>
        <v>21735.950297986739</v>
      </c>
      <c r="AF9" s="47">
        <f t="shared" si="7"/>
        <v>13570.349279421629</v>
      </c>
      <c r="AG9" s="53">
        <f t="shared" si="7"/>
        <v>14102.030666769977</v>
      </c>
      <c r="AH9" s="18"/>
      <c r="AI9" s="19"/>
      <c r="AJ9" s="96"/>
    </row>
    <row r="10" spans="1:36" s="8" customFormat="1" ht="19.5" customHeight="1" x14ac:dyDescent="0.3">
      <c r="B10" s="8" t="s">
        <v>175</v>
      </c>
      <c r="G10" s="794" t="str">
        <f t="shared" si="1"/>
        <v>김포</v>
      </c>
      <c r="H10" s="80"/>
      <c r="I10" s="81" t="s">
        <v>172</v>
      </c>
      <c r="J10" s="46">
        <f>+IFERROR(HLOOKUP($B10,'[1]11월'!$D$6:$BN$259,2,),)/1000</f>
        <v>17.5</v>
      </c>
      <c r="K10" s="47">
        <f>+IFERROR(HLOOKUP($B10,'[2]11월'!$F$6:$CP$99,2,),)/1000</f>
        <v>17.224</v>
      </c>
      <c r="L10" s="48">
        <f t="shared" si="0"/>
        <v>-0.2759999999999998</v>
      </c>
      <c r="M10" s="49">
        <f>+IFERROR(HLOOKUP($B10,'[3]11월'!$F$6:$CC$57,2,),)/1000</f>
        <v>16.05668</v>
      </c>
      <c r="N10" s="50">
        <f t="shared" si="2"/>
        <v>1.1673200000000001</v>
      </c>
      <c r="O10" s="46">
        <f>+IFERROR(HLOOKUP($B10,'[1]11월'!$D$6:$BN$259,3,),)/1000</f>
        <v>1690.5764999999999</v>
      </c>
      <c r="P10" s="47">
        <f>+IFERROR(HLOOKUP($B10,'[2]11월'!$F$6:$CP$99,3,),)/1000</f>
        <v>1650.7338</v>
      </c>
      <c r="Q10" s="48">
        <f t="shared" si="3"/>
        <v>-39.842699999999923</v>
      </c>
      <c r="R10" s="49">
        <f>+IFERROR(HLOOKUP($B10,'[3]11월'!$F$6:$CC$57,3,),)/1000</f>
        <v>1538.7715819999999</v>
      </c>
      <c r="S10" s="50">
        <f t="shared" si="4"/>
        <v>111.96221800000012</v>
      </c>
      <c r="T10" s="46">
        <f>+IFERROR(HLOOKUP($B10,'[1]11월'!$D$6:$BN$259,16,),)/1000</f>
        <v>264.0516088844393</v>
      </c>
      <c r="U10" s="47">
        <f>+IFERROR(HLOOKUP($B10,'[2]11월'!$F$6:$CP$99,16,),)/1000</f>
        <v>98.878248000000056</v>
      </c>
      <c r="V10" s="48">
        <f t="shared" si="5"/>
        <v>-165.17336088443926</v>
      </c>
      <c r="W10" s="49">
        <f>+IFERROR(HLOOKUP($B10,'[3]11월'!$F$6:$CC$57,16,),)/1000</f>
        <v>184.97632399999972</v>
      </c>
      <c r="X10" s="50">
        <f t="shared" si="6"/>
        <v>-86.098075999999665</v>
      </c>
      <c r="Y10" s="46">
        <f>+[5]김포!$Q$85</f>
        <v>96604.371428571423</v>
      </c>
      <c r="Z10" s="47">
        <f>+[5]김포!$R$85</f>
        <v>95901.215663354757</v>
      </c>
      <c r="AA10" s="51">
        <f>+[6]김포!$Q$85</f>
        <v>95784.705518835646</v>
      </c>
      <c r="AB10" s="52">
        <f>+[5]김포!$Q$89</f>
        <v>72466.769943111402</v>
      </c>
      <c r="AC10" s="47">
        <f>+[5]김포!$R$89</f>
        <v>80686.638174807202</v>
      </c>
      <c r="AD10" s="53">
        <f>+[6]김포!$Q$89</f>
        <v>73858.941649909626</v>
      </c>
      <c r="AE10" s="52">
        <f t="shared" si="7"/>
        <v>24137.601485460022</v>
      </c>
      <c r="AF10" s="47">
        <f t="shared" si="7"/>
        <v>15214.577488547555</v>
      </c>
      <c r="AG10" s="53">
        <f t="shared" si="7"/>
        <v>21925.76386892602</v>
      </c>
      <c r="AH10" s="18"/>
      <c r="AI10" s="19"/>
      <c r="AJ10" s="96"/>
    </row>
    <row r="11" spans="1:36" s="8" customFormat="1" ht="19.5" customHeight="1" x14ac:dyDescent="0.3">
      <c r="B11" s="8" t="s">
        <v>25</v>
      </c>
      <c r="G11" s="792" t="str">
        <f t="shared" si="1"/>
        <v>부산</v>
      </c>
      <c r="H11" s="80"/>
      <c r="I11" s="82" t="s">
        <v>25</v>
      </c>
      <c r="J11" s="63">
        <f>+IFERROR(HLOOKUP($B11,'[1]11월'!$D$6:$BN$259,2,),)/1000</f>
        <v>24</v>
      </c>
      <c r="K11" s="64">
        <f>+IFERROR(HLOOKUP($B11,'[2]11월'!$F$6:$CP$99,2,),)/1000</f>
        <v>19.12</v>
      </c>
      <c r="L11" s="65">
        <f t="shared" si="0"/>
        <v>-4.879999999999999</v>
      </c>
      <c r="M11" s="66">
        <f>+IFERROR(HLOOKUP($B11,'[3]11월'!$F$6:$CC$57,2,),)/1000</f>
        <v>24.287500000000001</v>
      </c>
      <c r="N11" s="67">
        <f t="shared" si="2"/>
        <v>-5.1675000000000004</v>
      </c>
      <c r="O11" s="63">
        <f>+IFERROR(HLOOKUP($B11,'[1]11월'!$D$6:$BN$259,3,),)/1000</f>
        <v>2582.3960619999998</v>
      </c>
      <c r="P11" s="64">
        <f>+IFERROR(HLOOKUP($B11,'[2]11월'!$F$6:$CP$99,3,),)/1000</f>
        <v>2100.7500060000002</v>
      </c>
      <c r="Q11" s="65">
        <f t="shared" si="3"/>
        <v>-481.64605599999959</v>
      </c>
      <c r="R11" s="66">
        <f>+IFERROR(HLOOKUP($B11,'[3]11월'!$F$6:$CC$57,3,),)/1000</f>
        <v>2488.475606</v>
      </c>
      <c r="S11" s="67">
        <f t="shared" si="4"/>
        <v>-387.72559999999976</v>
      </c>
      <c r="T11" s="63">
        <f>+IFERROR(HLOOKUP($B11,'[1]11월'!$D$6:$BN$259,16,),)/1000</f>
        <v>440.56962946690476</v>
      </c>
      <c r="U11" s="64">
        <f>+IFERROR(HLOOKUP($B11,'[2]11월'!$F$6:$CP$99,16,),)/1000</f>
        <v>175.17909099999994</v>
      </c>
      <c r="V11" s="65">
        <f t="shared" si="5"/>
        <v>-265.39053846690479</v>
      </c>
      <c r="W11" s="66">
        <f>+IFERROR(HLOOKUP($B11,'[3]11월'!$F$6:$CC$57,16,),)/1000</f>
        <v>295.99216300000012</v>
      </c>
      <c r="X11" s="67">
        <f t="shared" si="6"/>
        <v>-120.81307200000018</v>
      </c>
      <c r="Y11" s="63">
        <f>+[5]부산!$Q$85</f>
        <v>107599.83591666666</v>
      </c>
      <c r="Z11" s="64">
        <f>+[5]부산!$R$85</f>
        <v>109871.86223849373</v>
      </c>
      <c r="AA11" s="68">
        <f>+[6]부산!$Q$85</f>
        <v>102459.10884199692</v>
      </c>
      <c r="AB11" s="69">
        <f>+[5]부산!$Q$89</f>
        <v>78841.491236909773</v>
      </c>
      <c r="AC11" s="64">
        <f>+[5]부산!$R$89</f>
        <v>86400.777563064708</v>
      </c>
      <c r="AD11" s="70">
        <f>+[6]부산!$Q$89</f>
        <v>79670.333710709951</v>
      </c>
      <c r="AE11" s="69">
        <f t="shared" si="7"/>
        <v>28758.34467975689</v>
      </c>
      <c r="AF11" s="64">
        <f t="shared" si="7"/>
        <v>23471.084675429025</v>
      </c>
      <c r="AG11" s="70">
        <f t="shared" si="7"/>
        <v>22788.775131286966</v>
      </c>
      <c r="AH11" s="18"/>
      <c r="AI11" s="19"/>
      <c r="AJ11" s="96"/>
    </row>
    <row r="12" spans="1:36" s="8" customFormat="1" ht="19.5" customHeight="1" x14ac:dyDescent="0.3">
      <c r="B12" s="8" t="s">
        <v>26</v>
      </c>
      <c r="G12" s="792" t="str">
        <f t="shared" si="1"/>
        <v>서부산</v>
      </c>
      <c r="H12" s="80"/>
      <c r="I12" s="81" t="s">
        <v>26</v>
      </c>
      <c r="J12" s="46">
        <f>+IFERROR(HLOOKUP($B12,'[1]11월'!$D$6:$BN$259,2,),)/1000</f>
        <v>26</v>
      </c>
      <c r="K12" s="47">
        <f>+IFERROR(HLOOKUP($B12,'[2]11월'!$F$6:$CP$99,2,),)/1000</f>
        <v>19.931999999999999</v>
      </c>
      <c r="L12" s="48">
        <f t="shared" si="0"/>
        <v>-6.0680000000000014</v>
      </c>
      <c r="M12" s="49">
        <f>+IFERROR(HLOOKUP($B12,'[3]11월'!$F$6:$CC$57,2,),)/1000</f>
        <v>29.358000000000001</v>
      </c>
      <c r="N12" s="50">
        <f t="shared" si="2"/>
        <v>-9.4260000000000019</v>
      </c>
      <c r="O12" s="46">
        <f>+IFERROR(HLOOKUP($B12,'[1]11월'!$D$6:$BN$259,3,),)/1000</f>
        <v>2719.0035200000002</v>
      </c>
      <c r="P12" s="47">
        <f>+IFERROR(HLOOKUP($B12,'[2]11월'!$F$6:$CP$99,3,),)/1000</f>
        <v>1883.6582900000001</v>
      </c>
      <c r="Q12" s="48">
        <f t="shared" si="3"/>
        <v>-835.34523000000013</v>
      </c>
      <c r="R12" s="49">
        <f>+IFERROR(HLOOKUP($B12,'[3]11월'!$F$6:$CC$57,3,),)/1000</f>
        <v>2851.8056099999999</v>
      </c>
      <c r="S12" s="50">
        <f t="shared" si="4"/>
        <v>-968.14731999999981</v>
      </c>
      <c r="T12" s="46">
        <f>+IFERROR(HLOOKUP($B12,'[1]11월'!$D$6:$BN$259,16,),)/1000</f>
        <v>511.79380615329109</v>
      </c>
      <c r="U12" s="47">
        <f>+IFERROR(HLOOKUP($B12,'[2]11월'!$F$6:$CP$99,16,),)/1000</f>
        <v>124.87579599999992</v>
      </c>
      <c r="V12" s="48">
        <f t="shared" si="5"/>
        <v>-386.91801015329116</v>
      </c>
      <c r="W12" s="49">
        <f>+IFERROR(HLOOKUP($B12,'[3]11월'!$F$6:$CC$57,16,),)/1000</f>
        <v>436.141186</v>
      </c>
      <c r="X12" s="50">
        <f t="shared" si="6"/>
        <v>-311.26539000000008</v>
      </c>
      <c r="Y12" s="46">
        <f>+[5]서부산!$Q$85</f>
        <v>104577.05846153846</v>
      </c>
      <c r="Z12" s="47">
        <f>+[5]서부산!$R$85</f>
        <v>94504.228878185822</v>
      </c>
      <c r="AA12" s="51">
        <f>+[6]서부산!$Q$85</f>
        <v>97138.960760269765</v>
      </c>
      <c r="AB12" s="52">
        <f>+[5]서부산!$Q$89</f>
        <v>76327.594733420425</v>
      </c>
      <c r="AC12" s="47">
        <f>+[5]서부산!$R$89</f>
        <v>77003.708354407107</v>
      </c>
      <c r="AD12" s="53">
        <f>+[6]서부산!$Q$89</f>
        <v>74683.793352404304</v>
      </c>
      <c r="AE12" s="52">
        <f t="shared" si="7"/>
        <v>28249.463728118033</v>
      </c>
      <c r="AF12" s="47">
        <f t="shared" si="7"/>
        <v>17500.520523778716</v>
      </c>
      <c r="AG12" s="53">
        <f t="shared" si="7"/>
        <v>22455.167407865461</v>
      </c>
      <c r="AH12" s="18"/>
      <c r="AI12" s="19"/>
      <c r="AJ12" s="96"/>
    </row>
    <row r="13" spans="1:36" s="8" customFormat="1" ht="19.5" customHeight="1" x14ac:dyDescent="0.3">
      <c r="B13" s="8" t="s">
        <v>27</v>
      </c>
      <c r="G13" s="792" t="str">
        <f t="shared" si="1"/>
        <v>김해</v>
      </c>
      <c r="H13" s="80"/>
      <c r="I13" s="81" t="s">
        <v>27</v>
      </c>
      <c r="J13" s="46">
        <f>+IFERROR(HLOOKUP($B13,'[1]11월'!$D$6:$BN$259,2,),)/1000</f>
        <v>14</v>
      </c>
      <c r="K13" s="47">
        <f>+IFERROR(HLOOKUP($B13,'[2]11월'!$F$6:$CP$99,2,),)/1000</f>
        <v>12.286</v>
      </c>
      <c r="L13" s="48">
        <f t="shared" si="0"/>
        <v>-1.7140000000000004</v>
      </c>
      <c r="M13" s="49">
        <f>+IFERROR(HLOOKUP($B13,'[3]11월'!$F$6:$CC$57,2,),)/1000</f>
        <v>16.068999999999999</v>
      </c>
      <c r="N13" s="50">
        <f t="shared" si="2"/>
        <v>-3.7829999999999995</v>
      </c>
      <c r="O13" s="46">
        <f>+IFERROR(HLOOKUP($B13,'[1]11월'!$D$6:$BN$259,3,),)/1000</f>
        <v>1414.0056000000002</v>
      </c>
      <c r="P13" s="47">
        <f>+IFERROR(HLOOKUP($B13,'[2]11월'!$F$6:$CP$99,3,),)/1000</f>
        <v>1181.5016000000001</v>
      </c>
      <c r="Q13" s="48">
        <f t="shared" si="3"/>
        <v>-232.50400000000013</v>
      </c>
      <c r="R13" s="49">
        <f>+IFERROR(HLOOKUP($B13,'[3]11월'!$F$6:$CC$57,3,),)/1000</f>
        <v>1581.87949</v>
      </c>
      <c r="S13" s="50">
        <f t="shared" si="4"/>
        <v>-400.37788999999998</v>
      </c>
      <c r="T13" s="46">
        <f>+IFERROR(HLOOKUP($B13,'[1]11월'!$D$6:$BN$259,16,),)/1000</f>
        <v>199.30404861214993</v>
      </c>
      <c r="U13" s="47">
        <f>+IFERROR(HLOOKUP($B13,'[2]11월'!$F$6:$CP$99,16,),)/1000</f>
        <v>84.464322000000067</v>
      </c>
      <c r="V13" s="48">
        <f t="shared" si="5"/>
        <v>-114.83972661214986</v>
      </c>
      <c r="W13" s="49">
        <f>+IFERROR(HLOOKUP($B13,'[3]11월'!$F$6:$CC$57,16,),)/1000</f>
        <v>188.29217800000015</v>
      </c>
      <c r="X13" s="50">
        <f t="shared" si="6"/>
        <v>-103.82785600000008</v>
      </c>
      <c r="Y13" s="46">
        <f>+[5]김해!$Q$85</f>
        <v>101000.40000000001</v>
      </c>
      <c r="Z13" s="47">
        <f>+[5]김해!$R$85</f>
        <v>96166.498453524342</v>
      </c>
      <c r="AA13" s="51">
        <f>+[6]김해!$Q$85</f>
        <v>98442.932976538665</v>
      </c>
      <c r="AB13" s="52">
        <f>+[5]김해!$Q$89</f>
        <v>77024.581660291791</v>
      </c>
      <c r="AC13" s="47">
        <f>+[5]김해!$R$89</f>
        <v>77299.138206088232</v>
      </c>
      <c r="AD13" s="53">
        <f>+[6]김해!$Q$89</f>
        <v>78010.995892712672</v>
      </c>
      <c r="AE13" s="52">
        <f t="shared" si="7"/>
        <v>23975.818339708218</v>
      </c>
      <c r="AF13" s="47">
        <f t="shared" si="7"/>
        <v>18867.360247436111</v>
      </c>
      <c r="AG13" s="53">
        <f t="shared" si="7"/>
        <v>20431.937083825993</v>
      </c>
      <c r="AH13" s="18"/>
      <c r="AI13" s="19"/>
      <c r="AJ13" s="96"/>
    </row>
    <row r="14" spans="1:36" s="8" customFormat="1" ht="19.5" customHeight="1" x14ac:dyDescent="0.3">
      <c r="B14" s="8" t="s">
        <v>28</v>
      </c>
      <c r="G14" s="792" t="str">
        <f t="shared" si="1"/>
        <v>정관</v>
      </c>
      <c r="H14" s="80"/>
      <c r="I14" s="81" t="s">
        <v>28</v>
      </c>
      <c r="J14" s="46">
        <f>+IFERROR(HLOOKUP($B14,'[1]11월'!$D$6:$BN$259,2,),)/1000</f>
        <v>19</v>
      </c>
      <c r="K14" s="47">
        <f>+IFERROR(HLOOKUP($B14,'[2]11월'!$F$6:$CP$99,2,),)/1000</f>
        <v>18.062999999999999</v>
      </c>
      <c r="L14" s="48">
        <f t="shared" si="0"/>
        <v>-0.93700000000000117</v>
      </c>
      <c r="M14" s="49">
        <f>+IFERROR(HLOOKUP($B14,'[3]11월'!$F$6:$CC$57,2,),)/1000</f>
        <v>22.187000000000001</v>
      </c>
      <c r="N14" s="50">
        <f t="shared" si="2"/>
        <v>-4.1240000000000023</v>
      </c>
      <c r="O14" s="46">
        <f>+IFERROR(HLOOKUP($B14,'[1]11월'!$D$6:$BN$259,3,),)/1000</f>
        <v>1976</v>
      </c>
      <c r="P14" s="47">
        <f>+IFERROR(HLOOKUP($B14,'[2]11월'!$F$6:$CP$99,3,),)/1000</f>
        <v>1827.778409</v>
      </c>
      <c r="Q14" s="48">
        <f t="shared" si="3"/>
        <v>-148.22159099999999</v>
      </c>
      <c r="R14" s="49">
        <f>+IFERROR(HLOOKUP($B14,'[3]11월'!$F$6:$CC$57,3,),)/1000</f>
        <v>2237.4767999999999</v>
      </c>
      <c r="S14" s="50">
        <f t="shared" si="4"/>
        <v>-409.6983909999999</v>
      </c>
      <c r="T14" s="46">
        <f>+IFERROR(HLOOKUP($B14,'[1]11월'!$D$6:$BN$259,16,),)/1000</f>
        <v>288.71255045942132</v>
      </c>
      <c r="U14" s="47">
        <f>+IFERROR(HLOOKUP($B14,'[2]11월'!$F$6:$CP$99,16,),)/1000</f>
        <v>141.17147200000005</v>
      </c>
      <c r="V14" s="48">
        <f t="shared" si="5"/>
        <v>-147.54107845942127</v>
      </c>
      <c r="W14" s="49">
        <f>+IFERROR(HLOOKUP($B14,'[3]11월'!$F$6:$CC$57,16,),)/1000</f>
        <v>345.89393199999961</v>
      </c>
      <c r="X14" s="50">
        <f t="shared" si="6"/>
        <v>-204.72245999999956</v>
      </c>
      <c r="Y14" s="46">
        <f>+[5]정관!$Q$85</f>
        <v>104000</v>
      </c>
      <c r="Z14" s="47">
        <f>+[5]정관!$R$85</f>
        <v>101189.08315340753</v>
      </c>
      <c r="AA14" s="51">
        <f>+[6]정관!$Q$85</f>
        <v>100846.29738134943</v>
      </c>
      <c r="AB14" s="52">
        <f>+[5]정관!$Q$89</f>
        <v>79201.726829621126</v>
      </c>
      <c r="AC14" s="47">
        <f>+[5]정관!$R$89</f>
        <v>82675.658810511755</v>
      </c>
      <c r="AD14" s="53">
        <f>+[6]정관!$Q$89</f>
        <v>76983.404380943801</v>
      </c>
      <c r="AE14" s="52">
        <f t="shared" si="7"/>
        <v>24798.273170378874</v>
      </c>
      <c r="AF14" s="47">
        <f t="shared" si="7"/>
        <v>18513.424342895771</v>
      </c>
      <c r="AG14" s="53">
        <f t="shared" si="7"/>
        <v>23862.893000405631</v>
      </c>
      <c r="AH14" s="18"/>
      <c r="AI14" s="19"/>
      <c r="AJ14" s="96"/>
    </row>
    <row r="15" spans="1:36" s="8" customFormat="1" ht="19.5" customHeight="1" x14ac:dyDescent="0.3">
      <c r="B15" s="8" t="s">
        <v>29</v>
      </c>
      <c r="G15" s="792" t="str">
        <f t="shared" si="1"/>
        <v>양산</v>
      </c>
      <c r="H15" s="80"/>
      <c r="I15" s="81" t="s">
        <v>29</v>
      </c>
      <c r="J15" s="46">
        <f>+IFERROR(HLOOKUP($B15,'[1]11월'!$D$6:$BN$259,2,),)/1000</f>
        <v>12</v>
      </c>
      <c r="K15" s="47">
        <f>+IFERROR(HLOOKUP($B15,'[2]11월'!$F$6:$CP$99,2,),)/1000</f>
        <v>10.32</v>
      </c>
      <c r="L15" s="48">
        <f t="shared" si="0"/>
        <v>-1.6799999999999997</v>
      </c>
      <c r="M15" s="49">
        <f>+IFERROR(HLOOKUP($B15,'[3]11월'!$F$6:$CC$57,2,),)/1000</f>
        <v>13.651</v>
      </c>
      <c r="N15" s="50">
        <f t="shared" si="2"/>
        <v>-3.3309999999999995</v>
      </c>
      <c r="O15" s="46">
        <f>+IFERROR(HLOOKUP($B15,'[1]11월'!$D$6:$BN$259,3,),)/1000</f>
        <v>1166.5218300000004</v>
      </c>
      <c r="P15" s="47">
        <f>+IFERROR(HLOOKUP($B15,'[2]11월'!$F$6:$CP$99,3,),)/1000</f>
        <v>1034.8856000000001</v>
      </c>
      <c r="Q15" s="48">
        <f t="shared" si="3"/>
        <v>-131.6362300000003</v>
      </c>
      <c r="R15" s="49">
        <f>+IFERROR(HLOOKUP($B15,'[3]11월'!$F$6:$CC$57,3,),)/1000</f>
        <v>1229.7333999999998</v>
      </c>
      <c r="S15" s="50">
        <f t="shared" si="4"/>
        <v>-194.84779999999978</v>
      </c>
      <c r="T15" s="46">
        <f>+IFERROR(HLOOKUP($B15,'[1]11월'!$D$6:$BN$259,16,),)/1000</f>
        <v>172.32306729061892</v>
      </c>
      <c r="U15" s="47">
        <f>+IFERROR(HLOOKUP($B15,'[2]11월'!$F$6:$CP$99,16,),)/1000</f>
        <v>98.711030999999963</v>
      </c>
      <c r="V15" s="48">
        <f t="shared" si="5"/>
        <v>-73.61203629061896</v>
      </c>
      <c r="W15" s="49">
        <f>+IFERROR(HLOOKUP($B15,'[3]11월'!$F$6:$CC$57,16,),)/1000</f>
        <v>75.512558999999797</v>
      </c>
      <c r="X15" s="50">
        <f t="shared" si="6"/>
        <v>23.198472000000166</v>
      </c>
      <c r="Y15" s="46">
        <f>+[5]양산!$Q$85</f>
        <v>97210.152500000026</v>
      </c>
      <c r="Z15" s="47">
        <f>+[5]양산!$R$85</f>
        <v>100279.61240310076</v>
      </c>
      <c r="AA15" s="51">
        <f>+[6]양산!$Q$85</f>
        <v>90083.759431543469</v>
      </c>
      <c r="AB15" s="52">
        <f>+[5]양산!$Q$89</f>
        <v>71708.560633189205</v>
      </c>
      <c r="AC15" s="47">
        <f>+[5]양산!$R$89</f>
        <v>76706.994768962511</v>
      </c>
      <c r="AD15" s="53">
        <f>+[6]양산!$Q$89</f>
        <v>73954.289826411768</v>
      </c>
      <c r="AE15" s="52">
        <f t="shared" si="7"/>
        <v>25501.591866810821</v>
      </c>
      <c r="AF15" s="47">
        <f t="shared" si="7"/>
        <v>23572.617634138252</v>
      </c>
      <c r="AG15" s="53">
        <f t="shared" si="7"/>
        <v>16129.469605131701</v>
      </c>
      <c r="AH15" s="18"/>
      <c r="AI15" s="19"/>
      <c r="AJ15" s="96"/>
    </row>
    <row r="16" spans="1:36" s="8" customFormat="1" ht="19.5" customHeight="1" x14ac:dyDescent="0.3">
      <c r="B16" s="8" t="s">
        <v>30</v>
      </c>
      <c r="G16" s="792" t="str">
        <f t="shared" si="1"/>
        <v>창원</v>
      </c>
      <c r="H16" s="80"/>
      <c r="I16" s="81" t="s">
        <v>30</v>
      </c>
      <c r="J16" s="46">
        <f>+IFERROR(HLOOKUP($B16,'[1]11월'!$D$6:$BN$259,2,),)/1000</f>
        <v>16</v>
      </c>
      <c r="K16" s="47">
        <f>+IFERROR(HLOOKUP($B16,'[2]11월'!$F$6:$CP$99,2,),)/1000</f>
        <v>13.393000000000001</v>
      </c>
      <c r="L16" s="48">
        <f t="shared" si="0"/>
        <v>-2.6069999999999993</v>
      </c>
      <c r="M16" s="49">
        <f>+IFERROR(HLOOKUP($B16,'[3]11월'!$F$6:$CC$57,2,),)/1000</f>
        <v>24.905000000000001</v>
      </c>
      <c r="N16" s="50">
        <f t="shared" si="2"/>
        <v>-11.512</v>
      </c>
      <c r="O16" s="46">
        <f>+IFERROR(HLOOKUP($B16,'[1]11월'!$D$6:$BN$259,3,),)/1000</f>
        <v>1628.6015</v>
      </c>
      <c r="P16" s="47">
        <f>+IFERROR(HLOOKUP($B16,'[2]11월'!$F$6:$CP$99,3,),)/1000</f>
        <v>1320.8885</v>
      </c>
      <c r="Q16" s="48">
        <f t="shared" si="3"/>
        <v>-307.71299999999997</v>
      </c>
      <c r="R16" s="49">
        <f>+IFERROR(HLOOKUP($B16,'[3]11월'!$F$6:$CC$57,3,),)/1000</f>
        <v>2379.7132000000001</v>
      </c>
      <c r="S16" s="50">
        <f t="shared" si="4"/>
        <v>-1058.8247000000001</v>
      </c>
      <c r="T16" s="46">
        <f>+IFERROR(HLOOKUP($B16,'[1]11월'!$D$6:$BN$259,16,),)/1000</f>
        <v>283.85297836206314</v>
      </c>
      <c r="U16" s="47">
        <f>+IFERROR(HLOOKUP($B16,'[2]11월'!$F$6:$CP$99,16,),)/1000</f>
        <v>134.08562200000003</v>
      </c>
      <c r="V16" s="48">
        <f t="shared" si="5"/>
        <v>-149.76735636206311</v>
      </c>
      <c r="W16" s="49">
        <f>+IFERROR(HLOOKUP($B16,'[3]11월'!$F$6:$CC$57,16,),)/1000</f>
        <v>375.28587300000015</v>
      </c>
      <c r="X16" s="50">
        <f t="shared" si="6"/>
        <v>-241.20025100000012</v>
      </c>
      <c r="Y16" s="46">
        <f>+[5]창원!$Q$85</f>
        <v>101787.59375</v>
      </c>
      <c r="Z16" s="47">
        <f>+[5]창원!$R$85</f>
        <v>98625.289330247149</v>
      </c>
      <c r="AA16" s="51">
        <f>+[6]창원!$Q$85</f>
        <v>95551.624171853051</v>
      </c>
      <c r="AB16" s="52">
        <f>+[5]창원!$Q$89</f>
        <v>72750.016410964919</v>
      </c>
      <c r="AC16" s="47">
        <f>+[5]창원!$R$89</f>
        <v>75355.289479578889</v>
      </c>
      <c r="AD16" s="53">
        <f>+[6]창원!$Q$89</f>
        <v>72769.449869504126</v>
      </c>
      <c r="AE16" s="52">
        <f t="shared" si="7"/>
        <v>29037.577339035081</v>
      </c>
      <c r="AF16" s="47">
        <f t="shared" si="7"/>
        <v>23269.99985066826</v>
      </c>
      <c r="AG16" s="53">
        <f t="shared" si="7"/>
        <v>22782.174302348925</v>
      </c>
      <c r="AH16" s="18"/>
      <c r="AI16" s="19"/>
      <c r="AJ16" s="96"/>
    </row>
    <row r="17" spans="2:38" s="8" customFormat="1" ht="19.5" customHeight="1" x14ac:dyDescent="0.3">
      <c r="B17" s="8" t="s">
        <v>87</v>
      </c>
      <c r="G17" s="792" t="str">
        <f t="shared" si="1"/>
        <v>대구</v>
      </c>
      <c r="H17" s="80"/>
      <c r="I17" s="81" t="s">
        <v>87</v>
      </c>
      <c r="J17" s="46">
        <f>+IFERROR(HLOOKUP($B17,'[1]11월'!$D$6:$BN$259,2,),)/1000</f>
        <v>16.5</v>
      </c>
      <c r="K17" s="47">
        <f>+IFERROR(HLOOKUP($B17,'[2]11월'!$F$6:$CP$99,2,),)/1000</f>
        <v>15.449</v>
      </c>
      <c r="L17" s="48">
        <f t="shared" si="0"/>
        <v>-1.0510000000000002</v>
      </c>
      <c r="M17" s="49">
        <f>+IFERROR(HLOOKUP($B17,'[3]11월'!$F$6:$CC$57,2,),)/1000</f>
        <v>19.431000000000001</v>
      </c>
      <c r="N17" s="50">
        <f t="shared" si="2"/>
        <v>-3.9820000000000011</v>
      </c>
      <c r="O17" s="46">
        <f>+IFERROR(HLOOKUP($B17,'[1]11월'!$D$6:$BN$259,3,),)/1000</f>
        <v>1613.04</v>
      </c>
      <c r="P17" s="47">
        <f>+IFERROR(HLOOKUP($B17,'[2]11월'!$F$6:$CP$99,3,),)/1000</f>
        <v>1485.46525</v>
      </c>
      <c r="Q17" s="48">
        <f t="shared" si="3"/>
        <v>-127.57474999999999</v>
      </c>
      <c r="R17" s="49">
        <f>+IFERROR(HLOOKUP($B17,'[3]11월'!$F$6:$CC$57,3,),)/1000</f>
        <v>1786.2266000000002</v>
      </c>
      <c r="S17" s="50">
        <f t="shared" si="4"/>
        <v>-300.76135000000022</v>
      </c>
      <c r="T17" s="46">
        <f>+IFERROR(HLOOKUP($B17,'[1]11월'!$D$6:$BN$259,16,),)/1000</f>
        <v>284.59643278226957</v>
      </c>
      <c r="U17" s="47">
        <f>+IFERROR(HLOOKUP($B17,'[2]11월'!$F$6:$CP$99,16,),)/1000</f>
        <v>166.75688400000007</v>
      </c>
      <c r="V17" s="48">
        <f t="shared" si="5"/>
        <v>-117.8395487822695</v>
      </c>
      <c r="W17" s="49">
        <f>+IFERROR(HLOOKUP($B17,'[3]11월'!$F$6:$CC$57,16,),)/1000</f>
        <v>222.08831200000006</v>
      </c>
      <c r="X17" s="50">
        <f t="shared" si="6"/>
        <v>-55.331427999999988</v>
      </c>
      <c r="Y17" s="46">
        <f>+[5]대구!$Q$85</f>
        <v>97760</v>
      </c>
      <c r="Z17" s="47">
        <f>+[5]대구!$R$85</f>
        <v>96152.841607871058</v>
      </c>
      <c r="AA17" s="51">
        <f>+[6]대구!$Q$85</f>
        <v>91926.64299315527</v>
      </c>
      <c r="AB17" s="52">
        <f>+[5]대구!$Q$89</f>
        <v>71060.781802609359</v>
      </c>
      <c r="AC17" s="47">
        <f>+[5]대구!$R$89</f>
        <v>74152.653181435686</v>
      </c>
      <c r="AD17" s="53">
        <f>+[6]대구!$Q$89</f>
        <v>71502.713601976226</v>
      </c>
      <c r="AE17" s="52">
        <f t="shared" si="7"/>
        <v>26699.218197390641</v>
      </c>
      <c r="AF17" s="47">
        <f t="shared" si="7"/>
        <v>22000.188426435372</v>
      </c>
      <c r="AG17" s="53">
        <f t="shared" si="7"/>
        <v>20423.929391179045</v>
      </c>
      <c r="AH17" s="18"/>
      <c r="AI17" s="19"/>
      <c r="AJ17" s="96"/>
    </row>
    <row r="18" spans="2:38" s="8" customFormat="1" ht="19.5" customHeight="1" x14ac:dyDescent="0.3">
      <c r="B18" s="8" t="s">
        <v>88</v>
      </c>
      <c r="G18" s="794" t="str">
        <f t="shared" si="1"/>
        <v>울산</v>
      </c>
      <c r="H18" s="80"/>
      <c r="I18" s="83" t="s">
        <v>88</v>
      </c>
      <c r="J18" s="10">
        <f>+IFERROR(HLOOKUP($B18,'[1]11월'!$D$6:$BN$259,2,),)/1000</f>
        <v>12</v>
      </c>
      <c r="K18" s="11">
        <f>+IFERROR(HLOOKUP($B18,'[2]11월'!$F$6:$CP$99,2,),)/1000</f>
        <v>12.988</v>
      </c>
      <c r="L18" s="12">
        <f t="shared" si="0"/>
        <v>0.98799999999999955</v>
      </c>
      <c r="M18" s="13">
        <f>+IFERROR(HLOOKUP($B18,'[3]11월'!$F$6:$CC$57,2,),)/1000</f>
        <v>5.2705000000000002</v>
      </c>
      <c r="N18" s="14">
        <f t="shared" si="2"/>
        <v>7.7174999999999994</v>
      </c>
      <c r="O18" s="10">
        <f>+IFERROR(HLOOKUP($B18,'[1]11월'!$D$6:$BN$259,3,),)/1000</f>
        <v>1215.058</v>
      </c>
      <c r="P18" s="11">
        <f>+IFERROR(HLOOKUP($B18,'[2]11월'!$F$6:$CP$99,3,),)/1000</f>
        <v>1407.4653000000001</v>
      </c>
      <c r="Q18" s="12">
        <f t="shared" si="3"/>
        <v>192.40730000000008</v>
      </c>
      <c r="R18" s="13">
        <f>+IFERROR(HLOOKUP($B18,'[3]11월'!$F$6:$CC$57,3,),)/1000</f>
        <v>526.10090000000002</v>
      </c>
      <c r="S18" s="14">
        <f t="shared" si="4"/>
        <v>881.36440000000005</v>
      </c>
      <c r="T18" s="10">
        <f>+IFERROR(HLOOKUP($B18,'[1]11월'!$D$6:$BN$259,16,),)/1000</f>
        <v>120.14689272030083</v>
      </c>
      <c r="U18" s="11">
        <f>+IFERROR(HLOOKUP($B18,'[2]11월'!$F$6:$CP$99,16,),)/1000</f>
        <v>169.85774900000004</v>
      </c>
      <c r="V18" s="12">
        <f t="shared" si="5"/>
        <v>49.710856279699215</v>
      </c>
      <c r="W18" s="13">
        <f>+IFERROR(HLOOKUP($B18,'[3]11월'!$F$6:$CC$57,16,),)/1000</f>
        <v>-18.246208000000031</v>
      </c>
      <c r="X18" s="14">
        <f t="shared" si="6"/>
        <v>188.10395700000007</v>
      </c>
      <c r="Y18" s="10">
        <f>+[5]울산!$Q$85</f>
        <v>101254.83333333334</v>
      </c>
      <c r="Z18" s="11">
        <f>+[5]울산!$R$85</f>
        <v>108366.59223898983</v>
      </c>
      <c r="AA18" s="15">
        <f>+[6]울산!$Q$85</f>
        <v>99801.71477565018</v>
      </c>
      <c r="AB18" s="16">
        <f>+[5]울산!$Q$89</f>
        <v>80550.788769878622</v>
      </c>
      <c r="AC18" s="11">
        <f>+[5]울산!$R$89</f>
        <v>83931.342392978142</v>
      </c>
      <c r="AD18" s="17">
        <f>+[6]울산!$Q$89</f>
        <v>80390.959321710965</v>
      </c>
      <c r="AE18" s="16">
        <f t="shared" si="7"/>
        <v>20704.044563454721</v>
      </c>
      <c r="AF18" s="11">
        <f t="shared" si="7"/>
        <v>24435.249846011691</v>
      </c>
      <c r="AG18" s="17">
        <f t="shared" si="7"/>
        <v>19410.755453939215</v>
      </c>
      <c r="AH18" s="18"/>
      <c r="AI18" s="19"/>
      <c r="AJ18" s="96"/>
    </row>
    <row r="19" spans="2:38" s="8" customFormat="1" ht="19.5" customHeight="1" x14ac:dyDescent="0.3">
      <c r="B19" s="8" t="s">
        <v>93</v>
      </c>
      <c r="G19" s="794" t="str">
        <f t="shared" si="1"/>
        <v>아산</v>
      </c>
      <c r="H19" s="80"/>
      <c r="I19" s="81" t="s">
        <v>31</v>
      </c>
      <c r="J19" s="46">
        <f>+IFERROR(HLOOKUP($B19,'[1]11월'!$D$6:$BN$259,2,),)/1000</f>
        <v>28</v>
      </c>
      <c r="K19" s="47">
        <f>+IFERROR(HLOOKUP($B19,'[2]11월'!$F$6:$CP$99,2,),)/1000</f>
        <v>27.751000000000001</v>
      </c>
      <c r="L19" s="48">
        <f t="shared" si="0"/>
        <v>-0.24899999999999878</v>
      </c>
      <c r="M19" s="49">
        <f>+IFERROR(HLOOKUP($B19,'[3]11월'!$F$6:$CC$57,2,),)/1000</f>
        <v>30.917999999999999</v>
      </c>
      <c r="N19" s="50">
        <f t="shared" si="2"/>
        <v>-3.166999999999998</v>
      </c>
      <c r="O19" s="46">
        <f>+IFERROR(HLOOKUP($B19,'[1]11월'!$D$6:$BN$259,3,),)/1000</f>
        <v>2828.0149999999999</v>
      </c>
      <c r="P19" s="47">
        <f>+IFERROR(HLOOKUP($B19,'[2]11월'!$F$6:$CP$99,3,),)/1000</f>
        <v>2807.1351370000002</v>
      </c>
      <c r="Q19" s="48">
        <f t="shared" si="3"/>
        <v>-20.879862999999659</v>
      </c>
      <c r="R19" s="49">
        <f>+IFERROR(HLOOKUP($B19,'[3]11월'!$F$6:$CC$57,3,),)/1000</f>
        <v>2979.6451999999999</v>
      </c>
      <c r="S19" s="50">
        <f t="shared" si="4"/>
        <v>-172.51006299999972</v>
      </c>
      <c r="T19" s="46">
        <f>+IFERROR(HLOOKUP($B19,'[1]11월'!$D$6:$BN$259,16,),)/1000</f>
        <v>446.1752727703493</v>
      </c>
      <c r="U19" s="47">
        <f>+IFERROR(HLOOKUP($B19,'[2]11월'!$F$6:$CP$99,16,),)/1000</f>
        <v>245.55113900000026</v>
      </c>
      <c r="V19" s="48">
        <f t="shared" si="5"/>
        <v>-200.62413377034903</v>
      </c>
      <c r="W19" s="49">
        <f>+IFERROR(HLOOKUP($B19,'[3]11월'!$F$6:$CC$57,16,),)/1000</f>
        <v>374.96461099999982</v>
      </c>
      <c r="X19" s="50">
        <f t="shared" si="6"/>
        <v>-129.41347199999956</v>
      </c>
      <c r="Y19" s="46">
        <f>+[5]아산!$Q$85</f>
        <v>101000.53571428572</v>
      </c>
      <c r="Z19" s="47">
        <f>+[5]아산!$R$85</f>
        <v>100993.94329953512</v>
      </c>
      <c r="AA19" s="51">
        <f>+[6]아산!$Q$85</f>
        <v>96250.587116242459</v>
      </c>
      <c r="AB19" s="52">
        <f>+[5]아산!$Q$89</f>
        <v>77568.064344664177</v>
      </c>
      <c r="AC19" s="47">
        <f>+[5]아산!$R$89</f>
        <v>82819.721522223452</v>
      </c>
      <c r="AD19" s="53">
        <f>+[6]아산!$Q$89</f>
        <v>77247.813073996324</v>
      </c>
      <c r="AE19" s="52">
        <f t="shared" si="7"/>
        <v>23432.471369621548</v>
      </c>
      <c r="AF19" s="47">
        <f t="shared" si="7"/>
        <v>18174.221777311672</v>
      </c>
      <c r="AG19" s="53">
        <f t="shared" si="7"/>
        <v>19002.774042246136</v>
      </c>
      <c r="AH19" s="18"/>
      <c r="AI19" s="19"/>
      <c r="AJ19" s="96"/>
    </row>
    <row r="20" spans="2:38" s="8" customFormat="1" ht="19.5" customHeight="1" x14ac:dyDescent="0.3">
      <c r="B20" s="8" t="s">
        <v>89</v>
      </c>
      <c r="G20" s="794" t="str">
        <f t="shared" si="1"/>
        <v>전주</v>
      </c>
      <c r="H20" s="80"/>
      <c r="I20" s="81" t="s">
        <v>89</v>
      </c>
      <c r="J20" s="46">
        <f>+IFERROR(HLOOKUP($B20,'[1]11월'!$D$6:$BN$259,2,),)/1000</f>
        <v>12</v>
      </c>
      <c r="K20" s="47">
        <f>+IFERROR(HLOOKUP($B20,'[2]11월'!$F$6:$CP$99,2,),)/1000</f>
        <v>9.1184999999999992</v>
      </c>
      <c r="L20" s="48">
        <f t="shared" si="0"/>
        <v>-2.8815000000000008</v>
      </c>
      <c r="M20" s="49">
        <f>+IFERROR(HLOOKUP($B20,'[3]11월'!$F$6:$CC$57,2,),)/1000</f>
        <v>11.305999999999999</v>
      </c>
      <c r="N20" s="50">
        <f t="shared" si="2"/>
        <v>-2.1875</v>
      </c>
      <c r="O20" s="46">
        <f>+IFERROR(HLOOKUP($B20,'[1]11월'!$D$6:$BN$259,3,),)/1000</f>
        <v>1221.5592599999998</v>
      </c>
      <c r="P20" s="47">
        <f>+IFERROR(HLOOKUP($B20,'[2]11월'!$F$6:$CP$99,3,),)/1000</f>
        <v>903.67658199999994</v>
      </c>
      <c r="Q20" s="48">
        <f t="shared" si="3"/>
        <v>-317.88267799999983</v>
      </c>
      <c r="R20" s="49">
        <f>+IFERROR(HLOOKUP($B20,'[3]11월'!$F$6:$CC$57,3,),)/1000</f>
        <v>968.30039999999997</v>
      </c>
      <c r="S20" s="50">
        <f t="shared" si="4"/>
        <v>-64.623818000000028</v>
      </c>
      <c r="T20" s="46">
        <f>+IFERROR(HLOOKUP($B20,'[1]11월'!$D$6:$BN$259,16,),)/1000</f>
        <v>204.11100551136289</v>
      </c>
      <c r="U20" s="47">
        <f>+IFERROR(HLOOKUP($B20,'[2]11월'!$F$6:$CP$99,16,),)/1000</f>
        <v>64.24647700000007</v>
      </c>
      <c r="V20" s="48">
        <f t="shared" si="5"/>
        <v>-139.86452851136283</v>
      </c>
      <c r="W20" s="49">
        <f>+IFERROR(HLOOKUP($B20,'[3]11월'!$F$6:$CC$57,16,),)/1000</f>
        <v>56.852235999999955</v>
      </c>
      <c r="X20" s="50">
        <f t="shared" si="6"/>
        <v>7.3942410000001146</v>
      </c>
      <c r="Y20" s="46">
        <f>+[5]전주!$Q$85</f>
        <v>101796.60499999998</v>
      </c>
      <c r="Z20" s="47">
        <f>+[5]전주!$R$85</f>
        <v>99117.983709411114</v>
      </c>
      <c r="AA20" s="51">
        <f>+[6]전주!$Q$85</f>
        <v>85633.894401133948</v>
      </c>
      <c r="AB20" s="52">
        <f>+[5]전주!$Q$89</f>
        <v>73495.474750370791</v>
      </c>
      <c r="AC20" s="47">
        <f>+[5]전주!$R$89</f>
        <v>76865.183048981839</v>
      </c>
      <c r="AD20" s="53">
        <f>+[6]전주!$Q$89</f>
        <v>68516.279145995766</v>
      </c>
      <c r="AE20" s="52">
        <f t="shared" si="7"/>
        <v>28301.13024962919</v>
      </c>
      <c r="AF20" s="47">
        <f t="shared" si="7"/>
        <v>22252.800660429275</v>
      </c>
      <c r="AG20" s="53">
        <f t="shared" si="7"/>
        <v>17117.615255138182</v>
      </c>
      <c r="AH20" s="18"/>
      <c r="AI20" s="19"/>
      <c r="AJ20" s="96"/>
    </row>
    <row r="21" spans="2:38" s="8" customFormat="1" ht="19.5" customHeight="1" x14ac:dyDescent="0.3">
      <c r="B21" s="8" t="s">
        <v>90</v>
      </c>
      <c r="G21" s="794" t="str">
        <f t="shared" si="1"/>
        <v>군산</v>
      </c>
      <c r="H21" s="80"/>
      <c r="I21" s="81" t="s">
        <v>90</v>
      </c>
      <c r="J21" s="46">
        <f>+IFERROR(HLOOKUP($B21,'[1]11월'!$D$6:$BN$259,2,),)/1000</f>
        <v>7</v>
      </c>
      <c r="K21" s="47">
        <f>+IFERROR(HLOOKUP($B21,'[2]11월'!$F$6:$CP$99,2,),)/1000</f>
        <v>7.1470000000000002</v>
      </c>
      <c r="L21" s="48">
        <f t="shared" si="0"/>
        <v>0.14700000000000024</v>
      </c>
      <c r="M21" s="49">
        <f>+IFERROR(HLOOKUP($B21,'[3]11월'!$F$6:$CC$57,2,),)/1000</f>
        <v>10.182499999999999</v>
      </c>
      <c r="N21" s="50">
        <f t="shared" si="2"/>
        <v>-3.035499999999999</v>
      </c>
      <c r="O21" s="46">
        <f>+IFERROR(HLOOKUP($B21,'[1]11월'!$D$6:$BN$259,3,),)/1000</f>
        <v>762.99902899999995</v>
      </c>
      <c r="P21" s="47">
        <f>+IFERROR(HLOOKUP($B21,'[2]11월'!$F$6:$CP$99,3,),)/1000</f>
        <v>764.91769999999997</v>
      </c>
      <c r="Q21" s="48">
        <f t="shared" si="3"/>
        <v>1.9186710000000176</v>
      </c>
      <c r="R21" s="49">
        <f>+IFERROR(HLOOKUP($B21,'[3]11월'!$F$6:$CC$57,3,),)/1000</f>
        <v>1059.870643</v>
      </c>
      <c r="S21" s="50">
        <f t="shared" si="4"/>
        <v>-294.952943</v>
      </c>
      <c r="T21" s="46">
        <f>+IFERROR(HLOOKUP($B21,'[1]11월'!$D$6:$BN$259,16,),)/1000</f>
        <v>193.4112638406009</v>
      </c>
      <c r="U21" s="47">
        <f>+IFERROR(HLOOKUP($B21,'[2]11월'!$F$6:$CP$99,16,),)/1000</f>
        <v>153.19347700000003</v>
      </c>
      <c r="V21" s="48">
        <f t="shared" si="5"/>
        <v>-40.217786840600866</v>
      </c>
      <c r="W21" s="49">
        <f>+IFERROR(HLOOKUP($B21,'[3]11월'!$F$6:$CC$57,16,),)/1000</f>
        <v>286.2794219999999</v>
      </c>
      <c r="X21" s="50">
        <f t="shared" si="6"/>
        <v>-133.08594499999987</v>
      </c>
      <c r="Y21" s="46">
        <f>+[5]군산!$Q$85</f>
        <v>108999.86128571429</v>
      </c>
      <c r="Z21" s="47">
        <f>+[5]군산!$R$85</f>
        <v>107026.40268644186</v>
      </c>
      <c r="AA21" s="51">
        <f>+[6]군산!$Q$85</f>
        <v>104087.46800883868</v>
      </c>
      <c r="AB21" s="52">
        <f>+[5]군산!$Q$89</f>
        <v>70884.732734888428</v>
      </c>
      <c r="AC21" s="47">
        <f>+[5]군산!$R$89</f>
        <v>73409.949069539667</v>
      </c>
      <c r="AD21" s="53">
        <f>+[6]군산!$Q$89</f>
        <v>68690.170783206486</v>
      </c>
      <c r="AE21" s="52">
        <f t="shared" si="7"/>
        <v>38115.128550825859</v>
      </c>
      <c r="AF21" s="47">
        <f t="shared" si="7"/>
        <v>33616.453616902189</v>
      </c>
      <c r="AG21" s="53">
        <f t="shared" si="7"/>
        <v>35397.297225632195</v>
      </c>
      <c r="AH21" s="18"/>
      <c r="AI21" s="19"/>
      <c r="AJ21" s="96"/>
    </row>
    <row r="22" spans="2:38" s="8" customFormat="1" ht="19.5" customHeight="1" x14ac:dyDescent="0.3">
      <c r="B22" s="8" t="s">
        <v>91</v>
      </c>
      <c r="G22" s="794" t="str">
        <f t="shared" si="1"/>
        <v>원주</v>
      </c>
      <c r="H22" s="80"/>
      <c r="I22" s="81" t="s">
        <v>91</v>
      </c>
      <c r="J22" s="46">
        <f>+IFERROR(HLOOKUP($B22,'[1]11월'!$D$6:$BN$259,2,),)/1000</f>
        <v>5</v>
      </c>
      <c r="K22" s="47">
        <f>+IFERROR(HLOOKUP($B22,'[2]11월'!$F$6:$CP$99,2,),)/1000</f>
        <v>4.5540000000000003</v>
      </c>
      <c r="L22" s="48">
        <f t="shared" si="0"/>
        <v>-0.44599999999999973</v>
      </c>
      <c r="M22" s="49">
        <f>+IFERROR(HLOOKUP($B22,'[3]11월'!$F$6:$CC$57,2,),)/1000</f>
        <v>5.9844999999999997</v>
      </c>
      <c r="N22" s="50">
        <f t="shared" si="2"/>
        <v>-1.4304999999999994</v>
      </c>
      <c r="O22" s="46">
        <f>+IFERROR(HLOOKUP($B22,'[1]11월'!$D$6:$BN$259,3,),)/1000</f>
        <v>539.5</v>
      </c>
      <c r="P22" s="47">
        <f>+IFERROR(HLOOKUP($B22,'[2]11월'!$F$6:$CP$99,3,),)/1000</f>
        <v>521.41489999999999</v>
      </c>
      <c r="Q22" s="48">
        <f t="shared" si="3"/>
        <v>-18.085100000000011</v>
      </c>
      <c r="R22" s="49">
        <f>+IFERROR(HLOOKUP($B22,'[3]11월'!$F$6:$CC$57,3,),)/1000</f>
        <v>615.87139999999988</v>
      </c>
      <c r="S22" s="50">
        <f t="shared" si="4"/>
        <v>-94.456499999999892</v>
      </c>
      <c r="T22" s="46">
        <f>+IFERROR(HLOOKUP($B22,'[1]11월'!$D$6:$BN$259,16,),)/1000</f>
        <v>96.951877009758903</v>
      </c>
      <c r="U22" s="47">
        <f>+IFERROR(HLOOKUP($B22,'[2]11월'!$F$6:$CP$99,16,),)/1000</f>
        <v>96.375568999999984</v>
      </c>
      <c r="V22" s="48">
        <f t="shared" si="5"/>
        <v>-0.57630800975891816</v>
      </c>
      <c r="W22" s="49">
        <f>+IFERROR(HLOOKUP($B22,'[3]11월'!$F$6:$CC$57,16,),)/1000</f>
        <v>84.897066999999907</v>
      </c>
      <c r="X22" s="50">
        <f t="shared" si="6"/>
        <v>11.478502000000077</v>
      </c>
      <c r="Y22" s="46">
        <f>+[5]원주!$Q$85</f>
        <v>107900</v>
      </c>
      <c r="Z22" s="47">
        <f>+[5]원주!$R$85</f>
        <v>114496.02547211244</v>
      </c>
      <c r="AA22" s="51">
        <f>+[6]원주!$Q$85</f>
        <v>103024.56388913485</v>
      </c>
      <c r="AB22" s="52">
        <f>+[5]원주!$Q$89</f>
        <v>73124.292513522101</v>
      </c>
      <c r="AC22" s="47">
        <f>+[5]원주!$R$89</f>
        <v>74946.43390425999</v>
      </c>
      <c r="AD22" s="53">
        <f>+[6]원주!$Q$89</f>
        <v>74178.192154431948</v>
      </c>
      <c r="AE22" s="52">
        <f t="shared" si="7"/>
        <v>34775.707486477899</v>
      </c>
      <c r="AF22" s="47">
        <f t="shared" si="7"/>
        <v>39549.591567852447</v>
      </c>
      <c r="AG22" s="53">
        <f t="shared" si="7"/>
        <v>28846.371734702901</v>
      </c>
      <c r="AH22" s="18"/>
      <c r="AI22" s="19"/>
      <c r="AJ22" s="96"/>
    </row>
    <row r="23" spans="2:38" s="8" customFormat="1" ht="19.5" customHeight="1" x14ac:dyDescent="0.3">
      <c r="B23" s="8" t="s">
        <v>92</v>
      </c>
      <c r="G23" s="792" t="str">
        <f t="shared" si="1"/>
        <v>제주</v>
      </c>
      <c r="H23" s="80"/>
      <c r="I23" s="81" t="s">
        <v>92</v>
      </c>
      <c r="J23" s="46">
        <f>+IFERROR(HLOOKUP($B23,'[1]11월'!$D$6:$BN$259,2,),)/1000</f>
        <v>7</v>
      </c>
      <c r="K23" s="47">
        <f>+IFERROR(HLOOKUP($B23,'[2]11월'!$F$6:$CP$99,2,),)/1000</f>
        <v>2.9009999999999998</v>
      </c>
      <c r="L23" s="48">
        <f t="shared" si="0"/>
        <v>-4.0990000000000002</v>
      </c>
      <c r="M23" s="49">
        <f>+IFERROR(HLOOKUP($B23,'[3]11월'!$F$6:$CC$57,2,),)/1000</f>
        <v>6.3775000000000004</v>
      </c>
      <c r="N23" s="50">
        <f t="shared" si="2"/>
        <v>-3.4765000000000006</v>
      </c>
      <c r="O23" s="46">
        <f>+IFERROR(HLOOKUP($B23,'[1]11월'!$D$6:$BN$259,3,),)/1000</f>
        <v>887.6</v>
      </c>
      <c r="P23" s="47">
        <f>+IFERROR(HLOOKUP($B23,'[2]11월'!$F$6:$CP$99,3,),)/1000</f>
        <v>350.951435</v>
      </c>
      <c r="Q23" s="48">
        <f t="shared" si="3"/>
        <v>-536.64856499999996</v>
      </c>
      <c r="R23" s="49">
        <f>+IFERROR(HLOOKUP($B23,'[3]11월'!$F$6:$CC$57,3,),)/1000</f>
        <v>774.9570809999999</v>
      </c>
      <c r="S23" s="50">
        <f t="shared" si="4"/>
        <v>-424.0056459999999</v>
      </c>
      <c r="T23" s="46">
        <f>+IFERROR(HLOOKUP($B23,'[1]11월'!$D$6:$BN$259,16,),)/1000</f>
        <v>165.25926845150897</v>
      </c>
      <c r="U23" s="47">
        <f>+IFERROR(HLOOKUP($B23,'[2]11월'!$F$6:$CP$99,16,),)/1000</f>
        <v>-11.658004000000037</v>
      </c>
      <c r="V23" s="48">
        <f t="shared" si="5"/>
        <v>-176.91727245150901</v>
      </c>
      <c r="W23" s="49">
        <f>+IFERROR(HLOOKUP($B23,'[3]11월'!$F$6:$CC$57,16,),)/1000</f>
        <v>118.19630299999989</v>
      </c>
      <c r="X23" s="50">
        <f t="shared" si="6"/>
        <v>-129.85430699999992</v>
      </c>
      <c r="Y23" s="46">
        <f>+[5]제주!$Q$85</f>
        <v>126800</v>
      </c>
      <c r="Z23" s="47">
        <f>+[5]제주!$R$85</f>
        <v>120976.02033781455</v>
      </c>
      <c r="AA23" s="51">
        <f>+[6]제주!$Q$85</f>
        <v>121552.07784866348</v>
      </c>
      <c r="AB23" s="52">
        <f>+[5]제주!$Q$89</f>
        <v>91213.271815179265</v>
      </c>
      <c r="AC23" s="47">
        <f>+[5]제주!$R$89</f>
        <v>91677.9147766323</v>
      </c>
      <c r="AD23" s="53">
        <f>+[6]제주!$Q$89</f>
        <v>87747.614263865413</v>
      </c>
      <c r="AE23" s="52">
        <f t="shared" si="7"/>
        <v>35586.728184820735</v>
      </c>
      <c r="AF23" s="47">
        <f t="shared" si="7"/>
        <v>29298.105561182252</v>
      </c>
      <c r="AG23" s="53">
        <f t="shared" si="7"/>
        <v>33804.463584798068</v>
      </c>
      <c r="AH23" s="18"/>
      <c r="AI23" s="19"/>
      <c r="AJ23" s="96"/>
    </row>
    <row r="24" spans="2:38" s="8" customFormat="1" ht="19.5" customHeight="1" x14ac:dyDescent="0.3">
      <c r="G24" s="795" t="str">
        <f t="shared" si="1"/>
        <v>수도권</v>
      </c>
      <c r="H24" s="80"/>
      <c r="I24" s="84" t="s">
        <v>55</v>
      </c>
      <c r="J24" s="23">
        <f>SUM(J7:J10)</f>
        <v>121.5</v>
      </c>
      <c r="K24" s="20">
        <f>SUM(K7:K10)</f>
        <v>107.64600000000002</v>
      </c>
      <c r="L24" s="21">
        <f t="shared" si="0"/>
        <v>-13.853999999999985</v>
      </c>
      <c r="M24" s="25">
        <f>SUM(M7:M10)</f>
        <v>139.27168</v>
      </c>
      <c r="N24" s="22">
        <f t="shared" si="2"/>
        <v>-31.625679999999988</v>
      </c>
      <c r="O24" s="23">
        <f>SUM(O7:O10)</f>
        <v>12416.803180605306</v>
      </c>
      <c r="P24" s="20">
        <f>SUM(P7:P10)</f>
        <v>10479.180436000001</v>
      </c>
      <c r="Q24" s="21">
        <f t="shared" si="3"/>
        <v>-1937.6227446053053</v>
      </c>
      <c r="R24" s="25">
        <f>SUM(R7:R10)</f>
        <v>13147.691978999999</v>
      </c>
      <c r="S24" s="22">
        <f t="shared" si="4"/>
        <v>-2668.5115429999987</v>
      </c>
      <c r="T24" s="23">
        <f>SUM(T7:T10)</f>
        <v>1856.0098865891316</v>
      </c>
      <c r="U24" s="20">
        <f>SUM(U7:U10)</f>
        <v>553.11277199999984</v>
      </c>
      <c r="V24" s="21">
        <f t="shared" si="5"/>
        <v>-1302.8971145891319</v>
      </c>
      <c r="W24" s="25">
        <f>SUM(W7:W10)</f>
        <v>900.72376899999904</v>
      </c>
      <c r="X24" s="22">
        <f t="shared" si="6"/>
        <v>-347.6109969999992</v>
      </c>
      <c r="Y24" s="23">
        <f>+[5]수도권!$Q$85</f>
        <v>102195.91095148401</v>
      </c>
      <c r="Z24" s="20">
        <f>+[5]수도권!$R$85</f>
        <v>97363.140990806569</v>
      </c>
      <c r="AA24" s="24">
        <f>+[6]수도권!$Q$85</f>
        <v>94344.988732817117</v>
      </c>
      <c r="AB24" s="29">
        <f>+[5]수도권!$Q$89</f>
        <v>79198.010963271619</v>
      </c>
      <c r="AC24" s="20">
        <f>+[5]수도권!$R$89</f>
        <v>83203.070744096898</v>
      </c>
      <c r="AD24" s="30">
        <f>+[6]수도권!$Q$89</f>
        <v>80822.745818485477</v>
      </c>
      <c r="AE24" s="29">
        <f t="shared" si="7"/>
        <v>22997.89998821239</v>
      </c>
      <c r="AF24" s="20">
        <f t="shared" si="7"/>
        <v>14160.070246709671</v>
      </c>
      <c r="AG24" s="30">
        <f t="shared" si="7"/>
        <v>13522.24291433164</v>
      </c>
      <c r="AH24" s="18"/>
      <c r="AI24" s="19"/>
      <c r="AJ24" s="96"/>
    </row>
    <row r="25" spans="2:38" s="8" customFormat="1" ht="19.5" customHeight="1" x14ac:dyDescent="0.3">
      <c r="G25" s="792" t="str">
        <f t="shared" si="1"/>
        <v>영남권</v>
      </c>
      <c r="H25" s="80"/>
      <c r="I25" s="84" t="s">
        <v>56</v>
      </c>
      <c r="J25" s="23">
        <f>SUM(J11:J18)</f>
        <v>139.5</v>
      </c>
      <c r="K25" s="20">
        <f>SUM(K11:K18)</f>
        <v>121.551</v>
      </c>
      <c r="L25" s="21">
        <f t="shared" si="0"/>
        <v>-17.948999999999998</v>
      </c>
      <c r="M25" s="25">
        <f>SUM(M11:M18)</f>
        <v>155.15899999999999</v>
      </c>
      <c r="N25" s="22">
        <f t="shared" si="2"/>
        <v>-33.60799999999999</v>
      </c>
      <c r="O25" s="23">
        <f>SUM(O11:O18)</f>
        <v>14314.626512000003</v>
      </c>
      <c r="P25" s="20">
        <f>SUM(P11:P18)</f>
        <v>12242.392955000001</v>
      </c>
      <c r="Q25" s="21">
        <f t="shared" si="3"/>
        <v>-2072.2335570000014</v>
      </c>
      <c r="R25" s="25">
        <f>SUM(R11:R18)</f>
        <v>15081.411605999998</v>
      </c>
      <c r="S25" s="22">
        <f t="shared" si="4"/>
        <v>-2839.0186509999967</v>
      </c>
      <c r="T25" s="23">
        <f>SUM(T11:T18)</f>
        <v>2301.2994058470194</v>
      </c>
      <c r="U25" s="20">
        <f>SUM(U11:U18)</f>
        <v>1095.1019670000001</v>
      </c>
      <c r="V25" s="21">
        <f t="shared" si="5"/>
        <v>-1206.1974388470194</v>
      </c>
      <c r="W25" s="25">
        <f>SUM(W11:W18)</f>
        <v>1920.9599949999999</v>
      </c>
      <c r="X25" s="22">
        <f t="shared" si="6"/>
        <v>-825.85802799999988</v>
      </c>
      <c r="Y25" s="23">
        <f>+[5]영남권!$Q$85</f>
        <v>102613.8101218638</v>
      </c>
      <c r="Z25" s="20">
        <f>+[5]영남권!$R$85</f>
        <v>100718.15908548675</v>
      </c>
      <c r="AA25" s="24">
        <f>+[6]영남권!$Q$85</f>
        <v>97198.734060862349</v>
      </c>
      <c r="AB25" s="29">
        <f>+[5]영남권!$Q$89</f>
        <v>76154.161727003288</v>
      </c>
      <c r="AC25" s="20">
        <f>+[5]영남권!$R$89</f>
        <v>79490.263341706508</v>
      </c>
      <c r="AD25" s="30">
        <f>+[6]영남권!$Q$89</f>
        <v>75561.134407146732</v>
      </c>
      <c r="AE25" s="29">
        <f t="shared" si="7"/>
        <v>26459.648394860516</v>
      </c>
      <c r="AF25" s="20">
        <f t="shared" si="7"/>
        <v>21227.895743780246</v>
      </c>
      <c r="AG25" s="30">
        <f t="shared" si="7"/>
        <v>21637.599653715617</v>
      </c>
      <c r="AH25" s="18"/>
      <c r="AI25" s="19"/>
      <c r="AJ25" s="96"/>
    </row>
    <row r="26" spans="2:38" s="8" customFormat="1" ht="19.5" customHeight="1" x14ac:dyDescent="0.3">
      <c r="G26" s="792" t="str">
        <f t="shared" si="1"/>
        <v>중부권</v>
      </c>
      <c r="H26" s="80"/>
      <c r="I26" s="84" t="s">
        <v>170</v>
      </c>
      <c r="J26" s="23">
        <f>SUM(J19:J23)</f>
        <v>59</v>
      </c>
      <c r="K26" s="20">
        <f>SUM(K19:K23)</f>
        <v>51.471500000000006</v>
      </c>
      <c r="L26" s="21">
        <f t="shared" si="0"/>
        <v>-7.528499999999994</v>
      </c>
      <c r="M26" s="25">
        <f>SUM(M19:M23)</f>
        <v>64.768499999999989</v>
      </c>
      <c r="N26" s="22">
        <f t="shared" si="2"/>
        <v>-13.296999999999983</v>
      </c>
      <c r="O26" s="23">
        <f>SUM(O19:O23)</f>
        <v>6239.6732889999994</v>
      </c>
      <c r="P26" s="20">
        <f>SUM(P19:P23)</f>
        <v>5348.0957539999999</v>
      </c>
      <c r="Q26" s="21">
        <f t="shared" si="3"/>
        <v>-891.57753499999944</v>
      </c>
      <c r="R26" s="25">
        <f>SUM(R19:R23)</f>
        <v>6398.6447239999998</v>
      </c>
      <c r="S26" s="22">
        <f t="shared" si="4"/>
        <v>-1050.5489699999998</v>
      </c>
      <c r="T26" s="23">
        <f>SUM(T19:T23)</f>
        <v>1105.9086875835808</v>
      </c>
      <c r="U26" s="20">
        <f>SUM(U19:U23)</f>
        <v>547.70865800000036</v>
      </c>
      <c r="V26" s="21">
        <f t="shared" si="5"/>
        <v>-558.20002958358043</v>
      </c>
      <c r="W26" s="25">
        <f>SUM(W19:W23)</f>
        <v>921.18963899999949</v>
      </c>
      <c r="X26" s="22">
        <f t="shared" si="6"/>
        <v>-373.48098099999913</v>
      </c>
      <c r="Y26" s="23">
        <f>+[5]중부권!$Q$85</f>
        <v>105757.17438983051</v>
      </c>
      <c r="Z26" s="20">
        <f>+[5]중부권!$R$85</f>
        <v>103847.08571540602</v>
      </c>
      <c r="AA26" s="24">
        <f>+[6]중부권!$Q$85</f>
        <v>98678.012633921942</v>
      </c>
      <c r="AB26" s="29">
        <f>+[5]중부권!$Q$89</f>
        <v>77189.135475815769</v>
      </c>
      <c r="AC26" s="20">
        <f>+[5]중부권!$R$89</f>
        <v>80246.621395148482</v>
      </c>
      <c r="AD26" s="30">
        <f>+[6]중부권!$Q$89</f>
        <v>75088.29559753355</v>
      </c>
      <c r="AE26" s="29">
        <f t="shared" si="7"/>
        <v>28568.038914014745</v>
      </c>
      <c r="AF26" s="20">
        <f t="shared" si="7"/>
        <v>23600.464320257539</v>
      </c>
      <c r="AG26" s="30">
        <f t="shared" si="7"/>
        <v>23589.717036388392</v>
      </c>
      <c r="AH26" s="18"/>
      <c r="AI26" s="19"/>
      <c r="AJ26" s="96"/>
    </row>
    <row r="27" spans="2:38" s="3" customFormat="1" ht="19.5" customHeight="1" x14ac:dyDescent="0.3">
      <c r="B27" s="26"/>
      <c r="G27" s="794">
        <f>+K27/J27</f>
        <v>0.87708906249999996</v>
      </c>
      <c r="H27" s="629" t="s">
        <v>115</v>
      </c>
      <c r="I27" s="630"/>
      <c r="J27" s="631">
        <f>SUM(J24:J26)</f>
        <v>320</v>
      </c>
      <c r="K27" s="632">
        <f>SUM(K24:K26)</f>
        <v>280.66849999999999</v>
      </c>
      <c r="L27" s="633">
        <f t="shared" si="0"/>
        <v>-39.331500000000005</v>
      </c>
      <c r="M27" s="634">
        <f>SUM(M24:M26)</f>
        <v>359.19917999999996</v>
      </c>
      <c r="N27" s="635">
        <f t="shared" si="2"/>
        <v>-78.530679999999961</v>
      </c>
      <c r="O27" s="631">
        <f>SUM(O24:O26)</f>
        <v>32971.102981605305</v>
      </c>
      <c r="P27" s="632">
        <f>SUM(P24:P26)</f>
        <v>28069.669145</v>
      </c>
      <c r="Q27" s="633">
        <f t="shared" si="3"/>
        <v>-4901.4338366053053</v>
      </c>
      <c r="R27" s="634">
        <f>SUM(R24:R26)</f>
        <v>34627.748308999995</v>
      </c>
      <c r="S27" s="635">
        <f t="shared" si="4"/>
        <v>-6558.0791639999952</v>
      </c>
      <c r="T27" s="631">
        <f>SUM(T24:T26)</f>
        <v>5263.2179800197318</v>
      </c>
      <c r="U27" s="632">
        <f>SUM(U24:U26)</f>
        <v>2195.9233970000005</v>
      </c>
      <c r="V27" s="633">
        <f t="shared" si="5"/>
        <v>-3067.2945830197314</v>
      </c>
      <c r="W27" s="634">
        <f>SUM(W24:W26)</f>
        <v>3742.8734029999987</v>
      </c>
      <c r="X27" s="635">
        <f t="shared" si="6"/>
        <v>-1546.9500059999982</v>
      </c>
      <c r="Y27" s="631">
        <f>+[5]합계!$Q$85</f>
        <v>103034.69681751658</v>
      </c>
      <c r="Z27" s="632">
        <f>+[5]합계!$R$85</f>
        <v>100000.49797339522</v>
      </c>
      <c r="AA27" s="636">
        <f>+[6]합계!$Q$85</f>
        <v>96359.433871623667</v>
      </c>
      <c r="AB27" s="637">
        <f>+[5]합계!$Q$89</f>
        <v>77500.696518836237</v>
      </c>
      <c r="AC27" s="632">
        <f>+[5]합계!$R$89</f>
        <v>81042.565571880972</v>
      </c>
      <c r="AD27" s="638">
        <f>+[6]합계!$Q$89</f>
        <v>77511.638782588663</v>
      </c>
      <c r="AE27" s="637">
        <f t="shared" si="7"/>
        <v>25534.000298680345</v>
      </c>
      <c r="AF27" s="632">
        <f t="shared" si="7"/>
        <v>18957.932401514248</v>
      </c>
      <c r="AG27" s="638">
        <f t="shared" si="7"/>
        <v>18847.795089035004</v>
      </c>
      <c r="AH27" s="27"/>
      <c r="AI27" s="28"/>
      <c r="AJ27" s="96"/>
      <c r="AL27" s="26"/>
    </row>
    <row r="28" spans="2:38" s="8" customFormat="1" ht="19.5" customHeight="1" x14ac:dyDescent="0.3">
      <c r="B28" s="8" t="s">
        <v>3</v>
      </c>
      <c r="E28" s="8" t="s">
        <v>201</v>
      </c>
      <c r="G28" s="792" t="s">
        <v>3</v>
      </c>
      <c r="H28" s="835" t="s">
        <v>3</v>
      </c>
      <c r="I28" s="836"/>
      <c r="J28" s="167">
        <f>+IFERROR(HLOOKUP($B28,'[1]11월'!$D$6:$BN$259,2,),)</f>
        <v>9200</v>
      </c>
      <c r="K28" s="168">
        <f>+IFERROR(HLOOKUP($E28,'[2]11월'!$F$6:$CP$99,2,),)</f>
        <v>10221.802</v>
      </c>
      <c r="L28" s="169">
        <f>+K28-J28</f>
        <v>1021.8019999999997</v>
      </c>
      <c r="M28" s="170">
        <f>+IFERROR(HLOOKUP($E28,'[3]11월'!$F$6:$CC$57,2,),)</f>
        <v>10109.272999999999</v>
      </c>
      <c r="N28" s="171">
        <f>+K28-M28</f>
        <v>112.52900000000045</v>
      </c>
      <c r="O28" s="167">
        <f>+IFERROR(HLOOKUP($B28,'[1]11월'!$D$6:$BN$259,3,),)/1000</f>
        <v>11242.202105263157</v>
      </c>
      <c r="P28" s="168">
        <f>+IFERROR(HLOOKUP($E28,'[2]11월'!$F$6:$CP$99,3,),)/1000</f>
        <v>9942.8690210000004</v>
      </c>
      <c r="Q28" s="169">
        <f>+P28-O28</f>
        <v>-1299.3330842631567</v>
      </c>
      <c r="R28" s="170">
        <f>+IFERROR(HLOOKUP($E28,'[3]11월'!$F$6:$CC$57,3,),)/1000</f>
        <v>12404.880214999999</v>
      </c>
      <c r="S28" s="171">
        <f t="shared" si="4"/>
        <v>-2462.0111939999988</v>
      </c>
      <c r="T28" s="167">
        <f>+IFERROR(HLOOKUP($B28,'[1]11월'!$D$6:$BN$259,16,),)/1000</f>
        <v>165.7353292210517</v>
      </c>
      <c r="U28" s="168">
        <f>+IFERROR(HLOOKUP($E28,'[2]11월'!$F$6:$CP$99,16,),)/1000</f>
        <v>118.35664899999911</v>
      </c>
      <c r="V28" s="169">
        <f t="shared" si="5"/>
        <v>-47.378680221052591</v>
      </c>
      <c r="W28" s="170">
        <f>+IFERROR(HLOOKUP($E28,'[3]11월'!$F$6:$CC$57,16,),)/1000</f>
        <v>98.190128999999871</v>
      </c>
      <c r="X28" s="171">
        <f t="shared" si="6"/>
        <v>20.166519999999238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3" t="str">
        <f>+I29</f>
        <v>부산모래장</v>
      </c>
      <c r="H29" s="86" t="s">
        <v>1</v>
      </c>
      <c r="I29" s="81" t="s">
        <v>193</v>
      </c>
      <c r="J29" s="56">
        <f>+IFERROR(HLOOKUP($B29,'[1]11월'!$D$6:$BN$259,2,),)/1000</f>
        <v>29.768648431551352</v>
      </c>
      <c r="K29" s="57">
        <f>+IFERROR(HLOOKUP($C29,'[2]11월'!$F$6:$CP$99,2,),)/1000</f>
        <v>25.492000000000001</v>
      </c>
      <c r="L29" s="38">
        <f t="shared" si="0"/>
        <v>-4.2766484315513509</v>
      </c>
      <c r="M29" s="38">
        <f>+IFERROR(HLOOKUP($C29,'[3]11월'!$F$6:$CC$57,2,),)/1000</f>
        <v>31.346</v>
      </c>
      <c r="N29" s="58">
        <f t="shared" si="2"/>
        <v>-5.8539999999999992</v>
      </c>
      <c r="O29" s="56">
        <f>+IFERROR(HLOOKUP($B29,'[1]11월'!$D$6:$BN$259,3,),)/1000</f>
        <v>846.36177016930935</v>
      </c>
      <c r="P29" s="57">
        <f>+IFERROR(HLOOKUP($C29,'[2]11월'!$F$6:$CP$99,3,),)/1000</f>
        <v>701.3415</v>
      </c>
      <c r="Q29" s="38">
        <f t="shared" si="3"/>
        <v>-145.02027016930936</v>
      </c>
      <c r="R29" s="38">
        <f>+IFERROR(HLOOKUP($C29,'[3]11월'!$F$6:$CC$57,3,),)/1000</f>
        <v>893.32449999999994</v>
      </c>
      <c r="S29" s="58">
        <f t="shared" si="4"/>
        <v>-191.98299999999995</v>
      </c>
      <c r="T29" s="56">
        <f>+IFERROR(HLOOKUP($B29,'[1]11월'!$D$6:$BN$259,21,),)/1000</f>
        <v>68.431450538153513</v>
      </c>
      <c r="U29" s="57">
        <f>+IFERROR(HLOOKUP($C29,'[2]11월'!$F$6:$CP$99,21,),)/1000</f>
        <v>1.8739536340295855</v>
      </c>
      <c r="V29" s="38">
        <f t="shared" si="5"/>
        <v>-66.557496904123923</v>
      </c>
      <c r="W29" s="38">
        <f>+IFERROR(HLOOKUP($C29,'[3]11월'!$F$6:$CC$57,16,),)/1000</f>
        <v>56.281423000000004</v>
      </c>
      <c r="X29" s="58">
        <f t="shared" si="6"/>
        <v>-54.407469365970421</v>
      </c>
      <c r="Y29" s="628" t="s">
        <v>250</v>
      </c>
      <c r="Z29" s="587"/>
      <c r="AA29" s="587"/>
      <c r="AB29" s="587"/>
      <c r="AC29" s="587"/>
      <c r="AD29" s="587"/>
      <c r="AE29" s="587"/>
      <c r="AF29" s="587"/>
      <c r="AG29" s="51"/>
      <c r="AH29" s="18"/>
      <c r="AI29" s="19"/>
    </row>
    <row r="30" spans="2:38" s="8" customFormat="1" ht="19.5" customHeight="1" x14ac:dyDescent="0.3">
      <c r="B30" s="8" t="s">
        <v>194</v>
      </c>
      <c r="C30" s="81" t="s">
        <v>62</v>
      </c>
      <c r="G30" s="793" t="str">
        <f>+I30</f>
        <v>서부산CR</v>
      </c>
      <c r="H30" s="85"/>
      <c r="I30" s="81" t="s">
        <v>219</v>
      </c>
      <c r="J30" s="54">
        <f>+IFERROR(HLOOKUP($B30,'[1]11월'!$D$6:$BN$259,2,),)/1000</f>
        <v>51.375563333333332</v>
      </c>
      <c r="K30" s="59">
        <f>+IFERROR(HLOOKUP($C30,'[2]11월'!$F$6:$CP$99,2,),)/1000</f>
        <v>1.202</v>
      </c>
      <c r="L30" s="48">
        <f t="shared" si="0"/>
        <v>-50.173563333333334</v>
      </c>
      <c r="M30" s="48">
        <f>+IFERROR(HLOOKUP($C30,'[3]11월'!$F$6:$CC$57,2,),)/1000</f>
        <v>37.866</v>
      </c>
      <c r="N30" s="60">
        <f t="shared" si="2"/>
        <v>-36.664000000000001</v>
      </c>
      <c r="O30" s="54">
        <f>+IFERROR(HLOOKUP($B30,'[1]11월'!$D$6:$BN$259,3,),)/1000</f>
        <v>637.61411666666675</v>
      </c>
      <c r="P30" s="59">
        <f>+IFERROR(HLOOKUP($C30,'[2]11월'!$F$6:$CP$99,3,),)/1000</f>
        <v>14.423999999999999</v>
      </c>
      <c r="Q30" s="48">
        <f t="shared" si="3"/>
        <v>-623.19011666666677</v>
      </c>
      <c r="R30" s="48">
        <f>+IFERROR(HLOOKUP($C30,'[3]11월'!$F$6:$CC$57,3,),)/1000</f>
        <v>482.524</v>
      </c>
      <c r="S30" s="60">
        <f t="shared" si="4"/>
        <v>-468.1</v>
      </c>
      <c r="T30" s="54">
        <f>+IFERROR(HLOOKUP($B30,'[1]11월'!$D$6:$BN$259,21,),)/1000</f>
        <v>118.26266422002352</v>
      </c>
      <c r="U30" s="59">
        <f>+IFERROR(HLOOKUP($C30,'[2]11월'!$F$6:$CP$99,21,),)/1000</f>
        <v>-70.358754802101046</v>
      </c>
      <c r="V30" s="48">
        <f t="shared" si="5"/>
        <v>-188.62141902212457</v>
      </c>
      <c r="W30" s="48">
        <f>+IFERROR(HLOOKUP($C30,'[3]11월'!$F$6:$CC$57,16,),)/1000</f>
        <v>86.54813</v>
      </c>
      <c r="X30" s="60">
        <f t="shared" si="6"/>
        <v>-156.90688480210105</v>
      </c>
      <c r="Y30" s="628"/>
      <c r="Z30" s="587"/>
      <c r="AA30" s="587"/>
      <c r="AB30" s="587"/>
      <c r="AC30" s="587"/>
      <c r="AD30" s="587"/>
      <c r="AE30" s="587"/>
      <c r="AF30" s="587"/>
      <c r="AG30" s="51"/>
      <c r="AH30" s="18"/>
      <c r="AI30" s="19"/>
      <c r="AJ30" s="784"/>
      <c r="AK30" s="98"/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3" t="str">
        <f>+I31</f>
        <v>부산CR</v>
      </c>
      <c r="H31" s="85"/>
      <c r="I31" s="83" t="s">
        <v>221</v>
      </c>
      <c r="J31" s="54">
        <f>+IFERROR(HLOOKUP($B31,'[1]11월'!$D$6:$BN$259,2,),)/1000</f>
        <v>43.490335385892017</v>
      </c>
      <c r="K31" s="59">
        <f>+IFERROR(HLOOKUP($C31,'[2]11월'!$F$6:$CP$99,2,),)/1000</f>
        <v>39.432000000000002</v>
      </c>
      <c r="L31" s="48">
        <f t="shared" si="0"/>
        <v>-4.0583353858920148</v>
      </c>
      <c r="M31" s="48">
        <f>+IFERROR(HLOOKUP($C31,'[3]11월'!$F$6:$CC$57,2,),)/1000</f>
        <v>36.262</v>
      </c>
      <c r="N31" s="60">
        <f t="shared" si="2"/>
        <v>3.1700000000000017</v>
      </c>
      <c r="O31" s="54">
        <f>+IFERROR(HLOOKUP($B31,'[1]11월'!$D$6:$BN$259,3,),)/1000</f>
        <v>789.0950499164087</v>
      </c>
      <c r="P31" s="59">
        <f>+IFERROR(HLOOKUP($C31,'[2]11월'!$F$6:$CP$99,3,),)/1000</f>
        <v>698.26</v>
      </c>
      <c r="Q31" s="48">
        <f t="shared" si="3"/>
        <v>-90.835049916408707</v>
      </c>
      <c r="R31" s="48">
        <f>+IFERROR(HLOOKUP($C31,'[3]11월'!$F$6:$CC$57,3,),)/1000</f>
        <v>638.88199999999995</v>
      </c>
      <c r="S31" s="60">
        <f t="shared" si="4"/>
        <v>59.378000000000043</v>
      </c>
      <c r="T31" s="54">
        <f>+IFERROR(HLOOKUP($B31,'[1]11월'!$D$6:$BN$259,21,),)/1000</f>
        <v>72.555884314798305</v>
      </c>
      <c r="U31" s="59">
        <f>+IFERROR(HLOOKUP($C31,'[2]11월'!$F$6:$CP$99,21,),)/1000</f>
        <v>-221.62408496000009</v>
      </c>
      <c r="V31" s="48">
        <f t="shared" si="5"/>
        <v>-294.1799692747984</v>
      </c>
      <c r="W31" s="48">
        <f>+IFERROR(HLOOKUP($C31,'[3]11월'!$F$6:$CC$57,16,),)/1000</f>
        <v>-14.85612099999997</v>
      </c>
      <c r="X31" s="60">
        <f t="shared" si="6"/>
        <v>-206.76796396000012</v>
      </c>
      <c r="Y31" s="586"/>
      <c r="Z31" s="587"/>
      <c r="AA31" s="587"/>
      <c r="AB31" s="587"/>
      <c r="AC31" s="587"/>
      <c r="AD31" s="587"/>
      <c r="AE31" s="587"/>
      <c r="AF31" s="587"/>
      <c r="AG31" s="51"/>
      <c r="AH31" s="18"/>
      <c r="AI31" s="19"/>
      <c r="AJ31" s="784"/>
      <c r="AK31" s="98"/>
      <c r="AL31" s="98"/>
    </row>
    <row r="32" spans="2:38" s="3" customFormat="1" ht="19.5" customHeight="1" x14ac:dyDescent="0.3">
      <c r="G32" s="796"/>
      <c r="H32" s="146" t="s">
        <v>42</v>
      </c>
      <c r="I32" s="147"/>
      <c r="J32" s="148">
        <f>SUM(J29:J31)</f>
        <v>124.63454715077671</v>
      </c>
      <c r="K32" s="152">
        <f>SUM(K29:K31)</f>
        <v>66.126000000000005</v>
      </c>
      <c r="L32" s="150">
        <f t="shared" si="0"/>
        <v>-58.508547150776707</v>
      </c>
      <c r="M32" s="150">
        <f>SUM(M29:M31)</f>
        <v>105.474</v>
      </c>
      <c r="N32" s="151">
        <f t="shared" si="2"/>
        <v>-39.347999999999999</v>
      </c>
      <c r="O32" s="148">
        <f>SUM(O29:O31)</f>
        <v>2273.070936752385</v>
      </c>
      <c r="P32" s="152">
        <f>SUM(P29:P31)</f>
        <v>1414.0255</v>
      </c>
      <c r="Q32" s="150">
        <f t="shared" si="3"/>
        <v>-859.04543675238506</v>
      </c>
      <c r="R32" s="150">
        <f>SUM(R29:R31)</f>
        <v>2014.7305000000001</v>
      </c>
      <c r="S32" s="151">
        <f t="shared" si="4"/>
        <v>-600.70500000000015</v>
      </c>
      <c r="T32" s="148">
        <f>SUM(T29:T31)</f>
        <v>259.24999907297536</v>
      </c>
      <c r="U32" s="152">
        <f>SUM(U29:U31)</f>
        <v>-290.10888612807156</v>
      </c>
      <c r="V32" s="150">
        <f t="shared" si="5"/>
        <v>-549.35888520104686</v>
      </c>
      <c r="W32" s="150">
        <f>SUM(W29:W31)</f>
        <v>127.97343200000003</v>
      </c>
      <c r="X32" s="151">
        <f t="shared" si="6"/>
        <v>-418.08231812807162</v>
      </c>
      <c r="Y32" s="586"/>
      <c r="Z32" s="587"/>
      <c r="AA32" s="587"/>
      <c r="AB32" s="587"/>
      <c r="AC32" s="587"/>
      <c r="AD32" s="587"/>
      <c r="AE32" s="587"/>
      <c r="AF32" s="587"/>
      <c r="AG32" s="51"/>
      <c r="AH32" s="27"/>
      <c r="AI32" s="28"/>
    </row>
    <row r="33" spans="2:38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 t="str">
        <f t="shared" ref="G33:G38" si="8">+I33</f>
        <v>레미콘임대</v>
      </c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(IFERROR(HLOOKUP($B33,'[1]11월'!$D$6:$BN$259,3,),)++IFERROR(HLOOKUP($C33,'[1]11월'!$D$6:$BN$259,3,),)+IFERROR(HLOOKUP($D33,'[1]11월'!$D$6:$BN$259,3,),))/1000</f>
        <v>90.84</v>
      </c>
      <c r="P33" s="47">
        <f>+IFERROR(HLOOKUP($E33,'[2]11월'!$F$6:$CP$99,3,),)/1000</f>
        <v>90.84</v>
      </c>
      <c r="Q33" s="49">
        <f t="shared" si="3"/>
        <v>0</v>
      </c>
      <c r="R33" s="48">
        <f>+IFERROR(HLOOKUP($E33,'[3]11월'!$F$6:$CC$57,3,),)/1000</f>
        <v>90.84</v>
      </c>
      <c r="S33" s="60">
        <f t="shared" si="4"/>
        <v>0</v>
      </c>
      <c r="T33" s="46">
        <f>(IFERROR(HLOOKUP($B33,'[1]11월'!$D$6:$BN$259,21,),)++IFERROR(HLOOKUP($C33,'[1]11월'!$D$6:$BN$259,21,),)+IFERROR(HLOOKUP($D33,'[1]11월'!$D$6:$BN$259,21,),))/1000</f>
        <v>72.210526000000002</v>
      </c>
      <c r="U33" s="47">
        <f>+IFERROR(HLOOKUP($E33,'[2]11월'!$F$6:$CP$99,16,),)/1000</f>
        <v>67.392237999999992</v>
      </c>
      <c r="V33" s="49">
        <f t="shared" si="5"/>
        <v>-4.8182880000000097</v>
      </c>
      <c r="W33" s="48">
        <f>+IFERROR(HLOOKUP($E33,'[3]11월'!$F$6:$CC$57,16,),)/1000</f>
        <v>71.822104999999993</v>
      </c>
      <c r="X33" s="60">
        <f t="shared" si="6"/>
        <v>-4.4298670000000016</v>
      </c>
      <c r="Y33" s="628"/>
      <c r="Z33" s="587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8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 t="str">
        <f t="shared" si="8"/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0" si="9">+K34-M34</f>
        <v>0</v>
      </c>
      <c r="O34" s="46">
        <f>(+IFERROR(HLOOKUP($B34,'[1]11월'!$D$6:$BN$259,3,),)+IFERROR(HLOOKUP($C34,'[1]11월'!$D$6:$BN$259,3,),))/1000</f>
        <v>72.297500333333332</v>
      </c>
      <c r="P34" s="47">
        <f>+IFERROR(HLOOKUP($E34,'[2]11월'!$F$6:$CP$99,3,),)/1000</f>
        <v>72.663967999999997</v>
      </c>
      <c r="Q34" s="49">
        <f t="shared" ref="Q34:Q39" si="10">+P34-O34</f>
        <v>0.36646766666666508</v>
      </c>
      <c r="R34" s="48">
        <f>+IFERROR(HLOOKUP($E34,'[3]11월'!$F$6:$CC$57,3,),)/1000</f>
        <v>93.741319000000004</v>
      </c>
      <c r="S34" s="60">
        <f t="shared" si="4"/>
        <v>-21.077351000000007</v>
      </c>
      <c r="T34" s="46">
        <f>(+IFERROR(HLOOKUP($B34,'[1]11월'!$D$6:$BN$259,21,),)+IFERROR(HLOOKUP($C34,'[1]11월'!$D$6:$BN$259,21,),))/1000</f>
        <v>62.045457333333324</v>
      </c>
      <c r="U34" s="47">
        <f>+IFERROR(HLOOKUP($E34,'[2]11월'!$F$6:$CP$99,16,),)/1000</f>
        <v>58.662832999999999</v>
      </c>
      <c r="V34" s="49">
        <f t="shared" si="5"/>
        <v>-3.3826243333333252</v>
      </c>
      <c r="W34" s="48">
        <f>+IFERROR(HLOOKUP($E34,'[3]11월'!$F$6:$CC$57,16,),)/1000</f>
        <v>56.694341999999999</v>
      </c>
      <c r="X34" s="60">
        <f t="shared" si="6"/>
        <v>1.9684910000000002</v>
      </c>
      <c r="Y34" s="628"/>
      <c r="Z34" s="587"/>
      <c r="AA34" s="587"/>
      <c r="AB34" s="587"/>
      <c r="AC34" s="587"/>
      <c r="AD34" s="587"/>
      <c r="AE34" s="587"/>
      <c r="AF34" s="587"/>
      <c r="AG34" s="51"/>
      <c r="AH34" s="18"/>
      <c r="AI34" s="19"/>
    </row>
    <row r="35" spans="2:38" s="8" customFormat="1" ht="19.5" customHeight="1" x14ac:dyDescent="0.3">
      <c r="B35" s="8" t="s">
        <v>200</v>
      </c>
      <c r="D35"/>
      <c r="E35"/>
      <c r="F35"/>
      <c r="G35" s="792" t="str">
        <f t="shared" si="8"/>
        <v>공통비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9"/>
        <v>0</v>
      </c>
      <c r="O35" s="46"/>
      <c r="P35" s="47"/>
      <c r="Q35" s="49">
        <f t="shared" si="10"/>
        <v>0</v>
      </c>
      <c r="R35" s="48"/>
      <c r="S35" s="60">
        <f t="shared" si="4"/>
        <v>0</v>
      </c>
      <c r="T35" s="46">
        <f>-'[1]11월'!$Z$22/1000</f>
        <v>-1173.9157817876601</v>
      </c>
      <c r="U35" s="47">
        <f>+-'[2]11월'!$Z$22/1000</f>
        <v>-1265.4310908749756</v>
      </c>
      <c r="V35" s="49">
        <f t="shared" si="5"/>
        <v>-91.515309087315472</v>
      </c>
      <c r="W35" s="48">
        <f>+-'[3]11월'!$Z$22/1000</f>
        <v>-1202.306736</v>
      </c>
      <c r="X35" s="60">
        <f t="shared" si="6"/>
        <v>-63.124354874975552</v>
      </c>
      <c r="Y35" s="628"/>
      <c r="Z35" s="587"/>
      <c r="AA35" s="587"/>
      <c r="AB35" s="587"/>
      <c r="AC35" s="587"/>
      <c r="AD35" s="587"/>
      <c r="AE35" s="587"/>
      <c r="AF35" s="587"/>
      <c r="AG35" s="51"/>
      <c r="AH35" s="18"/>
      <c r="AI35" s="19"/>
      <c r="AK35" s="596"/>
      <c r="AL35" s="98"/>
    </row>
    <row r="36" spans="2:38" s="8" customFormat="1" ht="19.5" customHeight="1" x14ac:dyDescent="0.3">
      <c r="D36"/>
      <c r="E36"/>
      <c r="F36"/>
      <c r="G36" s="792" t="str">
        <f t="shared" si="8"/>
        <v>대손</v>
      </c>
      <c r="H36" s="87"/>
      <c r="I36" s="88" t="s">
        <v>117</v>
      </c>
      <c r="J36" s="46"/>
      <c r="K36" s="47"/>
      <c r="L36" s="49"/>
      <c r="M36" s="48"/>
      <c r="N36" s="60">
        <f t="shared" si="9"/>
        <v>0</v>
      </c>
      <c r="O36" s="46"/>
      <c r="P36" s="47"/>
      <c r="Q36" s="49">
        <f t="shared" si="10"/>
        <v>0</v>
      </c>
      <c r="R36" s="48"/>
      <c r="S36" s="60">
        <f t="shared" si="4"/>
        <v>0</v>
      </c>
      <c r="T36" s="46"/>
      <c r="U36" s="47">
        <f>'[2]11월'!$BE$26/1000</f>
        <v>0</v>
      </c>
      <c r="V36" s="49">
        <f t="shared" si="5"/>
        <v>0</v>
      </c>
      <c r="W36" s="48"/>
      <c r="X36" s="60">
        <f t="shared" si="6"/>
        <v>0</v>
      </c>
      <c r="Y36" s="586"/>
      <c r="Z36" s="587"/>
      <c r="AA36" s="587"/>
      <c r="AB36" s="587"/>
      <c r="AC36" s="587"/>
      <c r="AD36" s="587"/>
      <c r="AE36" s="587"/>
      <c r="AF36" s="587"/>
      <c r="AG36" s="51"/>
      <c r="AH36" s="18"/>
      <c r="AI36" s="19"/>
      <c r="AJ36" s="96"/>
      <c r="AK36" s="98"/>
      <c r="AL36" s="98"/>
    </row>
    <row r="37" spans="2:38" s="8" customFormat="1" ht="19.5" customHeight="1" x14ac:dyDescent="0.3">
      <c r="D37"/>
      <c r="E37"/>
      <c r="F37"/>
      <c r="G37" s="792" t="str">
        <f t="shared" si="8"/>
        <v>미운영 공장</v>
      </c>
      <c r="H37" s="87"/>
      <c r="I37" s="88" t="s">
        <v>177</v>
      </c>
      <c r="J37" s="46"/>
      <c r="K37" s="47"/>
      <c r="L37" s="49"/>
      <c r="M37" s="48">
        <f>SUM(M53:M56)</f>
        <v>0</v>
      </c>
      <c r="N37" s="60">
        <f t="shared" si="9"/>
        <v>0</v>
      </c>
      <c r="O37" s="46"/>
      <c r="P37" s="47"/>
      <c r="Q37" s="49">
        <f t="shared" si="10"/>
        <v>0</v>
      </c>
      <c r="R37" s="48">
        <f>+IFERROR(HLOOKUP($I$37,'[3]11월'!$F$6:$BJ$50,3,),)/1000</f>
        <v>0</v>
      </c>
      <c r="S37" s="60">
        <f t="shared" si="4"/>
        <v>0</v>
      </c>
      <c r="T37" s="46">
        <f>SUM('[1]11월'!$AM$26:$AQ$26)/1000</f>
        <v>-35.713225444459646</v>
      </c>
      <c r="U37" s="47">
        <f>+'[2]11월'!$BF$26/1000</f>
        <v>-32.976667999999997</v>
      </c>
      <c r="V37" s="49">
        <f t="shared" si="5"/>
        <v>2.736557444459649</v>
      </c>
      <c r="W37" s="48">
        <f>+'[3]11월'!$BF$26/1000</f>
        <v>-9.3025889999999993</v>
      </c>
      <c r="X37" s="60">
        <f>+U37-W37</f>
        <v>-23.674078999999999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K37" s="98"/>
      <c r="AL37" s="98"/>
    </row>
    <row r="38" spans="2:38" s="8" customFormat="1" ht="19.5" customHeight="1" x14ac:dyDescent="0.3">
      <c r="B38" t="s">
        <v>39</v>
      </c>
      <c r="D38"/>
      <c r="G38" s="792" t="str">
        <f t="shared" si="8"/>
        <v>기타</v>
      </c>
      <c r="H38" s="87"/>
      <c r="I38" s="88" t="s">
        <v>4</v>
      </c>
      <c r="J38" s="46"/>
      <c r="K38" s="47"/>
      <c r="L38" s="55">
        <f>+K38-J38</f>
        <v>0</v>
      </c>
      <c r="M38" s="61"/>
      <c r="N38" s="62">
        <f t="shared" si="9"/>
        <v>0</v>
      </c>
      <c r="O38" s="46">
        <f>IFERROR(HLOOKUP($B38,'[1]11월'!$D$6:$BN$259,3,),)/1000</f>
        <v>1.77</v>
      </c>
      <c r="P38" s="47">
        <f>+('[2]11월'!$F$8-SUM('[2]11월'!$Z$8,'[2]11월'!$AH$8,'[2]11월'!$AN$8,'[2]11월'!$AO$8,'[2]11월'!$BA$8,'[2]11월'!$BD$8,'[2]11월'!$BE$8,'[2]11월'!$BF$8))/1000</f>
        <v>1.8206000000014901</v>
      </c>
      <c r="Q38" s="55">
        <f t="shared" si="10"/>
        <v>5.060000000149012E-2</v>
      </c>
      <c r="R38" s="61">
        <f>+('[3]11월'!$F$8-SUM('[3]11월'!$Z$8,'[3]11월'!$AH$8,'[3]11월'!$AN$8,'[3]11월'!$AO$8,'[3]11월'!$BA$8,'[3]11월'!$BD$8,'[3]11월'!$BE$8,'[3]11월'!$BF$8))/1000</f>
        <v>1.7741000000014902</v>
      </c>
      <c r="S38" s="62">
        <f t="shared" si="4"/>
        <v>4.6499999999999986E-2</v>
      </c>
      <c r="T38" s="46">
        <f>+('[1]11월'!$E$26-'[1]11월'!$Z$26-'[1]11월'!$AA$26-'[1]11월'!$AE$26-'[1]11월'!$AL$26-'[1]11월'!$AM$26-'[1]11월'!$AN$26-'[1]11월'!$AO$26-'[1]11월'!$AP$26-'[1]11월'!$AQ$26-'[1]11월'!$AS$26)/1000</f>
        <v>-79.281807999997241</v>
      </c>
      <c r="U38" s="47">
        <f>+('[2]11월'!$F$26-SUM('[2]11월'!$Z$26,'[2]11월'!$AH$26,'[2]11월'!$AN$26,'[2]11월'!$AO$26,'[2]11월'!$BA$26,'[2]11월'!$BD$26,'[2]11월'!$BE$26,'[2]11월'!$BF$26))/1000+'[2]11월'!$BD$26/1000</f>
        <v>225.04255600001315</v>
      </c>
      <c r="V38" s="49">
        <f t="shared" si="5"/>
        <v>304.32436400001041</v>
      </c>
      <c r="W38" s="61">
        <f>+('[3]11월'!$F$26-SUM('[3]11월'!$Z$26,'[3]11월'!$AH$26,'[3]11월'!$AN$26,'[3]11월'!$AO$26,'[3]11월'!$BA$26,'[3]11월'!$BD$26,'[3]11월'!$BE$26,'[3]11월'!$BF$26))/1000+'[3]11월'!$BE$26/1000</f>
        <v>-16.698095000008585</v>
      </c>
      <c r="X38" s="60">
        <f t="shared" si="6"/>
        <v>241.74065100002173</v>
      </c>
      <c r="Y38" s="595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</row>
    <row r="39" spans="2:38" s="8" customFormat="1" ht="19.5" customHeight="1" x14ac:dyDescent="0.3">
      <c r="G39" s="792"/>
      <c r="H39" s="87"/>
      <c r="I39" s="88"/>
      <c r="J39" s="46"/>
      <c r="K39" s="47"/>
      <c r="L39" s="55"/>
      <c r="M39" s="61"/>
      <c r="N39" s="62">
        <f t="shared" si="9"/>
        <v>0</v>
      </c>
      <c r="O39" s="46"/>
      <c r="P39" s="47"/>
      <c r="Q39" s="55">
        <f t="shared" si="10"/>
        <v>0</v>
      </c>
      <c r="R39" s="61"/>
      <c r="S39" s="62">
        <f t="shared" si="4"/>
        <v>0</v>
      </c>
      <c r="T39" s="46"/>
      <c r="U39" s="47"/>
      <c r="V39" s="49">
        <f t="shared" si="5"/>
        <v>0</v>
      </c>
      <c r="W39" s="61"/>
      <c r="X39" s="60"/>
      <c r="Y39" s="586"/>
      <c r="Z39" s="587"/>
      <c r="AA39" s="587"/>
      <c r="AB39" s="587"/>
      <c r="AC39" s="587"/>
      <c r="AD39" s="587"/>
      <c r="AE39" s="587"/>
      <c r="AF39" s="587"/>
      <c r="AG39" s="51"/>
      <c r="AH39" s="31"/>
    </row>
    <row r="40" spans="2:38" s="3" customFormat="1" ht="19.5" customHeight="1" x14ac:dyDescent="0.3">
      <c r="D40" s="657"/>
      <c r="G40" s="796"/>
      <c r="H40" s="146" t="s">
        <v>118</v>
      </c>
      <c r="I40" s="147"/>
      <c r="J40" s="646">
        <f>SUM(J33:J39)</f>
        <v>0</v>
      </c>
      <c r="K40" s="647">
        <f>SUM(K33:K39)</f>
        <v>0</v>
      </c>
      <c r="L40" s="647">
        <f>+K40-J40</f>
        <v>0</v>
      </c>
      <c r="M40" s="647">
        <f>SUM(M33:M39)</f>
        <v>0</v>
      </c>
      <c r="N40" s="648">
        <f t="shared" si="9"/>
        <v>0</v>
      </c>
      <c r="O40" s="148">
        <f>SUM(O33:O39)</f>
        <v>164.90750033333333</v>
      </c>
      <c r="P40" s="149">
        <f>SUM(P33:P39)</f>
        <v>165.32456800000148</v>
      </c>
      <c r="Q40" s="153">
        <f t="shared" si="3"/>
        <v>0.41706766666814588</v>
      </c>
      <c r="R40" s="154">
        <f>SUM(R33:R39)</f>
        <v>186.35541900000149</v>
      </c>
      <c r="S40" s="155">
        <f>+P40-R40</f>
        <v>-21.030851000000013</v>
      </c>
      <c r="T40" s="148">
        <f>SUM(T33:T39)</f>
        <v>-1154.6548318987836</v>
      </c>
      <c r="U40" s="149">
        <f>SUM(U33:U39)</f>
        <v>-947.31013187496239</v>
      </c>
      <c r="V40" s="153">
        <f>+U40-T40</f>
        <v>207.34470002382125</v>
      </c>
      <c r="W40" s="154">
        <f>SUM(W33:W39)</f>
        <v>-1099.7909730000085</v>
      </c>
      <c r="X40" s="155">
        <f>+U40-W40</f>
        <v>152.48084112504614</v>
      </c>
      <c r="Y40" s="588"/>
      <c r="Z40" s="589"/>
      <c r="AA40" s="589"/>
      <c r="AB40" s="589"/>
      <c r="AC40" s="589"/>
      <c r="AD40" s="589"/>
      <c r="AE40" s="589"/>
      <c r="AF40" s="589"/>
      <c r="AG40" s="590"/>
      <c r="AH40" s="26"/>
    </row>
    <row r="41" spans="2:38" s="8" customFormat="1" ht="19.5" customHeight="1" x14ac:dyDescent="0.3">
      <c r="G41" s="792"/>
      <c r="J41" s="33"/>
      <c r="K41" s="33"/>
      <c r="L41" s="32"/>
      <c r="M41" s="32"/>
      <c r="N41" s="32"/>
      <c r="O41" s="33"/>
      <c r="P41" s="33"/>
      <c r="Q41" s="32"/>
      <c r="R41" s="32"/>
      <c r="S41" s="32"/>
      <c r="T41" s="33"/>
      <c r="U41" s="33">
        <v>19</v>
      </c>
      <c r="V41" s="32">
        <v>12.4</v>
      </c>
      <c r="W41" s="32"/>
      <c r="X41" s="32"/>
      <c r="Y41" s="33"/>
      <c r="Z41" s="33"/>
      <c r="AA41" s="33"/>
      <c r="AB41" s="33"/>
      <c r="AC41" s="33"/>
      <c r="AD41" s="33"/>
      <c r="AE41" s="33"/>
      <c r="AF41" s="33"/>
      <c r="AG41" s="33"/>
      <c r="AH41" s="31"/>
    </row>
    <row r="42" spans="2:38" s="3" customFormat="1" ht="19.5" customHeight="1" x14ac:dyDescent="0.3">
      <c r="G42" s="797">
        <f>+P42/O42</f>
        <v>0.84867736197806076</v>
      </c>
      <c r="H42" s="639" t="s">
        <v>41</v>
      </c>
      <c r="I42" s="640"/>
      <c r="J42" s="652"/>
      <c r="K42" s="653"/>
      <c r="L42" s="653"/>
      <c r="M42" s="653"/>
      <c r="N42" s="654"/>
      <c r="O42" s="641">
        <f>+O27+O32+O28+O40</f>
        <v>46651.283523954182</v>
      </c>
      <c r="P42" s="642">
        <f>+P27+P32+P28+P40</f>
        <v>39591.888234000005</v>
      </c>
      <c r="Q42" s="643">
        <f t="shared" si="3"/>
        <v>-7059.3952899541764</v>
      </c>
      <c r="R42" s="644">
        <f>+R27+R32+R28+R40</f>
        <v>49233.71444299999</v>
      </c>
      <c r="S42" s="645">
        <f>+P42-R42</f>
        <v>-9641.8262089999844</v>
      </c>
      <c r="T42" s="641">
        <f>+T27+T32+T28+T40</f>
        <v>4533.548476414976</v>
      </c>
      <c r="U42" s="642">
        <f>+U27+U32+U28+U40</f>
        <v>1076.8610279969657</v>
      </c>
      <c r="V42" s="643">
        <f>+U42-T42</f>
        <v>-3456.6874484180103</v>
      </c>
      <c r="W42" s="644">
        <f>+W27+W32+W28+W40</f>
        <v>2869.2459909999907</v>
      </c>
      <c r="X42" s="645">
        <f>+U42-W42</f>
        <v>-1792.384963003025</v>
      </c>
      <c r="Y42" s="837"/>
      <c r="Z42" s="838"/>
      <c r="AA42" s="838"/>
      <c r="AB42" s="838"/>
      <c r="AC42" s="838"/>
      <c r="AD42" s="838"/>
      <c r="AE42" s="838"/>
      <c r="AF42" s="838"/>
      <c r="AG42" s="839"/>
      <c r="AH42" s="26"/>
    </row>
    <row r="43" spans="2:38" s="34" customFormat="1" x14ac:dyDescent="0.3">
      <c r="G43" s="794">
        <f>+U42/T42</f>
        <v>0.237531601040367</v>
      </c>
      <c r="P43" s="661">
        <f>+P42/O42</f>
        <v>0.84867736197806076</v>
      </c>
      <c r="T43" s="661">
        <f>+T42/O42</f>
        <v>9.7179501483321898E-2</v>
      </c>
      <c r="U43" s="661">
        <f>+U42/P42</f>
        <v>2.7199031822690348E-2</v>
      </c>
      <c r="AC43" s="35"/>
      <c r="AF43" s="35"/>
    </row>
    <row r="44" spans="2:38" s="34" customFormat="1" ht="17.25" thickBot="1" x14ac:dyDescent="0.35">
      <c r="G44" s="798"/>
      <c r="AC44" s="35"/>
      <c r="AF44" s="35"/>
    </row>
    <row r="45" spans="2:38" s="34" customFormat="1" x14ac:dyDescent="0.3">
      <c r="G45" s="798"/>
      <c r="I45" s="834" t="s">
        <v>101</v>
      </c>
      <c r="J45" s="138">
        <f>+'[1]11월'!$Z$7/1000</f>
        <v>320</v>
      </c>
      <c r="K45" s="139">
        <f>+'[2]11월'!$AI$7/1000</f>
        <v>280.66849999999999</v>
      </c>
      <c r="L45" s="139"/>
      <c r="M45" s="139">
        <f>+'[3]11월'!$Z$7/1000</f>
        <v>359.19918000000001</v>
      </c>
      <c r="N45" s="139"/>
      <c r="O45" s="139">
        <f>+'[1]11월'!$E$8/1000</f>
        <v>46651.283523954182</v>
      </c>
      <c r="P45" s="139">
        <f>+'[2]11월'!$F$8/1000</f>
        <v>39591.888234000005</v>
      </c>
      <c r="Q45" s="139"/>
      <c r="R45" s="139">
        <f>+'[3]11월'!$F$8/1000</f>
        <v>49233.71444299999</v>
      </c>
      <c r="S45" s="139"/>
      <c r="T45" s="144">
        <f>+'[1]11월'!$E$26/1000</f>
        <v>4533.5484764149696</v>
      </c>
      <c r="U45" s="139">
        <f>+'[2]11월'!$F$26/1000</f>
        <v>1076.8610279969657</v>
      </c>
      <c r="V45" s="139"/>
      <c r="W45" s="139">
        <f>+'[3]11월'!$F$26/1000</f>
        <v>2869.2459909999898</v>
      </c>
      <c r="X45" s="140"/>
      <c r="AC45" s="35"/>
      <c r="AF45" s="35"/>
    </row>
    <row r="46" spans="2:38" s="34" customFormat="1" ht="17.25" thickBot="1" x14ac:dyDescent="0.35">
      <c r="G46" s="798"/>
      <c r="I46" s="834"/>
      <c r="J46" s="143">
        <f>+J45-J27</f>
        <v>0</v>
      </c>
      <c r="K46" s="141">
        <f>+K45-K27</f>
        <v>0</v>
      </c>
      <c r="L46" s="141"/>
      <c r="M46" s="141">
        <f>+M45-M27</f>
        <v>0</v>
      </c>
      <c r="N46" s="141"/>
      <c r="O46" s="145">
        <f>+O45-O42</f>
        <v>0</v>
      </c>
      <c r="P46" s="145">
        <f>+P45-P42</f>
        <v>0</v>
      </c>
      <c r="Q46" s="141"/>
      <c r="R46" s="145">
        <f>+R45-R42</f>
        <v>0</v>
      </c>
      <c r="S46" s="141"/>
      <c r="T46" s="145">
        <f>+T45-T42</f>
        <v>0</v>
      </c>
      <c r="U46" s="145">
        <f>+U45-U42</f>
        <v>0</v>
      </c>
      <c r="V46" s="141"/>
      <c r="W46" s="141">
        <f>+W45-W42</f>
        <v>0</v>
      </c>
      <c r="X46" s="142"/>
      <c r="AC46" s="35"/>
      <c r="AF46" s="35"/>
      <c r="AG46" s="34" t="s">
        <v>102</v>
      </c>
    </row>
    <row r="47" spans="2:38" x14ac:dyDescent="0.3">
      <c r="T47" s="658"/>
      <c r="U47" s="658"/>
      <c r="V47" s="658"/>
    </row>
    <row r="48" spans="2:38" x14ac:dyDescent="0.3">
      <c r="T48" s="658"/>
      <c r="U48" s="658"/>
      <c r="V48" s="658"/>
      <c r="AC48" s="35"/>
      <c r="AD48" s="34"/>
      <c r="AE48" s="34"/>
      <c r="AF48" s="35"/>
    </row>
    <row r="49" spans="10:33" x14ac:dyDescent="0.3">
      <c r="T49" s="658"/>
      <c r="U49" s="658"/>
      <c r="V49" s="658"/>
      <c r="AC49" s="35"/>
      <c r="AD49" s="34"/>
      <c r="AE49" s="34"/>
      <c r="AF49" s="35"/>
    </row>
    <row r="50" spans="10:33" x14ac:dyDescent="0.3">
      <c r="T50" s="659"/>
      <c r="U50" s="659"/>
      <c r="V50" s="658"/>
      <c r="Y50" s="586" t="s">
        <v>228</v>
      </c>
      <c r="AC50" s="35"/>
      <c r="AD50" s="34"/>
      <c r="AE50" s="34"/>
      <c r="AF50" s="35"/>
    </row>
    <row r="51" spans="10:33" x14ac:dyDescent="0.3">
      <c r="T51" s="659"/>
      <c r="U51" s="659"/>
      <c r="V51" s="658"/>
      <c r="AC51" s="35"/>
      <c r="AD51" s="34"/>
      <c r="AE51" s="34"/>
      <c r="AF51" s="35"/>
    </row>
    <row r="52" spans="10:33" x14ac:dyDescent="0.3">
      <c r="AC52" s="35"/>
      <c r="AD52" s="34"/>
      <c r="AE52" s="34"/>
      <c r="AF52" s="35"/>
    </row>
    <row r="53" spans="10:33" x14ac:dyDescent="0.3">
      <c r="J53" s="598"/>
      <c r="K53" s="598"/>
      <c r="L53" s="598"/>
      <c r="M53" s="598"/>
      <c r="N53" s="598"/>
      <c r="O53" s="598"/>
      <c r="P53" s="598"/>
      <c r="Q53" s="598"/>
      <c r="R53" s="598"/>
      <c r="S53" s="598"/>
      <c r="T53" s="598"/>
      <c r="U53" s="598"/>
      <c r="V53" s="598"/>
      <c r="W53" s="598"/>
      <c r="X53" s="598"/>
      <c r="Y53" s="598"/>
      <c r="Z53" s="598"/>
      <c r="AA53" s="598"/>
      <c r="AB53" s="598"/>
      <c r="AC53" s="598"/>
      <c r="AD53" s="598"/>
      <c r="AE53" s="598"/>
      <c r="AF53" s="598"/>
      <c r="AG53" s="598"/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/>
      <c r="T54" s="598"/>
      <c r="U54" s="598"/>
      <c r="V54" s="598"/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/>
      <c r="U55" s="59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/>
      <c r="T56" s="598"/>
      <c r="U56" s="598"/>
      <c r="V56" s="598"/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AC57" s="598"/>
      <c r="AD57" s="598"/>
      <c r="AE57" s="598"/>
      <c r="AF57" s="598"/>
    </row>
    <row r="58" spans="10:33" x14ac:dyDescent="0.3">
      <c r="AC58" s="598"/>
      <c r="AD58" s="598"/>
      <c r="AE58" s="598"/>
    </row>
    <row r="59" spans="10:33" x14ac:dyDescent="0.3">
      <c r="AC59" s="598"/>
      <c r="AD59" s="598"/>
      <c r="AE59" s="598"/>
    </row>
    <row r="60" spans="10:33" x14ac:dyDescent="0.3">
      <c r="AC60" s="598"/>
      <c r="AE60" s="598"/>
    </row>
    <row r="61" spans="10:33" x14ac:dyDescent="0.3">
      <c r="AC61" s="598"/>
      <c r="AE61" s="598"/>
    </row>
    <row r="62" spans="10:33" x14ac:dyDescent="0.3">
      <c r="AC62" s="598"/>
      <c r="AE62" s="598"/>
    </row>
    <row r="63" spans="10:33" x14ac:dyDescent="0.3">
      <c r="AC63" s="598"/>
      <c r="AE63" s="598"/>
    </row>
    <row r="64" spans="10:33" x14ac:dyDescent="0.3">
      <c r="AC64" s="598"/>
      <c r="AE64" s="598"/>
    </row>
    <row r="65" spans="29:31" x14ac:dyDescent="0.3">
      <c r="AC65" s="598"/>
      <c r="AE65" s="598"/>
    </row>
    <row r="66" spans="29:31" x14ac:dyDescent="0.3">
      <c r="AC66" s="598"/>
      <c r="AE66" s="598"/>
    </row>
    <row r="67" spans="29:31" x14ac:dyDescent="0.3">
      <c r="AC67" s="598"/>
      <c r="AE67" s="598"/>
    </row>
    <row r="68" spans="29:31" x14ac:dyDescent="0.3">
      <c r="AC68" s="598"/>
      <c r="AE68" s="598"/>
    </row>
    <row r="69" spans="29:31" x14ac:dyDescent="0.3">
      <c r="AC69" s="598"/>
      <c r="AE69" s="598"/>
    </row>
    <row r="70" spans="29:31" x14ac:dyDescent="0.3">
      <c r="AC70" s="598"/>
      <c r="AE70" s="598"/>
    </row>
    <row r="71" spans="29:31" x14ac:dyDescent="0.3">
      <c r="AC71" s="598"/>
      <c r="AE71" s="598"/>
    </row>
    <row r="72" spans="29:31" x14ac:dyDescent="0.3">
      <c r="AC72" s="598"/>
      <c r="AE72" s="598"/>
    </row>
    <row r="73" spans="29:31" x14ac:dyDescent="0.3">
      <c r="AC73" s="598"/>
      <c r="AE73" s="598"/>
    </row>
    <row r="74" spans="29:31" x14ac:dyDescent="0.3">
      <c r="AC74" s="598"/>
      <c r="AE74" s="598"/>
    </row>
    <row r="75" spans="29:31" x14ac:dyDescent="0.3">
      <c r="AC75" s="598"/>
    </row>
  </sheetData>
  <mergeCells count="4">
    <mergeCell ref="H5:I6"/>
    <mergeCell ref="H28:I28"/>
    <mergeCell ref="Y42:AG42"/>
    <mergeCell ref="I45:I4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C39B-D92B-4405-9B00-FD6FD6AA4685}">
  <sheetPr>
    <tabColor rgb="FF008000"/>
    <pageSetUpPr fitToPage="1"/>
  </sheetPr>
  <dimension ref="A1:AL60"/>
  <sheetViews>
    <sheetView showGridLines="0" showZeros="0" view="pageBreakPreview" topLeftCell="F16" zoomScale="85" zoomScaleNormal="85" zoomScaleSheetLayoutView="85" workbookViewId="0">
      <selection activeCell="M14" sqref="M1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256</v>
      </c>
      <c r="AD3" s="5"/>
      <c r="AG3" s="5"/>
    </row>
    <row r="4" spans="1:36" ht="18" customHeight="1" x14ac:dyDescent="0.3">
      <c r="H4" s="7"/>
      <c r="AD4" s="5"/>
      <c r="AG4" s="5" t="s">
        <v>94</v>
      </c>
    </row>
    <row r="5" spans="1:36" s="8" customFormat="1" ht="19.5" customHeight="1" x14ac:dyDescent="0.3">
      <c r="G5" s="792"/>
      <c r="H5" s="830" t="s">
        <v>11</v>
      </c>
      <c r="I5" s="831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21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1:36" s="8" customFormat="1" ht="19.5" customHeight="1" x14ac:dyDescent="0.3">
      <c r="A6" s="8" t="s">
        <v>235</v>
      </c>
      <c r="G6" s="792"/>
      <c r="H6" s="832"/>
      <c r="I6" s="833"/>
      <c r="J6" s="175" t="s">
        <v>12</v>
      </c>
      <c r="K6" s="176" t="s">
        <v>13</v>
      </c>
      <c r="L6" s="177" t="s">
        <v>37</v>
      </c>
      <c r="M6" s="176" t="s">
        <v>14</v>
      </c>
      <c r="N6" s="178" t="s">
        <v>37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1:36" s="8" customFormat="1" ht="19.5" customHeight="1" x14ac:dyDescent="0.3">
      <c r="B7" s="8" t="s">
        <v>22</v>
      </c>
      <c r="F7" s="9">
        <f>+U7/T7</f>
        <v>0.59504131929221982</v>
      </c>
      <c r="G7" s="794">
        <f t="shared" ref="G7:G22" si="0">+K7/J7</f>
        <v>0.90008078602620101</v>
      </c>
      <c r="H7" s="78" t="s">
        <v>53</v>
      </c>
      <c r="I7" s="79" t="s">
        <v>22</v>
      </c>
      <c r="J7" s="36">
        <f>+'사업장별(당월)'!J7+'[4]사업장별(누계)'!J7</f>
        <v>458</v>
      </c>
      <c r="K7" s="37">
        <f>+'사업장별(당월)'!K7+'[4]사업장별(누계)'!K7</f>
        <v>412.23700000000008</v>
      </c>
      <c r="L7" s="38">
        <f t="shared" ref="L7:L32" si="1">+K7-J7</f>
        <v>-45.76299999999992</v>
      </c>
      <c r="M7" s="39">
        <f>+'사업장별(당월)'!M7+'[4]사업장별(누계)'!M7</f>
        <v>503.72900000000004</v>
      </c>
      <c r="N7" s="40">
        <f>+K7-M7</f>
        <v>-91.491999999999962</v>
      </c>
      <c r="O7" s="36">
        <f>+'사업장별(당월)'!O7+'[4]사업장별(누계)'!O7</f>
        <v>45972.7042</v>
      </c>
      <c r="P7" s="37">
        <f>+'사업장별(당월)'!P7+'[4]사업장별(누계)'!P7</f>
        <v>40826.389593</v>
      </c>
      <c r="Q7" s="38">
        <f>+P7-O7</f>
        <v>-5146.3146070000003</v>
      </c>
      <c r="R7" s="39">
        <f>+'사업장별(당월)'!R7+'[4]사업장별(누계)'!R7</f>
        <v>46803.177634000007</v>
      </c>
      <c r="S7" s="40">
        <f>+P7-R7</f>
        <v>-5976.7880410000071</v>
      </c>
      <c r="T7" s="36">
        <f>+'사업장별(당월)'!T7+'[4]사업장별(누계)'!T7</f>
        <v>6381.7859817145145</v>
      </c>
      <c r="U7" s="37">
        <f>+'사업장별(당월)'!U7+'[4]사업장별(누계)'!U7</f>
        <v>3797.4263499999988</v>
      </c>
      <c r="V7" s="41">
        <f>+U7-T7</f>
        <v>-2584.3596317145157</v>
      </c>
      <c r="W7" s="42">
        <f>+'사업장별(당월)'!W7+'[4]사업장별(누계)'!W7</f>
        <v>6517.3077219799998</v>
      </c>
      <c r="X7" s="40">
        <f>+U7-W7</f>
        <v>-2719.8813719800009</v>
      </c>
      <c r="Y7" s="36">
        <f>+[11]안양!$Q$85</f>
        <v>100377.08340611354</v>
      </c>
      <c r="Z7" s="37">
        <f>+[11]안양!$R$85</f>
        <v>99032.751272891415</v>
      </c>
      <c r="AA7" s="43">
        <f>+[12]안양!$Q$85</f>
        <v>92889.087168736529</v>
      </c>
      <c r="AB7" s="44">
        <f>+[11]안양!$Q$89</f>
        <v>79110.733594810736</v>
      </c>
      <c r="AC7" s="37">
        <f>+[11]안양!$R$89</f>
        <v>81711.510937924613</v>
      </c>
      <c r="AD7" s="45">
        <f>+[12]안양!$Q$89</f>
        <v>73537.469759804051</v>
      </c>
      <c r="AE7" s="44">
        <f>+Y7-AB7</f>
        <v>21266.349811302804</v>
      </c>
      <c r="AF7" s="37">
        <f>+Z7-AC7</f>
        <v>17321.240334966802</v>
      </c>
      <c r="AG7" s="45">
        <f>+AA7-AD7</f>
        <v>19351.617408932478</v>
      </c>
      <c r="AH7" s="18"/>
      <c r="AI7" s="791"/>
      <c r="AJ7" s="9"/>
    </row>
    <row r="8" spans="1:36" s="8" customFormat="1" ht="19.5" customHeight="1" x14ac:dyDescent="0.3">
      <c r="B8" s="8" t="s">
        <v>23</v>
      </c>
      <c r="F8" s="9">
        <f t="shared" ref="F8:F27" si="2">+U8/T8</f>
        <v>0.42385025489384193</v>
      </c>
      <c r="G8" s="794">
        <f t="shared" si="0"/>
        <v>0.86215697674418601</v>
      </c>
      <c r="H8" s="80" t="s">
        <v>54</v>
      </c>
      <c r="I8" s="81" t="s">
        <v>23</v>
      </c>
      <c r="J8" s="46">
        <f>+'사업장별(당월)'!J8+'[4]사업장별(누계)'!J8</f>
        <v>344</v>
      </c>
      <c r="K8" s="47">
        <f>+'사업장별(당월)'!K8+'[4]사업장별(누계)'!K8</f>
        <v>296.58199999999999</v>
      </c>
      <c r="L8" s="48">
        <f t="shared" si="1"/>
        <v>-47.418000000000006</v>
      </c>
      <c r="M8" s="49">
        <f>+'사업장별(당월)'!M8+'[4]사업장별(누계)'!M8</f>
        <v>410.20499999999998</v>
      </c>
      <c r="N8" s="50">
        <f t="shared" ref="N8:N32" si="3">+K8-M8</f>
        <v>-113.62299999999999</v>
      </c>
      <c r="O8" s="46">
        <f>+'사업장별(당월)'!O8+'[4]사업장별(누계)'!O8</f>
        <v>35293.239170569599</v>
      </c>
      <c r="P8" s="47">
        <f>+'사업장별(당월)'!P8+'[4]사업장별(누계)'!P8</f>
        <v>29518.041177999999</v>
      </c>
      <c r="Q8" s="48">
        <f t="shared" ref="Q8:Q42" si="4">+P8-O8</f>
        <v>-5775.1979925695996</v>
      </c>
      <c r="R8" s="49">
        <f>+'사업장별(당월)'!R8+'[4]사업장별(누계)'!R8</f>
        <v>39438.591517000001</v>
      </c>
      <c r="S8" s="50">
        <f t="shared" ref="S8:S39" si="5">+P8-R8</f>
        <v>-9920.5503390000013</v>
      </c>
      <c r="T8" s="46">
        <f>+'사업장별(당월)'!T8+'[4]사업장별(누계)'!T8</f>
        <v>4092.7150614654533</v>
      </c>
      <c r="U8" s="47">
        <f>+'사업장별(당월)'!U8+'[4]사업장별(누계)'!U8</f>
        <v>1734.6983220099983</v>
      </c>
      <c r="V8" s="48">
        <f t="shared" ref="V8:V39" si="6">+U8-T8</f>
        <v>-2358.0167394554551</v>
      </c>
      <c r="W8" s="49">
        <f>+'사업장별(당월)'!W8+'[4]사업장별(누계)'!W8</f>
        <v>4666.1956459999983</v>
      </c>
      <c r="X8" s="50">
        <f t="shared" ref="X8:X38" si="7">+U8-W8</f>
        <v>-2931.49732399</v>
      </c>
      <c r="Y8" s="46">
        <f>+[11]인천!$Q$85</f>
        <v>102596.62549584186</v>
      </c>
      <c r="Z8" s="47">
        <f>+[11]인천!$R$85</f>
        <v>99531.020265119572</v>
      </c>
      <c r="AA8" s="51">
        <f>+[12]인천!$Q$85</f>
        <v>96118.628085237608</v>
      </c>
      <c r="AB8" s="52">
        <f>+[11]인천!$Q$89</f>
        <v>81209.329732407205</v>
      </c>
      <c r="AC8" s="47">
        <f>+[11]인천!$R$89</f>
        <v>82712.024558403224</v>
      </c>
      <c r="AD8" s="53">
        <f>+[12]인천!$Q$89</f>
        <v>76710.002121629499</v>
      </c>
      <c r="AE8" s="52">
        <f t="shared" ref="AE8:AG27" si="8">+Y8-AB8</f>
        <v>21387.295763434653</v>
      </c>
      <c r="AF8" s="47">
        <f t="shared" si="8"/>
        <v>16818.995706716349</v>
      </c>
      <c r="AG8" s="53">
        <f t="shared" si="8"/>
        <v>19408.625963608109</v>
      </c>
      <c r="AH8" s="18"/>
      <c r="AI8" s="791"/>
      <c r="AJ8" s="96"/>
    </row>
    <row r="9" spans="1:36" s="8" customFormat="1" ht="19.5" customHeight="1" x14ac:dyDescent="0.3">
      <c r="B9" s="8" t="s">
        <v>24</v>
      </c>
      <c r="F9" s="9">
        <f t="shared" si="2"/>
        <v>0.49994162776130191</v>
      </c>
      <c r="G9" s="794">
        <f t="shared" si="0"/>
        <v>0.99272014925373142</v>
      </c>
      <c r="H9" s="80"/>
      <c r="I9" s="81" t="s">
        <v>24</v>
      </c>
      <c r="J9" s="46">
        <f>+'사업장별(당월)'!J9+'[4]사업장별(누계)'!J9</f>
        <v>268</v>
      </c>
      <c r="K9" s="47">
        <f>+'사업장별(당월)'!K9+'[4]사업장별(누계)'!K9</f>
        <v>266.04900000000004</v>
      </c>
      <c r="L9" s="48">
        <f t="shared" si="1"/>
        <v>-1.950999999999965</v>
      </c>
      <c r="M9" s="49">
        <f>+'사업장별(당월)'!M9+'[4]사업장별(누계)'!M9</f>
        <v>295.71100000000001</v>
      </c>
      <c r="N9" s="50">
        <f t="shared" si="3"/>
        <v>-29.661999999999978</v>
      </c>
      <c r="O9" s="46">
        <f>+'사업장별(당월)'!O9+'[4]사업장별(누계)'!O9</f>
        <v>26497.578758746196</v>
      </c>
      <c r="P9" s="47">
        <f>+'사업장별(당월)'!P9+'[4]사업장별(누계)'!P9</f>
        <v>25690.116805999998</v>
      </c>
      <c r="Q9" s="48">
        <f t="shared" si="4"/>
        <v>-807.46195274619822</v>
      </c>
      <c r="R9" s="49">
        <f>+'사업장별(당월)'!R9+'[4]사업장별(누계)'!R9</f>
        <v>27580.717404999992</v>
      </c>
      <c r="S9" s="50">
        <f t="shared" si="5"/>
        <v>-1890.600598999994</v>
      </c>
      <c r="T9" s="46">
        <f>+'사업장별(당월)'!T9+'[4]사업장별(누계)'!T9</f>
        <v>3547.5969083470764</v>
      </c>
      <c r="U9" s="47">
        <f>+'사업장별(당월)'!U9+'[4]사업장별(누계)'!U9</f>
        <v>1773.5913729999995</v>
      </c>
      <c r="V9" s="48">
        <f t="shared" si="6"/>
        <v>-1774.0055353470768</v>
      </c>
      <c r="W9" s="49">
        <f>+'사업장별(당월)'!W9+'[4]사업장별(누계)'!W9</f>
        <v>2875.4888300099983</v>
      </c>
      <c r="X9" s="50">
        <f t="shared" si="7"/>
        <v>-1101.8974570099988</v>
      </c>
      <c r="Y9" s="46">
        <f>+[11]파주!$Q$85</f>
        <v>98871.562532635071</v>
      </c>
      <c r="Z9" s="47">
        <f>+[11]파주!$R$85</f>
        <v>96569.206871020288</v>
      </c>
      <c r="AA9" s="51">
        <f>+[12]파주!$Q$85</f>
        <v>93243.274566463879</v>
      </c>
      <c r="AB9" s="52">
        <f>+[11]파주!$Q$89</f>
        <v>76546.537416197229</v>
      </c>
      <c r="AC9" s="47">
        <f>+[11]파주!$R$89</f>
        <v>80413.640619127342</v>
      </c>
      <c r="AD9" s="53">
        <f>+[12]파주!$Q$89</f>
        <v>75251.334353499988</v>
      </c>
      <c r="AE9" s="52">
        <f t="shared" si="8"/>
        <v>22325.025116437842</v>
      </c>
      <c r="AF9" s="47">
        <f t="shared" si="8"/>
        <v>16155.566251892946</v>
      </c>
      <c r="AG9" s="53">
        <f t="shared" si="8"/>
        <v>17991.940212963891</v>
      </c>
      <c r="AH9" s="18"/>
      <c r="AI9" s="791"/>
      <c r="AJ9" s="96"/>
    </row>
    <row r="10" spans="1:36" s="8" customFormat="1" ht="19.5" customHeight="1" x14ac:dyDescent="0.3">
      <c r="B10" s="8" t="s">
        <v>175</v>
      </c>
      <c r="F10" s="9">
        <f t="shared" si="2"/>
        <v>0.45203493148823332</v>
      </c>
      <c r="G10" s="794">
        <f t="shared" si="0"/>
        <v>0.76936151603498526</v>
      </c>
      <c r="H10" s="80"/>
      <c r="I10" s="81" t="s">
        <v>172</v>
      </c>
      <c r="J10" s="46">
        <f>+'사업장별(당월)'!J10+'[4]사업장별(누계)'!J10</f>
        <v>171.5</v>
      </c>
      <c r="K10" s="47">
        <f>+'사업장별(당월)'!K10+'[4]사업장별(누계)'!K10</f>
        <v>131.94549999999998</v>
      </c>
      <c r="L10" s="48">
        <f t="shared" si="1"/>
        <v>-39.554500000000019</v>
      </c>
      <c r="M10" s="49">
        <f>+'사업장별(당월)'!M10+'[4]사업장별(누계)'!M10</f>
        <v>179.75668000000002</v>
      </c>
      <c r="N10" s="50">
        <f t="shared" si="3"/>
        <v>-47.811180000000036</v>
      </c>
      <c r="O10" s="46">
        <f>+'사업장별(당월)'!O10+'[4]사업장별(누계)'!O10</f>
        <v>16432.831999999999</v>
      </c>
      <c r="P10" s="47">
        <f>+'사업장별(당월)'!P10+'[4]사업장별(누계)'!P10</f>
        <v>12847.273596000001</v>
      </c>
      <c r="Q10" s="48">
        <f t="shared" si="4"/>
        <v>-3585.5584039999976</v>
      </c>
      <c r="R10" s="49">
        <f>+'사업장별(당월)'!R10+'[4]사업장별(누계)'!R10</f>
        <v>16306.353857</v>
      </c>
      <c r="S10" s="50">
        <f t="shared" si="5"/>
        <v>-3459.0802609999992</v>
      </c>
      <c r="T10" s="46">
        <f>+'사업장별(당월)'!T10+'[4]사업장별(누계)'!T10</f>
        <v>2288.9326419830754</v>
      </c>
      <c r="U10" s="47">
        <f>+'사업장별(당월)'!U10+'[4]사업장별(누계)'!U10</f>
        <v>1034.6775100000004</v>
      </c>
      <c r="V10" s="48">
        <f t="shared" si="6"/>
        <v>-1254.255131983075</v>
      </c>
      <c r="W10" s="49">
        <f>+'사업장별(당월)'!W10+'[4]사업장별(누계)'!W10</f>
        <v>2065.771968</v>
      </c>
      <c r="X10" s="50">
        <f t="shared" si="7"/>
        <v>-1031.0944579999996</v>
      </c>
      <c r="Y10" s="46">
        <f>+[11]김포!$Q$85</f>
        <v>95818.262390670556</v>
      </c>
      <c r="Z10" s="47">
        <f>+[11]김포!$R$85</f>
        <v>97387.55469379187</v>
      </c>
      <c r="AA10" s="51">
        <f>+[12]김포!$Q$85</f>
        <v>90678.117503733607</v>
      </c>
      <c r="AB10" s="52">
        <f>+[11]김포!$Q$89</f>
        <v>71876.080316263236</v>
      </c>
      <c r="AC10" s="47">
        <f>+[11]김포!$R$89</f>
        <v>76106.663756691472</v>
      </c>
      <c r="AD10" s="53">
        <f>+[12]김포!$Q$89</f>
        <v>68917.861694385487</v>
      </c>
      <c r="AE10" s="52">
        <f t="shared" si="8"/>
        <v>23942.182074407319</v>
      </c>
      <c r="AF10" s="47">
        <f t="shared" si="8"/>
        <v>21280.890937100397</v>
      </c>
      <c r="AG10" s="53">
        <f t="shared" si="8"/>
        <v>21760.25580934812</v>
      </c>
      <c r="AH10" s="18"/>
      <c r="AI10" s="791"/>
      <c r="AJ10" s="96"/>
    </row>
    <row r="11" spans="1:36" s="8" customFormat="1" ht="19.5" customHeight="1" x14ac:dyDescent="0.3">
      <c r="B11" s="8" t="s">
        <v>25</v>
      </c>
      <c r="F11" s="9">
        <f t="shared" si="2"/>
        <v>0.6113455375570821</v>
      </c>
      <c r="G11" s="794">
        <f t="shared" si="0"/>
        <v>0.95735619469026556</v>
      </c>
      <c r="H11" s="80"/>
      <c r="I11" s="82" t="s">
        <v>25</v>
      </c>
      <c r="J11" s="63">
        <f>+'사업장별(당월)'!J11+'[4]사업장별(누계)'!J11</f>
        <v>226</v>
      </c>
      <c r="K11" s="64">
        <f>+'사업장별(당월)'!K11+'[4]사업장별(누계)'!K11</f>
        <v>216.36250000000001</v>
      </c>
      <c r="L11" s="65">
        <f t="shared" si="1"/>
        <v>-9.6374999999999886</v>
      </c>
      <c r="M11" s="66">
        <f>+'사업장별(당월)'!M11+'[4]사업장별(누계)'!M11</f>
        <v>256.92500000000001</v>
      </c>
      <c r="N11" s="67">
        <f t="shared" si="3"/>
        <v>-40.5625</v>
      </c>
      <c r="O11" s="63">
        <f>+'사업장별(당월)'!O11+'[4]사업장별(누계)'!O11</f>
        <v>24317.606009749998</v>
      </c>
      <c r="P11" s="64">
        <f>+'사업장별(당월)'!P11+'[4]사업장별(누계)'!P11</f>
        <v>23344.605807</v>
      </c>
      <c r="Q11" s="65">
        <f t="shared" si="4"/>
        <v>-973.0002027499977</v>
      </c>
      <c r="R11" s="66">
        <f>+'사업장별(당월)'!R11+'[4]사업장별(누계)'!R11</f>
        <v>26544.928226</v>
      </c>
      <c r="S11" s="67">
        <f t="shared" si="5"/>
        <v>-3200.3224190000001</v>
      </c>
      <c r="T11" s="63">
        <f>+'사업장별(당월)'!T11+'[4]사업장별(누계)'!T11</f>
        <v>3641.2870663869812</v>
      </c>
      <c r="U11" s="64">
        <f>+'사업장별(당월)'!U11+'[4]사업장별(누계)'!U11</f>
        <v>2226.0845989999993</v>
      </c>
      <c r="V11" s="65">
        <f t="shared" si="6"/>
        <v>-1415.2024673869819</v>
      </c>
      <c r="W11" s="66">
        <f>+'사업장별(당월)'!W11+'[4]사업장별(누계)'!W11</f>
        <v>4514.1624999999995</v>
      </c>
      <c r="X11" s="67">
        <f t="shared" si="7"/>
        <v>-2288.0779010000001</v>
      </c>
      <c r="Y11" s="63">
        <f>+[11]부산!$Q$85</f>
        <v>107600.02659181414</v>
      </c>
      <c r="Z11" s="64">
        <f>+[11]부산!$R$85</f>
        <v>107895.80360275003</v>
      </c>
      <c r="AA11" s="68">
        <f>+[12]부산!$Q$85</f>
        <v>103317.80957867079</v>
      </c>
      <c r="AB11" s="69">
        <f>+[11]부산!$Q$89</f>
        <v>78518.418898912656</v>
      </c>
      <c r="AC11" s="64">
        <f>+[11]부산!$R$89</f>
        <v>84173.331259848856</v>
      </c>
      <c r="AD11" s="70">
        <f>+[12]부산!$Q$89</f>
        <v>74962.443755420303</v>
      </c>
      <c r="AE11" s="69">
        <f t="shared" si="8"/>
        <v>29081.607692901482</v>
      </c>
      <c r="AF11" s="64">
        <f t="shared" si="8"/>
        <v>23722.472342901179</v>
      </c>
      <c r="AG11" s="70">
        <f t="shared" si="8"/>
        <v>28355.365823250482</v>
      </c>
      <c r="AH11" s="18"/>
      <c r="AI11" s="791"/>
      <c r="AJ11" s="96"/>
    </row>
    <row r="12" spans="1:36" s="8" customFormat="1" ht="19.5" customHeight="1" x14ac:dyDescent="0.3">
      <c r="B12" s="8" t="s">
        <v>26</v>
      </c>
      <c r="F12" s="9">
        <f t="shared" si="2"/>
        <v>0.50496151831773772</v>
      </c>
      <c r="G12" s="794">
        <f t="shared" si="0"/>
        <v>0.86024242424242425</v>
      </c>
      <c r="H12" s="80"/>
      <c r="I12" s="81" t="s">
        <v>26</v>
      </c>
      <c r="J12" s="46">
        <f>+'사업장별(당월)'!J12+'[4]사업장별(누계)'!J12</f>
        <v>264</v>
      </c>
      <c r="K12" s="47">
        <f>+'사업장별(당월)'!K12+'[4]사업장별(누계)'!K12</f>
        <v>227.10400000000001</v>
      </c>
      <c r="L12" s="48">
        <f t="shared" si="1"/>
        <v>-36.895999999999987</v>
      </c>
      <c r="M12" s="49">
        <f>+'사업장별(당월)'!M12+'[4]사업장별(누계)'!M12</f>
        <v>249.60199999999998</v>
      </c>
      <c r="N12" s="50">
        <f t="shared" si="3"/>
        <v>-22.497999999999962</v>
      </c>
      <c r="O12" s="46">
        <f>+'사업장별(당월)'!O12+'[4]사업장별(누계)'!O12</f>
        <v>27440.994279999999</v>
      </c>
      <c r="P12" s="47">
        <f>+'사업장별(당월)'!P12+'[4]사업장별(누계)'!P12</f>
        <v>22714.892038000002</v>
      </c>
      <c r="Q12" s="48">
        <f t="shared" si="4"/>
        <v>-4726.1022419999972</v>
      </c>
      <c r="R12" s="49">
        <f>+'사업장별(당월)'!R12+'[4]사업장별(누계)'!R12</f>
        <v>24969.910802000002</v>
      </c>
      <c r="S12" s="50">
        <f t="shared" si="5"/>
        <v>-2255.0187640000004</v>
      </c>
      <c r="T12" s="46">
        <f>+'사업장별(당월)'!T12+'[4]사업장별(누계)'!T12</f>
        <v>4783.49298783616</v>
      </c>
      <c r="U12" s="47">
        <f>+'사업장별(당월)'!U12+'[4]사업장별(누계)'!U12</f>
        <v>2415.4798819999992</v>
      </c>
      <c r="V12" s="48">
        <f t="shared" si="6"/>
        <v>-2368.0131058361608</v>
      </c>
      <c r="W12" s="49">
        <f>+'사업장별(당월)'!W12+'[4]사업장별(누계)'!W12</f>
        <v>4339.2144309999994</v>
      </c>
      <c r="X12" s="50">
        <f t="shared" si="7"/>
        <v>-1923.7345490000002</v>
      </c>
      <c r="Y12" s="46">
        <f>+[11]서부산!$Q$85</f>
        <v>103943.16015151514</v>
      </c>
      <c r="Z12" s="47">
        <f>+[11]서부산!$R$85</f>
        <v>100020.63052976516</v>
      </c>
      <c r="AA12" s="51">
        <f>+[12]서부산!$Q$85</f>
        <v>100038.90514499083</v>
      </c>
      <c r="AB12" s="52">
        <f>+[11]서부산!$Q$89</f>
        <v>76825.862410553265</v>
      </c>
      <c r="AC12" s="47">
        <f>+[11]서부산!$R$89</f>
        <v>78572.215964328017</v>
      </c>
      <c r="AD12" s="53">
        <f>+[12]서부산!$Q$89</f>
        <v>73578.50124983977</v>
      </c>
      <c r="AE12" s="52">
        <f t="shared" si="8"/>
        <v>27117.297740961876</v>
      </c>
      <c r="AF12" s="47">
        <f t="shared" si="8"/>
        <v>21448.414565437139</v>
      </c>
      <c r="AG12" s="53">
        <f t="shared" si="8"/>
        <v>26460.403895151059</v>
      </c>
      <c r="AH12" s="18"/>
      <c r="AI12" s="791"/>
      <c r="AJ12" s="96"/>
    </row>
    <row r="13" spans="1:36" s="8" customFormat="1" ht="19.5" customHeight="1" x14ac:dyDescent="0.3">
      <c r="B13" s="8" t="s">
        <v>27</v>
      </c>
      <c r="F13" s="9">
        <f t="shared" si="2"/>
        <v>0.49431225283533359</v>
      </c>
      <c r="G13" s="794">
        <f t="shared" si="0"/>
        <v>1.1188473282442748</v>
      </c>
      <c r="H13" s="80"/>
      <c r="I13" s="81" t="s">
        <v>27</v>
      </c>
      <c r="J13" s="46">
        <f>+'사업장별(당월)'!J13+'[4]사업장별(누계)'!J13</f>
        <v>131</v>
      </c>
      <c r="K13" s="47">
        <f>+'사업장별(당월)'!K13+'[4]사업장별(누계)'!K13</f>
        <v>146.56899999999999</v>
      </c>
      <c r="L13" s="48">
        <f t="shared" si="1"/>
        <v>15.568999999999988</v>
      </c>
      <c r="M13" s="49">
        <f>+'사업장별(당월)'!M13+'[4]사업장별(누계)'!M13</f>
        <v>148.53700000000001</v>
      </c>
      <c r="N13" s="50">
        <f t="shared" si="3"/>
        <v>-1.9680000000000177</v>
      </c>
      <c r="O13" s="46">
        <f>+'사업장별(당월)'!O13+'[4]사업장별(누계)'!O13</f>
        <v>13230.994599999998</v>
      </c>
      <c r="P13" s="47">
        <f>+'사업장별(당월)'!P13+'[4]사업장별(누계)'!P13</f>
        <v>13958.763499999997</v>
      </c>
      <c r="Q13" s="48">
        <f t="shared" si="4"/>
        <v>727.76889999999912</v>
      </c>
      <c r="R13" s="49">
        <f>+'사업장별(당월)'!R13+'[4]사업장별(누계)'!R13</f>
        <v>14531.778387999999</v>
      </c>
      <c r="S13" s="50">
        <f t="shared" si="5"/>
        <v>-573.01488800000152</v>
      </c>
      <c r="T13" s="46">
        <f>+'사업장별(당월)'!T13+'[4]사업장별(누계)'!T13</f>
        <v>1627.5541934988273</v>
      </c>
      <c r="U13" s="47">
        <f>+'사업장별(당월)'!U13+'[4]사업장별(누계)'!U13</f>
        <v>804.5199799999998</v>
      </c>
      <c r="V13" s="48">
        <f t="shared" si="6"/>
        <v>-823.03421349882751</v>
      </c>
      <c r="W13" s="49">
        <f>+'사업장별(당월)'!W13+'[4]사업장별(누계)'!W13</f>
        <v>1924.0345610000004</v>
      </c>
      <c r="X13" s="50">
        <f t="shared" si="7"/>
        <v>-1119.5145810000006</v>
      </c>
      <c r="Y13" s="46">
        <f>+[11]김해!$Q$85</f>
        <v>100999.95877862597</v>
      </c>
      <c r="Z13" s="47">
        <f>+[11]김해!$R$85</f>
        <v>95311.762142570573</v>
      </c>
      <c r="AA13" s="51">
        <f>+[12]김해!$Q$85</f>
        <v>97846.672520298889</v>
      </c>
      <c r="AB13" s="52">
        <f>+[11]김해!$Q$89</f>
        <v>76527.26420294978</v>
      </c>
      <c r="AC13" s="47">
        <f>+[11]김해!$R$89</f>
        <v>78622.375624195964</v>
      </c>
      <c r="AD13" s="53">
        <f>+[12]김해!$Q$89</f>
        <v>74441.090346901896</v>
      </c>
      <c r="AE13" s="52">
        <f t="shared" si="8"/>
        <v>24472.694575676185</v>
      </c>
      <c r="AF13" s="47">
        <f t="shared" si="8"/>
        <v>16689.386518374609</v>
      </c>
      <c r="AG13" s="53">
        <f t="shared" si="8"/>
        <v>23405.582173396993</v>
      </c>
      <c r="AH13" s="18"/>
      <c r="AI13" s="791"/>
      <c r="AJ13" s="96"/>
    </row>
    <row r="14" spans="1:36" s="8" customFormat="1" ht="19.5" customHeight="1" x14ac:dyDescent="0.3">
      <c r="B14" s="8" t="s">
        <v>28</v>
      </c>
      <c r="F14" s="9">
        <f t="shared" si="2"/>
        <v>0.6902330082974939</v>
      </c>
      <c r="G14" s="794">
        <f t="shared" si="0"/>
        <v>1.1269764397905759</v>
      </c>
      <c r="H14" s="80"/>
      <c r="I14" s="81" t="s">
        <v>28</v>
      </c>
      <c r="J14" s="46">
        <f>+'사업장별(당월)'!J14+'[4]사업장별(누계)'!J14</f>
        <v>191</v>
      </c>
      <c r="K14" s="47">
        <f>+'사업장별(당월)'!K14+'[4]사업장별(누계)'!K14</f>
        <v>215.2525</v>
      </c>
      <c r="L14" s="48">
        <f t="shared" si="1"/>
        <v>24.252499999999998</v>
      </c>
      <c r="M14" s="49">
        <f>+'사업장별(당월)'!M14+'[4]사업장별(누계)'!M14</f>
        <v>211.50299999999999</v>
      </c>
      <c r="N14" s="50">
        <f t="shared" si="3"/>
        <v>3.7495000000000118</v>
      </c>
      <c r="O14" s="46">
        <f>+'사업장별(당월)'!O14+'[4]사업장별(누계)'!O14</f>
        <v>19864</v>
      </c>
      <c r="P14" s="47">
        <f>+'사업장별(당월)'!P14+'[4]사업장별(누계)'!P14</f>
        <v>21744.947480999996</v>
      </c>
      <c r="Q14" s="48">
        <f t="shared" si="4"/>
        <v>1880.9474809999956</v>
      </c>
      <c r="R14" s="49">
        <f>+'사업장별(당월)'!R14+'[4]사업장별(누계)'!R14</f>
        <v>21280.145619999999</v>
      </c>
      <c r="S14" s="50">
        <f t="shared" si="5"/>
        <v>464.80186099999628</v>
      </c>
      <c r="T14" s="46">
        <f>+'사업장별(당월)'!T14+'[4]사업장별(누계)'!T14</f>
        <v>2729.7883879061083</v>
      </c>
      <c r="U14" s="47">
        <f>+'사업장별(당월)'!U14+'[4]사업장별(누계)'!U14</f>
        <v>1884.1900509999994</v>
      </c>
      <c r="V14" s="48">
        <f t="shared" si="6"/>
        <v>-845.5983369061089</v>
      </c>
      <c r="W14" s="49">
        <f>+'사업장별(당월)'!W14+'[4]사업장별(누계)'!W14</f>
        <v>3307.6585150000001</v>
      </c>
      <c r="X14" s="50">
        <f t="shared" si="7"/>
        <v>-1423.4684640000007</v>
      </c>
      <c r="Y14" s="46">
        <f>+[11]정관!$Q$85</f>
        <v>104000</v>
      </c>
      <c r="Z14" s="47">
        <f>+[11]정관!$R$85</f>
        <v>101020.6500783963</v>
      </c>
      <c r="AA14" s="51">
        <f>+[12]정관!$Q$85</f>
        <v>100613.91857325901</v>
      </c>
      <c r="AB14" s="52">
        <f>+[11]정관!$Q$89</f>
        <v>78335.48274452881</v>
      </c>
      <c r="AC14" s="47">
        <f>+[11]정관!$R$89</f>
        <v>81846.370391693024</v>
      </c>
      <c r="AD14" s="53">
        <f>+[12]정관!$Q$89</f>
        <v>75106.687312120703</v>
      </c>
      <c r="AE14" s="52">
        <f t="shared" si="8"/>
        <v>25664.51725547119</v>
      </c>
      <c r="AF14" s="47">
        <f t="shared" si="8"/>
        <v>19174.279686703274</v>
      </c>
      <c r="AG14" s="53">
        <f t="shared" si="8"/>
        <v>25507.231261138309</v>
      </c>
      <c r="AH14" s="18"/>
      <c r="AI14" s="791"/>
      <c r="AJ14" s="96"/>
    </row>
    <row r="15" spans="1:36" s="8" customFormat="1" ht="19.5" customHeight="1" x14ac:dyDescent="0.3">
      <c r="B15" s="8" t="s">
        <v>29</v>
      </c>
      <c r="F15" s="9">
        <f t="shared" si="2"/>
        <v>0.76027381629008994</v>
      </c>
      <c r="G15" s="794">
        <f t="shared" si="0"/>
        <v>1.1610932203389832</v>
      </c>
      <c r="H15" s="80"/>
      <c r="I15" s="81" t="s">
        <v>214</v>
      </c>
      <c r="J15" s="46">
        <f>+'사업장별(당월)'!J15+'[4]사업장별(누계)'!J15</f>
        <v>118</v>
      </c>
      <c r="K15" s="47">
        <f>+'사업장별(당월)'!K15+'[4]사업장별(누계)'!K15</f>
        <v>137.00900000000001</v>
      </c>
      <c r="L15" s="48">
        <f t="shared" si="1"/>
        <v>19.009000000000015</v>
      </c>
      <c r="M15" s="49">
        <f>+'사업장별(당월)'!M15+'[4]사업장별(누계)'!M15</f>
        <v>149.99600000000004</v>
      </c>
      <c r="N15" s="50">
        <f t="shared" si="3"/>
        <v>-12.987000000000023</v>
      </c>
      <c r="O15" s="46">
        <f>+'사업장별(당월)'!O15+'[4]사업장별(누계)'!O15</f>
        <v>11419.254824</v>
      </c>
      <c r="P15" s="47">
        <f>+'사업장별(당월)'!P15+'[4]사업장별(누계)'!P15</f>
        <v>12783.635018000001</v>
      </c>
      <c r="Q15" s="48">
        <f t="shared" si="4"/>
        <v>1364.3801940000012</v>
      </c>
      <c r="R15" s="49">
        <f>+'사업장별(당월)'!R15+'[4]사업장별(누계)'!R15</f>
        <v>13997.476220999999</v>
      </c>
      <c r="S15" s="50">
        <f t="shared" si="5"/>
        <v>-1213.8412029999981</v>
      </c>
      <c r="T15" s="46">
        <f>+'사업장별(당월)'!T15+'[4]사업장별(누계)'!T15</f>
        <v>1558.4726655217373</v>
      </c>
      <c r="U15" s="47">
        <f>+'사업장별(당월)'!U15+'[4]사업장별(누계)'!U15</f>
        <v>1184.8659610000002</v>
      </c>
      <c r="V15" s="48">
        <f t="shared" si="6"/>
        <v>-373.60670452173713</v>
      </c>
      <c r="W15" s="49">
        <f>+'사업장별(당월)'!W15+'[4]사업장별(누계)'!W15</f>
        <v>2030.3429339999998</v>
      </c>
      <c r="X15" s="50">
        <f t="shared" si="7"/>
        <v>-845.47697299999959</v>
      </c>
      <c r="Y15" s="46">
        <f>+[11]양산!$Q$85</f>
        <v>96773.345966101697</v>
      </c>
      <c r="Z15" s="47">
        <f>+[11]양산!$R$85</f>
        <v>93305.074980475722</v>
      </c>
      <c r="AA15" s="51">
        <f>+[12]양산!$Q$85</f>
        <v>93320.331426170815</v>
      </c>
      <c r="AB15" s="52">
        <f>+[11]양산!$Q$89</f>
        <v>70510.721069024832</v>
      </c>
      <c r="AC15" s="47">
        <f>+[11]양산!$R$89</f>
        <v>73270.585711366395</v>
      </c>
      <c r="AD15" s="53">
        <f>+[12]양산!$Q$89</f>
        <v>69103.407481981762</v>
      </c>
      <c r="AE15" s="52">
        <f t="shared" si="8"/>
        <v>26262.624897076865</v>
      </c>
      <c r="AF15" s="47">
        <f t="shared" si="8"/>
        <v>20034.489269109326</v>
      </c>
      <c r="AG15" s="53">
        <f t="shared" si="8"/>
        <v>24216.923944189053</v>
      </c>
      <c r="AH15" s="18"/>
      <c r="AI15" s="791"/>
      <c r="AJ15" s="96"/>
    </row>
    <row r="16" spans="1:36" s="8" customFormat="1" ht="19.5" customHeight="1" x14ac:dyDescent="0.3">
      <c r="B16" s="8" t="s">
        <v>30</v>
      </c>
      <c r="F16" s="9">
        <f t="shared" si="2"/>
        <v>0.89035174244195969</v>
      </c>
      <c r="G16" s="794">
        <f t="shared" si="0"/>
        <v>1.0516714285714286</v>
      </c>
      <c r="H16" s="80"/>
      <c r="I16" s="81" t="s">
        <v>30</v>
      </c>
      <c r="J16" s="46">
        <f>+'사업장별(당월)'!J16+'[4]사업장별(누계)'!J16</f>
        <v>175</v>
      </c>
      <c r="K16" s="47">
        <f>+'사업장별(당월)'!K16+'[4]사업장별(누계)'!K16</f>
        <v>184.04250000000002</v>
      </c>
      <c r="L16" s="48">
        <f t="shared" si="1"/>
        <v>9.0425000000000182</v>
      </c>
      <c r="M16" s="49">
        <f>+'사업장별(당월)'!M16+'[4]사업장별(누계)'!M16</f>
        <v>222.55</v>
      </c>
      <c r="N16" s="50">
        <f t="shared" si="3"/>
        <v>-38.507499999999993</v>
      </c>
      <c r="O16" s="46">
        <f>+'사업장별(당월)'!O16+'[4]사업장별(누계)'!O16</f>
        <v>17666.62</v>
      </c>
      <c r="P16" s="47">
        <f>+'사업장별(당월)'!P16+'[4]사업장별(누계)'!P16</f>
        <v>18512.7048</v>
      </c>
      <c r="Q16" s="48">
        <f t="shared" si="4"/>
        <v>846.08480000000054</v>
      </c>
      <c r="R16" s="49">
        <f>+'사업장별(당월)'!R16+'[4]사업장별(누계)'!R16</f>
        <v>21277.454119999995</v>
      </c>
      <c r="S16" s="50">
        <f t="shared" si="5"/>
        <v>-2764.7493199999954</v>
      </c>
      <c r="T16" s="46">
        <f>+'사업장별(당월)'!T16+'[4]사업장별(누계)'!T16</f>
        <v>2889.7070139307552</v>
      </c>
      <c r="U16" s="47">
        <f>+'사업장별(당월)'!U16+'[4]사업장별(누계)'!U16</f>
        <v>2572.8556750000002</v>
      </c>
      <c r="V16" s="48">
        <f t="shared" si="6"/>
        <v>-316.85133893075499</v>
      </c>
      <c r="W16" s="49">
        <f>+'사업장별(당월)'!W16+'[4]사업장별(누계)'!W16</f>
        <v>4091.581596999999</v>
      </c>
      <c r="X16" s="50">
        <f t="shared" si="7"/>
        <v>-1518.7259219999987</v>
      </c>
      <c r="Y16" s="46">
        <f>+[11]창원!$Q$85</f>
        <v>100952.11428571428</v>
      </c>
      <c r="Z16" s="47">
        <f>+[11]창원!$R$85</f>
        <v>100589.29214719427</v>
      </c>
      <c r="AA16" s="51">
        <f>+[12]창원!$Q$85</f>
        <v>95607.522444394504</v>
      </c>
      <c r="AB16" s="52">
        <f>+[11]창원!$Q$89</f>
        <v>72358.141351387836</v>
      </c>
      <c r="AC16" s="47">
        <f>+[11]창원!$R$89</f>
        <v>74940.844303422651</v>
      </c>
      <c r="AD16" s="53">
        <f>+[12]창원!$Q$89</f>
        <v>68034.869278315324</v>
      </c>
      <c r="AE16" s="52">
        <f t="shared" si="8"/>
        <v>28593.972934326448</v>
      </c>
      <c r="AF16" s="47">
        <f t="shared" si="8"/>
        <v>25648.447843771617</v>
      </c>
      <c r="AG16" s="53">
        <f t="shared" si="8"/>
        <v>27572.653166079181</v>
      </c>
      <c r="AH16" s="18"/>
      <c r="AI16" s="791"/>
      <c r="AJ16" s="96"/>
    </row>
    <row r="17" spans="2:38" s="8" customFormat="1" ht="19.5" customHeight="1" x14ac:dyDescent="0.3">
      <c r="B17" s="8" t="s">
        <v>87</v>
      </c>
      <c r="F17" s="9">
        <f t="shared" si="2"/>
        <v>0.80079540515754177</v>
      </c>
      <c r="G17" s="794">
        <f t="shared" si="0"/>
        <v>0.98466666666666658</v>
      </c>
      <c r="H17" s="80"/>
      <c r="I17" s="81" t="s">
        <v>87</v>
      </c>
      <c r="J17" s="46">
        <f>+'사업장별(당월)'!J17+'[4]사업장별(누계)'!J17</f>
        <v>174</v>
      </c>
      <c r="K17" s="47">
        <f>+'사업장별(당월)'!K17+'[4]사업장별(누계)'!K17</f>
        <v>171.33199999999999</v>
      </c>
      <c r="L17" s="48">
        <f t="shared" si="1"/>
        <v>-2.6680000000000064</v>
      </c>
      <c r="M17" s="49">
        <f>+'사업장별(당월)'!M17+'[4]사업장별(누계)'!M17</f>
        <v>215.96849999999998</v>
      </c>
      <c r="N17" s="50">
        <f t="shared" si="3"/>
        <v>-44.636499999999984</v>
      </c>
      <c r="O17" s="46">
        <f>+'사업장별(당월)'!O17+'[4]사업장별(누계)'!O17</f>
        <v>17012.620000000003</v>
      </c>
      <c r="P17" s="47">
        <f>+'사업장별(당월)'!P17+'[4]사업장별(누계)'!P17</f>
        <v>17088.237752000001</v>
      </c>
      <c r="Q17" s="48">
        <f t="shared" si="4"/>
        <v>75.617751999998291</v>
      </c>
      <c r="R17" s="49">
        <f>+'사업장별(당월)'!R17+'[4]사업장별(누계)'!R17</f>
        <v>20108.986900000004</v>
      </c>
      <c r="S17" s="50">
        <f t="shared" si="5"/>
        <v>-3020.7491480000026</v>
      </c>
      <c r="T17" s="46">
        <f>+'사업장별(당월)'!T17+'[4]사업장별(누계)'!T17</f>
        <v>2976.3666470227786</v>
      </c>
      <c r="U17" s="47">
        <f>+'사업장별(당월)'!U17+'[4]사업장별(누계)'!U17</f>
        <v>2383.4607350000001</v>
      </c>
      <c r="V17" s="48">
        <f t="shared" si="6"/>
        <v>-592.90591202277847</v>
      </c>
      <c r="W17" s="49">
        <f>+'사업장별(당월)'!W17+'[4]사업장별(누계)'!W17</f>
        <v>3700.9790940000003</v>
      </c>
      <c r="X17" s="50">
        <f t="shared" si="7"/>
        <v>-1317.5183590000001</v>
      </c>
      <c r="Y17" s="46">
        <f>+[11]대구!$Q$85</f>
        <v>97773.678160919546</v>
      </c>
      <c r="Z17" s="47">
        <f>+[11]대구!$R$85</f>
        <v>99737.351761492304</v>
      </c>
      <c r="AA17" s="51">
        <f>+[12]대구!$Q$85</f>
        <v>93109.125349222741</v>
      </c>
      <c r="AB17" s="52">
        <f>+[11]대구!$Q$89</f>
        <v>69829.796308302713</v>
      </c>
      <c r="AC17" s="47">
        <f>+[11]대구!$R$89</f>
        <v>74594.202893138281</v>
      </c>
      <c r="AD17" s="53">
        <f>+[12]대구!$Q$89</f>
        <v>67287.192301183066</v>
      </c>
      <c r="AE17" s="52">
        <f t="shared" si="8"/>
        <v>27943.881852616832</v>
      </c>
      <c r="AF17" s="47">
        <f t="shared" si="8"/>
        <v>25143.148868354023</v>
      </c>
      <c r="AG17" s="53">
        <f t="shared" si="8"/>
        <v>25821.933048039675</v>
      </c>
      <c r="AH17" s="18"/>
      <c r="AI17" s="791"/>
      <c r="AJ17" s="96"/>
    </row>
    <row r="18" spans="2:38" s="8" customFormat="1" ht="19.5" customHeight="1" x14ac:dyDescent="0.3">
      <c r="B18" s="8" t="s">
        <v>88</v>
      </c>
      <c r="F18" s="9">
        <f t="shared" si="2"/>
        <v>2.1548843747060307</v>
      </c>
      <c r="G18" s="794">
        <f t="shared" si="0"/>
        <v>1.2424693877551021</v>
      </c>
      <c r="H18" s="80"/>
      <c r="I18" s="83" t="s">
        <v>88</v>
      </c>
      <c r="J18" s="10">
        <f>+'사업장별(당월)'!J18+'[4]사업장별(누계)'!J18</f>
        <v>98</v>
      </c>
      <c r="K18" s="11">
        <f>+'사업장별(당월)'!K18+'[4]사업장별(누계)'!K18</f>
        <v>121.762</v>
      </c>
      <c r="L18" s="12">
        <f t="shared" si="1"/>
        <v>23.762</v>
      </c>
      <c r="M18" s="13">
        <f>+'사업장별(당월)'!M18+'[4]사업장별(누계)'!M18</f>
        <v>92.944000000000003</v>
      </c>
      <c r="N18" s="14">
        <f t="shared" si="3"/>
        <v>28.817999999999998</v>
      </c>
      <c r="O18" s="10">
        <f>+'사업장별(당월)'!O18+'[4]사업장별(누계)'!O18</f>
        <v>9841.7697399999997</v>
      </c>
      <c r="P18" s="11">
        <f>+'사업장별(당월)'!P18+'[4]사업장별(누계)'!P18</f>
        <v>12655.879342</v>
      </c>
      <c r="Q18" s="12">
        <f t="shared" si="4"/>
        <v>2814.1096020000005</v>
      </c>
      <c r="R18" s="13">
        <f>+'사업장별(당월)'!R18+'[4]사업장별(누계)'!R18</f>
        <v>8850.4367499999989</v>
      </c>
      <c r="S18" s="14">
        <f t="shared" si="5"/>
        <v>3805.4425920000012</v>
      </c>
      <c r="T18" s="10">
        <f>+'사업장별(당월)'!T18+'[4]사업장별(누계)'!T18</f>
        <v>653.42140790829501</v>
      </c>
      <c r="U18" s="11">
        <f>+'사업장별(당월)'!U18+'[4]사업장별(누계)'!U18</f>
        <v>1408.0475820000004</v>
      </c>
      <c r="V18" s="12">
        <f t="shared" si="6"/>
        <v>754.62617409170537</v>
      </c>
      <c r="W18" s="13">
        <f>+'사업장별(당월)'!W18+'[4]사업장별(누계)'!W18</f>
        <v>544.17112600000007</v>
      </c>
      <c r="X18" s="14">
        <f t="shared" si="7"/>
        <v>863.8764560000003</v>
      </c>
      <c r="Y18" s="10">
        <f>+[11]울산!$Q$85</f>
        <v>100426.22183673468</v>
      </c>
      <c r="Z18" s="11">
        <f>+[11]울산!$R$85</f>
        <v>103939.48310638788</v>
      </c>
      <c r="AA18" s="15">
        <f>+[12]울산!$Q$85</f>
        <v>95231.884223586283</v>
      </c>
      <c r="AB18" s="16">
        <f>+[11]울산!$Q$89</f>
        <v>78757.543020125784</v>
      </c>
      <c r="AC18" s="11">
        <f>+[11]울산!$R$89</f>
        <v>80482.90322024576</v>
      </c>
      <c r="AD18" s="17">
        <f>+[12]울산!$Q$89</f>
        <v>74357.90164664964</v>
      </c>
      <c r="AE18" s="16">
        <f t="shared" si="8"/>
        <v>21668.678816608895</v>
      </c>
      <c r="AF18" s="11">
        <f t="shared" si="8"/>
        <v>23456.579886142121</v>
      </c>
      <c r="AG18" s="17">
        <f t="shared" si="8"/>
        <v>20873.982576936643</v>
      </c>
      <c r="AH18" s="18"/>
      <c r="AI18" s="791"/>
      <c r="AJ18" s="9"/>
    </row>
    <row r="19" spans="2:38" s="8" customFormat="1" ht="19.5" customHeight="1" x14ac:dyDescent="0.3">
      <c r="B19" s="8" t="s">
        <v>93</v>
      </c>
      <c r="F19" s="9">
        <f t="shared" si="2"/>
        <v>1.0938483119220943</v>
      </c>
      <c r="G19" s="794">
        <f t="shared" si="0"/>
        <v>1.1652667984189722</v>
      </c>
      <c r="H19" s="80"/>
      <c r="I19" s="81" t="s">
        <v>31</v>
      </c>
      <c r="J19" s="46">
        <f>+'사업장별(당월)'!J19+'[4]사업장별(누계)'!J19</f>
        <v>253</v>
      </c>
      <c r="K19" s="47">
        <f>+'사업장별(당월)'!K19+'[4]사업장별(누계)'!K19</f>
        <v>294.81249999999994</v>
      </c>
      <c r="L19" s="48">
        <f t="shared" si="1"/>
        <v>41.812499999999943</v>
      </c>
      <c r="M19" s="49">
        <f>+'사업장별(당월)'!M19+'[4]사업장별(누계)'!M19</f>
        <v>284.70800000000003</v>
      </c>
      <c r="N19" s="50">
        <f t="shared" si="3"/>
        <v>10.104499999999916</v>
      </c>
      <c r="O19" s="46">
        <f>+'사업장별(당월)'!O19+'[4]사업장별(누계)'!O19</f>
        <v>25553.023399999998</v>
      </c>
      <c r="P19" s="47">
        <f>+'사업장별(당월)'!P19+'[4]사업장별(누계)'!P19</f>
        <v>29720.660144000001</v>
      </c>
      <c r="Q19" s="48">
        <f t="shared" si="4"/>
        <v>4167.6367440000031</v>
      </c>
      <c r="R19" s="49">
        <f>+'사업장별(당월)'!R19+'[4]사업장별(누계)'!R19</f>
        <v>27249.357983000002</v>
      </c>
      <c r="S19" s="50">
        <f t="shared" si="5"/>
        <v>2471.3021609999996</v>
      </c>
      <c r="T19" s="46">
        <f>+'사업장별(당월)'!T19+'[4]사업장별(누계)'!T19</f>
        <v>3774.0316212089365</v>
      </c>
      <c r="U19" s="47">
        <f>+'사업장별(당월)'!U19+'[4]사업장별(누계)'!U19</f>
        <v>4128.2181179999998</v>
      </c>
      <c r="V19" s="48">
        <f t="shared" si="6"/>
        <v>354.18649679106329</v>
      </c>
      <c r="W19" s="49">
        <f>+'사업장별(당월)'!W19+'[4]사업장별(누계)'!W19</f>
        <v>4404.9380909999991</v>
      </c>
      <c r="X19" s="50">
        <f t="shared" si="7"/>
        <v>-276.7199729999993</v>
      </c>
      <c r="Y19" s="46">
        <f>+[11]아산!$Q$85</f>
        <v>101000.09249011858</v>
      </c>
      <c r="Z19" s="47">
        <f>+[11]아산!$R$85</f>
        <v>100750.64671326856</v>
      </c>
      <c r="AA19" s="51">
        <f>+[12]아산!$Q$85</f>
        <v>95762.788613621684</v>
      </c>
      <c r="AB19" s="52">
        <f>+[11]아산!$Q$89</f>
        <v>76766.281377599109</v>
      </c>
      <c r="AC19" s="47">
        <f>+[11]아산!$R$89</f>
        <v>77303.283334270542</v>
      </c>
      <c r="AD19" s="53">
        <f>+[12]아산!$Q$89</f>
        <v>71591.022610596105</v>
      </c>
      <c r="AE19" s="52">
        <f t="shared" si="8"/>
        <v>24233.81111251947</v>
      </c>
      <c r="AF19" s="47">
        <f t="shared" si="8"/>
        <v>23447.363378998023</v>
      </c>
      <c r="AG19" s="53">
        <f t="shared" si="8"/>
        <v>24171.766003025579</v>
      </c>
      <c r="AH19" s="18"/>
      <c r="AI19" s="791"/>
      <c r="AJ19" s="9"/>
    </row>
    <row r="20" spans="2:38" s="8" customFormat="1" ht="19.5" customHeight="1" x14ac:dyDescent="0.3">
      <c r="B20" s="8" t="s">
        <v>89</v>
      </c>
      <c r="F20" s="9">
        <f t="shared" si="2"/>
        <v>0.29414472740391001</v>
      </c>
      <c r="G20" s="794">
        <f t="shared" si="0"/>
        <v>0.73076356589147262</v>
      </c>
      <c r="H20" s="80"/>
      <c r="I20" s="81" t="s">
        <v>89</v>
      </c>
      <c r="J20" s="46">
        <f>+'사업장별(당월)'!J20+'[4]사업장별(누계)'!J20</f>
        <v>129</v>
      </c>
      <c r="K20" s="47">
        <f>+'사업장별(당월)'!K20+'[4]사업장별(누계)'!K20</f>
        <v>94.268499999999975</v>
      </c>
      <c r="L20" s="48">
        <f t="shared" si="1"/>
        <v>-34.731500000000025</v>
      </c>
      <c r="M20" s="49">
        <f>+'사업장별(당월)'!M20+'[4]사업장별(누계)'!M20</f>
        <v>118.1935</v>
      </c>
      <c r="N20" s="50">
        <f t="shared" si="3"/>
        <v>-23.925000000000026</v>
      </c>
      <c r="O20" s="46">
        <f>+'사업장별(당월)'!O20+'[4]사업장별(누계)'!O20</f>
        <v>13222.102997000002</v>
      </c>
      <c r="P20" s="47">
        <f>+'사업장별(당월)'!P20+'[4]사업장별(누계)'!P20</f>
        <v>9096.3853839999992</v>
      </c>
      <c r="Q20" s="48">
        <f t="shared" si="4"/>
        <v>-4125.7176130000025</v>
      </c>
      <c r="R20" s="49">
        <f>+'사업장별(당월)'!R20+'[4]사업장별(누계)'!R20</f>
        <v>11492.294706000001</v>
      </c>
      <c r="S20" s="50">
        <f t="shared" si="5"/>
        <v>-2395.9093220000013</v>
      </c>
      <c r="T20" s="46">
        <f>+'사업장별(당월)'!T20+'[4]사업장별(누계)'!T20</f>
        <v>2139.6395018013645</v>
      </c>
      <c r="U20" s="47">
        <f>+'사업장별(당월)'!U20+'[4]사업장별(누계)'!U20</f>
        <v>629.36367800000016</v>
      </c>
      <c r="V20" s="48">
        <f t="shared" si="6"/>
        <v>-1510.2758238013644</v>
      </c>
      <c r="W20" s="49">
        <f>+'사업장별(당월)'!W20+'[4]사업장별(누계)'!W20</f>
        <v>1768.83851</v>
      </c>
      <c r="X20" s="50">
        <f t="shared" si="7"/>
        <v>-1139.4748319999999</v>
      </c>
      <c r="Y20" s="46">
        <f>+[11]전주!$Q$85</f>
        <v>102496.92245736433</v>
      </c>
      <c r="Z20" s="47">
        <f>+[11]전주!$R$85</f>
        <v>96496.299153918822</v>
      </c>
      <c r="AA20" s="51">
        <f>+[12]전주!$Q$85</f>
        <v>97314.15730087836</v>
      </c>
      <c r="AB20" s="52">
        <f>+[11]전주!$Q$89</f>
        <v>73531.955211759836</v>
      </c>
      <c r="AC20" s="47">
        <f>+[11]전주!$R$89</f>
        <v>72512.447353062889</v>
      </c>
      <c r="AD20" s="53">
        <f>+[12]전주!$Q$89</f>
        <v>69099.635625285257</v>
      </c>
      <c r="AE20" s="52">
        <f t="shared" si="8"/>
        <v>28964.967245604494</v>
      </c>
      <c r="AF20" s="47">
        <f t="shared" si="8"/>
        <v>23983.851800855933</v>
      </c>
      <c r="AG20" s="53">
        <f t="shared" si="8"/>
        <v>28214.521675593103</v>
      </c>
      <c r="AH20" s="18"/>
      <c r="AI20" s="791"/>
      <c r="AJ20" s="9"/>
    </row>
    <row r="21" spans="2:38" s="8" customFormat="1" ht="19.5" customHeight="1" x14ac:dyDescent="0.3">
      <c r="B21" s="8" t="s">
        <v>90</v>
      </c>
      <c r="F21" s="9">
        <f t="shared" si="2"/>
        <v>1.4252968198905009</v>
      </c>
      <c r="G21" s="794">
        <f t="shared" si="0"/>
        <v>1.270321917808219</v>
      </c>
      <c r="H21" s="80"/>
      <c r="I21" s="81" t="s">
        <v>90</v>
      </c>
      <c r="J21" s="46">
        <f>+'사업장별(당월)'!J21+'[4]사업장별(누계)'!J21</f>
        <v>73</v>
      </c>
      <c r="K21" s="47">
        <f>+'사업장별(당월)'!K21+'[4]사업장별(누계)'!K21</f>
        <v>92.733499999999992</v>
      </c>
      <c r="L21" s="48">
        <f t="shared" si="1"/>
        <v>19.733499999999992</v>
      </c>
      <c r="M21" s="49">
        <f>+'사업장별(당월)'!M21+'[4]사업장별(누계)'!M21</f>
        <v>89.475999999999999</v>
      </c>
      <c r="N21" s="50">
        <f t="shared" si="3"/>
        <v>3.2574999999999932</v>
      </c>
      <c r="O21" s="46">
        <f>+'사업장별(당월)'!O21+'[4]사업장별(누계)'!O21</f>
        <v>7957.0106339999984</v>
      </c>
      <c r="P21" s="47">
        <f>+'사업장별(당월)'!P21+'[4]사업장별(누계)'!P21</f>
        <v>10452.617786000001</v>
      </c>
      <c r="Q21" s="48">
        <f t="shared" si="4"/>
        <v>2495.6071520000023</v>
      </c>
      <c r="R21" s="49">
        <f>+'사업장별(당월)'!R21+'[4]사업장별(누계)'!R21</f>
        <v>8927.9291009999997</v>
      </c>
      <c r="S21" s="50">
        <f t="shared" si="5"/>
        <v>1524.688685000001</v>
      </c>
      <c r="T21" s="46">
        <f>+'사업장별(당월)'!T21+'[4]사업장별(누계)'!T21</f>
        <v>1995.2448755329979</v>
      </c>
      <c r="U21" s="47">
        <f>+'사업장별(당월)'!U21+'[4]사업장별(누계)'!U21</f>
        <v>2843.8161760000003</v>
      </c>
      <c r="V21" s="48">
        <f t="shared" si="6"/>
        <v>848.5713004670024</v>
      </c>
      <c r="W21" s="49">
        <f>+'사업장별(당월)'!W21+'[4]사업장별(누계)'!W21</f>
        <v>2144.718132</v>
      </c>
      <c r="X21" s="50">
        <f t="shared" si="7"/>
        <v>699.0980440000003</v>
      </c>
      <c r="Y21" s="46">
        <f>+[11]군산!$Q$85</f>
        <v>109000.14567123285</v>
      </c>
      <c r="Z21" s="47">
        <f>+[11]군산!$R$85</f>
        <v>112730.49001689491</v>
      </c>
      <c r="AA21" s="51">
        <f>+[12]군산!$Q$85</f>
        <v>99680.206175777406</v>
      </c>
      <c r="AB21" s="52">
        <f>+[11]군산!$Q$89</f>
        <v>69790.705451598478</v>
      </c>
      <c r="AC21" s="47">
        <f>+[11]군산!$R$89</f>
        <v>72387.599889895791</v>
      </c>
      <c r="AD21" s="53">
        <f>+[12]군산!$Q$89</f>
        <v>65536.495893576139</v>
      </c>
      <c r="AE21" s="52">
        <f t="shared" si="8"/>
        <v>39209.440219634373</v>
      </c>
      <c r="AF21" s="47">
        <f t="shared" si="8"/>
        <v>40342.890126999118</v>
      </c>
      <c r="AG21" s="53">
        <f t="shared" si="8"/>
        <v>34143.710282201268</v>
      </c>
      <c r="AH21" s="18"/>
      <c r="AI21" s="791"/>
      <c r="AJ21" s="9"/>
    </row>
    <row r="22" spans="2:38" s="8" customFormat="1" ht="19.5" customHeight="1" x14ac:dyDescent="0.3">
      <c r="B22" s="8" t="s">
        <v>91</v>
      </c>
      <c r="F22" s="9">
        <f t="shared" si="2"/>
        <v>1.3353251171544194</v>
      </c>
      <c r="G22" s="794">
        <f t="shared" si="0"/>
        <v>1.0798392857142856</v>
      </c>
      <c r="H22" s="80"/>
      <c r="I22" s="81" t="s">
        <v>91</v>
      </c>
      <c r="J22" s="46">
        <f>+'사업장별(당월)'!J22+'[4]사업장별(누계)'!J22</f>
        <v>56</v>
      </c>
      <c r="K22" s="47">
        <f>+'사업장별(당월)'!K22+'[4]사업장별(누계)'!K22</f>
        <v>60.470999999999997</v>
      </c>
      <c r="L22" s="48">
        <f t="shared" si="1"/>
        <v>4.4709999999999965</v>
      </c>
      <c r="M22" s="49">
        <f>+'사업장별(당월)'!M22+'[4]사업장별(누계)'!M22</f>
        <v>52.846999999999994</v>
      </c>
      <c r="N22" s="50">
        <f t="shared" si="3"/>
        <v>7.6240000000000023</v>
      </c>
      <c r="O22" s="46">
        <f>+'사업장별(당월)'!O22+'[4]사업장별(누계)'!O22</f>
        <v>6042.4</v>
      </c>
      <c r="P22" s="47">
        <f>+'사업장별(당월)'!P22+'[4]사업장별(누계)'!P22</f>
        <v>6790.7075670000004</v>
      </c>
      <c r="Q22" s="48">
        <f t="shared" si="4"/>
        <v>748.30756700000074</v>
      </c>
      <c r="R22" s="49">
        <f>+'사업장별(당월)'!R22+'[4]사업장별(누계)'!R22</f>
        <v>5378.2754459999996</v>
      </c>
      <c r="S22" s="50">
        <f t="shared" si="5"/>
        <v>1412.4321210000007</v>
      </c>
      <c r="T22" s="46">
        <f>+'사업장별(당월)'!T22+'[4]사업장별(누계)'!T22</f>
        <v>995.55279978027056</v>
      </c>
      <c r="U22" s="47">
        <f>+'사업장별(당월)'!U22+'[4]사업장별(누계)'!U22</f>
        <v>1329.386659</v>
      </c>
      <c r="V22" s="48">
        <f t="shared" si="6"/>
        <v>333.83385921972945</v>
      </c>
      <c r="W22" s="49">
        <f>+'사업장별(당월)'!W22+'[4]사업장별(누계)'!W22</f>
        <v>872.28081399999996</v>
      </c>
      <c r="X22" s="50">
        <f t="shared" si="7"/>
        <v>457.10584500000004</v>
      </c>
      <c r="Y22" s="46">
        <f>+[11]원주!$Q$85</f>
        <v>107900</v>
      </c>
      <c r="Z22" s="47">
        <f>+[11]원주!$R$85</f>
        <v>112301.91050332572</v>
      </c>
      <c r="AA22" s="51">
        <f>+[12]원주!$Q$85</f>
        <v>101782.45863237068</v>
      </c>
      <c r="AB22" s="52">
        <f>+[11]원주!$Q$89</f>
        <v>73291.892321700667</v>
      </c>
      <c r="AC22" s="47">
        <f>+[11]원주!$R$89</f>
        <v>73905.733164565347</v>
      </c>
      <c r="AD22" s="53">
        <f>+[12]원주!$Q$89</f>
        <v>68485.162045276229</v>
      </c>
      <c r="AE22" s="52">
        <f t="shared" si="8"/>
        <v>34608.107678299333</v>
      </c>
      <c r="AF22" s="47">
        <f t="shared" si="8"/>
        <v>38396.177338760375</v>
      </c>
      <c r="AG22" s="53">
        <f t="shared" si="8"/>
        <v>33297.296587094446</v>
      </c>
      <c r="AH22" s="18"/>
      <c r="AI22" s="791"/>
      <c r="AJ22" s="9"/>
    </row>
    <row r="23" spans="2:38" s="8" customFormat="1" ht="19.5" customHeight="1" x14ac:dyDescent="0.3">
      <c r="B23" s="8" t="s">
        <v>92</v>
      </c>
      <c r="F23" s="9">
        <f t="shared" si="2"/>
        <v>0.2539192145058829</v>
      </c>
      <c r="G23" s="794">
        <f t="shared" ref="G23:G28" si="9">+K23/J23</f>
        <v>0.5937539682539682</v>
      </c>
      <c r="H23" s="80"/>
      <c r="I23" s="81" t="s">
        <v>92</v>
      </c>
      <c r="J23" s="46">
        <f>+'사업장별(당월)'!J23+'[4]사업장별(누계)'!J23</f>
        <v>63</v>
      </c>
      <c r="K23" s="47">
        <f>+'사업장별(당월)'!K23+'[4]사업장별(누계)'!K23</f>
        <v>37.406499999999994</v>
      </c>
      <c r="L23" s="48">
        <f t="shared" si="1"/>
        <v>-25.593500000000006</v>
      </c>
      <c r="M23" s="49">
        <f>+'사업장별(당월)'!M23+'[4]사업장별(누계)'!M23</f>
        <v>77.066499999999991</v>
      </c>
      <c r="N23" s="50">
        <f t="shared" si="3"/>
        <v>-39.659999999999997</v>
      </c>
      <c r="O23" s="46">
        <f>+'사업장별(당월)'!O23+'[4]사업장별(누계)'!O23</f>
        <v>7986.6000000000022</v>
      </c>
      <c r="P23" s="47">
        <f>+'사업장별(당월)'!P23+'[4]사업장별(누계)'!P23</f>
        <v>4646.6720660000001</v>
      </c>
      <c r="Q23" s="48">
        <f t="shared" si="4"/>
        <v>-3339.9279340000021</v>
      </c>
      <c r="R23" s="49">
        <f>+'사업장별(당월)'!R23+'[4]사업장별(누계)'!R23</f>
        <v>9206.1284110000015</v>
      </c>
      <c r="S23" s="50">
        <f t="shared" si="5"/>
        <v>-4559.4563450000014</v>
      </c>
      <c r="T23" s="46">
        <f>+'사업장별(당월)'!T23+'[4]사업장별(누계)'!T23</f>
        <v>1253.8534455517688</v>
      </c>
      <c r="U23" s="47">
        <f>+'사업장별(당월)'!U23+'[4]사업장별(누계)'!U23</f>
        <v>318.37748199999993</v>
      </c>
      <c r="V23" s="48">
        <f t="shared" si="6"/>
        <v>-935.47596355176893</v>
      </c>
      <c r="W23" s="49">
        <f>+'사업장별(당월)'!W23+'[4]사업장별(누계)'!W23</f>
        <v>1775.578064</v>
      </c>
      <c r="X23" s="50">
        <f t="shared" si="7"/>
        <v>-1457.2005820000002</v>
      </c>
      <c r="Y23" s="46">
        <f>+[11]제주!$Q$85</f>
        <v>126771.42857142857</v>
      </c>
      <c r="Z23" s="47">
        <f>+[11]제주!$R$85</f>
        <v>124220.97940197558</v>
      </c>
      <c r="AA23" s="51">
        <f>+[12]제주!$Q$85</f>
        <v>119497.40473845266</v>
      </c>
      <c r="AB23" s="52">
        <f>+[11]제주!$Q$89</f>
        <v>90782.939031133486</v>
      </c>
      <c r="AC23" s="47">
        <f>+[11]제주!$R$89</f>
        <v>89473.327577477568</v>
      </c>
      <c r="AD23" s="53">
        <f>+[12]제주!$Q$89</f>
        <v>84120.246834529535</v>
      </c>
      <c r="AE23" s="52">
        <f t="shared" si="8"/>
        <v>35988.489540295079</v>
      </c>
      <c r="AF23" s="47">
        <f t="shared" si="8"/>
        <v>34747.651824498011</v>
      </c>
      <c r="AG23" s="53">
        <f t="shared" si="8"/>
        <v>35377.157903923129</v>
      </c>
      <c r="AH23" s="18"/>
      <c r="AI23" s="791"/>
      <c r="AJ23" s="9"/>
    </row>
    <row r="24" spans="2:38" s="8" customFormat="1" ht="19.5" customHeight="1" x14ac:dyDescent="0.3">
      <c r="F24" s="9">
        <f t="shared" si="2"/>
        <v>0.51133455407339468</v>
      </c>
      <c r="G24" s="794">
        <f t="shared" si="9"/>
        <v>0.89151308900523574</v>
      </c>
      <c r="H24" s="80"/>
      <c r="I24" s="84" t="s">
        <v>55</v>
      </c>
      <c r="J24" s="23">
        <f>SUM(J7:J10)</f>
        <v>1241.5</v>
      </c>
      <c r="K24" s="20">
        <f>SUM(K7:K10)</f>
        <v>1106.8135000000002</v>
      </c>
      <c r="L24" s="21">
        <f t="shared" si="1"/>
        <v>-134.6864999999998</v>
      </c>
      <c r="M24" s="25">
        <f>SUM(M7:M10)</f>
        <v>1389.4016799999999</v>
      </c>
      <c r="N24" s="22">
        <f t="shared" si="3"/>
        <v>-282.58817999999974</v>
      </c>
      <c r="O24" s="23">
        <f>SUM(O7:O10)</f>
        <v>124196.35412931579</v>
      </c>
      <c r="P24" s="20">
        <f>SUM(P7:P10)</f>
        <v>108881.82117299999</v>
      </c>
      <c r="Q24" s="21">
        <f t="shared" si="4"/>
        <v>-15314.532956315801</v>
      </c>
      <c r="R24" s="25">
        <f>SUM(R7:R10)</f>
        <v>130128.840413</v>
      </c>
      <c r="S24" s="22">
        <f t="shared" si="5"/>
        <v>-21247.019240000009</v>
      </c>
      <c r="T24" s="23">
        <f>SUM(T7:T10)</f>
        <v>16311.030593510121</v>
      </c>
      <c r="U24" s="20">
        <f>SUM(U7:U10)</f>
        <v>8340.3935550099959</v>
      </c>
      <c r="V24" s="21">
        <f t="shared" si="6"/>
        <v>-7970.6370385001246</v>
      </c>
      <c r="W24" s="25">
        <f>SUM(W7:W10)</f>
        <v>16124.764165989996</v>
      </c>
      <c r="X24" s="22">
        <f t="shared" si="7"/>
        <v>-7784.3706109800005</v>
      </c>
      <c r="Y24" s="23">
        <f>+[11]수도권!$Q$85</f>
        <v>100037.33719638808</v>
      </c>
      <c r="Z24" s="20">
        <f>+[11]수도권!$R$85</f>
        <v>98382.992816590253</v>
      </c>
      <c r="AA24" s="24">
        <f>+[12]수도권!$Q$85</f>
        <v>93635.781747175584</v>
      </c>
      <c r="AB24" s="29">
        <f>+[11]수도권!$Q$89</f>
        <v>78139.303436287883</v>
      </c>
      <c r="AC24" s="20">
        <f>+[11]수도권!$R$89</f>
        <v>81005.534421401957</v>
      </c>
      <c r="AD24" s="30">
        <f>+[12]수도권!$Q$89</f>
        <v>74238.290867937816</v>
      </c>
      <c r="AE24" s="29">
        <f t="shared" si="8"/>
        <v>21898.033760100196</v>
      </c>
      <c r="AF24" s="20">
        <f t="shared" si="8"/>
        <v>17377.458395188296</v>
      </c>
      <c r="AG24" s="30">
        <f t="shared" si="8"/>
        <v>19397.490879237768</v>
      </c>
      <c r="AH24" s="18"/>
      <c r="AI24" s="791"/>
      <c r="AJ24" s="96"/>
    </row>
    <row r="25" spans="2:38" s="8" customFormat="1" ht="19.5" customHeight="1" x14ac:dyDescent="0.3">
      <c r="F25" s="9">
        <f t="shared" si="2"/>
        <v>0.7133000960720044</v>
      </c>
      <c r="G25" s="794">
        <f t="shared" si="9"/>
        <v>1.0308159041394334</v>
      </c>
      <c r="H25" s="80"/>
      <c r="I25" s="84" t="s">
        <v>56</v>
      </c>
      <c r="J25" s="23">
        <f>SUM(J11:J18)</f>
        <v>1377</v>
      </c>
      <c r="K25" s="20">
        <f>SUM(K11:K18)</f>
        <v>1419.4334999999999</v>
      </c>
      <c r="L25" s="21">
        <f t="shared" si="1"/>
        <v>42.433499999999867</v>
      </c>
      <c r="M25" s="25">
        <f>SUM(M11:M18)</f>
        <v>1548.0255</v>
      </c>
      <c r="N25" s="22">
        <f t="shared" si="3"/>
        <v>-128.5920000000001</v>
      </c>
      <c r="O25" s="23">
        <f>SUM(O11:O18)</f>
        <v>140793.85945374999</v>
      </c>
      <c r="P25" s="20">
        <f>SUM(P11:P18)</f>
        <v>142803.66573800001</v>
      </c>
      <c r="Q25" s="21">
        <f t="shared" si="4"/>
        <v>2009.8062842500221</v>
      </c>
      <c r="R25" s="25">
        <f>SUM(R11:R18)</f>
        <v>151561.117027</v>
      </c>
      <c r="S25" s="22">
        <f t="shared" si="5"/>
        <v>-8757.4512889999896</v>
      </c>
      <c r="T25" s="23">
        <f>SUM(T11:T18)</f>
        <v>20860.090370011643</v>
      </c>
      <c r="U25" s="20">
        <f>SUM(U11:U18)</f>
        <v>14879.504465</v>
      </c>
      <c r="V25" s="21">
        <f t="shared" si="6"/>
        <v>-5980.5859050116433</v>
      </c>
      <c r="W25" s="25">
        <f>SUM(W11:W18)</f>
        <v>24452.144758000002</v>
      </c>
      <c r="X25" s="22">
        <f t="shared" si="7"/>
        <v>-9572.6402930000022</v>
      </c>
      <c r="Y25" s="23">
        <f>+[11]영남권!$Q$85</f>
        <v>102246.81151325346</v>
      </c>
      <c r="Z25" s="20">
        <f>+[11]영남권!$R$85</f>
        <v>100621.43537382571</v>
      </c>
      <c r="AA25" s="24">
        <f>+[12]영남권!$Q$85</f>
        <v>97910.755714767482</v>
      </c>
      <c r="AB25" s="29">
        <f>+[11]영남권!$Q$89</f>
        <v>75429.123281471722</v>
      </c>
      <c r="AC25" s="20">
        <f>+[11]영남권!$R$89</f>
        <v>78632.62333711097</v>
      </c>
      <c r="AD25" s="30">
        <f>+[12]영남권!$Q$89</f>
        <v>72044.293765679817</v>
      </c>
      <c r="AE25" s="29">
        <f t="shared" si="8"/>
        <v>26817.688231781736</v>
      </c>
      <c r="AF25" s="20">
        <f t="shared" si="8"/>
        <v>21988.812036714735</v>
      </c>
      <c r="AG25" s="30">
        <f t="shared" si="8"/>
        <v>25866.461949087665</v>
      </c>
      <c r="AH25" s="18"/>
      <c r="AI25" s="791"/>
      <c r="AJ25" s="96"/>
    </row>
    <row r="26" spans="2:38" s="8" customFormat="1" ht="19.5" customHeight="1" x14ac:dyDescent="0.3">
      <c r="F26" s="9">
        <f t="shared" si="2"/>
        <v>0.91050095586173307</v>
      </c>
      <c r="G26" s="794">
        <f t="shared" si="9"/>
        <v>1.0099163763066199</v>
      </c>
      <c r="H26" s="80"/>
      <c r="I26" s="84" t="s">
        <v>170</v>
      </c>
      <c r="J26" s="23">
        <f>SUM(J19:J23)</f>
        <v>574</v>
      </c>
      <c r="K26" s="20">
        <f>SUM(K19:K23)</f>
        <v>579.69199999999978</v>
      </c>
      <c r="L26" s="21">
        <f t="shared" si="1"/>
        <v>5.6919999999997799</v>
      </c>
      <c r="M26" s="25">
        <f>SUM(M19:M23)</f>
        <v>622.29100000000005</v>
      </c>
      <c r="N26" s="22">
        <f t="shared" si="3"/>
        <v>-42.599000000000274</v>
      </c>
      <c r="O26" s="23">
        <f>SUM(O19:O23)</f>
        <v>60761.137031000006</v>
      </c>
      <c r="P26" s="20">
        <f>SUM(P19:P23)</f>
        <v>60707.042947000002</v>
      </c>
      <c r="Q26" s="21">
        <f t="shared" si="4"/>
        <v>-54.094084000003932</v>
      </c>
      <c r="R26" s="25">
        <f>SUM(R19:R23)</f>
        <v>62253.985647000009</v>
      </c>
      <c r="S26" s="22">
        <f t="shared" si="5"/>
        <v>-1546.9427000000069</v>
      </c>
      <c r="T26" s="23">
        <f>SUM(T19:T23)</f>
        <v>10158.322243875338</v>
      </c>
      <c r="U26" s="20">
        <f>SUM(U19:U23)</f>
        <v>9249.1621130000003</v>
      </c>
      <c r="V26" s="21">
        <f t="shared" si="6"/>
        <v>-909.16013087533793</v>
      </c>
      <c r="W26" s="25">
        <f>SUM(W19:W23)</f>
        <v>10966.353610999999</v>
      </c>
      <c r="X26" s="22">
        <f t="shared" si="7"/>
        <v>-1717.1914979999983</v>
      </c>
      <c r="Y26" s="23">
        <f>+[11]중부권!$Q$85</f>
        <v>105855.63942682925</v>
      </c>
      <c r="Z26" s="20">
        <f>+[11]중부권!$R$85</f>
        <v>104705.87770987728</v>
      </c>
      <c r="AA26" s="24">
        <f>+[12]중부권!$Q$85</f>
        <v>100131.77153636901</v>
      </c>
      <c r="AB26" s="29">
        <f>+[11]중부권!$Q$89</f>
        <v>76351.714351555638</v>
      </c>
      <c r="AC26" s="20">
        <f>+[11]중부권!$R$89</f>
        <v>76169.704930733162</v>
      </c>
      <c r="AD26" s="30">
        <f>+[12]중부권!$Q$89</f>
        <v>71543.564340451863</v>
      </c>
      <c r="AE26" s="29">
        <f t="shared" si="8"/>
        <v>29503.925075273612</v>
      </c>
      <c r="AF26" s="20">
        <f t="shared" si="8"/>
        <v>28536.172779144123</v>
      </c>
      <c r="AG26" s="30">
        <f t="shared" si="8"/>
        <v>28588.207195917144</v>
      </c>
      <c r="AH26" s="18"/>
      <c r="AI26" s="791"/>
      <c r="AJ26" s="96"/>
    </row>
    <row r="27" spans="2:38" s="3" customFormat="1" ht="19.5" customHeight="1" x14ac:dyDescent="0.3">
      <c r="B27" s="26"/>
      <c r="F27" s="9">
        <f t="shared" si="2"/>
        <v>0.68602244042320404</v>
      </c>
      <c r="G27" s="794">
        <f t="shared" si="9"/>
        <v>0.97288613938919355</v>
      </c>
      <c r="H27" s="629" t="s">
        <v>115</v>
      </c>
      <c r="I27" s="630"/>
      <c r="J27" s="631">
        <f>SUM(J24:J26)</f>
        <v>3192.5</v>
      </c>
      <c r="K27" s="632">
        <f>SUM(K24:K26)</f>
        <v>3105.9390000000003</v>
      </c>
      <c r="L27" s="633">
        <f t="shared" si="1"/>
        <v>-86.560999999999694</v>
      </c>
      <c r="M27" s="634">
        <f>SUM(M24:M26)</f>
        <v>3559.7181799999998</v>
      </c>
      <c r="N27" s="635">
        <f t="shared" si="3"/>
        <v>-453.77917999999954</v>
      </c>
      <c r="O27" s="631">
        <f>SUM(O24:O26)</f>
        <v>325751.35061406577</v>
      </c>
      <c r="P27" s="632">
        <f>SUM(P24:P26)</f>
        <v>312392.52985799999</v>
      </c>
      <c r="Q27" s="633">
        <f t="shared" si="4"/>
        <v>-13358.820756065776</v>
      </c>
      <c r="R27" s="634">
        <f>SUM(R24:R26)</f>
        <v>343943.94308700005</v>
      </c>
      <c r="S27" s="635">
        <f t="shared" si="5"/>
        <v>-31551.413229000056</v>
      </c>
      <c r="T27" s="631">
        <f>SUM(T24:T26)</f>
        <v>47329.443207397104</v>
      </c>
      <c r="U27" s="632">
        <f>SUM(U24:U26)</f>
        <v>32469.060133009996</v>
      </c>
      <c r="V27" s="633">
        <f t="shared" si="6"/>
        <v>-14860.383074387108</v>
      </c>
      <c r="W27" s="634">
        <f>SUM(W24:W26)</f>
        <v>51543.262534989997</v>
      </c>
      <c r="X27" s="635">
        <f t="shared" si="7"/>
        <v>-19074.202401980001</v>
      </c>
      <c r="Y27" s="631">
        <f>+[11]합계!$Q$85</f>
        <v>102036.44498482875</v>
      </c>
      <c r="Z27" s="632">
        <f>+[11]합계!$R$85</f>
        <v>100586.22864459116</v>
      </c>
      <c r="AA27" s="636">
        <f>+[12]합계!$Q$85</f>
        <v>96625.233343352549</v>
      </c>
      <c r="AB27" s="637">
        <f>+[11]합계!$Q$89</f>
        <v>76648.93720047953</v>
      </c>
      <c r="AC27" s="632">
        <f>+[11]합계!$R$89</f>
        <v>79017.060036004332</v>
      </c>
      <c r="AD27" s="638">
        <f>+[12]합계!$Q$89</f>
        <v>72813.219169334712</v>
      </c>
      <c r="AE27" s="637">
        <f t="shared" si="8"/>
        <v>25387.507784349218</v>
      </c>
      <c r="AF27" s="632">
        <f t="shared" si="8"/>
        <v>21569.168608586828</v>
      </c>
      <c r="AG27" s="638">
        <f t="shared" si="8"/>
        <v>23812.014174017837</v>
      </c>
      <c r="AH27" s="27"/>
      <c r="AI27" s="791"/>
      <c r="AJ27" s="96"/>
      <c r="AL27" s="26"/>
    </row>
    <row r="28" spans="2:38" s="8" customFormat="1" ht="19.5" customHeight="1" x14ac:dyDescent="0.3">
      <c r="B28" s="8" t="s">
        <v>3</v>
      </c>
      <c r="E28" s="8" t="s">
        <v>201</v>
      </c>
      <c r="G28" s="794">
        <f t="shared" si="9"/>
        <v>1.1936259705159704</v>
      </c>
      <c r="H28" s="835" t="s">
        <v>3</v>
      </c>
      <c r="I28" s="836"/>
      <c r="J28" s="167">
        <f>+'사업장별(당월)'!J28+'[4]사업장별(누계)'!J28</f>
        <v>81400</v>
      </c>
      <c r="K28" s="168">
        <f>+'사업장별(당월)'!K28+'[4]사업장별(누계)'!K28</f>
        <v>97161.153999999995</v>
      </c>
      <c r="L28" s="169">
        <f>+K28-J28</f>
        <v>15761.153999999995</v>
      </c>
      <c r="M28" s="170">
        <f>+'사업장별(당월)'!M28+'[4]사업장별(누계)'!M28</f>
        <v>88735.037000000011</v>
      </c>
      <c r="N28" s="171">
        <f>+K28-M28</f>
        <v>8426.1169999999838</v>
      </c>
      <c r="O28" s="167">
        <f>+'사업장별(당월)'!O28+'[4]사업장별(누계)'!O28</f>
        <v>99529.162105263167</v>
      </c>
      <c r="P28" s="168">
        <f>+'사업장별(당월)'!P28+'[4]사업장별(누계)'!P28</f>
        <v>96553.945347000015</v>
      </c>
      <c r="Q28" s="169">
        <f>+P28-O28</f>
        <v>-2975.2167582631519</v>
      </c>
      <c r="R28" s="170">
        <f>+'사업장별(당월)'!R28+'[4]사업장별(누계)'!R28</f>
        <v>108745.62416399999</v>
      </c>
      <c r="S28" s="171">
        <f t="shared" si="5"/>
        <v>-12191.678816999978</v>
      </c>
      <c r="T28" s="167">
        <f>+'사업장별(당월)'!T28+'[4]사업장별(누계)'!T28</f>
        <v>1161.3904280210616</v>
      </c>
      <c r="U28" s="168">
        <f>+'사업장별(당월)'!U28+'[4]사업장별(누계)'!U28</f>
        <v>601.8603480000022</v>
      </c>
      <c r="V28" s="169">
        <f t="shared" si="6"/>
        <v>-559.53008002105935</v>
      </c>
      <c r="W28" s="170">
        <f>+'사업장별(당월)'!W28+'[4]사업장별(누계)'!W28</f>
        <v>868.28041200000177</v>
      </c>
      <c r="X28" s="171">
        <f t="shared" si="7"/>
        <v>-266.42006399999957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4">
        <f>+P28/O28</f>
        <v>0.97010708524686939</v>
      </c>
      <c r="H29" s="86" t="s">
        <v>1</v>
      </c>
      <c r="I29" s="79" t="s">
        <v>222</v>
      </c>
      <c r="J29" s="56">
        <f>+'사업장별(당월)'!J29+'[4]사업장별(누계)'!J29</f>
        <v>271.46771845098635</v>
      </c>
      <c r="K29" s="57">
        <f>+'사업장별(당월)'!K29+'[4]사업장별(누계)'!K29</f>
        <v>215.31799999999998</v>
      </c>
      <c r="L29" s="38">
        <f t="shared" si="1"/>
        <v>-56.14971845098637</v>
      </c>
      <c r="M29" s="38">
        <f>+'사업장별(당월)'!M29+'[4]사업장별(누계)'!M29</f>
        <v>284.56599999999997</v>
      </c>
      <c r="N29" s="58">
        <f t="shared" si="3"/>
        <v>-69.24799999999999</v>
      </c>
      <c r="O29" s="56">
        <f>+'사업장별(당월)'!O29+'[4]사업장별(누계)'!O29</f>
        <v>7910.8417364710403</v>
      </c>
      <c r="P29" s="57">
        <f>+'사업장별(당월)'!P29+'[4]사업장별(누계)'!P29</f>
        <v>6284.2150799999999</v>
      </c>
      <c r="Q29" s="38">
        <f t="shared" si="4"/>
        <v>-1626.6266564710404</v>
      </c>
      <c r="R29" s="38">
        <f>+'사업장별(당월)'!R29+'[4]사업장별(누계)'!R29</f>
        <v>8297.4593999999997</v>
      </c>
      <c r="S29" s="58">
        <f t="shared" si="5"/>
        <v>-2013.2443199999998</v>
      </c>
      <c r="T29" s="56">
        <f>+'사업장별(당월)'!T29+'[4]사업장별(누계)'!T29</f>
        <v>441.55061699751224</v>
      </c>
      <c r="U29" s="57">
        <f>+'사업장별(당월)'!U29+'[4]사업장별(누계)'!U29</f>
        <v>361.02867299004521</v>
      </c>
      <c r="V29" s="38">
        <f t="shared" si="6"/>
        <v>-80.521944007467027</v>
      </c>
      <c r="W29" s="38">
        <f>+'사업장별(당월)'!W29+'[4]사업장별(누계)'!W29</f>
        <v>371.01609402000003</v>
      </c>
      <c r="X29" s="58">
        <f t="shared" si="7"/>
        <v>-9.9874210299548167</v>
      </c>
      <c r="Y29" s="800" t="s">
        <v>230</v>
      </c>
      <c r="Z29" s="587"/>
      <c r="AA29" s="587"/>
      <c r="AB29" s="587"/>
      <c r="AC29" s="799"/>
      <c r="AD29" s="587"/>
      <c r="AE29" s="587"/>
      <c r="AF29" s="587"/>
      <c r="AG29" s="51"/>
      <c r="AH29" s="18"/>
      <c r="AI29" s="782"/>
      <c r="AJ29" s="782"/>
      <c r="AK29" s="782"/>
    </row>
    <row r="30" spans="2:38" s="8" customFormat="1" ht="19.5" customHeight="1" x14ac:dyDescent="0.3">
      <c r="B30" s="8" t="s">
        <v>194</v>
      </c>
      <c r="C30" s="81" t="s">
        <v>62</v>
      </c>
      <c r="G30" s="792"/>
      <c r="H30" s="85"/>
      <c r="I30" s="81" t="s">
        <v>218</v>
      </c>
      <c r="J30" s="54">
        <f>+'사업장별(당월)'!J30+'[4]사업장별(누계)'!J30</f>
        <v>375.55962021333335</v>
      </c>
      <c r="K30" s="59">
        <f>+'사업장별(당월)'!K30+'[4]사업장별(누계)'!K30</f>
        <v>171.09200000000001</v>
      </c>
      <c r="L30" s="48">
        <f t="shared" si="1"/>
        <v>-204.46762021333333</v>
      </c>
      <c r="M30" s="48">
        <f>+'사업장별(당월)'!M30+'[4]사업장별(누계)'!M30</f>
        <v>373.21</v>
      </c>
      <c r="N30" s="60">
        <f t="shared" si="3"/>
        <v>-202.11799999999997</v>
      </c>
      <c r="O30" s="54">
        <f>+'사업장별(당월)'!O30+'[4]사업장별(누계)'!O30</f>
        <v>4711.318636533334</v>
      </c>
      <c r="P30" s="59">
        <f>+'사업장별(당월)'!P30+'[4]사업장별(누계)'!P30</f>
        <v>2402.163</v>
      </c>
      <c r="Q30" s="48">
        <f t="shared" si="4"/>
        <v>-2309.155636533334</v>
      </c>
      <c r="R30" s="48">
        <f>+'사업장별(당월)'!R30+'[4]사업장별(누계)'!R30</f>
        <v>4482.2480000000005</v>
      </c>
      <c r="S30" s="60">
        <f t="shared" si="5"/>
        <v>-2080.0850000000005</v>
      </c>
      <c r="T30" s="54">
        <f>+'사업장별(당월)'!T30+'[4]사업장별(누계)'!T30</f>
        <v>951.57085917359018</v>
      </c>
      <c r="U30" s="59">
        <f>+'사업장별(당월)'!U30+'[4]사업장별(누계)'!U30</f>
        <v>-126.93227920546936</v>
      </c>
      <c r="V30" s="48">
        <f t="shared" si="6"/>
        <v>-1078.5031383790595</v>
      </c>
      <c r="W30" s="48">
        <f>+'사업장별(당월)'!W30+'[4]사업장별(누계)'!W30</f>
        <v>784.69465700000023</v>
      </c>
      <c r="X30" s="60">
        <f t="shared" si="7"/>
        <v>-911.62693620546963</v>
      </c>
      <c r="Y30" s="628" t="s">
        <v>231</v>
      </c>
      <c r="Z30" s="587"/>
      <c r="AA30" s="587"/>
      <c r="AB30" s="799"/>
      <c r="AC30" s="587"/>
      <c r="AD30" s="799"/>
      <c r="AE30" s="587"/>
      <c r="AF30" s="587"/>
      <c r="AG30" s="51"/>
      <c r="AH30" s="18"/>
      <c r="AI30" s="782"/>
      <c r="AJ30" s="782"/>
      <c r="AK30" s="782"/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2"/>
      <c r="H31" s="85"/>
      <c r="I31" s="83" t="s">
        <v>220</v>
      </c>
      <c r="J31" s="54">
        <f>+'사업장별(당월)'!J31+'[4]사업장별(누계)'!J31</f>
        <v>458.06687103119225</v>
      </c>
      <c r="K31" s="59">
        <f>+'사업장별(당월)'!K31+'[4]사업장별(누계)'!K31</f>
        <v>394.02100000000002</v>
      </c>
      <c r="L31" s="48">
        <f t="shared" si="1"/>
        <v>-64.045871031192235</v>
      </c>
      <c r="M31" s="48">
        <f>+'사업장별(당월)'!M31+'[4]사업장별(누계)'!M31</f>
        <v>120.09100000000001</v>
      </c>
      <c r="N31" s="60">
        <f t="shared" si="3"/>
        <v>273.93</v>
      </c>
      <c r="O31" s="54">
        <f>+'사업장별(당월)'!O31+'[4]사업장별(누계)'!O31</f>
        <v>8253.4054530052654</v>
      </c>
      <c r="P31" s="59">
        <f>+'사업장별(당월)'!P31+'[4]사업장별(누계)'!P31</f>
        <v>7103.2515000000003</v>
      </c>
      <c r="Q31" s="48">
        <f t="shared" si="4"/>
        <v>-1150.1539530052651</v>
      </c>
      <c r="R31" s="48">
        <f>+'사업장별(당월)'!R31+'[4]사업장별(누계)'!R31</f>
        <v>2093.2460000000001</v>
      </c>
      <c r="S31" s="60">
        <f t="shared" si="5"/>
        <v>5010.0055000000002</v>
      </c>
      <c r="T31" s="54">
        <f>+'사업장별(당월)'!T31+'[4]사업장별(누계)'!T31</f>
        <v>413.19530493792047</v>
      </c>
      <c r="U31" s="59">
        <f>+'사업장별(당월)'!U31+'[4]사업장별(누계)'!U31</f>
        <v>-528.20053265000001</v>
      </c>
      <c r="V31" s="48">
        <f t="shared" si="6"/>
        <v>-941.39583758792048</v>
      </c>
      <c r="W31" s="48">
        <f>+'사업장별(당월)'!W31+'[4]사업장별(누계)'!W31</f>
        <v>-264.17117998999998</v>
      </c>
      <c r="X31" s="60">
        <f t="shared" si="7"/>
        <v>-264.02935266000003</v>
      </c>
      <c r="Y31" s="586" t="s">
        <v>232</v>
      </c>
      <c r="Z31" s="587"/>
      <c r="AA31" s="587"/>
      <c r="AB31" s="587"/>
      <c r="AC31" s="587"/>
      <c r="AD31" s="587"/>
      <c r="AE31" s="587"/>
      <c r="AF31" s="587"/>
      <c r="AG31" s="51"/>
      <c r="AH31" s="18"/>
      <c r="AI31" s="782"/>
      <c r="AJ31" s="782"/>
      <c r="AK31" s="782"/>
      <c r="AL31" s="98"/>
    </row>
    <row r="32" spans="2:38" s="3" customFormat="1" ht="19.5" customHeight="1" x14ac:dyDescent="0.3">
      <c r="G32" s="794">
        <f>+K32/J32</f>
        <v>0.70621218820342324</v>
      </c>
      <c r="H32" s="146" t="s">
        <v>42</v>
      </c>
      <c r="I32" s="147"/>
      <c r="J32" s="148">
        <f>SUM(J29:J31)</f>
        <v>1105.0942096955118</v>
      </c>
      <c r="K32" s="152">
        <f>SUM(K29:K31)</f>
        <v>780.43100000000004</v>
      </c>
      <c r="L32" s="150">
        <f t="shared" si="1"/>
        <v>-324.6632096955118</v>
      </c>
      <c r="M32" s="150">
        <f>SUM(M29:M31)</f>
        <v>777.86699999999996</v>
      </c>
      <c r="N32" s="151">
        <f t="shared" si="3"/>
        <v>2.5640000000000782</v>
      </c>
      <c r="O32" s="148">
        <f>SUM(O29:O31)</f>
        <v>20875.565826009639</v>
      </c>
      <c r="P32" s="152">
        <f>SUM(P29:P31)</f>
        <v>15789.629580000001</v>
      </c>
      <c r="Q32" s="150">
        <f t="shared" si="4"/>
        <v>-5085.9362460096381</v>
      </c>
      <c r="R32" s="150">
        <f>SUM(R29:R31)</f>
        <v>14872.953399999999</v>
      </c>
      <c r="S32" s="151">
        <f t="shared" si="5"/>
        <v>916.6761800000022</v>
      </c>
      <c r="T32" s="148">
        <f>SUM(T29:T31)</f>
        <v>1806.3167811090229</v>
      </c>
      <c r="U32" s="152">
        <f>SUM(U29:U31)</f>
        <v>-294.10413886542415</v>
      </c>
      <c r="V32" s="150">
        <f t="shared" si="6"/>
        <v>-2100.4209199744473</v>
      </c>
      <c r="W32" s="150">
        <f>SUM(W29:W31)</f>
        <v>891.53957103000039</v>
      </c>
      <c r="X32" s="151">
        <f t="shared" si="7"/>
        <v>-1185.6437098954245</v>
      </c>
      <c r="Y32" s="586" t="s">
        <v>233</v>
      </c>
      <c r="Z32" s="587"/>
      <c r="AA32" s="587"/>
      <c r="AB32" s="587"/>
      <c r="AC32" s="587"/>
      <c r="AD32" s="587"/>
      <c r="AE32" s="587"/>
      <c r="AF32" s="587"/>
      <c r="AG32" s="51"/>
      <c r="AH32" s="27"/>
      <c r="AI32" s="783"/>
      <c r="AJ32" s="783"/>
      <c r="AK32" s="783"/>
    </row>
    <row r="33" spans="2:38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999.24000000000024</v>
      </c>
      <c r="P33" s="47">
        <f>+'사업장별(당월)'!P33+'[4]사업장별(누계)'!P33</f>
        <v>999.24000000000024</v>
      </c>
      <c r="Q33" s="49">
        <f t="shared" si="4"/>
        <v>0</v>
      </c>
      <c r="R33" s="48">
        <f>+'사업장별(당월)'!R33+'[4]사업장별(누계)'!R33</f>
        <v>930.49000000000024</v>
      </c>
      <c r="S33" s="60">
        <f t="shared" si="5"/>
        <v>68.75</v>
      </c>
      <c r="T33" s="46">
        <f>+'사업장별(당월)'!T33+'[4]사업장별(누계)'!T33</f>
        <v>742.21489700000006</v>
      </c>
      <c r="U33" s="47">
        <f>+'사업장별(당월)'!U33+'[4]사업장별(누계)'!U33</f>
        <v>695.34818299999995</v>
      </c>
      <c r="V33" s="49">
        <f t="shared" si="6"/>
        <v>-46.866714000000115</v>
      </c>
      <c r="W33" s="48">
        <f>+'사업장별(당월)'!W33+'[4]사업장별(누계)'!W33</f>
        <v>618.77444500000001</v>
      </c>
      <c r="X33" s="60">
        <f t="shared" si="7"/>
        <v>76.573737999999935</v>
      </c>
      <c r="Y33" s="628"/>
      <c r="Z33" s="799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8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0" si="10">+K34-M34</f>
        <v>0</v>
      </c>
      <c r="O34" s="46">
        <f>+'사업장별(당월)'!O34+'[4]사업장별(누계)'!O34</f>
        <v>795.87250366666672</v>
      </c>
      <c r="P34" s="47">
        <f>+'사업장별(당월)'!P34+'[4]사업장별(누계)'!P34</f>
        <v>803.15053</v>
      </c>
      <c r="Q34" s="49">
        <f t="shared" ref="Q34:Q39" si="11">+P34-O34</f>
        <v>7.2780263333332869</v>
      </c>
      <c r="R34" s="48">
        <f>+'사업장별(당월)'!R34+'[4]사업장별(누계)'!R34</f>
        <v>1037.4613510000001</v>
      </c>
      <c r="S34" s="60">
        <f t="shared" si="5"/>
        <v>-234.31082100000015</v>
      </c>
      <c r="T34" s="46">
        <f>+'사업장별(당월)'!T34+'[4]사업장별(누계)'!T34</f>
        <v>720.80394366666656</v>
      </c>
      <c r="U34" s="47">
        <f>+'사업장별(당월)'!U34+'[4]사업장별(누계)'!U34</f>
        <v>725.77006399999993</v>
      </c>
      <c r="V34" s="49">
        <f t="shared" si="6"/>
        <v>4.9661203333333788</v>
      </c>
      <c r="W34" s="48">
        <f>+'사업장별(당월)'!W34+'[4]사업장별(누계)'!W34</f>
        <v>700.42059600000005</v>
      </c>
      <c r="X34" s="60">
        <f t="shared" si="7"/>
        <v>25.349467999999888</v>
      </c>
      <c r="Y34" s="628"/>
      <c r="Z34" s="799"/>
      <c r="AA34" s="587"/>
      <c r="AB34" s="799"/>
      <c r="AC34" s="799"/>
      <c r="AD34" s="799"/>
      <c r="AE34" s="587"/>
      <c r="AF34" s="587"/>
      <c r="AG34" s="51"/>
      <c r="AH34" s="18"/>
      <c r="AI34" s="19"/>
    </row>
    <row r="35" spans="2:38" s="8" customFormat="1" ht="19.5" customHeight="1" x14ac:dyDescent="0.3">
      <c r="B35" s="8" t="s">
        <v>200</v>
      </c>
      <c r="D35"/>
      <c r="E35"/>
      <c r="F35"/>
      <c r="G35" s="5" t="s">
        <v>223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10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si="11"/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-14971.778667118953</v>
      </c>
      <c r="U35" s="47">
        <f>+'사업장별(당월)'!U35+'[4]사업장별(누계)'!U35</f>
        <v>-15353.848254133385</v>
      </c>
      <c r="V35" s="49">
        <f t="shared" si="6"/>
        <v>-382.06958701443182</v>
      </c>
      <c r="W35" s="48">
        <f>+'사업장별(당월)'!W35+'[4]사업장별(누계)'!W35</f>
        <v>-12929.508915999999</v>
      </c>
      <c r="X35" s="60">
        <f t="shared" si="7"/>
        <v>-2424.3393381333863</v>
      </c>
      <c r="Y35" s="628"/>
      <c r="Z35" s="587"/>
      <c r="AA35" s="587"/>
      <c r="AB35" s="587"/>
      <c r="AC35" s="587"/>
      <c r="AD35" s="799"/>
      <c r="AE35" s="587"/>
      <c r="AF35" s="587"/>
      <c r="AG35" s="51"/>
      <c r="AH35" s="18"/>
      <c r="AK35" s="596"/>
      <c r="AL35" s="98"/>
    </row>
    <row r="36" spans="2:38" s="8" customFormat="1" ht="19.5" customHeight="1" x14ac:dyDescent="0.3">
      <c r="D36"/>
      <c r="E36"/>
      <c r="F36"/>
      <c r="G36" s="5"/>
      <c r="H36" s="87"/>
      <c r="I36" s="88" t="s">
        <v>117</v>
      </c>
      <c r="J36" s="46"/>
      <c r="K36" s="47"/>
      <c r="L36" s="49"/>
      <c r="M36" s="48"/>
      <c r="N36" s="60">
        <f t="shared" si="10"/>
        <v>0</v>
      </c>
      <c r="O36" s="46">
        <f>+'사업장별(당월)'!O37+'[4]사업장별(누계)'!O37</f>
        <v>0</v>
      </c>
      <c r="P36" s="47">
        <f>+'사업장별(당월)'!P37+'[4]사업장별(누계)'!P37</f>
        <v>0</v>
      </c>
      <c r="Q36" s="49">
        <f t="shared" si="11"/>
        <v>0</v>
      </c>
      <c r="R36" s="48">
        <f>+'사업장별(당월)'!R37+'[4]사업장별(누계)'!R37</f>
        <v>0</v>
      </c>
      <c r="S36" s="60">
        <f t="shared" si="5"/>
        <v>0</v>
      </c>
      <c r="T36" s="46">
        <f>+'사업장별(당월)'!T37+'[4]사업장별(누계)'!T37</f>
        <v>0</v>
      </c>
      <c r="U36" s="47">
        <f>+'사업장별(당월)'!U37+'[4]사업장별(누계)'!U37</f>
        <v>-573.85933299999999</v>
      </c>
      <c r="V36" s="49">
        <f t="shared" si="6"/>
        <v>-573.85933299999999</v>
      </c>
      <c r="W36" s="48">
        <f>+'사업장별(당월)'!W37+'[4]사업장별(누계)'!W37</f>
        <v>-1974.2219769999999</v>
      </c>
      <c r="X36" s="60">
        <f t="shared" si="7"/>
        <v>1400.3626439999998</v>
      </c>
      <c r="Y36" s="586"/>
      <c r="Z36" s="799"/>
      <c r="AA36" s="587"/>
      <c r="AB36" s="799"/>
      <c r="AC36" s="587"/>
      <c r="AD36" s="587"/>
      <c r="AE36" s="587"/>
      <c r="AF36" s="587"/>
      <c r="AG36" s="51"/>
      <c r="AH36" s="18"/>
      <c r="AI36" s="19"/>
      <c r="AK36" s="98"/>
      <c r="AL36" s="98"/>
    </row>
    <row r="37" spans="2:38" s="8" customFormat="1" ht="19.5" customHeight="1" x14ac:dyDescent="0.3">
      <c r="D37"/>
      <c r="E37"/>
      <c r="F37"/>
      <c r="G37" s="5"/>
      <c r="H37" s="87"/>
      <c r="I37" s="88" t="s">
        <v>177</v>
      </c>
      <c r="J37" s="46"/>
      <c r="K37" s="47"/>
      <c r="L37" s="49"/>
      <c r="M37" s="48">
        <f>SUM(M53:M56)</f>
        <v>0</v>
      </c>
      <c r="N37" s="60">
        <f t="shared" si="10"/>
        <v>0</v>
      </c>
      <c r="O37" s="46">
        <f>+'사업장별(당월)'!O38+'[4]사업장별(누계)'!O38</f>
        <v>0</v>
      </c>
      <c r="P37" s="47">
        <f>+'사업장별(당월)'!P38+'[4]사업장별(누계)'!P38</f>
        <v>0</v>
      </c>
      <c r="Q37" s="49">
        <f t="shared" si="11"/>
        <v>0</v>
      </c>
      <c r="R37" s="48">
        <f>+'사업장별(당월)'!R38+'[4]사업장별(누계)'!R38</f>
        <v>188.626</v>
      </c>
      <c r="S37" s="60">
        <f t="shared" si="5"/>
        <v>-188.626</v>
      </c>
      <c r="T37" s="46">
        <f>+'사업장별(당월)'!T38+'[4]사업장별(누계)'!T38</f>
        <v>-343.11671488905597</v>
      </c>
      <c r="U37" s="47">
        <f>+'사업장별(당월)'!U38+'[4]사업장별(누계)'!U38</f>
        <v>-405.12093700000003</v>
      </c>
      <c r="V37" s="49">
        <f t="shared" si="6"/>
        <v>-62.004222110944056</v>
      </c>
      <c r="W37" s="48">
        <f>+'사업장별(당월)'!W38+'[4]사업장별(누계)'!W38</f>
        <v>-135.880349</v>
      </c>
      <c r="X37" s="60">
        <f>+U37-W37</f>
        <v>-269.240588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K37" s="98"/>
      <c r="AL37" s="98"/>
    </row>
    <row r="38" spans="2:38" s="8" customFormat="1" ht="19.5" customHeight="1" x14ac:dyDescent="0.3">
      <c r="B38" t="s">
        <v>39</v>
      </c>
      <c r="D38"/>
      <c r="G38" s="792"/>
      <c r="H38" s="87"/>
      <c r="I38" s="88" t="s">
        <v>4</v>
      </c>
      <c r="J38" s="46"/>
      <c r="K38" s="47"/>
      <c r="L38" s="55">
        <f>+K38-J38</f>
        <v>0</v>
      </c>
      <c r="M38" s="61"/>
      <c r="N38" s="62">
        <f t="shared" si="10"/>
        <v>0</v>
      </c>
      <c r="O38" s="46">
        <f>+'사업장별(당월)'!O39+'[4]사업장별(누계)'!O39</f>
        <v>19.47</v>
      </c>
      <c r="P38" s="47">
        <f>+'사업장별(당월)'!P39+'[4]사업장별(누계)'!P39</f>
        <v>19.30500000000373</v>
      </c>
      <c r="Q38" s="55">
        <f t="shared" si="11"/>
        <v>-0.1649999999962688</v>
      </c>
      <c r="R38" s="61">
        <f>+'사업장별(당월)'!R39+'[4]사업장별(누계)'!R39</f>
        <v>-14.721699999988086</v>
      </c>
      <c r="S38" s="62">
        <f t="shared" si="5"/>
        <v>34.02669999999182</v>
      </c>
      <c r="T38" s="46">
        <f>+'사업장별(당월)'!T39+'[4]사업장별(누계)'!T39++'사업장별(당월)'!T36+'[4]사업장별(누계)'!T36</f>
        <v>617.77154899999891</v>
      </c>
      <c r="U38" s="47">
        <f>+'사업장별(당월)'!U39+'[4]사업장별(누계)'!U39+'사업장별(당월)'!U36+'[4]사업장별(누계)'!U36</f>
        <v>758.85573400001499</v>
      </c>
      <c r="V38" s="49">
        <f t="shared" si="6"/>
        <v>141.08418500001608</v>
      </c>
      <c r="W38" s="61">
        <f>+'사업장별(당월)'!W39+'[4]사업장별(누계)'!W39</f>
        <v>-241.52423199999379</v>
      </c>
      <c r="X38" s="60">
        <f t="shared" si="7"/>
        <v>1000.3799660000088</v>
      </c>
      <c r="Y38" s="595"/>
      <c r="Z38" s="799"/>
      <c r="AA38" s="587"/>
      <c r="AB38" s="587"/>
      <c r="AC38" s="587"/>
      <c r="AD38" s="587"/>
      <c r="AE38" s="587"/>
      <c r="AF38" s="587"/>
      <c r="AG38" s="51"/>
      <c r="AH38" s="18"/>
      <c r="AI38" s="19"/>
    </row>
    <row r="39" spans="2:38" s="8" customFormat="1" ht="19.5" customHeight="1" x14ac:dyDescent="0.3">
      <c r="G39" s="792"/>
      <c r="H39" s="87"/>
      <c r="I39" s="88"/>
      <c r="J39" s="46"/>
      <c r="K39" s="47"/>
      <c r="L39" s="55"/>
      <c r="M39" s="61"/>
      <c r="N39" s="62">
        <f t="shared" si="10"/>
        <v>0</v>
      </c>
      <c r="O39" s="46">
        <f>+'사업장별(당월)'!O40+'[4]사업장별(누계)'!O40</f>
        <v>0</v>
      </c>
      <c r="P39" s="47">
        <f>+'사업장별(당월)'!P40+'[4]사업장별(누계)'!P40</f>
        <v>0</v>
      </c>
      <c r="Q39" s="55">
        <f t="shared" si="11"/>
        <v>0</v>
      </c>
      <c r="R39" s="61">
        <f>+'사업장별(당월)'!R40+'[4]사업장별(누계)'!R40</f>
        <v>0</v>
      </c>
      <c r="S39" s="62">
        <f t="shared" si="5"/>
        <v>0</v>
      </c>
      <c r="T39" s="46">
        <f>+'사업장별(당월)'!T40+'[4]사업장별(누계)'!T40</f>
        <v>0</v>
      </c>
      <c r="U39" s="47">
        <f>+'사업장별(당월)'!U40+'[4]사업장별(누계)'!U40</f>
        <v>0</v>
      </c>
      <c r="V39" s="49">
        <f t="shared" si="6"/>
        <v>0</v>
      </c>
      <c r="W39" s="61">
        <f>+'사업장별(당월)'!W40+'[4]사업장별(누계)'!W40</f>
        <v>0</v>
      </c>
      <c r="X39" s="60"/>
      <c r="Y39" s="786"/>
      <c r="Z39" s="587"/>
      <c r="AA39" s="587"/>
      <c r="AB39" s="587"/>
      <c r="AC39" s="587"/>
      <c r="AD39" s="587"/>
      <c r="AE39" s="587"/>
      <c r="AF39" s="587"/>
      <c r="AG39" s="51"/>
      <c r="AH39" s="31"/>
    </row>
    <row r="40" spans="2:38" s="3" customFormat="1" ht="19.5" customHeight="1" x14ac:dyDescent="0.3">
      <c r="D40" s="657"/>
      <c r="G40" s="796"/>
      <c r="H40" s="146" t="s">
        <v>118</v>
      </c>
      <c r="I40" s="147"/>
      <c r="J40" s="646">
        <f>SUM(J33:J39)</f>
        <v>0</v>
      </c>
      <c r="K40" s="647">
        <f>SUM(K33:K39)</f>
        <v>0</v>
      </c>
      <c r="L40" s="647">
        <f>+K40-J40</f>
        <v>0</v>
      </c>
      <c r="M40" s="647">
        <f>SUM(M33:M39)</f>
        <v>0</v>
      </c>
      <c r="N40" s="648">
        <f t="shared" si="10"/>
        <v>0</v>
      </c>
      <c r="O40" s="148">
        <f>SUM(O33:O39)</f>
        <v>1814.582503666667</v>
      </c>
      <c r="P40" s="149">
        <f>SUM(P33:P39)</f>
        <v>1821.6955300000038</v>
      </c>
      <c r="Q40" s="153">
        <f t="shared" si="4"/>
        <v>7.1130263333368475</v>
      </c>
      <c r="R40" s="154">
        <f>SUM(R33:R39)</f>
        <v>2141.8556510000121</v>
      </c>
      <c r="S40" s="155">
        <f>+P40-R40</f>
        <v>-320.1601210000083</v>
      </c>
      <c r="T40" s="148">
        <f>SUM(T33:T39)</f>
        <v>-13234.104992341343</v>
      </c>
      <c r="U40" s="149">
        <f>SUM(U33:U39)</f>
        <v>-14152.85454313337</v>
      </c>
      <c r="V40" s="153">
        <f>+U40-T40</f>
        <v>-918.74955079202664</v>
      </c>
      <c r="W40" s="154">
        <f>SUM(W33:W39)</f>
        <v>-13961.940432999992</v>
      </c>
      <c r="X40" s="155">
        <f>+U40-W40</f>
        <v>-190.91411013337711</v>
      </c>
      <c r="Y40" s="787"/>
      <c r="Z40" s="589"/>
      <c r="AA40" s="589"/>
      <c r="AB40" s="589"/>
      <c r="AC40" s="589"/>
      <c r="AD40" s="589"/>
      <c r="AE40" s="589"/>
      <c r="AF40" s="589"/>
      <c r="AG40" s="590"/>
      <c r="AH40" s="26"/>
    </row>
    <row r="41" spans="2:38" s="8" customFormat="1" ht="19.5" customHeight="1" x14ac:dyDescent="0.3">
      <c r="G41" s="792"/>
      <c r="J41" s="33"/>
      <c r="K41" s="33"/>
      <c r="L41" s="32"/>
      <c r="M41" s="32"/>
      <c r="N41" s="32"/>
      <c r="O41" s="33"/>
      <c r="P41" s="33"/>
      <c r="Q41" s="32"/>
      <c r="R41" s="32"/>
      <c r="S41" s="32"/>
      <c r="T41" s="33"/>
      <c r="U41" s="33"/>
      <c r="V41" s="32"/>
      <c r="W41" s="32"/>
      <c r="X41" s="32"/>
      <c r="Y41" s="33"/>
      <c r="Z41" s="33"/>
      <c r="AA41" s="33"/>
      <c r="AB41" s="33"/>
      <c r="AC41" s="33"/>
      <c r="AD41" s="33"/>
      <c r="AE41" s="33"/>
      <c r="AF41" s="33"/>
      <c r="AG41" s="33"/>
      <c r="AH41" s="31"/>
      <c r="AI41" s="19"/>
    </row>
    <row r="42" spans="2:38" s="3" customFormat="1" ht="19.5" customHeight="1" x14ac:dyDescent="0.3">
      <c r="G42" s="797">
        <f>+P42/O42</f>
        <v>0.95220030552031454</v>
      </c>
      <c r="H42" s="639" t="s">
        <v>41</v>
      </c>
      <c r="I42" s="640"/>
      <c r="J42" s="652"/>
      <c r="K42" s="653"/>
      <c r="L42" s="653"/>
      <c r="M42" s="653"/>
      <c r="N42" s="654"/>
      <c r="O42" s="641">
        <f>+O27+O32+O28+O40</f>
        <v>447970.66104900523</v>
      </c>
      <c r="P42" s="642">
        <f>+P27+P32+P28+P40</f>
        <v>426557.80031500006</v>
      </c>
      <c r="Q42" s="643">
        <f t="shared" si="4"/>
        <v>-21412.860734005168</v>
      </c>
      <c r="R42" s="644">
        <f>+R27+R32+R28+R40</f>
        <v>469704.37630200002</v>
      </c>
      <c r="S42" s="645">
        <f>+P42-R42</f>
        <v>-43146.57598699996</v>
      </c>
      <c r="T42" s="641">
        <f>+T27+T32+T28+T40</f>
        <v>37063.045424185846</v>
      </c>
      <c r="U42" s="642">
        <f>+U27+U32+U28+U40</f>
        <v>18623.961799011209</v>
      </c>
      <c r="V42" s="643">
        <f>+U42-T42</f>
        <v>-18439.083625174637</v>
      </c>
      <c r="W42" s="644">
        <f>+W27+W32+W28+W40</f>
        <v>39341.142085020008</v>
      </c>
      <c r="X42" s="645">
        <f>+U42-W42</f>
        <v>-20717.180286008799</v>
      </c>
      <c r="Y42" s="837"/>
      <c r="Z42" s="838"/>
      <c r="AA42" s="838"/>
      <c r="AB42" s="838"/>
      <c r="AC42" s="838"/>
      <c r="AD42" s="838"/>
      <c r="AE42" s="838"/>
      <c r="AF42" s="838"/>
      <c r="AG42" s="839"/>
      <c r="AH42" s="26"/>
      <c r="AI42" s="785"/>
      <c r="AK42" s="785"/>
    </row>
    <row r="43" spans="2:38" s="34" customFormat="1" x14ac:dyDescent="0.3">
      <c r="G43" s="794">
        <f>+U42/T42</f>
        <v>0.50249410392104377</v>
      </c>
      <c r="P43" s="661">
        <f>+P42/O42</f>
        <v>0.95220030552031454</v>
      </c>
      <c r="T43" s="788">
        <f>+T42/O42</f>
        <v>8.2735430345808686E-2</v>
      </c>
      <c r="U43" s="788">
        <f>+U42/P42</f>
        <v>4.3661050824197745E-2</v>
      </c>
      <c r="AC43" s="35"/>
      <c r="AF43" s="35"/>
    </row>
    <row r="44" spans="2:38" s="34" customFormat="1" ht="17.25" thickBot="1" x14ac:dyDescent="0.35">
      <c r="G44" s="798"/>
      <c r="AC44" s="35"/>
      <c r="AF44" s="35"/>
    </row>
    <row r="45" spans="2:38" s="34" customFormat="1" x14ac:dyDescent="0.3">
      <c r="G45" s="798"/>
      <c r="I45" s="834" t="s">
        <v>101</v>
      </c>
      <c r="J45" s="138">
        <f>+'사업장별(당월)'!J46+'[4]사업장별(누계)'!J46</f>
        <v>3192.5</v>
      </c>
      <c r="K45" s="139">
        <f>+'사업장별(당월)'!K46+'[4]사업장별(누계)'!K46</f>
        <v>3105.9389999999994</v>
      </c>
      <c r="L45" s="139"/>
      <c r="M45" s="139">
        <f>+'사업장별(당월)'!M46+'[4]사업장별(누계)'!M46</f>
        <v>3559.7181800000003</v>
      </c>
      <c r="N45" s="139"/>
      <c r="O45" s="139">
        <f>+'사업장별(당월)'!O46+'[4]사업장별(누계)'!O46</f>
        <v>447970.66104900528</v>
      </c>
      <c r="P45" s="139">
        <f>+'사업장별(당월)'!P46+'[4]사업장별(누계)'!P46</f>
        <v>426557.800315</v>
      </c>
      <c r="Q45" s="139"/>
      <c r="R45" s="139">
        <f>+'사업장별(당월)'!R46+'[4]사업장별(누계)'!R46</f>
        <v>469704.37630200008</v>
      </c>
      <c r="S45" s="139"/>
      <c r="T45" s="144">
        <f>+'사업장별(당월)'!T46+'[4]사업장별(누계)'!T46</f>
        <v>37063.045424185824</v>
      </c>
      <c r="U45" s="139">
        <f>+'사업장별(당월)'!U46+'[4]사업장별(누계)'!U46</f>
        <v>18623.961799011198</v>
      </c>
      <c r="V45" s="139"/>
      <c r="W45" s="139">
        <f>+'사업장별(당월)'!W46+'[4]사업장별(누계)'!W46</f>
        <v>39341.142085020001</v>
      </c>
      <c r="X45" s="140"/>
      <c r="AC45" s="35"/>
      <c r="AF45" s="35"/>
    </row>
    <row r="46" spans="2:38" s="34" customFormat="1" ht="17.25" thickBot="1" x14ac:dyDescent="0.35">
      <c r="G46" s="798"/>
      <c r="I46" s="834"/>
      <c r="J46" s="143">
        <f>+J45-J27</f>
        <v>0</v>
      </c>
      <c r="K46" s="141">
        <f>+K45-K27</f>
        <v>0</v>
      </c>
      <c r="L46" s="141"/>
      <c r="M46" s="141">
        <f>+M45-M27</f>
        <v>0</v>
      </c>
      <c r="N46" s="141"/>
      <c r="O46" s="145">
        <f>+O45-O42</f>
        <v>0</v>
      </c>
      <c r="P46" s="145">
        <f>+P45-P42</f>
        <v>0</v>
      </c>
      <c r="Q46" s="141"/>
      <c r="R46" s="145">
        <f>+R45-R42</f>
        <v>0</v>
      </c>
      <c r="S46" s="141"/>
      <c r="T46" s="145">
        <f>+T45-T42</f>
        <v>0</v>
      </c>
      <c r="U46" s="145">
        <f>+U45-U42</f>
        <v>0</v>
      </c>
      <c r="V46" s="141"/>
      <c r="W46" s="141">
        <f>+W45-W42</f>
        <v>0</v>
      </c>
      <c r="X46" s="142"/>
      <c r="AC46" s="35"/>
      <c r="AF46" s="35"/>
      <c r="AG46" s="34" t="s">
        <v>102</v>
      </c>
    </row>
    <row r="47" spans="2:38" x14ac:dyDescent="0.3">
      <c r="T47" s="658"/>
      <c r="U47" s="658"/>
      <c r="V47" s="658"/>
    </row>
    <row r="48" spans="2:38" x14ac:dyDescent="0.3">
      <c r="P48" s="98"/>
      <c r="T48" s="658"/>
      <c r="U48" s="658"/>
      <c r="V48" s="658"/>
    </row>
    <row r="49" spans="10:33" x14ac:dyDescent="0.3">
      <c r="S49" t="s">
        <v>53</v>
      </c>
      <c r="T49" s="598">
        <f>(+T27+T35)/100</f>
        <v>323.57664540278148</v>
      </c>
      <c r="U49" s="598">
        <f>(+U27+U35)/100</f>
        <v>171.1521187887661</v>
      </c>
      <c r="V49" s="598">
        <f>+U49-T49</f>
        <v>-152.42452661401538</v>
      </c>
      <c r="W49" s="597">
        <f>+U49/T49-1</f>
        <v>-0.47106158240895446</v>
      </c>
    </row>
    <row r="50" spans="10:33" x14ac:dyDescent="0.3">
      <c r="S50" t="s">
        <v>3</v>
      </c>
      <c r="T50" s="6">
        <f>+T28/100</f>
        <v>11.613904280210615</v>
      </c>
      <c r="U50" s="6">
        <f>+U28/100</f>
        <v>6.0186034800000217</v>
      </c>
      <c r="V50" s="598">
        <f>+U50-T50</f>
        <v>-5.5953008002105937</v>
      </c>
    </row>
    <row r="51" spans="10:33" x14ac:dyDescent="0.3">
      <c r="S51" t="s">
        <v>1</v>
      </c>
      <c r="T51" s="6">
        <f>+T32/100</f>
        <v>18.063167811090228</v>
      </c>
      <c r="U51" s="6">
        <f>+U32/100</f>
        <v>-2.9410413886542415</v>
      </c>
      <c r="V51" s="598">
        <f>+U51-T51</f>
        <v>-21.004209199744469</v>
      </c>
    </row>
    <row r="52" spans="10:33" x14ac:dyDescent="0.3">
      <c r="S52" t="s">
        <v>59</v>
      </c>
      <c r="T52" s="6">
        <f>(T33+T34)/100</f>
        <v>14.630188406666667</v>
      </c>
      <c r="U52" s="6">
        <f>(U33+U34)/100</f>
        <v>14.211182469999999</v>
      </c>
      <c r="V52" s="598">
        <f>+U52-T52</f>
        <v>-0.41900593666666808</v>
      </c>
    </row>
    <row r="53" spans="10:33" x14ac:dyDescent="0.3">
      <c r="J53" s="598"/>
      <c r="K53" s="598"/>
      <c r="L53" s="598"/>
      <c r="M53" s="598"/>
      <c r="N53" s="598"/>
      <c r="O53" s="598"/>
      <c r="P53" s="598"/>
      <c r="Q53" s="598"/>
      <c r="R53" s="598"/>
      <c r="S53" s="598" t="s">
        <v>4</v>
      </c>
      <c r="T53" s="598">
        <f>(T45/100)-T49-T50-T51-T52</f>
        <v>2.7465483411092233</v>
      </c>
      <c r="U53" s="598">
        <f>(U45/100)-U49-U50-U51-U52</f>
        <v>-2.2012453599999002</v>
      </c>
      <c r="V53" s="598">
        <f>+U53-T53</f>
        <v>-4.9477937011091235</v>
      </c>
      <c r="W53" s="598"/>
      <c r="X53" s="598"/>
      <c r="Y53" s="598"/>
      <c r="Z53" s="598"/>
      <c r="AA53" s="598"/>
      <c r="AB53" s="598"/>
      <c r="AC53" s="598"/>
      <c r="AD53" s="598"/>
      <c r="AE53" s="598"/>
      <c r="AF53" s="598"/>
      <c r="AG53" s="598"/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/>
      <c r="T54" s="598"/>
      <c r="U54" s="598"/>
      <c r="V54" s="598"/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658"/>
      <c r="U55" s="65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/>
      <c r="T56" s="598"/>
      <c r="U56" s="598"/>
      <c r="V56" s="598"/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S57" s="598"/>
      <c r="T57" s="598"/>
      <c r="U57" s="598"/>
      <c r="V57" s="598"/>
    </row>
    <row r="58" spans="10:33" x14ac:dyDescent="0.3">
      <c r="S58" s="598"/>
      <c r="T58" s="598"/>
      <c r="U58" s="598"/>
      <c r="V58" s="598"/>
    </row>
    <row r="59" spans="10:33" x14ac:dyDescent="0.3">
      <c r="S59" s="598"/>
      <c r="T59" s="598"/>
      <c r="U59" s="598"/>
      <c r="V59" s="598"/>
    </row>
    <row r="60" spans="10:33" x14ac:dyDescent="0.3">
      <c r="T60" s="6"/>
      <c r="U60" s="6"/>
      <c r="V60" s="6"/>
    </row>
  </sheetData>
  <mergeCells count="4">
    <mergeCell ref="H5:I6"/>
    <mergeCell ref="H28:I28"/>
    <mergeCell ref="Y42:AG42"/>
    <mergeCell ref="I45:I4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 codeName="Sheet5">
    <tabColor theme="1" tint="0.249977111117893"/>
    <pageSetUpPr fitToPage="1"/>
  </sheetPr>
  <dimension ref="A1:Z52"/>
  <sheetViews>
    <sheetView showGridLines="0" showZeros="0" view="pageBreakPreview" zoomScale="60" zoomScaleNormal="85" workbookViewId="0">
      <pane xSplit="4" ySplit="7" topLeftCell="E8" activePane="bottomRight" state="frozen"/>
      <selection activeCell="Y29" sqref="Y29"/>
      <selection pane="topRight" activeCell="Y29" sqref="Y29"/>
      <selection pane="bottomLeft" activeCell="Y29" sqref="Y29"/>
      <selection pane="bottomRight" activeCell="Q15" sqref="Q15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183" t="s">
        <v>241</v>
      </c>
      <c r="F4" s="183"/>
      <c r="I4" s="183"/>
      <c r="J4" s="183"/>
    </row>
    <row r="5" spans="1:26" ht="21.95" customHeight="1" x14ac:dyDescent="0.3">
      <c r="W5" s="185" t="s">
        <v>149</v>
      </c>
    </row>
    <row r="6" spans="1:26" ht="24" customHeight="1" thickBot="1" x14ac:dyDescent="0.35">
      <c r="A6" s="6" t="s">
        <v>235</v>
      </c>
      <c r="D6" s="840" t="s">
        <v>11</v>
      </c>
      <c r="E6" s="438" t="s">
        <v>143</v>
      </c>
      <c r="F6" s="439"/>
      <c r="G6" s="440"/>
      <c r="H6" s="438" t="s">
        <v>144</v>
      </c>
      <c r="I6" s="439"/>
      <c r="J6" s="439"/>
      <c r="K6" s="440"/>
      <c r="L6" s="438" t="s">
        <v>145</v>
      </c>
      <c r="M6" s="439"/>
      <c r="N6" s="439"/>
      <c r="O6" s="440"/>
      <c r="P6" s="438" t="s">
        <v>146</v>
      </c>
      <c r="Q6" s="439"/>
      <c r="R6" s="439"/>
      <c r="S6" s="440"/>
      <c r="T6" s="438" t="s">
        <v>147</v>
      </c>
      <c r="U6" s="439"/>
      <c r="V6" s="439"/>
      <c r="W6" s="440"/>
    </row>
    <row r="7" spans="1:26" ht="24" customHeight="1" x14ac:dyDescent="0.3">
      <c r="D7" s="841"/>
      <c r="E7" s="441" t="s">
        <v>12</v>
      </c>
      <c r="F7" s="442" t="s">
        <v>13</v>
      </c>
      <c r="G7" s="443" t="s">
        <v>37</v>
      </c>
      <c r="H7" s="441" t="s">
        <v>15</v>
      </c>
      <c r="I7" s="442" t="s">
        <v>16</v>
      </c>
      <c r="J7" s="444" t="s">
        <v>37</v>
      </c>
      <c r="K7" s="445" t="s">
        <v>148</v>
      </c>
      <c r="L7" s="441" t="s">
        <v>15</v>
      </c>
      <c r="M7" s="442" t="s">
        <v>16</v>
      </c>
      <c r="N7" s="444" t="s">
        <v>37</v>
      </c>
      <c r="O7" s="445" t="s">
        <v>148</v>
      </c>
      <c r="P7" s="441" t="s">
        <v>15</v>
      </c>
      <c r="Q7" s="442" t="s">
        <v>16</v>
      </c>
      <c r="R7" s="444" t="s">
        <v>37</v>
      </c>
      <c r="S7" s="445" t="s">
        <v>148</v>
      </c>
      <c r="T7" s="441" t="s">
        <v>15</v>
      </c>
      <c r="U7" s="442" t="s">
        <v>16</v>
      </c>
      <c r="V7" s="444" t="s">
        <v>37</v>
      </c>
      <c r="W7" s="445" t="s">
        <v>148</v>
      </c>
    </row>
    <row r="8" spans="1:26" ht="24" customHeight="1" x14ac:dyDescent="0.3">
      <c r="D8" s="469" t="s">
        <v>41</v>
      </c>
      <c r="E8" s="459">
        <f>+[5]합계!$H$86/1000</f>
        <v>5263.2179800197255</v>
      </c>
      <c r="F8" s="461">
        <f>+[5]합계!$I$86/1000</f>
        <v>2195.9233970000018</v>
      </c>
      <c r="G8" s="460">
        <f>+F8-E8</f>
        <v>-3067.2945830197236</v>
      </c>
      <c r="H8" s="459">
        <f>+[5]합계!$T$5/1000</f>
        <v>320</v>
      </c>
      <c r="I8" s="461">
        <f>+[5]합계!$U$5/1000</f>
        <v>280.66849999999999</v>
      </c>
      <c r="J8" s="460">
        <f>+I8-H8</f>
        <v>-39.331500000000005</v>
      </c>
      <c r="K8" s="463">
        <f>+[5]합계!$M$86/1000</f>
        <v>-777.36863976118661</v>
      </c>
      <c r="L8" s="459">
        <f>+[5]합계!$Q$85</f>
        <v>103034.69681751658</v>
      </c>
      <c r="M8" s="461">
        <f>+[5]합계!$R$85</f>
        <v>100000.49797339522</v>
      </c>
      <c r="N8" s="460">
        <f>+M8-L8</f>
        <v>-3034.1988441213616</v>
      </c>
      <c r="O8" s="463">
        <f>+[5]합계!$K$86/1000</f>
        <v>-849.65153132508431</v>
      </c>
      <c r="P8" s="459">
        <f>+[5]합계!$Q$50</f>
        <v>83512.394384466257</v>
      </c>
      <c r="Q8" s="461">
        <f>+[5]합계!$R$50</f>
        <v>88263.57799860269</v>
      </c>
      <c r="R8" s="460">
        <f>+Q8-P8</f>
        <v>4751.1836141364329</v>
      </c>
      <c r="S8" s="463">
        <f>+[5]합계!$L$56/1000</f>
        <v>-1316.0472788698355</v>
      </c>
      <c r="T8" s="459">
        <f>+([5]합계!$H$80+[5]합계!$H$85)/1000</f>
        <v>983.91879855637933</v>
      </c>
      <c r="U8" s="461">
        <f>+([5]합계!$I$80+[5]합계!$I$85)/1000</f>
        <v>1108.1459316199998</v>
      </c>
      <c r="V8" s="460">
        <f>+U8-T8</f>
        <v>124.2271330636205</v>
      </c>
      <c r="W8" s="468">
        <f>+([5]합계!$L$80+[5]합계!$L$85)/1000</f>
        <v>-124.22713306362077</v>
      </c>
      <c r="Y8" s="6">
        <f>+G8-K8-O8-S8-W8</f>
        <v>3.794298208958935E-12</v>
      </c>
      <c r="Z8" s="6">
        <f>+Y8*1000000</f>
        <v>3.794298208958935E-6</v>
      </c>
    </row>
    <row r="9" spans="1:26" ht="24" customHeight="1" x14ac:dyDescent="0.3">
      <c r="D9" s="470" t="s">
        <v>19</v>
      </c>
      <c r="E9" s="464">
        <f>+[5]수도권!$H$86/1000</f>
        <v>1856.0098865891305</v>
      </c>
      <c r="F9" s="478">
        <f>+[5]수도권!$I$86/1000</f>
        <v>553.11277200000188</v>
      </c>
      <c r="G9" s="465">
        <f t="shared" ref="G9:G28" si="0">+F9-E9</f>
        <v>-1302.8971145891287</v>
      </c>
      <c r="H9" s="464">
        <f>+[5]수도권!$T$5/1000</f>
        <v>121.5</v>
      </c>
      <c r="I9" s="478">
        <f>+[5]수도권!$U$5/1000</f>
        <v>107.646</v>
      </c>
      <c r="J9" s="465">
        <f t="shared" ref="J9:J28" si="1">+I9-H9</f>
        <v>-13.853999999999999</v>
      </c>
      <c r="K9" s="481">
        <f>+[5]수도권!$M$86/1000</f>
        <v>-249.48607376968792</v>
      </c>
      <c r="L9" s="464">
        <f>+[5]수도권!$Q$85</f>
        <v>102195.91095148401</v>
      </c>
      <c r="M9" s="478">
        <f>+[5]수도권!$R$85</f>
        <v>97363.140990806569</v>
      </c>
      <c r="N9" s="465">
        <f t="shared" ref="N9:N28" si="2">+M9-L9</f>
        <v>-4832.7699606774404</v>
      </c>
      <c r="O9" s="481">
        <f>+[5]수도권!$K$86/1000</f>
        <v>-519.36812213408314</v>
      </c>
      <c r="P9" s="464">
        <f>+[5]수도권!$Q$50</f>
        <v>84386.869206209754</v>
      </c>
      <c r="Q9" s="478">
        <f>+[5]수도권!$R$50</f>
        <v>89106.705431405018</v>
      </c>
      <c r="R9" s="465">
        <f t="shared" ref="R9:R28" si="3">+Q9-P9</f>
        <v>4719.836225195264</v>
      </c>
      <c r="S9" s="481">
        <f>+[5]수도권!$L$56/1000</f>
        <v>-507.17079119704641</v>
      </c>
      <c r="T9" s="464">
        <f>+([5]수도권!$H$80+[5]수도권!$H$85)/1000</f>
        <v>307.78868546168889</v>
      </c>
      <c r="U9" s="478">
        <f>+([5]수도권!$I$80+[5]수도권!$I$85)/1000</f>
        <v>334.66081294999998</v>
      </c>
      <c r="V9" s="465">
        <f t="shared" ref="V9:V28" si="4">+U9-T9</f>
        <v>26.872127488311094</v>
      </c>
      <c r="W9" s="481">
        <f>+([5]수도권!$L$80+[5]수도권!$L$85)/1000</f>
        <v>-26.872127488311108</v>
      </c>
      <c r="Y9" s="6">
        <f t="shared" ref="Y9:Y28" si="5">+G9-K9-O9-S9-W9</f>
        <v>-1.5631940186722204E-13</v>
      </c>
      <c r="Z9" s="6">
        <f t="shared" ref="Z9:Z28" si="6">+Y9*1000000</f>
        <v>-1.5631940186722204E-7</v>
      </c>
    </row>
    <row r="10" spans="1:26" ht="24" customHeight="1" x14ac:dyDescent="0.3">
      <c r="D10" s="471" t="s">
        <v>20</v>
      </c>
      <c r="E10" s="466">
        <f>+[5]영남권!$H$86/1000</f>
        <v>2301.2994058470181</v>
      </c>
      <c r="F10" s="479">
        <f>+[5]영남권!$I$86/1000</f>
        <v>1095.1019669999996</v>
      </c>
      <c r="G10" s="476">
        <f t="shared" si="0"/>
        <v>-1206.1974388470185</v>
      </c>
      <c r="H10" s="466">
        <f>+[5]영남권!$T$5/1000</f>
        <v>139.5</v>
      </c>
      <c r="I10" s="479">
        <f>+[5]영남권!$U$5/1000</f>
        <v>121.551</v>
      </c>
      <c r="J10" s="476">
        <f t="shared" si="1"/>
        <v>-17.948999999999998</v>
      </c>
      <c r="K10" s="482">
        <f>+[5]영남권!$M$86/1000</f>
        <v>-359.68909014739143</v>
      </c>
      <c r="L10" s="466">
        <f>+[5]영남권!$Q$85</f>
        <v>102613.8101218638</v>
      </c>
      <c r="M10" s="479">
        <f>+[5]영남권!$R$85</f>
        <v>100718.15908548675</v>
      </c>
      <c r="N10" s="476">
        <f t="shared" si="2"/>
        <v>-1895.6510363770503</v>
      </c>
      <c r="O10" s="482">
        <f>+[5]영남권!$K$86/1000</f>
        <v>-230.41827912266683</v>
      </c>
      <c r="P10" s="466">
        <f>+[5]영남권!$Q$50</f>
        <v>82574.304291600754</v>
      </c>
      <c r="Q10" s="479">
        <f>+[5]영남권!$R$50</f>
        <v>87194.134697350295</v>
      </c>
      <c r="R10" s="476">
        <f t="shared" si="3"/>
        <v>4619.8304057495407</v>
      </c>
      <c r="S10" s="482">
        <f>+[5]영남권!$L$56/1000</f>
        <v>-544.40675439163624</v>
      </c>
      <c r="T10" s="466">
        <f>+([5]영남권!$H$80+[5]영남권!$H$85)/1000</f>
        <v>494.21165747467626</v>
      </c>
      <c r="U10" s="479">
        <f>+([5]영남권!$I$80+[5]영남권!$I$85)/1000</f>
        <v>565.89497266000001</v>
      </c>
      <c r="V10" s="476">
        <f t="shared" si="4"/>
        <v>71.68331518532375</v>
      </c>
      <c r="W10" s="482">
        <f>+([5]영남권!$L$80+[5]영남권!$L$85)/1000</f>
        <v>-71.683315185323735</v>
      </c>
      <c r="Y10" s="6">
        <f t="shared" si="5"/>
        <v>-2.4158453015843406E-13</v>
      </c>
      <c r="Z10" s="6">
        <f t="shared" si="6"/>
        <v>-2.4158453015843406E-7</v>
      </c>
    </row>
    <row r="11" spans="1:26" ht="24" customHeight="1" x14ac:dyDescent="0.3">
      <c r="D11" s="472" t="s">
        <v>57</v>
      </c>
      <c r="E11" s="467">
        <f>+[5]중부권!$H$86/1000</f>
        <v>1105.9086875835815</v>
      </c>
      <c r="F11" s="480">
        <f>+[5]중부권!$I$86/1000</f>
        <v>547.70865800000001</v>
      </c>
      <c r="G11" s="477">
        <f t="shared" si="0"/>
        <v>-558.20002958358145</v>
      </c>
      <c r="H11" s="467">
        <f>+[5]중부권!$T$5/1000</f>
        <v>59</v>
      </c>
      <c r="I11" s="480">
        <f>+[5]중부권!$U$5/1000</f>
        <v>51.471499999999999</v>
      </c>
      <c r="J11" s="477">
        <f t="shared" si="1"/>
        <v>-7.5285000000000011</v>
      </c>
      <c r="K11" s="483">
        <f>+[5]중부권!$M$86/1000</f>
        <v>-171.8646641147381</v>
      </c>
      <c r="L11" s="467">
        <f>+[5]중부권!$Q$85</f>
        <v>105757.17438983051</v>
      </c>
      <c r="M11" s="480">
        <f>+[5]중부권!$R$85</f>
        <v>103847.08571540602</v>
      </c>
      <c r="N11" s="477">
        <f t="shared" si="2"/>
        <v>-1910.0886744244926</v>
      </c>
      <c r="O11" s="483">
        <f>+[5]중부권!$K$86/1000</f>
        <v>-97.425982927695671</v>
      </c>
      <c r="P11" s="467">
        <f>+[5]중부권!$Q$50</f>
        <v>83929.595691464492</v>
      </c>
      <c r="Q11" s="480">
        <f>+[5]중부권!$R$50</f>
        <v>89073.249721009459</v>
      </c>
      <c r="R11" s="477">
        <f t="shared" si="3"/>
        <v>5143.6540295449668</v>
      </c>
      <c r="S11" s="483">
        <f>+[5]중부권!$L$56/1000</f>
        <v>-263.23769215116243</v>
      </c>
      <c r="T11" s="467">
        <f>+([5]중부권!$H$80+[5]중부권!$H$85)/1000</f>
        <v>181.9184556200141</v>
      </c>
      <c r="U11" s="480">
        <f>+([5]중부권!$I$80+[5]중부권!$I$85)/1000</f>
        <v>207.59014600999998</v>
      </c>
      <c r="V11" s="477">
        <f t="shared" si="4"/>
        <v>25.671690389985883</v>
      </c>
      <c r="W11" s="483">
        <f>+([5]중부권!$L$80+[5]중부권!$L$85)/1000</f>
        <v>-25.671690389985912</v>
      </c>
      <c r="Y11" s="6">
        <f t="shared" si="5"/>
        <v>6.5369931689929217E-13</v>
      </c>
      <c r="Z11" s="6">
        <f t="shared" si="6"/>
        <v>6.5369931689929217E-7</v>
      </c>
    </row>
    <row r="12" spans="1:26" ht="24" customHeight="1" x14ac:dyDescent="0.3">
      <c r="D12" s="473" t="s">
        <v>22</v>
      </c>
      <c r="E12" s="446">
        <f>+[5]안양!$H$86/1000</f>
        <v>669.44376637940684</v>
      </c>
      <c r="F12" s="447">
        <f>+[5]안양!$I$86/1000</f>
        <v>302.27515799999986</v>
      </c>
      <c r="G12" s="448">
        <f t="shared" si="0"/>
        <v>-367.16860837940698</v>
      </c>
      <c r="H12" s="446">
        <f>+[5]안양!$T$5/1000</f>
        <v>45</v>
      </c>
      <c r="I12" s="447">
        <f>+[5]안양!$U$5/1000</f>
        <v>38.566000000000003</v>
      </c>
      <c r="J12" s="449">
        <f t="shared" si="1"/>
        <v>-6.4339999999999975</v>
      </c>
      <c r="K12" s="74">
        <f>+[5]안양!$M$86/1000</f>
        <v>-109.71596186539531</v>
      </c>
      <c r="L12" s="446">
        <f>+[5]안양!$Q$85</f>
        <v>101706.43777777777</v>
      </c>
      <c r="M12" s="447">
        <f>+[5]안양!$R$85</f>
        <v>98187.636493358237</v>
      </c>
      <c r="N12" s="449">
        <f t="shared" si="2"/>
        <v>-3518.8012844195327</v>
      </c>
      <c r="O12" s="74">
        <f>+[5]안양!$K$86/1000</f>
        <v>-135.62867670666648</v>
      </c>
      <c r="P12" s="446">
        <f>+[5]안양!$Q$50</f>
        <v>84712.019892803277</v>
      </c>
      <c r="Q12" s="447">
        <f>+[5]안양!$R$50</f>
        <v>87636.386147859928</v>
      </c>
      <c r="R12" s="449">
        <f t="shared" si="3"/>
        <v>2924.3662550566514</v>
      </c>
      <c r="S12" s="74">
        <f>+[5]안양!$L$56/1000</f>
        <v>-112.62542232179058</v>
      </c>
      <c r="T12" s="446">
        <f>+([5]안양!$H$80+[5]안양!$H$85)/1000</f>
        <v>95.305038444444435</v>
      </c>
      <c r="U12" s="447">
        <f>+([5]안양!$I$80+[5]안양!$I$85)/1000</f>
        <v>104.50358593</v>
      </c>
      <c r="V12" s="449">
        <f t="shared" si="4"/>
        <v>9.1985474855555651</v>
      </c>
      <c r="W12" s="74">
        <f>+([5]안양!$L$80+[5]안양!$L$85)/1000</f>
        <v>-9.1985474855555687</v>
      </c>
      <c r="Y12" s="6">
        <f t="shared" si="5"/>
        <v>9.4146912488213275E-13</v>
      </c>
      <c r="Z12" s="6">
        <f t="shared" si="6"/>
        <v>9.4146912488213275E-7</v>
      </c>
    </row>
    <row r="13" spans="1:26" ht="24" customHeight="1" x14ac:dyDescent="0.3">
      <c r="D13" s="474" t="s">
        <v>23</v>
      </c>
      <c r="E13" s="451">
        <f>+[5]인천!$H$86/1000</f>
        <v>631.27754955971557</v>
      </c>
      <c r="F13" s="452">
        <f>+[5]인천!$I$86/1000</f>
        <v>72.336657000000145</v>
      </c>
      <c r="G13" s="188">
        <f t="shared" si="0"/>
        <v>-558.94089255971539</v>
      </c>
      <c r="H13" s="451">
        <f>+[5]인천!$T$5/1000</f>
        <v>36</v>
      </c>
      <c r="I13" s="452">
        <f>+[5]인천!$U$5/1000</f>
        <v>29.507000000000001</v>
      </c>
      <c r="J13" s="164">
        <f t="shared" si="1"/>
        <v>-6.4929999999999986</v>
      </c>
      <c r="K13" s="453">
        <f>+[5]인천!$M$86/1000</f>
        <v>-131.01795282624616</v>
      </c>
      <c r="L13" s="451">
        <f>+[5]인천!$Q$85</f>
        <v>106683.98638888888</v>
      </c>
      <c r="M13" s="452">
        <f>+[5]인천!$R$85</f>
        <v>98532.600671027205</v>
      </c>
      <c r="N13" s="164">
        <f t="shared" si="2"/>
        <v>-8151.3857178616745</v>
      </c>
      <c r="O13" s="453">
        <f>+[5]인천!$K$86/1000</f>
        <v>-240.52293837694444</v>
      </c>
      <c r="P13" s="451">
        <f>+[5]인천!$Q$50</f>
        <v>86505.647743232592</v>
      </c>
      <c r="Q13" s="452">
        <f>+[5]인천!$R$50</f>
        <v>92606.22848815535</v>
      </c>
      <c r="R13" s="164">
        <f t="shared" si="3"/>
        <v>6100.5807449227577</v>
      </c>
      <c r="S13" s="453">
        <f>+[5]인천!$L$56/1000</f>
        <v>-180.00981054043567</v>
      </c>
      <c r="T13" s="451">
        <f>+([5]인천!$H$80+[5]인천!$H$85)/1000</f>
        <v>95.142641683911123</v>
      </c>
      <c r="U13" s="452">
        <f>+([5]인천!$I$80+[5]인천!$I$85)/1000</f>
        <v>102.5328325</v>
      </c>
      <c r="V13" s="164">
        <f t="shared" si="4"/>
        <v>7.3901908160888752</v>
      </c>
      <c r="W13" s="453">
        <f>+([5]인천!$L$80+[5]인천!$L$85)/1000</f>
        <v>-7.3901908160888752</v>
      </c>
      <c r="Y13" s="6">
        <f t="shared" si="5"/>
        <v>-2.2737367544323206E-13</v>
      </c>
      <c r="Z13" s="6">
        <f t="shared" si="6"/>
        <v>-2.2737367544323206E-7</v>
      </c>
    </row>
    <row r="14" spans="1:26" ht="24" customHeight="1" x14ac:dyDescent="0.3">
      <c r="D14" s="474" t="s">
        <v>24</v>
      </c>
      <c r="E14" s="451">
        <f>+[5]파주!$H$86/1000</f>
        <v>291.23696176557002</v>
      </c>
      <c r="F14" s="452">
        <f>+[5]파주!$I$86/1000</f>
        <v>79.622708999999745</v>
      </c>
      <c r="G14" s="188">
        <f t="shared" si="0"/>
        <v>-211.61425276557026</v>
      </c>
      <c r="H14" s="451">
        <f>+[5]파주!$T$5/1000</f>
        <v>23</v>
      </c>
      <c r="I14" s="452">
        <f>+[5]파주!$U$5/1000</f>
        <v>22.349</v>
      </c>
      <c r="J14" s="164">
        <f t="shared" si="1"/>
        <v>-0.6509999999999998</v>
      </c>
      <c r="K14" s="453">
        <f>+[5]파주!$M$86/1000</f>
        <v>-10.51671744954522</v>
      </c>
      <c r="L14" s="451">
        <f>+[5]파주!$Q$85</f>
        <v>100383.19437414382</v>
      </c>
      <c r="M14" s="452">
        <f>+[5]파주!$R$85</f>
        <v>95512.911955888267</v>
      </c>
      <c r="N14" s="164">
        <f t="shared" si="2"/>
        <v>-4870.2824182555487</v>
      </c>
      <c r="O14" s="453">
        <f>+[5]파주!$K$86/1000</f>
        <v>-108.64138990402652</v>
      </c>
      <c r="P14" s="451">
        <f>+[5]파주!$Q$50</f>
        <v>84892.404403660083</v>
      </c>
      <c r="Q14" s="452">
        <f>+[5]파주!$R$50</f>
        <v>88605.240039438882</v>
      </c>
      <c r="R14" s="164">
        <f t="shared" si="3"/>
        <v>3712.8356357787998</v>
      </c>
      <c r="S14" s="453">
        <f>+[5]파주!$L$56/1000</f>
        <v>-82.844588757553922</v>
      </c>
      <c r="T14" s="451">
        <f>+([5]파주!$H$80+[5]파주!$H$85)/1000</f>
        <v>65.051207555555564</v>
      </c>
      <c r="U14" s="452">
        <f>+([5]파주!$I$80+[5]파주!$I$85)/1000</f>
        <v>74.662764209999992</v>
      </c>
      <c r="V14" s="164">
        <f t="shared" si="4"/>
        <v>9.6115566544444277</v>
      </c>
      <c r="W14" s="453">
        <f>+([5]파주!$L$80+[5]파주!$L$85)/1000</f>
        <v>-9.6115566544444455</v>
      </c>
      <c r="Y14" s="6">
        <f t="shared" si="5"/>
        <v>-1.5276668818842154E-13</v>
      </c>
      <c r="Z14" s="6">
        <f t="shared" si="6"/>
        <v>-1.5276668818842154E-7</v>
      </c>
    </row>
    <row r="15" spans="1:26" ht="24" customHeight="1" x14ac:dyDescent="0.3">
      <c r="D15" s="474" t="s">
        <v>178</v>
      </c>
      <c r="E15" s="451">
        <f>+[5]김포!$H$86/1000</f>
        <v>264.0516088844393</v>
      </c>
      <c r="F15" s="452">
        <f>+[5]김포!$I$86/1000</f>
        <v>98.878248000000056</v>
      </c>
      <c r="G15" s="188">
        <f t="shared" si="0"/>
        <v>-165.17336088443926</v>
      </c>
      <c r="H15" s="451">
        <f>+[5]김포!$T$5/1000</f>
        <v>17.5</v>
      </c>
      <c r="I15" s="452">
        <f>+[5]김포!$U$5/1000</f>
        <v>17.224</v>
      </c>
      <c r="J15" s="164">
        <f t="shared" si="1"/>
        <v>-0.2759999999999998</v>
      </c>
      <c r="K15" s="453">
        <f>+[5]김포!$M$86/1000</f>
        <v>-6.8578942056151284</v>
      </c>
      <c r="L15" s="451">
        <f>+[5]김포!$Q$85</f>
        <v>96604.371428571423</v>
      </c>
      <c r="M15" s="452">
        <f>+[5]김포!$R$85</f>
        <v>95901.215663354757</v>
      </c>
      <c r="N15" s="164">
        <f t="shared" si="2"/>
        <v>-703.15576521666662</v>
      </c>
      <c r="O15" s="453">
        <f>+[5]김포!$K$86/1000</f>
        <v>-12.030995142857165</v>
      </c>
      <c r="P15" s="451">
        <f>+[5]김포!$Q$50</f>
        <v>78527.719619301875</v>
      </c>
      <c r="Q15" s="462">
        <f>+[5]김포!$R$50</f>
        <v>87039.024830567898</v>
      </c>
      <c r="R15" s="164">
        <f t="shared" si="3"/>
        <v>8511.3052112660225</v>
      </c>
      <c r="S15" s="453">
        <f>+[5]김포!$L$56/1000</f>
        <v>-145.61263900374499</v>
      </c>
      <c r="T15" s="451">
        <f>+([5]김포!$H$80+[5]김포!$H$85)/1000</f>
        <v>52.289797777777771</v>
      </c>
      <c r="U15" s="452">
        <f>+([5]김포!$I$80+[5]김포!$I$85)/1000</f>
        <v>52.961630310000011</v>
      </c>
      <c r="V15" s="164">
        <f t="shared" si="4"/>
        <v>0.67183253222223982</v>
      </c>
      <c r="W15" s="453">
        <f>+([5]김포!$L$80+[5]김포!$L$85)/1000</f>
        <v>-0.67183253222222672</v>
      </c>
      <c r="Y15" s="6">
        <f t="shared" si="5"/>
        <v>2.5690560789826122E-13</v>
      </c>
      <c r="Z15" s="6">
        <f t="shared" si="6"/>
        <v>2.5690560789826122E-7</v>
      </c>
    </row>
    <row r="16" spans="1:26" ht="24" customHeight="1" x14ac:dyDescent="0.3">
      <c r="D16" s="475" t="s">
        <v>25</v>
      </c>
      <c r="E16" s="454">
        <f>+[5]부산!$H$86/1000</f>
        <v>440.56962946690476</v>
      </c>
      <c r="F16" s="455">
        <f>+[5]부산!$I$86/1000</f>
        <v>175.17909099999994</v>
      </c>
      <c r="G16" s="456">
        <f t="shared" si="0"/>
        <v>-265.39053846690479</v>
      </c>
      <c r="H16" s="454">
        <f>+[5]부산!$T$5/1000</f>
        <v>24</v>
      </c>
      <c r="I16" s="455">
        <f>+[5]부산!$U$5/1000</f>
        <v>19.12</v>
      </c>
      <c r="J16" s="457">
        <f t="shared" si="1"/>
        <v>-4.879999999999999</v>
      </c>
      <c r="K16" s="458">
        <f>+[5]부산!$M$86/1000</f>
        <v>-109.96570625604841</v>
      </c>
      <c r="L16" s="454">
        <f>+[5]부산!$Q$85</f>
        <v>107599.83591666666</v>
      </c>
      <c r="M16" s="455">
        <f>+[5]부산!$R$85</f>
        <v>109871.86223849373</v>
      </c>
      <c r="N16" s="457">
        <f t="shared" si="2"/>
        <v>2272.0263218270702</v>
      </c>
      <c r="O16" s="458">
        <f>+[5]부산!$K$86/1000</f>
        <v>43.44114327333358</v>
      </c>
      <c r="P16" s="454">
        <f>+[5]부산!$Q$50</f>
        <v>85065.879716656738</v>
      </c>
      <c r="Q16" s="455">
        <f>+[5]부산!$R$50</f>
        <v>95807.849219198833</v>
      </c>
      <c r="R16" s="457">
        <f t="shared" si="3"/>
        <v>10741.969502542095</v>
      </c>
      <c r="S16" s="458">
        <f>+[5]부산!$L$56/1000</f>
        <v>-175.25620547752334</v>
      </c>
      <c r="T16" s="454">
        <f>+([5]부산!$H$80+[5]부산!$H$85)/1000</f>
        <v>100.24531933333334</v>
      </c>
      <c r="U16" s="455">
        <f>+([5]부산!$I$80+[5]부산!$I$85)/1000</f>
        <v>123.85508934000001</v>
      </c>
      <c r="V16" s="457">
        <f t="shared" si="4"/>
        <v>23.609770006666665</v>
      </c>
      <c r="W16" s="458">
        <f>+([5]부산!$L$80+[5]부산!$L$85)/1000</f>
        <v>-23.609770006666665</v>
      </c>
      <c r="Y16" s="6">
        <f t="shared" si="5"/>
        <v>4.2632564145606011E-14</v>
      </c>
      <c r="Z16" s="6">
        <f t="shared" si="6"/>
        <v>4.2632564145606011E-8</v>
      </c>
    </row>
    <row r="17" spans="4:26" ht="24" customHeight="1" x14ac:dyDescent="0.3">
      <c r="D17" s="474" t="s">
        <v>26</v>
      </c>
      <c r="E17" s="451">
        <f>+[5]서부산!$H$86/1000</f>
        <v>511.79380615329109</v>
      </c>
      <c r="F17" s="452">
        <f>+[5]서부산!$I$86/1000</f>
        <v>124.87579599999992</v>
      </c>
      <c r="G17" s="188">
        <f t="shared" si="0"/>
        <v>-386.91801015329116</v>
      </c>
      <c r="H17" s="451">
        <f>+[5]서부산!$T$5/1000</f>
        <v>26</v>
      </c>
      <c r="I17" s="452">
        <f>+[5]서부산!$U$5/1000</f>
        <v>19.931999999999999</v>
      </c>
      <c r="J17" s="164">
        <f t="shared" si="1"/>
        <v>-6.0680000000000014</v>
      </c>
      <c r="K17" s="453">
        <f>+[5]서부산!$M$86/1000</f>
        <v>-136.87867029791244</v>
      </c>
      <c r="L17" s="451">
        <f>+[5]서부산!$Q$85</f>
        <v>104577.05846153846</v>
      </c>
      <c r="M17" s="452">
        <f>+[5]서부산!$R$85</f>
        <v>94504.228878185822</v>
      </c>
      <c r="N17" s="164">
        <f t="shared" si="2"/>
        <v>-10072.829583352635</v>
      </c>
      <c r="O17" s="453">
        <f>+[5]서부산!$K$86/1000</f>
        <v>-200.77163925538474</v>
      </c>
      <c r="P17" s="451">
        <f>+[5]서부산!$Q$50</f>
        <v>82019.597964189656</v>
      </c>
      <c r="Q17" s="452">
        <f>+[5]서부산!$R$50</f>
        <v>82807.868223826372</v>
      </c>
      <c r="R17" s="164">
        <f t="shared" si="3"/>
        <v>788.27025963671622</v>
      </c>
      <c r="S17" s="453">
        <f>+[5]서부산!$L$56/1000</f>
        <v>-29.194677757771949</v>
      </c>
      <c r="T17" s="451">
        <f>+([5]서부산!$H$80+[5]서부산!$H$85)/1000</f>
        <v>74.700166777777781</v>
      </c>
      <c r="U17" s="452">
        <f>+([5]서부산!$I$80+[5]서부산!$I$85)/1000</f>
        <v>94.773189620000011</v>
      </c>
      <c r="V17" s="164">
        <f t="shared" si="4"/>
        <v>20.07302284222223</v>
      </c>
      <c r="W17" s="453">
        <f>+([5]서부산!$L$80+[5]서부산!$L$85)/1000</f>
        <v>-20.073022842222223</v>
      </c>
      <c r="Y17" s="6">
        <f t="shared" si="5"/>
        <v>1.8474111129762605E-13</v>
      </c>
      <c r="Z17" s="6">
        <f t="shared" si="6"/>
        <v>1.8474111129762605E-7</v>
      </c>
    </row>
    <row r="18" spans="4:26" ht="24" customHeight="1" x14ac:dyDescent="0.3">
      <c r="D18" s="474" t="s">
        <v>27</v>
      </c>
      <c r="E18" s="451">
        <f>+[5]김해!$H$86/1000</f>
        <v>199.30404861214993</v>
      </c>
      <c r="F18" s="452">
        <f>+[5]김해!$I$86/1000</f>
        <v>84.464322000000067</v>
      </c>
      <c r="G18" s="188">
        <f t="shared" si="0"/>
        <v>-114.83972661214986</v>
      </c>
      <c r="H18" s="451">
        <f>+[5]김해!$T$5/1000</f>
        <v>14</v>
      </c>
      <c r="I18" s="452">
        <f>+[5]김해!$U$5/1000</f>
        <v>12.286</v>
      </c>
      <c r="J18" s="164">
        <f t="shared" si="1"/>
        <v>-1.7140000000000004</v>
      </c>
      <c r="K18" s="453">
        <f>+[5]김해!$M$86/1000</f>
        <v>-30.101398202912911</v>
      </c>
      <c r="L18" s="451">
        <f>+[5]김해!$Q$85</f>
        <v>101000.40000000001</v>
      </c>
      <c r="M18" s="452">
        <f>+[5]김해!$R$85</f>
        <v>96166.498453524342</v>
      </c>
      <c r="N18" s="164">
        <f t="shared" si="2"/>
        <v>-4833.9015464756667</v>
      </c>
      <c r="O18" s="453">
        <f>+[5]김해!$K$86/1000</f>
        <v>-59.389314400000046</v>
      </c>
      <c r="P18" s="451">
        <f>+[5]김해!$Q$50</f>
        <v>83438.324035640093</v>
      </c>
      <c r="Q18" s="452">
        <f>+[5]김해!$R$50</f>
        <v>85279.764365944982</v>
      </c>
      <c r="R18" s="164">
        <f t="shared" si="3"/>
        <v>1841.4403303048894</v>
      </c>
      <c r="S18" s="453">
        <f>+[5]김해!$L$56/1000</f>
        <v>-20.266769768125929</v>
      </c>
      <c r="T18" s="451">
        <f>+([5]김해!$H$80+[5]김해!$H$85)/1000</f>
        <v>46.565014888888889</v>
      </c>
      <c r="U18" s="452">
        <f>+([5]김해!$I$80+[5]김해!$I$85)/1000</f>
        <v>51.647259130000009</v>
      </c>
      <c r="V18" s="164">
        <f t="shared" si="4"/>
        <v>5.0822442411111197</v>
      </c>
      <c r="W18" s="453">
        <f>+([5]김해!$L$80+[5]김해!$L$85)/1000</f>
        <v>-5.0822442411111117</v>
      </c>
      <c r="Y18" s="6">
        <f t="shared" si="5"/>
        <v>1.4477308241112041E-13</v>
      </c>
      <c r="Z18" s="6">
        <f t="shared" si="6"/>
        <v>1.4477308241112041E-7</v>
      </c>
    </row>
    <row r="19" spans="4:26" ht="24" customHeight="1" x14ac:dyDescent="0.3">
      <c r="D19" s="474" t="s">
        <v>28</v>
      </c>
      <c r="E19" s="451">
        <f>+[5]정관!$H$86/1000</f>
        <v>288.71255045942132</v>
      </c>
      <c r="F19" s="452">
        <f>+[5]정관!$I$86/1000</f>
        <v>141.17147200000005</v>
      </c>
      <c r="G19" s="188">
        <f t="shared" si="0"/>
        <v>-147.54107845942127</v>
      </c>
      <c r="H19" s="451">
        <f>+[5]정관!$T$5/1000</f>
        <v>19</v>
      </c>
      <c r="I19" s="452">
        <f>+[5]정관!$U$5/1000</f>
        <v>18.062999999999999</v>
      </c>
      <c r="J19" s="164">
        <f t="shared" si="1"/>
        <v>-0.93700000000000117</v>
      </c>
      <c r="K19" s="453">
        <f>+[5]정관!$M$86/1000</f>
        <v>-17.584429375171343</v>
      </c>
      <c r="L19" s="451">
        <f>+[5]정관!$Q$85</f>
        <v>104000</v>
      </c>
      <c r="M19" s="452">
        <f>+[5]정관!$R$85</f>
        <v>101189.08315340753</v>
      </c>
      <c r="N19" s="164">
        <f t="shared" si="2"/>
        <v>-2810.916846592474</v>
      </c>
      <c r="O19" s="453">
        <f>+[5]정관!$K$86/1000</f>
        <v>-50.773590999999854</v>
      </c>
      <c r="P19" s="451">
        <f>+[5]정관!$Q$50</f>
        <v>85233.266408568496</v>
      </c>
      <c r="Q19" s="452">
        <f>+[5]정관!$R$50</f>
        <v>89417.166528354079</v>
      </c>
      <c r="R19" s="164">
        <f t="shared" si="3"/>
        <v>4183.9001197855832</v>
      </c>
      <c r="S19" s="453">
        <f>+[5]정관!$L$56/1000</f>
        <v>-69.685906482027846</v>
      </c>
      <c r="T19" s="451">
        <f>+([5]정관!$H$80+[5]정관!$H$85)/1000</f>
        <v>67.855387777777779</v>
      </c>
      <c r="U19" s="452">
        <f>+([5]정관!$I$80+[5]정관!$I$85)/1000</f>
        <v>77.352539379999996</v>
      </c>
      <c r="V19" s="164">
        <f t="shared" si="4"/>
        <v>9.4971516022222175</v>
      </c>
      <c r="W19" s="453">
        <f>+([5]정관!$L$80+[5]정관!$L$85)/1000</f>
        <v>-9.4971516022222211</v>
      </c>
      <c r="Y19" s="6">
        <f t="shared" si="5"/>
        <v>0</v>
      </c>
      <c r="Z19" s="6">
        <f t="shared" si="6"/>
        <v>0</v>
      </c>
    </row>
    <row r="20" spans="4:26" ht="24" customHeight="1" x14ac:dyDescent="0.3">
      <c r="D20" s="474" t="s">
        <v>29</v>
      </c>
      <c r="E20" s="451">
        <f>+[5]양산!$H$86/1000</f>
        <v>172.32306729061892</v>
      </c>
      <c r="F20" s="452">
        <f>+[5]양산!$I$86/1000</f>
        <v>98.711030999999963</v>
      </c>
      <c r="G20" s="188">
        <f t="shared" si="0"/>
        <v>-73.61203629061896</v>
      </c>
      <c r="H20" s="451">
        <f>+[5]양산!$T$5/1000</f>
        <v>12</v>
      </c>
      <c r="I20" s="452">
        <f>+[5]양산!$U$5/1000</f>
        <v>10.32</v>
      </c>
      <c r="J20" s="164">
        <f t="shared" si="1"/>
        <v>-1.6799999999999997</v>
      </c>
      <c r="K20" s="453">
        <f>+[5]양산!$M$86/1000</f>
        <v>-30.52921695624222</v>
      </c>
      <c r="L20" s="451">
        <f>+[5]양산!$Q$85</f>
        <v>97210.152500000026</v>
      </c>
      <c r="M20" s="452">
        <f>+[5]양산!$R$85</f>
        <v>100279.61240310076</v>
      </c>
      <c r="N20" s="164">
        <f t="shared" si="2"/>
        <v>3069.4599031007383</v>
      </c>
      <c r="O20" s="453">
        <f>+[5]양산!$K$86/1000</f>
        <v>31.676826199999617</v>
      </c>
      <c r="P20" s="451">
        <f>+[5]양산!$Q$50</f>
        <v>79037.999549855856</v>
      </c>
      <c r="Q20" s="452">
        <f>+[5]양산!$R$50</f>
        <v>86713.087087087086</v>
      </c>
      <c r="R20" s="164">
        <f t="shared" si="3"/>
        <v>7675.0875372312294</v>
      </c>
      <c r="S20" s="453">
        <f>+[5]양산!$L$56/1000</f>
        <v>-79.249075125487536</v>
      </c>
      <c r="T20" s="451">
        <f>+([5]양산!$H$80+[5]양산!$H$85)/1000</f>
        <v>45.742768111111118</v>
      </c>
      <c r="U20" s="452">
        <f>+([5]양산!$I$80+[5]양산!$I$85)/1000</f>
        <v>41.25333852</v>
      </c>
      <c r="V20" s="164">
        <f t="shared" si="4"/>
        <v>-4.4894295911111186</v>
      </c>
      <c r="W20" s="453">
        <f>+([5]양산!$L$80+[5]양산!$L$85)/1000</f>
        <v>4.4894295911111133</v>
      </c>
      <c r="Y20" s="6">
        <f t="shared" si="5"/>
        <v>7.638334409421077E-14</v>
      </c>
      <c r="Z20" s="6">
        <f t="shared" si="6"/>
        <v>7.638334409421077E-8</v>
      </c>
    </row>
    <row r="21" spans="4:26" ht="24" customHeight="1" x14ac:dyDescent="0.3">
      <c r="D21" s="474" t="s">
        <v>30</v>
      </c>
      <c r="E21" s="451">
        <f>+[5]창원!$H$86/1000</f>
        <v>283.85297836206314</v>
      </c>
      <c r="F21" s="452">
        <f>+[5]창원!$I$86/1000</f>
        <v>134.08562200000003</v>
      </c>
      <c r="G21" s="188">
        <f t="shared" si="0"/>
        <v>-149.76735636206311</v>
      </c>
      <c r="H21" s="451">
        <f>+[5]창원!$T$5/1000</f>
        <v>16</v>
      </c>
      <c r="I21" s="452">
        <f>+[5]창원!$U$5/1000</f>
        <v>13.393000000000001</v>
      </c>
      <c r="J21" s="164">
        <f t="shared" si="1"/>
        <v>-2.6069999999999993</v>
      </c>
      <c r="K21" s="453">
        <f>+[5]창원!$M$86/1000</f>
        <v>-57.943941329639522</v>
      </c>
      <c r="L21" s="451">
        <f>+[5]창원!$Q$85</f>
        <v>101787.59375</v>
      </c>
      <c r="M21" s="452">
        <f>+[5]창원!$R$85</f>
        <v>98625.289330247149</v>
      </c>
      <c r="N21" s="164">
        <f t="shared" si="2"/>
        <v>-3162.3044197528507</v>
      </c>
      <c r="O21" s="453">
        <f>+[5]창원!$K$86/1000</f>
        <v>-42.352743093749922</v>
      </c>
      <c r="P21" s="451">
        <f>+[5]창원!$Q$50</f>
        <v>79561.302484315514</v>
      </c>
      <c r="Q21" s="452">
        <f>+[5]창원!$R$50</f>
        <v>83348.486074815184</v>
      </c>
      <c r="R21" s="164">
        <f t="shared" si="3"/>
        <v>3787.1835904996697</v>
      </c>
      <c r="S21" s="453">
        <f>+[5]창원!$L$56/1000</f>
        <v>-50.721772147562355</v>
      </c>
      <c r="T21" s="451">
        <f>+([5]창원!$H$80+[5]창원!$H$85)/1000</f>
        <v>71.767681888888887</v>
      </c>
      <c r="U21" s="452">
        <f>+([5]창원!$I$80+[5]창원!$I$85)/1000</f>
        <v>70.516581680000002</v>
      </c>
      <c r="V21" s="164">
        <f t="shared" si="4"/>
        <v>-1.2511002088888858</v>
      </c>
      <c r="W21" s="453">
        <f>+([5]창원!$L$80+[5]창원!$L$85)/1000</f>
        <v>1.2511002088888898</v>
      </c>
      <c r="Y21" s="6">
        <f t="shared" si="5"/>
        <v>-1.9584334154387761E-13</v>
      </c>
      <c r="Z21" s="6">
        <f t="shared" si="6"/>
        <v>-1.9584334154387761E-7</v>
      </c>
    </row>
    <row r="22" spans="4:26" ht="24" customHeight="1" x14ac:dyDescent="0.3">
      <c r="D22" s="474" t="s">
        <v>95</v>
      </c>
      <c r="E22" s="451">
        <f>+[5]대구!$H$86/1000</f>
        <v>284.59643278226957</v>
      </c>
      <c r="F22" s="452">
        <f>+[5]대구!$I$86/1000</f>
        <v>166.75688400000007</v>
      </c>
      <c r="G22" s="188">
        <f t="shared" si="0"/>
        <v>-117.8395487822695</v>
      </c>
      <c r="H22" s="451">
        <f>+[5]대구!$T$5/1000</f>
        <v>16.5</v>
      </c>
      <c r="I22" s="452">
        <f>+[5]대구!$U$5/1000</f>
        <v>15.449</v>
      </c>
      <c r="J22" s="164">
        <f t="shared" si="1"/>
        <v>-1.0510000000000002</v>
      </c>
      <c r="K22" s="453">
        <f>+[5]대구!$M$86/1000</f>
        <v>-21.248407667760606</v>
      </c>
      <c r="L22" s="451">
        <f>+[5]대구!$Q$85</f>
        <v>97760</v>
      </c>
      <c r="M22" s="452">
        <f>+[5]대구!$R$85</f>
        <v>96152.841607871058</v>
      </c>
      <c r="N22" s="164">
        <f t="shared" si="2"/>
        <v>-1607.1583921289421</v>
      </c>
      <c r="O22" s="453">
        <f>+[5]대구!$K$86/1000</f>
        <v>-24.828990000000026</v>
      </c>
      <c r="P22" s="451">
        <f>+[5]대구!$Q$50</f>
        <v>77542.675863215409</v>
      </c>
      <c r="Q22" s="452">
        <f>+[5]대구!$R$50</f>
        <v>81999.789242022132</v>
      </c>
      <c r="R22" s="164">
        <f t="shared" si="3"/>
        <v>4457.1133788067236</v>
      </c>
      <c r="S22" s="453">
        <f>+[5]대구!$L$56/1000</f>
        <v>-68.857920579185063</v>
      </c>
      <c r="T22" s="451">
        <f>+([5]대구!$H$80+[5]대구!$H$85)/1000</f>
        <v>48.989415474676306</v>
      </c>
      <c r="U22" s="452">
        <f>+([5]대구!$I$80+[5]대구!$I$85)/1000</f>
        <v>51.893646009999998</v>
      </c>
      <c r="V22" s="164">
        <f t="shared" si="4"/>
        <v>2.9042305353236912</v>
      </c>
      <c r="W22" s="453">
        <f>+([5]대구!$L$80+[5]대구!$L$85)/1000</f>
        <v>-2.9042305353236944</v>
      </c>
      <c r="Y22" s="6">
        <f t="shared" si="5"/>
        <v>-1.1057821325266559E-13</v>
      </c>
      <c r="Z22" s="6">
        <f t="shared" si="6"/>
        <v>-1.1057821325266559E-7</v>
      </c>
    </row>
    <row r="23" spans="4:26" ht="24" customHeight="1" x14ac:dyDescent="0.3">
      <c r="D23" s="474" t="s">
        <v>97</v>
      </c>
      <c r="E23" s="451">
        <f>+[5]울산!$H$86/1000</f>
        <v>120.14689272030083</v>
      </c>
      <c r="F23" s="452">
        <f>+[5]울산!$I$86/1000</f>
        <v>169.85774900000004</v>
      </c>
      <c r="G23" s="188">
        <f t="shared" si="0"/>
        <v>49.710856279699215</v>
      </c>
      <c r="H23" s="451">
        <f>+[5]울산!$T$5/1000</f>
        <v>12</v>
      </c>
      <c r="I23" s="452">
        <f>+[5]울산!$U$5/1000</f>
        <v>12.988</v>
      </c>
      <c r="J23" s="164">
        <f t="shared" si="1"/>
        <v>0.98799999999999955</v>
      </c>
      <c r="K23" s="453">
        <f>+[5]울산!$M$86/1000</f>
        <v>13.049240199267734</v>
      </c>
      <c r="L23" s="451">
        <f>+[5]울산!$Q$85</f>
        <v>101254.83333333334</v>
      </c>
      <c r="M23" s="452">
        <f>+[5]울산!$R$85</f>
        <v>108366.59223898983</v>
      </c>
      <c r="N23" s="164">
        <f t="shared" si="2"/>
        <v>7111.7589056564902</v>
      </c>
      <c r="O23" s="453">
        <f>+[5]울산!$K$86/1000</f>
        <v>92.367524666666483</v>
      </c>
      <c r="P23" s="451">
        <f>+[5]울산!$Q$50</f>
        <v>88047.100338123069</v>
      </c>
      <c r="Q23" s="452">
        <f>+[5]울산!$R$50</f>
        <v>91084.405759162313</v>
      </c>
      <c r="R23" s="164">
        <f t="shared" si="3"/>
        <v>3037.3054210392438</v>
      </c>
      <c r="S23" s="453">
        <f>+[5]울산!$L$56/1000</f>
        <v>-39.448482828457649</v>
      </c>
      <c r="T23" s="451">
        <f>+([5]울산!$H$80+[5]울산!$H$85)/1000</f>
        <v>38.345903222222226</v>
      </c>
      <c r="U23" s="452">
        <f>+([5]울산!$I$80+[5]울산!$I$85)/1000</f>
        <v>54.603328980000001</v>
      </c>
      <c r="V23" s="164">
        <f t="shared" si="4"/>
        <v>16.257425757777774</v>
      </c>
      <c r="W23" s="453">
        <f>+([5]울산!$L$80+[5]울산!$L$85)/1000</f>
        <v>-16.257425757777771</v>
      </c>
      <c r="Y23" s="6">
        <f t="shared" si="5"/>
        <v>4.1566750041965861E-13</v>
      </c>
      <c r="Z23" s="6">
        <f t="shared" si="6"/>
        <v>4.1566750041965861E-7</v>
      </c>
    </row>
    <row r="24" spans="4:26" ht="24" customHeight="1" x14ac:dyDescent="0.3">
      <c r="D24" s="475" t="s">
        <v>31</v>
      </c>
      <c r="E24" s="454">
        <f>+[5]아산!$H$86/1000</f>
        <v>446.1752727703493</v>
      </c>
      <c r="F24" s="455">
        <f>+[5]아산!$I$86/1000</f>
        <v>245.55113900000026</v>
      </c>
      <c r="G24" s="456">
        <f t="shared" si="0"/>
        <v>-200.62413377034903</v>
      </c>
      <c r="H24" s="454">
        <f>+[5]아산!$T$5/1000</f>
        <v>28</v>
      </c>
      <c r="I24" s="455">
        <f>+[5]아산!$U$5/1000</f>
        <v>27.751000000000001</v>
      </c>
      <c r="J24" s="457">
        <f t="shared" si="1"/>
        <v>-0.24899999999999878</v>
      </c>
      <c r="K24" s="458">
        <f>+[5]아산!$M$86/1000</f>
        <v>-10.059630744247908</v>
      </c>
      <c r="L24" s="454">
        <f>+[5]아산!$Q$85</f>
        <v>101000.53571428572</v>
      </c>
      <c r="M24" s="455">
        <f>+[5]아산!$R$85</f>
        <v>100993.94329953512</v>
      </c>
      <c r="N24" s="457">
        <f t="shared" si="2"/>
        <v>-6.592414750601165</v>
      </c>
      <c r="O24" s="458">
        <f>+[5]아산!$K$86/1000</f>
        <v>-0.18009817857167323</v>
      </c>
      <c r="P24" s="454">
        <f>+[5]아산!$Q$50</f>
        <v>82422.517000265318</v>
      </c>
      <c r="Q24" s="455">
        <f>+[5]아산!$R$50</f>
        <v>88723.580804207289</v>
      </c>
      <c r="R24" s="457">
        <f t="shared" si="3"/>
        <v>6301.0638039419719</v>
      </c>
      <c r="S24" s="458">
        <f>+[5]아산!$L$56/1000</f>
        <v>-172.53117608975174</v>
      </c>
      <c r="T24" s="454">
        <f>+([5]아산!$H$80+[5]아산!$H$85)/1000</f>
        <v>74.009251222222218</v>
      </c>
      <c r="U24" s="455">
        <f>+([5]아산!$I$80+[5]아산!$I$85)/1000</f>
        <v>91.862479980000003</v>
      </c>
      <c r="V24" s="457">
        <f t="shared" si="4"/>
        <v>17.853228757777785</v>
      </c>
      <c r="W24" s="458">
        <f>+([5]아산!$L$80+[5]아산!$L$85)/1000</f>
        <v>-17.853228757777785</v>
      </c>
      <c r="Y24" s="6">
        <f t="shared" si="5"/>
        <v>7.1054273576010019E-14</v>
      </c>
      <c r="Z24" s="6">
        <f t="shared" si="6"/>
        <v>7.1054273576010019E-8</v>
      </c>
    </row>
    <row r="25" spans="4:26" ht="24" customHeight="1" x14ac:dyDescent="0.3">
      <c r="D25" s="474" t="s">
        <v>34</v>
      </c>
      <c r="E25" s="451">
        <f>+[5]전주!$H$86/1000</f>
        <v>204.11100551136289</v>
      </c>
      <c r="F25" s="452">
        <f>+[5]전주!$I$86/1000</f>
        <v>64.24647700000007</v>
      </c>
      <c r="G25" s="188">
        <f t="shared" si="0"/>
        <v>-139.86452851136283</v>
      </c>
      <c r="H25" s="451">
        <f>+[5]전주!$T$5/1000</f>
        <v>12</v>
      </c>
      <c r="I25" s="452">
        <f>+[5]전주!$U$5/1000</f>
        <v>9.1184999999999992</v>
      </c>
      <c r="J25" s="164">
        <f t="shared" si="1"/>
        <v>-2.8815000000000008</v>
      </c>
      <c r="K25" s="453">
        <f>+[5]전주!$M$86/1000</f>
        <v>-61.202681482413027</v>
      </c>
      <c r="L25" s="451">
        <f>+[5]전주!$Q$85</f>
        <v>101796.60499999998</v>
      </c>
      <c r="M25" s="452">
        <f>+[5]전주!$R$85</f>
        <v>99117.983709411114</v>
      </c>
      <c r="N25" s="164">
        <f t="shared" si="2"/>
        <v>-2678.6212905888679</v>
      </c>
      <c r="O25" s="453">
        <f>+[5]전주!$K$86/1000</f>
        <v>-24.335274424999863</v>
      </c>
      <c r="P25" s="451">
        <f>+[5]전주!$Q$50</f>
        <v>80789.510151830851</v>
      </c>
      <c r="Q25" s="452">
        <f>+[5]전주!$R$50</f>
        <v>86640.910071546503</v>
      </c>
      <c r="R25" s="164">
        <f t="shared" si="3"/>
        <v>5851.3999197156518</v>
      </c>
      <c r="S25" s="453">
        <f>+[5]전주!$L$56/1000</f>
        <v>-53.159969320616689</v>
      </c>
      <c r="T25" s="451">
        <f>+([5]전주!$H$80+[5]전주!$H$85)/1000</f>
        <v>47.974132666666669</v>
      </c>
      <c r="U25" s="452">
        <f>+([5]전주!$I$80+[5]전주!$I$85)/1000</f>
        <v>49.14073595</v>
      </c>
      <c r="V25" s="164">
        <f t="shared" si="4"/>
        <v>1.1666032833333304</v>
      </c>
      <c r="W25" s="453">
        <f>+([5]전주!$L$80+[5]전주!$L$85)/1000</f>
        <v>-1.1666032833333329</v>
      </c>
      <c r="Y25" s="6">
        <f t="shared" si="5"/>
        <v>8.0602191587786365E-14</v>
      </c>
      <c r="Z25" s="6">
        <f t="shared" si="6"/>
        <v>8.0602191587786365E-8</v>
      </c>
    </row>
    <row r="26" spans="4:26" ht="24" customHeight="1" x14ac:dyDescent="0.3">
      <c r="D26" s="450" t="s">
        <v>33</v>
      </c>
      <c r="E26" s="451">
        <f>+[5]군산!$H$86/1000</f>
        <v>193.4112638406009</v>
      </c>
      <c r="F26" s="452">
        <f>+[5]군산!$I$86/1000</f>
        <v>153.19347700000003</v>
      </c>
      <c r="G26" s="188">
        <f t="shared" si="0"/>
        <v>-40.217786840600866</v>
      </c>
      <c r="H26" s="451">
        <f>+[5]군산!$T$5/1000</f>
        <v>7</v>
      </c>
      <c r="I26" s="452">
        <f>+[5]군산!$U$5/1000</f>
        <v>7.1470000000000002</v>
      </c>
      <c r="J26" s="164">
        <f t="shared" si="1"/>
        <v>0.14700000000000024</v>
      </c>
      <c r="K26" s="453">
        <f>+[5]군산!$M$86/1000</f>
        <v>4.4848931179859557</v>
      </c>
      <c r="L26" s="451">
        <f>+[5]군산!$Q$85</f>
        <v>108999.86128571429</v>
      </c>
      <c r="M26" s="452">
        <f>+[5]군산!$R$85</f>
        <v>107026.40268644186</v>
      </c>
      <c r="N26" s="164">
        <f t="shared" si="2"/>
        <v>-1973.4585992724315</v>
      </c>
      <c r="O26" s="453">
        <f>+[5]군산!$K$86/1000</f>
        <v>-14.10430860900007</v>
      </c>
      <c r="P26" s="451">
        <f>+[5]군산!$Q$50</f>
        <v>78490.384292612565</v>
      </c>
      <c r="Q26" s="452">
        <f>+[5]군산!$R$50</f>
        <v>82505.332027424112</v>
      </c>
      <c r="R26" s="164">
        <f t="shared" si="3"/>
        <v>4014.947734811547</v>
      </c>
      <c r="S26" s="453">
        <f>+[5]군산!$L$56/1000</f>
        <v>-28.694826250697947</v>
      </c>
      <c r="T26" s="451">
        <f>+([5]군산!$H$80+[5]군산!$H$85)/1000</f>
        <v>20.15507511111111</v>
      </c>
      <c r="U26" s="452">
        <f>+([5]군산!$I$80+[5]군산!$I$85)/1000</f>
        <v>22.058620210000001</v>
      </c>
      <c r="V26" s="164">
        <f t="shared" si="4"/>
        <v>1.9035450988888911</v>
      </c>
      <c r="W26" s="453">
        <f>+([5]군산!$L$80+[5]군산!$L$85)/1000</f>
        <v>-1.9035450988888913</v>
      </c>
      <c r="Y26" s="6">
        <f t="shared" si="5"/>
        <v>8.9039886574937555E-14</v>
      </c>
      <c r="Z26" s="6">
        <f t="shared" si="6"/>
        <v>8.9039886574937555E-8</v>
      </c>
    </row>
    <row r="27" spans="4:26" ht="24" customHeight="1" x14ac:dyDescent="0.3">
      <c r="D27" s="450" t="s">
        <v>32</v>
      </c>
      <c r="E27" s="451">
        <f>+[5]원주!$H$86/1000</f>
        <v>96.951877009758903</v>
      </c>
      <c r="F27" s="452">
        <f>+[5]원주!$I$86/1000</f>
        <v>96.375568999999984</v>
      </c>
      <c r="G27" s="188">
        <f t="shared" si="0"/>
        <v>-0.57630800975891816</v>
      </c>
      <c r="H27" s="451">
        <f>+[5]원주!$T$5/1000</f>
        <v>5</v>
      </c>
      <c r="I27" s="452">
        <f>+[5]원주!$U$5/1000</f>
        <v>4.5540000000000003</v>
      </c>
      <c r="J27" s="164">
        <f t="shared" si="1"/>
        <v>-0.44599999999999973</v>
      </c>
      <c r="K27" s="453">
        <f>+[5]원주!$M$86/1000</f>
        <v>-10.00444898104827</v>
      </c>
      <c r="L27" s="451">
        <f>+[5]원주!$Q$85</f>
        <v>107900</v>
      </c>
      <c r="M27" s="452">
        <f>+[5]원주!$R$85</f>
        <v>114496.02547211244</v>
      </c>
      <c r="N27" s="164">
        <f t="shared" si="2"/>
        <v>6596.0254721124365</v>
      </c>
      <c r="O27" s="453">
        <f>+[5]원주!$K$86/1000</f>
        <v>30.038300000000035</v>
      </c>
      <c r="P27" s="451">
        <f>+[5]원주!$Q$50</f>
        <v>85468.50004249264</v>
      </c>
      <c r="Q27" s="452">
        <f>+[5]원주!$R$50</f>
        <v>89371.994949494954</v>
      </c>
      <c r="R27" s="164">
        <f t="shared" si="3"/>
        <v>3903.494907002314</v>
      </c>
      <c r="S27" s="453">
        <f>+[5]원주!$L$56/1000</f>
        <v>-18.479409716488451</v>
      </c>
      <c r="T27" s="451">
        <f>+([5]원주!$H$80+[5]원주!$H$85)/1000</f>
        <v>15.205622777777778</v>
      </c>
      <c r="U27" s="452">
        <f>+([5]원주!$I$80+[5]원주!$I$85)/1000</f>
        <v>17.336372089999998</v>
      </c>
      <c r="V27" s="164">
        <f t="shared" si="4"/>
        <v>2.1307493122222194</v>
      </c>
      <c r="W27" s="453">
        <f>+([5]원주!$L$80+[5]원주!$L$85)/1000</f>
        <v>-2.1307493122222207</v>
      </c>
      <c r="Y27" s="6">
        <f t="shared" si="5"/>
        <v>-1.1102230246251565E-14</v>
      </c>
      <c r="Z27" s="6">
        <f t="shared" si="6"/>
        <v>-1.1102230246251565E-8</v>
      </c>
    </row>
    <row r="28" spans="4:26" ht="24" customHeight="1" thickBot="1" x14ac:dyDescent="0.35">
      <c r="D28" s="499" t="s">
        <v>35</v>
      </c>
      <c r="E28" s="522">
        <f>+[5]제주!$H$86/1000</f>
        <v>165.25926845150897</v>
      </c>
      <c r="F28" s="655">
        <f>+[5]제주!$I$86/1000</f>
        <v>-11.658004000000037</v>
      </c>
      <c r="G28" s="197">
        <f t="shared" si="0"/>
        <v>-176.91727245150901</v>
      </c>
      <c r="H28" s="522">
        <f>+[5]제주!$T$5/1000</f>
        <v>7</v>
      </c>
      <c r="I28" s="655">
        <f>+[5]제주!$U$5/1000</f>
        <v>2.9009999999999998</v>
      </c>
      <c r="J28" s="198">
        <f t="shared" si="1"/>
        <v>-4.0990000000000002</v>
      </c>
      <c r="K28" s="656">
        <f>+[5]제주!$M$86/1000</f>
        <v>-111.16115710886602</v>
      </c>
      <c r="L28" s="522">
        <f>+[5]제주!$Q$85</f>
        <v>126800</v>
      </c>
      <c r="M28" s="655">
        <f>+[5]제주!$R$85</f>
        <v>120976.02033781455</v>
      </c>
      <c r="N28" s="198">
        <f t="shared" si="2"/>
        <v>-5823.9796621854475</v>
      </c>
      <c r="O28" s="656">
        <f>+[5]제주!$K$86/1000</f>
        <v>-16.895364999999984</v>
      </c>
      <c r="P28" s="522">
        <f>+[5]제주!$Q$50</f>
        <v>99680.908243750688</v>
      </c>
      <c r="Q28" s="655">
        <f>+[5]제주!$R$50</f>
        <v>115620.50481099656</v>
      </c>
      <c r="R28" s="198">
        <f t="shared" si="3"/>
        <v>15939.59656724587</v>
      </c>
      <c r="S28" s="656">
        <f>+[5]제주!$L$56/1000</f>
        <v>-46.243186404879374</v>
      </c>
      <c r="T28" s="522">
        <f>+([5]제주!$H$80+[5]제주!$H$85)/1000</f>
        <v>24.574373842236316</v>
      </c>
      <c r="U28" s="655">
        <f>+([5]제주!$I$80+[5]제주!$I$85)/1000</f>
        <v>27.19193778</v>
      </c>
      <c r="V28" s="198">
        <f t="shared" si="4"/>
        <v>2.6175639377636841</v>
      </c>
      <c r="W28" s="656">
        <f>+([5]제주!$L$80+[5]제주!$L$85)/1000</f>
        <v>-2.6175639377636841</v>
      </c>
      <c r="Y28" s="6">
        <f t="shared" si="5"/>
        <v>5.6843418860808015E-14</v>
      </c>
      <c r="Z28" s="6">
        <f t="shared" si="6"/>
        <v>5.6843418860808015E-8</v>
      </c>
    </row>
    <row r="29" spans="4:26" ht="24" customHeight="1" x14ac:dyDescent="0.3"/>
    <row r="30" spans="4:26" ht="24" customHeight="1" x14ac:dyDescent="0.3"/>
    <row r="31" spans="4:26" ht="24" customHeight="1" x14ac:dyDescent="0.3"/>
    <row r="32" spans="4:26" ht="21.95" customHeight="1" x14ac:dyDescent="0.3">
      <c r="F32" s="591"/>
    </row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 codeName="Sheet6"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O22" sqref="O22"/>
      <selection pane="topRight" activeCell="O22" sqref="O22"/>
      <selection pane="bottomLeft" activeCell="O22" sqref="O22"/>
      <selection pane="bottomRight" activeCell="Y29" sqref="Y2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183" t="s">
        <v>244</v>
      </c>
      <c r="F4" s="183"/>
      <c r="I4" s="183"/>
    </row>
    <row r="5" spans="1:22" ht="21.95" customHeight="1" x14ac:dyDescent="0.3">
      <c r="V5" s="185" t="s">
        <v>150</v>
      </c>
    </row>
    <row r="6" spans="1:22" ht="24" customHeight="1" thickBot="1" x14ac:dyDescent="0.35">
      <c r="A6" s="6" t="s">
        <v>235</v>
      </c>
      <c r="D6" s="840" t="s">
        <v>11</v>
      </c>
      <c r="E6" s="438" t="s">
        <v>21</v>
      </c>
      <c r="F6" s="439"/>
      <c r="G6" s="440"/>
      <c r="H6" s="438" t="s">
        <v>45</v>
      </c>
      <c r="I6" s="439"/>
      <c r="J6" s="440"/>
      <c r="K6" s="438" t="s">
        <v>46</v>
      </c>
      <c r="L6" s="439"/>
      <c r="M6" s="440"/>
      <c r="N6" s="438" t="s">
        <v>103</v>
      </c>
      <c r="O6" s="439"/>
      <c r="P6" s="440"/>
      <c r="Q6" s="438" t="s">
        <v>104</v>
      </c>
      <c r="R6" s="439"/>
      <c r="S6" s="440"/>
      <c r="T6" s="438" t="s">
        <v>69</v>
      </c>
      <c r="U6" s="439"/>
      <c r="V6" s="440"/>
    </row>
    <row r="7" spans="1:22" ht="24" customHeight="1" x14ac:dyDescent="0.3">
      <c r="D7" s="841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1:22" ht="24" customHeight="1" x14ac:dyDescent="0.3">
      <c r="D8" s="469" t="s">
        <v>47</v>
      </c>
      <c r="E8" s="459">
        <f>+[5]합계!$Q$85</f>
        <v>103034.69681751658</v>
      </c>
      <c r="F8" s="461">
        <f>+[5]합계!$R$85</f>
        <v>100000.49797339522</v>
      </c>
      <c r="G8" s="486">
        <f>+F8-E8</f>
        <v>-3034.1988441213616</v>
      </c>
      <c r="H8" s="459">
        <f>+[5]합계!$Q$20</f>
        <v>59338.811598050546</v>
      </c>
      <c r="I8" s="461">
        <f>+[5]합계!$R$20</f>
        <v>62040.728690335585</v>
      </c>
      <c r="J8" s="486">
        <f>+I8-H8</f>
        <v>2701.917092285039</v>
      </c>
      <c r="K8" s="459">
        <f>+[5]합계!$Q$21</f>
        <v>17952.931795785687</v>
      </c>
      <c r="L8" s="461">
        <f>+[5]합계!$R$21</f>
        <v>18733.735733563142</v>
      </c>
      <c r="M8" s="486">
        <f>+L8-K8</f>
        <v>780.80393777745485</v>
      </c>
      <c r="N8" s="459">
        <f>+[5]합계!$Q$22</f>
        <v>208.953125</v>
      </c>
      <c r="O8" s="461">
        <f>+[5]합계!$R$22</f>
        <v>268.10114798225368</v>
      </c>
      <c r="P8" s="486">
        <f>+O8-N8</f>
        <v>59.148022982253678</v>
      </c>
      <c r="Q8" s="459">
        <f>H8+K8+N8</f>
        <v>77500.696518836237</v>
      </c>
      <c r="R8" s="461">
        <f>I8+L8+O8</f>
        <v>81042.565571880972</v>
      </c>
      <c r="S8" s="486">
        <f>+R8-Q8</f>
        <v>3541.8690530447348</v>
      </c>
      <c r="T8" s="459">
        <f>+E8-Q8</f>
        <v>25534.000298680345</v>
      </c>
      <c r="U8" s="461">
        <f>+F8-R8</f>
        <v>18957.932401514248</v>
      </c>
      <c r="V8" s="486">
        <f>+U8-T8</f>
        <v>-6576.0678971660964</v>
      </c>
    </row>
    <row r="9" spans="1:22" ht="24" customHeight="1" x14ac:dyDescent="0.3">
      <c r="D9" s="470" t="s">
        <v>19</v>
      </c>
      <c r="E9" s="464">
        <f>+[5]수도권!$Q$85</f>
        <v>102195.91095148401</v>
      </c>
      <c r="F9" s="478">
        <f>+[5]수도권!$R$85</f>
        <v>97363.140990806569</v>
      </c>
      <c r="G9" s="487">
        <f t="shared" ref="G9:G28" si="0">+F9-E9</f>
        <v>-4832.7699606774404</v>
      </c>
      <c r="H9" s="464">
        <f>+[5]수도권!$Q$20</f>
        <v>61335.701254232787</v>
      </c>
      <c r="I9" s="478">
        <f>+[5]수도권!$R$20</f>
        <v>63813.740208027084</v>
      </c>
      <c r="J9" s="487">
        <f t="shared" ref="J9:J28" si="1">+I9-H9</f>
        <v>2478.0389537942974</v>
      </c>
      <c r="K9" s="464">
        <f>+[5]수도권!$Q$21</f>
        <v>17618.729462125255</v>
      </c>
      <c r="L9" s="478">
        <f>+[5]수도권!$R$21</f>
        <v>19185.245408704384</v>
      </c>
      <c r="M9" s="487">
        <f t="shared" ref="M9:M28" si="2">+L9-K9</f>
        <v>1566.5159465791294</v>
      </c>
      <c r="N9" s="464">
        <f>+[5]수도권!$Q$22</f>
        <v>243.58024691358023</v>
      </c>
      <c r="O9" s="478">
        <f>+[5]수도권!$R$22</f>
        <v>204.08512736542437</v>
      </c>
      <c r="P9" s="487">
        <f t="shared" ref="P9:P28" si="3">+O9-N9</f>
        <v>-39.495119548155856</v>
      </c>
      <c r="Q9" s="464">
        <f t="shared" ref="Q9:Q28" si="4">H9+K9+N9</f>
        <v>79198.010963271619</v>
      </c>
      <c r="R9" s="478">
        <f t="shared" ref="R9:R28" si="5">I9+L9+O9</f>
        <v>83203.070744096898</v>
      </c>
      <c r="S9" s="487">
        <f t="shared" ref="S9:S28" si="6">+R9-Q9</f>
        <v>4005.0597808252787</v>
      </c>
      <c r="T9" s="464">
        <f t="shared" ref="T9:T28" si="7">+E9-Q9</f>
        <v>22997.89998821239</v>
      </c>
      <c r="U9" s="478">
        <f t="shared" ref="U9:U28" si="8">+F9-R9</f>
        <v>14160.070246709671</v>
      </c>
      <c r="V9" s="487">
        <f t="shared" ref="V9:V28" si="9">+U9-T9</f>
        <v>-8837.8297415027191</v>
      </c>
    </row>
    <row r="10" spans="1:22" ht="24" customHeight="1" x14ac:dyDescent="0.3">
      <c r="D10" s="471" t="s">
        <v>20</v>
      </c>
      <c r="E10" s="466">
        <f>+[5]영남권!$Q$85</f>
        <v>102613.8101218638</v>
      </c>
      <c r="F10" s="479">
        <f>+[5]영남권!$R$85</f>
        <v>100718.15908548675</v>
      </c>
      <c r="G10" s="488">
        <f t="shared" si="0"/>
        <v>-1895.6510363770503</v>
      </c>
      <c r="H10" s="466">
        <f>+[5]영남권!$Q$20</f>
        <v>57866.355893219035</v>
      </c>
      <c r="I10" s="479">
        <f>+[5]영남권!$R$20</f>
        <v>60375.036747427272</v>
      </c>
      <c r="J10" s="488">
        <f t="shared" si="1"/>
        <v>2508.6808542082363</v>
      </c>
      <c r="K10" s="466">
        <f>+[5]영남권!$Q$21</f>
        <v>18114.902607977798</v>
      </c>
      <c r="L10" s="479">
        <f>+[5]영남권!$R$21</f>
        <v>18761.996159144321</v>
      </c>
      <c r="M10" s="488">
        <f t="shared" si="2"/>
        <v>647.09355116652296</v>
      </c>
      <c r="N10" s="466">
        <f>+[5]영남권!$Q$22</f>
        <v>172.90322580645162</v>
      </c>
      <c r="O10" s="479">
        <f>+[5]영남권!$R$22</f>
        <v>353.23043513491615</v>
      </c>
      <c r="P10" s="488">
        <f t="shared" si="3"/>
        <v>180.32720932846453</v>
      </c>
      <c r="Q10" s="466">
        <f t="shared" si="4"/>
        <v>76154.161727003288</v>
      </c>
      <c r="R10" s="479">
        <f t="shared" si="5"/>
        <v>79490.263341706508</v>
      </c>
      <c r="S10" s="488">
        <f t="shared" si="6"/>
        <v>3336.1016147032205</v>
      </c>
      <c r="T10" s="466">
        <f t="shared" si="7"/>
        <v>26459.648394860516</v>
      </c>
      <c r="U10" s="479">
        <f t="shared" si="8"/>
        <v>21227.895743780246</v>
      </c>
      <c r="V10" s="488">
        <f t="shared" si="9"/>
        <v>-5231.7526510802709</v>
      </c>
    </row>
    <row r="11" spans="1:22" ht="24" customHeight="1" x14ac:dyDescent="0.3">
      <c r="D11" s="472" t="s">
        <v>57</v>
      </c>
      <c r="E11" s="467">
        <f>+[5]중부권!$Q$85</f>
        <v>105757.17438983051</v>
      </c>
      <c r="F11" s="480">
        <f>+[5]중부권!$R$85</f>
        <v>103847.08571540602</v>
      </c>
      <c r="G11" s="489">
        <f t="shared" si="0"/>
        <v>-1910.0886744244926</v>
      </c>
      <c r="H11" s="467">
        <f>+[5]중부권!$Q$20</f>
        <v>58708.056981064961</v>
      </c>
      <c r="I11" s="480">
        <f>+[5]중부권!$R$20</f>
        <v>62334.190065978808</v>
      </c>
      <c r="J11" s="489">
        <f t="shared" si="1"/>
        <v>3626.1330849138467</v>
      </c>
      <c r="K11" s="467">
        <f>+[5]중부권!$Q$21</f>
        <v>18258.19713881861</v>
      </c>
      <c r="L11" s="480">
        <f>+[5]중부권!$R$21</f>
        <v>17715.301055269494</v>
      </c>
      <c r="M11" s="489">
        <f t="shared" si="2"/>
        <v>-542.89608354911616</v>
      </c>
      <c r="N11" s="467">
        <f>+[5]중부권!$Q$22</f>
        <v>222.88135593220341</v>
      </c>
      <c r="O11" s="480">
        <f>+[5]중부권!$R$22</f>
        <v>197.13027390018991</v>
      </c>
      <c r="P11" s="489">
        <f t="shared" si="3"/>
        <v>-25.7510820320135</v>
      </c>
      <c r="Q11" s="467">
        <f t="shared" si="4"/>
        <v>77189.135475815769</v>
      </c>
      <c r="R11" s="480">
        <f t="shared" si="5"/>
        <v>80246.621395148482</v>
      </c>
      <c r="S11" s="489">
        <f t="shared" si="6"/>
        <v>3057.4859193327138</v>
      </c>
      <c r="T11" s="467">
        <f t="shared" si="7"/>
        <v>28568.038914014745</v>
      </c>
      <c r="U11" s="480">
        <f t="shared" si="8"/>
        <v>23600.464320257539</v>
      </c>
      <c r="V11" s="489">
        <f t="shared" si="9"/>
        <v>-4967.5745937572065</v>
      </c>
    </row>
    <row r="12" spans="1:22" ht="24" customHeight="1" x14ac:dyDescent="0.3">
      <c r="D12" s="484" t="s">
        <v>22</v>
      </c>
      <c r="E12" s="490">
        <f>+[5]안양!$Q$85</f>
        <v>101706.43777777777</v>
      </c>
      <c r="F12" s="491">
        <f>+[5]안양!$R$85</f>
        <v>98187.636493358237</v>
      </c>
      <c r="G12" s="492">
        <f t="shared" si="0"/>
        <v>-3518.8012844195327</v>
      </c>
      <c r="H12" s="490">
        <f>+[5]안양!$Q$20</f>
        <v>63006.269193548382</v>
      </c>
      <c r="I12" s="491">
        <f>+[5]안양!$R$20</f>
        <v>64987.402801556418</v>
      </c>
      <c r="J12" s="492">
        <f t="shared" si="1"/>
        <v>1981.1336080080364</v>
      </c>
      <c r="K12" s="490">
        <f>+[5]안양!$Q$21</f>
        <v>17101.777491228069</v>
      </c>
      <c r="L12" s="491">
        <f>+[5]안양!$R$21</f>
        <v>17854.644487678343</v>
      </c>
      <c r="M12" s="492">
        <f t="shared" si="2"/>
        <v>752.86699645027329</v>
      </c>
      <c r="N12" s="490">
        <f>+[5]안양!$Q$22</f>
        <v>177.77777777777777</v>
      </c>
      <c r="O12" s="491">
        <f>+[5]안양!$R$22</f>
        <v>188.54101167315176</v>
      </c>
      <c r="P12" s="492">
        <f t="shared" si="3"/>
        <v>10.763233895373986</v>
      </c>
      <c r="Q12" s="490">
        <f t="shared" si="4"/>
        <v>80285.824462554228</v>
      </c>
      <c r="R12" s="491">
        <f t="shared" si="5"/>
        <v>83030.588300907912</v>
      </c>
      <c r="S12" s="492">
        <f t="shared" si="6"/>
        <v>2744.7638383536832</v>
      </c>
      <c r="T12" s="490">
        <f t="shared" si="7"/>
        <v>21420.613315223542</v>
      </c>
      <c r="U12" s="491">
        <f t="shared" si="8"/>
        <v>15157.048192450326</v>
      </c>
      <c r="V12" s="492">
        <f t="shared" si="9"/>
        <v>-6263.565122773216</v>
      </c>
    </row>
    <row r="13" spans="1:22" ht="24" customHeight="1" x14ac:dyDescent="0.3">
      <c r="D13" s="450" t="s">
        <v>23</v>
      </c>
      <c r="E13" s="493">
        <f>+[5]인천!$Q$85</f>
        <v>106683.98638888888</v>
      </c>
      <c r="F13" s="494">
        <f>+[5]인천!$R$85</f>
        <v>98532.600671027205</v>
      </c>
      <c r="G13" s="495">
        <f t="shared" si="0"/>
        <v>-8151.3857178616745</v>
      </c>
      <c r="H13" s="493">
        <f>+[5]인천!$Q$20</f>
        <v>63489.136321950311</v>
      </c>
      <c r="I13" s="494">
        <f>+[5]인천!$R$20</f>
        <v>65109.775138102821</v>
      </c>
      <c r="J13" s="495">
        <f t="shared" si="1"/>
        <v>1620.6388161525101</v>
      </c>
      <c r="K13" s="493">
        <f>+[5]인천!$Q$21</f>
        <v>17606.450996563573</v>
      </c>
      <c r="L13" s="494">
        <f>+[5]인천!$R$21</f>
        <v>20397.632426203949</v>
      </c>
      <c r="M13" s="495">
        <f t="shared" si="2"/>
        <v>2791.1814296403754</v>
      </c>
      <c r="N13" s="493">
        <f>+[5]인천!$Q$22</f>
        <v>366.66666666666663</v>
      </c>
      <c r="O13" s="494">
        <f>+[5]인천!$R$22</f>
        <v>333.89053444945267</v>
      </c>
      <c r="P13" s="495">
        <f t="shared" si="3"/>
        <v>-32.776132217213956</v>
      </c>
      <c r="Q13" s="493">
        <f t="shared" si="4"/>
        <v>81462.253985180563</v>
      </c>
      <c r="R13" s="494">
        <f t="shared" si="5"/>
        <v>85841.298098756233</v>
      </c>
      <c r="S13" s="495">
        <f t="shared" si="6"/>
        <v>4379.0441135756701</v>
      </c>
      <c r="T13" s="493">
        <f t="shared" si="7"/>
        <v>25221.732403708316</v>
      </c>
      <c r="U13" s="494">
        <f t="shared" si="8"/>
        <v>12691.302572270972</v>
      </c>
      <c r="V13" s="495">
        <f t="shared" si="9"/>
        <v>-12530.429831437345</v>
      </c>
    </row>
    <row r="14" spans="1:22" ht="24" customHeight="1" x14ac:dyDescent="0.3">
      <c r="D14" s="450" t="s">
        <v>24</v>
      </c>
      <c r="E14" s="493">
        <f>+[5]파주!$Q$85</f>
        <v>100383.19437414382</v>
      </c>
      <c r="F14" s="494">
        <f>+[5]파주!$R$85</f>
        <v>95512.911955888267</v>
      </c>
      <c r="G14" s="495">
        <f t="shared" si="0"/>
        <v>-4870.2824182555487</v>
      </c>
      <c r="H14" s="493">
        <f>+[5]파주!$Q$20</f>
        <v>59980.369293548385</v>
      </c>
      <c r="I14" s="494">
        <f>+[5]파주!$R$20</f>
        <v>62743.218392865143</v>
      </c>
      <c r="J14" s="495">
        <f t="shared" si="1"/>
        <v>2762.8490993167579</v>
      </c>
      <c r="K14" s="493">
        <f>+[5]파주!$Q$21</f>
        <v>18464.374782608698</v>
      </c>
      <c r="L14" s="494">
        <f>+[5]파주!$R$21</f>
        <v>19033.99233630619</v>
      </c>
      <c r="M14" s="495">
        <f t="shared" si="2"/>
        <v>569.61755369749153</v>
      </c>
      <c r="N14" s="493">
        <f>+[5]파주!$Q$22</f>
        <v>202.5</v>
      </c>
      <c r="O14" s="494">
        <f>+[5]파주!$R$22</f>
        <v>165.35194729529871</v>
      </c>
      <c r="P14" s="495">
        <f t="shared" si="3"/>
        <v>-37.148052704701286</v>
      </c>
      <c r="Q14" s="493">
        <f t="shared" si="4"/>
        <v>78647.244076157076</v>
      </c>
      <c r="R14" s="494">
        <f t="shared" si="5"/>
        <v>81942.562676466638</v>
      </c>
      <c r="S14" s="495">
        <f t="shared" si="6"/>
        <v>3295.3186003095616</v>
      </c>
      <c r="T14" s="493">
        <f t="shared" si="7"/>
        <v>21735.950297986739</v>
      </c>
      <c r="U14" s="494">
        <f t="shared" si="8"/>
        <v>13570.349279421629</v>
      </c>
      <c r="V14" s="495">
        <f t="shared" si="9"/>
        <v>-8165.6010185651103</v>
      </c>
    </row>
    <row r="15" spans="1:22" ht="24" customHeight="1" x14ac:dyDescent="0.3">
      <c r="D15" s="450" t="s">
        <v>178</v>
      </c>
      <c r="E15" s="493">
        <f>+[5]김포!$Q$85</f>
        <v>96604.371428571423</v>
      </c>
      <c r="F15" s="494">
        <f>+[5]김포!$R$85</f>
        <v>95901.215663354757</v>
      </c>
      <c r="G15" s="495">
        <f t="shared" si="0"/>
        <v>-703.15576521666662</v>
      </c>
      <c r="H15" s="493">
        <f>+[5]김포!$Q$20</f>
        <v>54391.324990730442</v>
      </c>
      <c r="I15" s="494">
        <f>+[5]김포!$R$20</f>
        <v>60331.604054685675</v>
      </c>
      <c r="J15" s="495">
        <f t="shared" si="1"/>
        <v>5940.2790639552331</v>
      </c>
      <c r="K15" s="493">
        <f>+[5]김포!$Q$21</f>
        <v>17861.873523809525</v>
      </c>
      <c r="L15" s="494">
        <f>+[5]김포!$R$21</f>
        <v>20289.222481888293</v>
      </c>
      <c r="M15" s="495">
        <f t="shared" si="2"/>
        <v>2427.3489580787682</v>
      </c>
      <c r="N15" s="493">
        <f>+[5]김포!$Q$22</f>
        <v>213.57142857142858</v>
      </c>
      <c r="O15" s="494">
        <f>+[5]김포!$R$22</f>
        <v>65.81163823323206</v>
      </c>
      <c r="P15" s="495">
        <f t="shared" si="3"/>
        <v>-147.75979033819652</v>
      </c>
      <c r="Q15" s="493">
        <f t="shared" si="4"/>
        <v>72466.769943111402</v>
      </c>
      <c r="R15" s="494">
        <f t="shared" si="5"/>
        <v>80686.638174807202</v>
      </c>
      <c r="S15" s="495">
        <f t="shared" si="6"/>
        <v>8219.8682316958002</v>
      </c>
      <c r="T15" s="493">
        <f t="shared" si="7"/>
        <v>24137.601485460022</v>
      </c>
      <c r="U15" s="494">
        <f t="shared" si="8"/>
        <v>15214.577488547555</v>
      </c>
      <c r="V15" s="495">
        <f t="shared" si="9"/>
        <v>-8923.0239969124668</v>
      </c>
    </row>
    <row r="16" spans="1:22" ht="24" customHeight="1" x14ac:dyDescent="0.3">
      <c r="D16" s="485" t="s">
        <v>25</v>
      </c>
      <c r="E16" s="496">
        <f>+[5]부산!$Q$85</f>
        <v>107599.83591666666</v>
      </c>
      <c r="F16" s="497">
        <f>+[5]부산!$R$85</f>
        <v>109871.86223849373</v>
      </c>
      <c r="G16" s="498">
        <f t="shared" si="0"/>
        <v>2272.0263218270702</v>
      </c>
      <c r="H16" s="496">
        <f>+[5]부산!$Q$20</f>
        <v>59163.706514687547</v>
      </c>
      <c r="I16" s="497">
        <f>+[5]부산!$R$20</f>
        <v>66200.617851360526</v>
      </c>
      <c r="J16" s="498">
        <f t="shared" si="1"/>
        <v>7036.9113366729798</v>
      </c>
      <c r="K16" s="496">
        <f>+[5]부산!$Q$21</f>
        <v>19636.118055555555</v>
      </c>
      <c r="L16" s="497">
        <f>+[5]부산!$R$21</f>
        <v>20200.159711704182</v>
      </c>
      <c r="M16" s="498">
        <f t="shared" si="2"/>
        <v>564.04165614862723</v>
      </c>
      <c r="N16" s="496">
        <f>+[5]부산!$Q$22</f>
        <v>41.666666666666664</v>
      </c>
      <c r="O16" s="497">
        <f>+[5]부산!$R$22</f>
        <v>0</v>
      </c>
      <c r="P16" s="498">
        <f t="shared" si="3"/>
        <v>-41.666666666666664</v>
      </c>
      <c r="Q16" s="496">
        <f t="shared" si="4"/>
        <v>78841.491236909773</v>
      </c>
      <c r="R16" s="497">
        <f t="shared" si="5"/>
        <v>86400.777563064708</v>
      </c>
      <c r="S16" s="498">
        <f t="shared" si="6"/>
        <v>7559.2863261549355</v>
      </c>
      <c r="T16" s="496">
        <f t="shared" si="7"/>
        <v>28758.34467975689</v>
      </c>
      <c r="U16" s="497">
        <f t="shared" si="8"/>
        <v>23471.084675429025</v>
      </c>
      <c r="V16" s="498">
        <f t="shared" si="9"/>
        <v>-5287.2600043278653</v>
      </c>
    </row>
    <row r="17" spans="4:22" ht="24" customHeight="1" x14ac:dyDescent="0.3">
      <c r="D17" s="450" t="s">
        <v>26</v>
      </c>
      <c r="E17" s="493">
        <f>+[5]서부산!$Q$85</f>
        <v>104577.05846153846</v>
      </c>
      <c r="F17" s="494">
        <f>+[5]서부산!$R$85</f>
        <v>94504.228878185822</v>
      </c>
      <c r="G17" s="495">
        <f t="shared" si="0"/>
        <v>-10072.829583352635</v>
      </c>
      <c r="H17" s="493">
        <f>+[5]서부산!$Q$20</f>
        <v>59984.081569264992</v>
      </c>
      <c r="I17" s="494">
        <f>+[5]서부산!$R$20</f>
        <v>58933.835624626416</v>
      </c>
      <c r="J17" s="495">
        <f t="shared" si="1"/>
        <v>-1050.2459446385765</v>
      </c>
      <c r="K17" s="493">
        <f>+[5]서부산!$Q$21</f>
        <v>16266.590087232355</v>
      </c>
      <c r="L17" s="494">
        <f>+[5]서부산!$R$21</f>
        <v>16982.591429491011</v>
      </c>
      <c r="M17" s="495">
        <f t="shared" si="2"/>
        <v>716.00134225865622</v>
      </c>
      <c r="N17" s="493">
        <f>+[5]서부산!$Q$22</f>
        <v>76.923076923076934</v>
      </c>
      <c r="O17" s="494">
        <f>+[5]서부산!$R$22</f>
        <v>1087.2813002896685</v>
      </c>
      <c r="P17" s="495">
        <f t="shared" si="3"/>
        <v>1010.3582233665916</v>
      </c>
      <c r="Q17" s="493">
        <f t="shared" si="4"/>
        <v>76327.594733420425</v>
      </c>
      <c r="R17" s="494">
        <f t="shared" si="5"/>
        <v>77003.708354407107</v>
      </c>
      <c r="S17" s="495">
        <f t="shared" si="6"/>
        <v>676.11362098668178</v>
      </c>
      <c r="T17" s="493">
        <f t="shared" si="7"/>
        <v>28249.463728118033</v>
      </c>
      <c r="U17" s="494">
        <f t="shared" si="8"/>
        <v>17500.520523778716</v>
      </c>
      <c r="V17" s="495">
        <f t="shared" si="9"/>
        <v>-10748.943204339317</v>
      </c>
    </row>
    <row r="18" spans="4:22" ht="24" customHeight="1" x14ac:dyDescent="0.3">
      <c r="D18" s="450" t="s">
        <v>27</v>
      </c>
      <c r="E18" s="493">
        <f>+[5]김해!$Q$85</f>
        <v>101000.40000000001</v>
      </c>
      <c r="F18" s="494">
        <f>+[5]김해!$R$85</f>
        <v>96166.498453524342</v>
      </c>
      <c r="G18" s="495">
        <f t="shared" si="0"/>
        <v>-4833.9015464756667</v>
      </c>
      <c r="H18" s="493">
        <f>+[5]김해!$Q$20</f>
        <v>58587.732658620946</v>
      </c>
      <c r="I18" s="494">
        <f>+[5]김해!$R$20</f>
        <v>57758.778040045589</v>
      </c>
      <c r="J18" s="495">
        <f t="shared" si="1"/>
        <v>-828.95461857535702</v>
      </c>
      <c r="K18" s="493">
        <f>+[5]김해!$Q$21</f>
        <v>18111.849001670846</v>
      </c>
      <c r="L18" s="494">
        <f>+[5]김해!$R$21</f>
        <v>19179.005860328827</v>
      </c>
      <c r="M18" s="495">
        <f t="shared" si="2"/>
        <v>1067.1568586579815</v>
      </c>
      <c r="N18" s="493">
        <f>+[5]김해!$Q$22</f>
        <v>325</v>
      </c>
      <c r="O18" s="494">
        <f>+[5]김해!$R$22</f>
        <v>361.35430571382062</v>
      </c>
      <c r="P18" s="495">
        <f t="shared" si="3"/>
        <v>36.354305713820622</v>
      </c>
      <c r="Q18" s="493">
        <f t="shared" si="4"/>
        <v>77024.581660291791</v>
      </c>
      <c r="R18" s="494">
        <f t="shared" si="5"/>
        <v>77299.138206088232</v>
      </c>
      <c r="S18" s="495">
        <f t="shared" si="6"/>
        <v>274.55654579644033</v>
      </c>
      <c r="T18" s="493">
        <f t="shared" si="7"/>
        <v>23975.818339708218</v>
      </c>
      <c r="U18" s="494">
        <f t="shared" si="8"/>
        <v>18867.360247436111</v>
      </c>
      <c r="V18" s="495">
        <f t="shared" si="9"/>
        <v>-5108.458092272107</v>
      </c>
    </row>
    <row r="19" spans="4:22" ht="24" customHeight="1" x14ac:dyDescent="0.3">
      <c r="D19" s="450" t="s">
        <v>28</v>
      </c>
      <c r="E19" s="493">
        <f>+[5]정관!$Q$85</f>
        <v>104000</v>
      </c>
      <c r="F19" s="494">
        <f>+[5]정관!$R$85</f>
        <v>101189.08315340753</v>
      </c>
      <c r="G19" s="495">
        <f t="shared" si="0"/>
        <v>-2810.916846592474</v>
      </c>
      <c r="H19" s="493">
        <f>+[5]정관!$Q$20</f>
        <v>59916.911332545104</v>
      </c>
      <c r="I19" s="494">
        <f>+[5]정관!$R$20</f>
        <v>63415.415491009677</v>
      </c>
      <c r="J19" s="495">
        <f t="shared" si="1"/>
        <v>3498.5041584645733</v>
      </c>
      <c r="K19" s="493">
        <f>+[5]정관!$Q$21</f>
        <v>19047.973391812862</v>
      </c>
      <c r="L19" s="494">
        <f>+[5]정관!$R$21</f>
        <v>18955.575435684648</v>
      </c>
      <c r="M19" s="495">
        <f t="shared" si="2"/>
        <v>-92.397956128213991</v>
      </c>
      <c r="N19" s="493">
        <f>+[5]정관!$Q$22</f>
        <v>236.84210526315789</v>
      </c>
      <c r="O19" s="494">
        <f>+[5]정관!$R$22</f>
        <v>304.66788381742737</v>
      </c>
      <c r="P19" s="495">
        <f t="shared" si="3"/>
        <v>67.825778554269476</v>
      </c>
      <c r="Q19" s="493">
        <f t="shared" si="4"/>
        <v>79201.726829621126</v>
      </c>
      <c r="R19" s="494">
        <f t="shared" si="5"/>
        <v>82675.658810511755</v>
      </c>
      <c r="S19" s="495">
        <f t="shared" si="6"/>
        <v>3473.9319808906293</v>
      </c>
      <c r="T19" s="493">
        <f t="shared" si="7"/>
        <v>24798.273170378874</v>
      </c>
      <c r="U19" s="494">
        <f t="shared" si="8"/>
        <v>18513.424342895771</v>
      </c>
      <c r="V19" s="495">
        <f t="shared" si="9"/>
        <v>-6284.8488274831034</v>
      </c>
    </row>
    <row r="20" spans="4:22" ht="24" customHeight="1" x14ac:dyDescent="0.3">
      <c r="D20" s="450" t="s">
        <v>29</v>
      </c>
      <c r="E20" s="493">
        <f>+[5]양산!$Q$85</f>
        <v>97210.152500000026</v>
      </c>
      <c r="F20" s="494">
        <f>+[5]양산!$R$85</f>
        <v>100279.61240310076</v>
      </c>
      <c r="G20" s="495">
        <f t="shared" si="0"/>
        <v>3069.4599031007383</v>
      </c>
      <c r="H20" s="493">
        <f>+[5]양산!$Q$20</f>
        <v>53997.32488757516</v>
      </c>
      <c r="I20" s="494">
        <f>+[5]양산!$R$20</f>
        <v>57575.672478930544</v>
      </c>
      <c r="J20" s="495">
        <f t="shared" si="1"/>
        <v>3578.3475913553848</v>
      </c>
      <c r="K20" s="493">
        <f>+[5]양산!$Q$21</f>
        <v>17632.069078947367</v>
      </c>
      <c r="L20" s="494">
        <f>+[5]양산!$R$21</f>
        <v>19071.517291485034</v>
      </c>
      <c r="M20" s="495">
        <f t="shared" si="2"/>
        <v>1439.4482125376671</v>
      </c>
      <c r="N20" s="493">
        <f>+[5]양산!$Q$22</f>
        <v>79.166666666666657</v>
      </c>
      <c r="O20" s="494">
        <f>+[5]양산!$R$22</f>
        <v>59.804998546934023</v>
      </c>
      <c r="P20" s="495">
        <f t="shared" si="3"/>
        <v>-19.361668119732634</v>
      </c>
      <c r="Q20" s="493">
        <f t="shared" si="4"/>
        <v>71708.560633189205</v>
      </c>
      <c r="R20" s="494">
        <f t="shared" si="5"/>
        <v>76706.994768962511</v>
      </c>
      <c r="S20" s="495">
        <f t="shared" si="6"/>
        <v>4998.4341357733065</v>
      </c>
      <c r="T20" s="493">
        <f t="shared" si="7"/>
        <v>25501.591866810821</v>
      </c>
      <c r="U20" s="494">
        <f t="shared" si="8"/>
        <v>23572.617634138252</v>
      </c>
      <c r="V20" s="495">
        <f t="shared" si="9"/>
        <v>-1928.9742326725682</v>
      </c>
    </row>
    <row r="21" spans="4:22" ht="24" customHeight="1" x14ac:dyDescent="0.3">
      <c r="D21" s="450" t="s">
        <v>30</v>
      </c>
      <c r="E21" s="493">
        <f>+[5]창원!$Q$85</f>
        <v>101787.59375</v>
      </c>
      <c r="F21" s="494">
        <f>+[5]창원!$R$85</f>
        <v>98625.289330247149</v>
      </c>
      <c r="G21" s="495">
        <f t="shared" si="0"/>
        <v>-3162.3044197528507</v>
      </c>
      <c r="H21" s="493">
        <f>+[5]창원!$Q$20</f>
        <v>55782.28625139044</v>
      </c>
      <c r="I21" s="494">
        <f>+[5]창원!$R$20</f>
        <v>58908.720450981855</v>
      </c>
      <c r="J21" s="495">
        <f t="shared" si="1"/>
        <v>3126.4341995914147</v>
      </c>
      <c r="K21" s="493">
        <f>+[5]창원!$Q$21</f>
        <v>16798.980159574472</v>
      </c>
      <c r="L21" s="494">
        <f>+[5]창원!$R$21</f>
        <v>16280.671171507503</v>
      </c>
      <c r="M21" s="495">
        <f t="shared" si="2"/>
        <v>-518.3089880669686</v>
      </c>
      <c r="N21" s="493">
        <f>+[5]창원!$Q$22</f>
        <v>168.75</v>
      </c>
      <c r="O21" s="494">
        <f>+[5]창원!$R$22</f>
        <v>165.89785708952436</v>
      </c>
      <c r="P21" s="495">
        <f t="shared" si="3"/>
        <v>-2.8521429104756351</v>
      </c>
      <c r="Q21" s="493">
        <f t="shared" si="4"/>
        <v>72750.016410964919</v>
      </c>
      <c r="R21" s="494">
        <f t="shared" si="5"/>
        <v>75355.289479578889</v>
      </c>
      <c r="S21" s="495">
        <f t="shared" si="6"/>
        <v>2605.2730686139694</v>
      </c>
      <c r="T21" s="493">
        <f t="shared" si="7"/>
        <v>29037.577339035081</v>
      </c>
      <c r="U21" s="494">
        <f t="shared" si="8"/>
        <v>23269.99985066826</v>
      </c>
      <c r="V21" s="495">
        <f t="shared" si="9"/>
        <v>-5767.57748836682</v>
      </c>
    </row>
    <row r="22" spans="4:22" ht="24" customHeight="1" x14ac:dyDescent="0.3">
      <c r="D22" s="450" t="s">
        <v>95</v>
      </c>
      <c r="E22" s="493">
        <f>+[5]대구!$Q$85</f>
        <v>97760</v>
      </c>
      <c r="F22" s="494">
        <f>+[5]대구!$R$85</f>
        <v>96152.841607871058</v>
      </c>
      <c r="G22" s="495">
        <f t="shared" si="0"/>
        <v>-1607.1583921289421</v>
      </c>
      <c r="H22" s="493">
        <f>+[5]대구!$Q$20</f>
        <v>53381.871840488137</v>
      </c>
      <c r="I22" s="494">
        <f>+[5]대구!$R$20</f>
        <v>55118.816104602236</v>
      </c>
      <c r="J22" s="495">
        <f t="shared" si="1"/>
        <v>1736.9442641140995</v>
      </c>
      <c r="K22" s="493">
        <f>+[5]대구!$Q$21</f>
        <v>17357.697840909092</v>
      </c>
      <c r="L22" s="494">
        <f>+[5]대구!$R$21</f>
        <v>18776.272509547547</v>
      </c>
      <c r="M22" s="495">
        <f t="shared" si="2"/>
        <v>1418.5746686384555</v>
      </c>
      <c r="N22" s="493">
        <f>+[5]대구!$Q$22</f>
        <v>321.21212121212125</v>
      </c>
      <c r="O22" s="494">
        <f>+[5]대구!$R$22</f>
        <v>257.56456728590848</v>
      </c>
      <c r="P22" s="495">
        <f t="shared" si="3"/>
        <v>-63.647553926212765</v>
      </c>
      <c r="Q22" s="493">
        <f t="shared" si="4"/>
        <v>71060.781802609359</v>
      </c>
      <c r="R22" s="494">
        <f t="shared" si="5"/>
        <v>74152.653181435686</v>
      </c>
      <c r="S22" s="495">
        <f t="shared" si="6"/>
        <v>3091.8713788263267</v>
      </c>
      <c r="T22" s="493">
        <f t="shared" si="7"/>
        <v>26699.218197390641</v>
      </c>
      <c r="U22" s="494">
        <f t="shared" si="8"/>
        <v>22000.188426435372</v>
      </c>
      <c r="V22" s="495">
        <f t="shared" si="9"/>
        <v>-4699.0297709552688</v>
      </c>
    </row>
    <row r="23" spans="4:22" ht="24" customHeight="1" x14ac:dyDescent="0.3">
      <c r="D23" s="450" t="s">
        <v>97</v>
      </c>
      <c r="E23" s="493">
        <f>+[5]울산!$Q$85</f>
        <v>101254.83333333334</v>
      </c>
      <c r="F23" s="494">
        <f>+[5]울산!$R$85</f>
        <v>108366.59223898983</v>
      </c>
      <c r="G23" s="495">
        <f t="shared" si="0"/>
        <v>7111.7589056564902</v>
      </c>
      <c r="H23" s="493">
        <f>+[5]울산!$Q$20</f>
        <v>59408.88611420097</v>
      </c>
      <c r="I23" s="494">
        <f>+[5]울산!$R$20</f>
        <v>62433.117647058825</v>
      </c>
      <c r="J23" s="495">
        <f t="shared" si="1"/>
        <v>3024.2315328578552</v>
      </c>
      <c r="K23" s="493">
        <f>+[5]울산!$Q$21</f>
        <v>20881.902655677655</v>
      </c>
      <c r="L23" s="494">
        <f>+[5]울산!$R$21</f>
        <v>21253.378426239608</v>
      </c>
      <c r="M23" s="495">
        <f t="shared" si="2"/>
        <v>371.47577056195223</v>
      </c>
      <c r="N23" s="493">
        <f>+[5]울산!$Q$22</f>
        <v>260</v>
      </c>
      <c r="O23" s="494">
        <f>+[5]울산!$R$22</f>
        <v>244.84631967970432</v>
      </c>
      <c r="P23" s="495">
        <f t="shared" si="3"/>
        <v>-15.153680320295678</v>
      </c>
      <c r="Q23" s="493">
        <f t="shared" si="4"/>
        <v>80550.788769878622</v>
      </c>
      <c r="R23" s="494">
        <f t="shared" si="5"/>
        <v>83931.342392978142</v>
      </c>
      <c r="S23" s="495">
        <f t="shared" si="6"/>
        <v>3380.5536230995203</v>
      </c>
      <c r="T23" s="493">
        <f t="shared" si="7"/>
        <v>20704.044563454721</v>
      </c>
      <c r="U23" s="494">
        <f t="shared" si="8"/>
        <v>24435.249846011691</v>
      </c>
      <c r="V23" s="495">
        <f t="shared" si="9"/>
        <v>3731.2052825569699</v>
      </c>
    </row>
    <row r="24" spans="4:22" ht="24" customHeight="1" x14ac:dyDescent="0.3">
      <c r="D24" s="485" t="s">
        <v>31</v>
      </c>
      <c r="E24" s="496">
        <f>+[5]아산!$Q$85</f>
        <v>101000.53571428572</v>
      </c>
      <c r="F24" s="497">
        <f>+[5]아산!$R$85</f>
        <v>100993.94329953512</v>
      </c>
      <c r="G24" s="498">
        <f t="shared" si="0"/>
        <v>-6.592414750601165</v>
      </c>
      <c r="H24" s="496">
        <f>+[5]아산!$Q$20</f>
        <v>56318.920043752318</v>
      </c>
      <c r="I24" s="497">
        <f>+[5]아산!$R$20</f>
        <v>63066.787151674522</v>
      </c>
      <c r="J24" s="498">
        <f t="shared" si="1"/>
        <v>6747.867107922204</v>
      </c>
      <c r="K24" s="496">
        <f>+[5]아산!$Q$21</f>
        <v>20999.144300911856</v>
      </c>
      <c r="L24" s="497">
        <f>+[5]아산!$R$21</f>
        <v>19565.304992513058</v>
      </c>
      <c r="M24" s="498">
        <f t="shared" si="2"/>
        <v>-1433.8393083987976</v>
      </c>
      <c r="N24" s="496">
        <f>+[5]아산!$Q$22</f>
        <v>250</v>
      </c>
      <c r="O24" s="497">
        <f>+[5]아산!$R$22</f>
        <v>187.62937803586428</v>
      </c>
      <c r="P24" s="498">
        <f t="shared" si="3"/>
        <v>-62.370621964135722</v>
      </c>
      <c r="Q24" s="496">
        <f t="shared" si="4"/>
        <v>77568.064344664177</v>
      </c>
      <c r="R24" s="497">
        <f t="shared" si="5"/>
        <v>82819.721522223452</v>
      </c>
      <c r="S24" s="498">
        <f t="shared" si="6"/>
        <v>5251.6571775592747</v>
      </c>
      <c r="T24" s="496">
        <f t="shared" si="7"/>
        <v>23432.471369621548</v>
      </c>
      <c r="U24" s="497">
        <f t="shared" si="8"/>
        <v>18174.221777311672</v>
      </c>
      <c r="V24" s="498">
        <f t="shared" si="9"/>
        <v>-5258.2495923098759</v>
      </c>
    </row>
    <row r="25" spans="4:22" ht="24" customHeight="1" x14ac:dyDescent="0.3">
      <c r="D25" s="450" t="s">
        <v>34</v>
      </c>
      <c r="E25" s="493">
        <f>+[5]전주!$Q$85</f>
        <v>101796.60499999998</v>
      </c>
      <c r="F25" s="494">
        <f>+[5]전주!$R$85</f>
        <v>99117.983709411114</v>
      </c>
      <c r="G25" s="495">
        <f t="shared" si="0"/>
        <v>-2678.6212905888679</v>
      </c>
      <c r="H25" s="493">
        <f>+[5]전주!$Q$20</f>
        <v>56590.998527252508</v>
      </c>
      <c r="I25" s="494">
        <f>+[5]전주!$R$20</f>
        <v>59384.647881122728</v>
      </c>
      <c r="J25" s="495">
        <f t="shared" si="1"/>
        <v>2793.6493538702198</v>
      </c>
      <c r="K25" s="493">
        <f>+[5]전주!$Q$21</f>
        <v>16654.476223118279</v>
      </c>
      <c r="L25" s="494">
        <f>+[5]전주!$R$21</f>
        <v>17245.51568519538</v>
      </c>
      <c r="M25" s="495">
        <f t="shared" si="2"/>
        <v>591.03946207710032</v>
      </c>
      <c r="N25" s="493">
        <f>+[5]전주!$Q$22</f>
        <v>250</v>
      </c>
      <c r="O25" s="494">
        <f>+[5]전주!$R$22</f>
        <v>235.01948266373142</v>
      </c>
      <c r="P25" s="495">
        <f t="shared" si="3"/>
        <v>-14.980517336268576</v>
      </c>
      <c r="Q25" s="493">
        <f t="shared" si="4"/>
        <v>73495.474750370791</v>
      </c>
      <c r="R25" s="494">
        <f t="shared" si="5"/>
        <v>76865.183048981839</v>
      </c>
      <c r="S25" s="495">
        <f t="shared" si="6"/>
        <v>3369.7082986110472</v>
      </c>
      <c r="T25" s="493">
        <f t="shared" si="7"/>
        <v>28301.13024962919</v>
      </c>
      <c r="U25" s="494">
        <f t="shared" si="8"/>
        <v>22252.800660429275</v>
      </c>
      <c r="V25" s="495">
        <f t="shared" si="9"/>
        <v>-6048.3295891999151</v>
      </c>
    </row>
    <row r="26" spans="4:22" ht="24" customHeight="1" x14ac:dyDescent="0.3">
      <c r="D26" s="450" t="s">
        <v>33</v>
      </c>
      <c r="E26" s="493">
        <f>+[5]군산!$Q$85</f>
        <v>108999.86128571429</v>
      </c>
      <c r="F26" s="494">
        <f>+[5]군산!$R$85</f>
        <v>107026.40268644186</v>
      </c>
      <c r="G26" s="495">
        <f t="shared" si="0"/>
        <v>-1973.4585992724315</v>
      </c>
      <c r="H26" s="493">
        <f>+[5]군산!$Q$20</f>
        <v>57668.866559139788</v>
      </c>
      <c r="I26" s="494">
        <f>+[5]군산!$R$20</f>
        <v>59604.925843011064</v>
      </c>
      <c r="J26" s="495">
        <f t="shared" si="1"/>
        <v>1936.0592838712764</v>
      </c>
      <c r="K26" s="493">
        <f>+[5]군산!$Q$21</f>
        <v>13151.580461462936</v>
      </c>
      <c r="L26" s="494">
        <f>+[5]군산!$R$21</f>
        <v>13738.992164544565</v>
      </c>
      <c r="M26" s="495">
        <f t="shared" si="2"/>
        <v>587.41170308162873</v>
      </c>
      <c r="N26" s="493">
        <f>+[5]군산!$Q$22</f>
        <v>64.285714285714278</v>
      </c>
      <c r="O26" s="494">
        <f>+[5]군산!$R$22</f>
        <v>66.031061984049245</v>
      </c>
      <c r="P26" s="495">
        <f t="shared" si="3"/>
        <v>1.7453476983349674</v>
      </c>
      <c r="Q26" s="493">
        <f t="shared" si="4"/>
        <v>70884.732734888428</v>
      </c>
      <c r="R26" s="494">
        <f t="shared" si="5"/>
        <v>73409.949069539667</v>
      </c>
      <c r="S26" s="495">
        <f t="shared" si="6"/>
        <v>2525.2163346512389</v>
      </c>
      <c r="T26" s="493">
        <f t="shared" si="7"/>
        <v>38115.128550825859</v>
      </c>
      <c r="U26" s="494">
        <f t="shared" si="8"/>
        <v>33616.453616902189</v>
      </c>
      <c r="V26" s="495">
        <f t="shared" si="9"/>
        <v>-4498.6749339236703</v>
      </c>
    </row>
    <row r="27" spans="4:22" ht="24" customHeight="1" x14ac:dyDescent="0.3">
      <c r="D27" s="450" t="s">
        <v>32</v>
      </c>
      <c r="E27" s="493">
        <f>+[5]원주!$Q$85</f>
        <v>107900</v>
      </c>
      <c r="F27" s="494">
        <f>+[5]원주!$R$85</f>
        <v>114496.02547211244</v>
      </c>
      <c r="G27" s="495">
        <f t="shared" si="0"/>
        <v>6596.0254721124365</v>
      </c>
      <c r="H27" s="493">
        <f>+[5]원주!$Q$20</f>
        <v>56392.70430107526</v>
      </c>
      <c r="I27" s="494">
        <f>+[5]원주!$R$20</f>
        <v>60708.869345630214</v>
      </c>
      <c r="J27" s="495">
        <f t="shared" si="1"/>
        <v>4316.1650445549531</v>
      </c>
      <c r="K27" s="493">
        <f>+[5]원주!$Q$21</f>
        <v>16191.588212446835</v>
      </c>
      <c r="L27" s="494">
        <f>+[5]원주!$R$21</f>
        <v>13902.912823891083</v>
      </c>
      <c r="M27" s="495">
        <f t="shared" si="2"/>
        <v>-2288.6753885557519</v>
      </c>
      <c r="N27" s="493">
        <f>+[5]원주!$Q$22</f>
        <v>540</v>
      </c>
      <c r="O27" s="494">
        <f>+[5]원주!$R$22</f>
        <v>334.65173473869123</v>
      </c>
      <c r="P27" s="495">
        <f t="shared" si="3"/>
        <v>-205.34826526130877</v>
      </c>
      <c r="Q27" s="493">
        <f t="shared" si="4"/>
        <v>73124.292513522101</v>
      </c>
      <c r="R27" s="494">
        <f t="shared" si="5"/>
        <v>74946.43390425999</v>
      </c>
      <c r="S27" s="495">
        <f t="shared" si="6"/>
        <v>1822.1413907378883</v>
      </c>
      <c r="T27" s="493">
        <f t="shared" si="7"/>
        <v>34775.707486477899</v>
      </c>
      <c r="U27" s="494">
        <f t="shared" si="8"/>
        <v>39549.591567852447</v>
      </c>
      <c r="V27" s="495">
        <f t="shared" si="9"/>
        <v>4773.8840813745483</v>
      </c>
    </row>
    <row r="28" spans="4:22" ht="24" customHeight="1" x14ac:dyDescent="0.3">
      <c r="D28" s="499" t="s">
        <v>35</v>
      </c>
      <c r="E28" s="500">
        <f>+[5]제주!$Q$85</f>
        <v>126800</v>
      </c>
      <c r="F28" s="501">
        <f>+[5]제주!$R$85</f>
        <v>120976.02033781455</v>
      </c>
      <c r="G28" s="502">
        <f t="shared" si="0"/>
        <v>-5823.9796621854475</v>
      </c>
      <c r="H28" s="500">
        <f>+[5]제주!$Q$20</f>
        <v>74586.861558769</v>
      </c>
      <c r="I28" s="501">
        <f>+[5]제주!$R$20</f>
        <v>73896.084192439856</v>
      </c>
      <c r="J28" s="502">
        <f t="shared" si="1"/>
        <v>-690.77736632914457</v>
      </c>
      <c r="K28" s="500">
        <f>+[5]제주!$Q$21</f>
        <v>16626.410256410258</v>
      </c>
      <c r="L28" s="501">
        <f>+[5]제주!$R$21</f>
        <v>17506.826116838489</v>
      </c>
      <c r="M28" s="502">
        <f t="shared" si="2"/>
        <v>880.4158604282311</v>
      </c>
      <c r="N28" s="500">
        <f>+[5]제주!$Q$22</f>
        <v>0</v>
      </c>
      <c r="O28" s="501">
        <f>+[5]제주!$R$22</f>
        <v>275.0044673539519</v>
      </c>
      <c r="P28" s="502">
        <f t="shared" si="3"/>
        <v>275.0044673539519</v>
      </c>
      <c r="Q28" s="500">
        <f t="shared" si="4"/>
        <v>91213.271815179265</v>
      </c>
      <c r="R28" s="501">
        <f t="shared" si="5"/>
        <v>91677.9147766323</v>
      </c>
      <c r="S28" s="502">
        <f t="shared" si="6"/>
        <v>464.64296145303524</v>
      </c>
      <c r="T28" s="500">
        <f t="shared" si="7"/>
        <v>35586.728184820735</v>
      </c>
      <c r="U28" s="501">
        <f t="shared" si="8"/>
        <v>29298.105561182252</v>
      </c>
      <c r="V28" s="502">
        <f t="shared" si="9"/>
        <v>-6288.6226236384828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 codeName="Sheet7">
    <tabColor theme="1" tint="0.249977111117893"/>
    <pageSetUpPr fitToPage="1"/>
  </sheetPr>
  <dimension ref="A1:Y52"/>
  <sheetViews>
    <sheetView showGridLines="0" showZeros="0" view="pageBreakPreview" zoomScale="60" zoomScaleNormal="85" workbookViewId="0">
      <pane xSplit="4" ySplit="7" topLeftCell="E8" activePane="bottomRight" state="frozen"/>
      <selection activeCell="Y29" sqref="Y29"/>
      <selection pane="topRight" activeCell="Y29" sqref="Y29"/>
      <selection pane="bottomLeft" activeCell="Y29" sqref="Y29"/>
      <selection pane="bottomRight" activeCell="Y29" sqref="Y2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183" t="s">
        <v>243</v>
      </c>
      <c r="F4" s="183"/>
      <c r="I4" s="183"/>
    </row>
    <row r="5" spans="1:22" ht="21.95" customHeight="1" x14ac:dyDescent="0.3"/>
    <row r="6" spans="1:22" ht="24" customHeight="1" thickBot="1" x14ac:dyDescent="0.35">
      <c r="A6" s="6" t="s">
        <v>235</v>
      </c>
      <c r="D6" s="840" t="s">
        <v>11</v>
      </c>
      <c r="E6" s="438" t="s">
        <v>156</v>
      </c>
      <c r="F6" s="439"/>
      <c r="G6" s="440"/>
      <c r="H6" s="438" t="s">
        <v>155</v>
      </c>
      <c r="I6" s="439"/>
      <c r="J6" s="440"/>
      <c r="K6" s="438" t="s">
        <v>154</v>
      </c>
      <c r="L6" s="439"/>
      <c r="M6" s="440"/>
      <c r="N6" s="438" t="s">
        <v>153</v>
      </c>
      <c r="O6" s="439"/>
      <c r="P6" s="440"/>
      <c r="Q6" s="438" t="s">
        <v>152</v>
      </c>
      <c r="R6" s="439"/>
      <c r="S6" s="440"/>
      <c r="T6" s="438" t="s">
        <v>151</v>
      </c>
      <c r="U6" s="439"/>
      <c r="V6" s="440"/>
    </row>
    <row r="7" spans="1:22" ht="24" customHeight="1" x14ac:dyDescent="0.3">
      <c r="D7" s="841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1:22" ht="24" customHeight="1" x14ac:dyDescent="0.3">
      <c r="D8" s="469" t="s">
        <v>47</v>
      </c>
      <c r="E8" s="543">
        <f>+[5]합계!$G$9</f>
        <v>100494.46358764273</v>
      </c>
      <c r="F8" s="544">
        <f>+[5]합계!$H$9</f>
        <v>100141.15910159143</v>
      </c>
      <c r="G8" s="545">
        <f>+F8-E8</f>
        <v>-353.30448605130368</v>
      </c>
      <c r="H8" s="543">
        <f>+[5]합계!$G$10</f>
        <v>91063.874858745607</v>
      </c>
      <c r="I8" s="544">
        <f>+[5]합계!$H$10</f>
        <v>95485.680462892371</v>
      </c>
      <c r="J8" s="545">
        <f>+I8-H8</f>
        <v>4421.8056041467644</v>
      </c>
      <c r="K8" s="543">
        <f>+[5]합계!$G$12</f>
        <v>64150.871100749595</v>
      </c>
      <c r="L8" s="544">
        <f>+[5]합계!$H$12</f>
        <v>63334.888579585349</v>
      </c>
      <c r="M8" s="545">
        <f>+L8-K8</f>
        <v>-815.98252116424555</v>
      </c>
      <c r="N8" s="543">
        <f>+[5]합계!$G$13</f>
        <v>39734.068088099659</v>
      </c>
      <c r="O8" s="544">
        <f>+[5]합계!$H$13</f>
        <v>40397.901887245156</v>
      </c>
      <c r="P8" s="545">
        <f>+O8-N8</f>
        <v>663.83379914549732</v>
      </c>
      <c r="Q8" s="543">
        <f>+[5]합계!$G$16</f>
        <v>12735.330485559842</v>
      </c>
      <c r="R8" s="544">
        <f>+[5]합계!$H$16</f>
        <v>13114.965454691894</v>
      </c>
      <c r="S8" s="545">
        <f>+R8-Q8</f>
        <v>379.63496913205199</v>
      </c>
      <c r="T8" s="543">
        <f>+[5]합계!$G$17</f>
        <v>15912.672534435056</v>
      </c>
      <c r="U8" s="544">
        <f>+[5]합계!$H$17</f>
        <v>15570.292803096643</v>
      </c>
      <c r="V8" s="545">
        <f>+U8-T8</f>
        <v>-342.37973133841297</v>
      </c>
    </row>
    <row r="9" spans="1:22" ht="24" customHeight="1" x14ac:dyDescent="0.3">
      <c r="D9" s="470" t="s">
        <v>19</v>
      </c>
      <c r="E9" s="546">
        <f>+[5]수도권!$G$9</f>
        <v>100000</v>
      </c>
      <c r="F9" s="547">
        <f>+[5]수도권!$H$9</f>
        <v>99864.42699357486</v>
      </c>
      <c r="G9" s="548">
        <f t="shared" ref="G9:G28" si="0">+F9-E9</f>
        <v>-135.57300642514019</v>
      </c>
      <c r="H9" s="546">
        <f>+[5]수도권!$G$10</f>
        <v>93593.269184966412</v>
      </c>
      <c r="I9" s="547">
        <f>+[5]수도권!$H$10</f>
        <v>101187.64469857363</v>
      </c>
      <c r="J9" s="548">
        <f t="shared" ref="J9:J28" si="1">+I9-H9</f>
        <v>7594.3755136072141</v>
      </c>
      <c r="K9" s="546">
        <f>+[5]수도권!$G$12</f>
        <v>64326.831452400482</v>
      </c>
      <c r="L9" s="547">
        <f>+[5]수도권!$H$12</f>
        <v>64163.706872312134</v>
      </c>
      <c r="M9" s="548">
        <f t="shared" ref="M9:M28" si="2">+L9-K9</f>
        <v>-163.12458008834801</v>
      </c>
      <c r="N9" s="546">
        <f>+[5]수도권!$G$13</f>
        <v>45187.594823320847</v>
      </c>
      <c r="O9" s="547">
        <f>+[5]수도권!$H$13</f>
        <v>46224.672750822421</v>
      </c>
      <c r="P9" s="548">
        <f t="shared" ref="P9:P28" si="3">+O9-N9</f>
        <v>1037.0779275015739</v>
      </c>
      <c r="Q9" s="546">
        <f>+[5]수도권!$G$16</f>
        <v>15353.167533236185</v>
      </c>
      <c r="R9" s="547">
        <f>+[5]수도권!$H$16</f>
        <v>15677.131510968711</v>
      </c>
      <c r="S9" s="548">
        <f t="shared" ref="S9:S28" si="4">+R9-Q9</f>
        <v>323.96397773252647</v>
      </c>
      <c r="T9" s="546">
        <f>+[5]수도권!$G$17</f>
        <v>14822.140670628127</v>
      </c>
      <c r="U9" s="547">
        <f>+[5]수도권!$H$17</f>
        <v>14154.193658905087</v>
      </c>
      <c r="V9" s="548">
        <f t="shared" ref="V9:V28" si="5">+U9-T9</f>
        <v>-667.9470117230394</v>
      </c>
    </row>
    <row r="10" spans="1:22" ht="24" customHeight="1" x14ac:dyDescent="0.3">
      <c r="D10" s="471" t="s">
        <v>20</v>
      </c>
      <c r="E10" s="549">
        <f>+[5]영남권!$G$9</f>
        <v>100000.00000000001</v>
      </c>
      <c r="F10" s="550">
        <f>+[5]영남권!$H$9</f>
        <v>99996.81944570296</v>
      </c>
      <c r="G10" s="551">
        <f t="shared" si="0"/>
        <v>-3.1805542970541865</v>
      </c>
      <c r="H10" s="549">
        <f>+[5]영남권!$G$10</f>
        <v>92099.999999999985</v>
      </c>
      <c r="I10" s="550">
        <f>+[5]영남권!$H$10</f>
        <v>93904.471438471461</v>
      </c>
      <c r="J10" s="551">
        <f t="shared" si="1"/>
        <v>1804.4714384714753</v>
      </c>
      <c r="K10" s="549">
        <f>+[5]영남권!$G$12</f>
        <v>63857.594180130218</v>
      </c>
      <c r="L10" s="550">
        <f>+[5]영남권!$H$12</f>
        <v>62350.068130337109</v>
      </c>
      <c r="M10" s="551">
        <f t="shared" si="2"/>
        <v>-1507.5260497931085</v>
      </c>
      <c r="N10" s="549">
        <f>+[5]영남권!$G$13</f>
        <v>35478.735878610976</v>
      </c>
      <c r="O10" s="550">
        <f>+[5]영남권!$H$13</f>
        <v>35545.24201175489</v>
      </c>
      <c r="P10" s="551">
        <f t="shared" si="3"/>
        <v>66.506133143913758</v>
      </c>
      <c r="Q10" s="549">
        <f>+[5]영남권!$G$16</f>
        <v>10390.190833639079</v>
      </c>
      <c r="R10" s="550">
        <f>+[5]영남권!$H$16</f>
        <v>10939.335977704093</v>
      </c>
      <c r="S10" s="551">
        <f t="shared" si="4"/>
        <v>549.14514406501439</v>
      </c>
      <c r="T10" s="549">
        <f>+[5]영남권!$G$17</f>
        <v>17390.378133151502</v>
      </c>
      <c r="U10" s="550">
        <f>+[5]영남권!$H$17</f>
        <v>17291.492429709488</v>
      </c>
      <c r="V10" s="551">
        <f t="shared" si="5"/>
        <v>-98.885703442014346</v>
      </c>
    </row>
    <row r="11" spans="1:22" ht="24" customHeight="1" x14ac:dyDescent="0.3">
      <c r="D11" s="472" t="s">
        <v>57</v>
      </c>
      <c r="E11" s="552">
        <f>+[5]중부권!$G$9</f>
        <v>102661.91408735672</v>
      </c>
      <c r="F11" s="553">
        <f>+[5]중부권!$H$9</f>
        <v>100957.41646745063</v>
      </c>
      <c r="G11" s="554">
        <f t="shared" si="0"/>
        <v>-1704.4976199060911</v>
      </c>
      <c r="H11" s="552">
        <f>+[5]중부권!$G$10</f>
        <v>87262.475026442582</v>
      </c>
      <c r="I11" s="553">
        <f>+[5]중부권!$H$10</f>
        <v>97025.201206554368</v>
      </c>
      <c r="J11" s="554">
        <f t="shared" si="1"/>
        <v>9762.7261801117857</v>
      </c>
      <c r="K11" s="552">
        <f>+[5]중부권!$G$12</f>
        <v>64632.997047244091</v>
      </c>
      <c r="L11" s="553">
        <f>+[5]중부권!$H$12</f>
        <v>64593.049320167796</v>
      </c>
      <c r="M11" s="554">
        <f t="shared" si="2"/>
        <v>-39.947727076294541</v>
      </c>
      <c r="N11" s="552">
        <f>+[5]중부권!$G$13</f>
        <v>41637.944226591426</v>
      </c>
      <c r="O11" s="553">
        <f>+[5]중부권!$H$13</f>
        <v>42061.494243778703</v>
      </c>
      <c r="P11" s="554">
        <f t="shared" si="3"/>
        <v>423.55001718727726</v>
      </c>
      <c r="Q11" s="552">
        <f>+[5]중부권!$G$16</f>
        <v>12546.322623970686</v>
      </c>
      <c r="R11" s="553">
        <f>+[5]중부권!$H$16</f>
        <v>12523.880796926738</v>
      </c>
      <c r="S11" s="554">
        <f t="shared" si="4"/>
        <v>-22.441827043947342</v>
      </c>
      <c r="T11" s="552">
        <f>+[5]중부권!$G$17</f>
        <v>14601.901916226541</v>
      </c>
      <c r="U11" s="553">
        <f>+[5]중부권!$H$17</f>
        <v>14266.994459756774</v>
      </c>
      <c r="V11" s="554">
        <f t="shared" si="5"/>
        <v>-334.90745646976757</v>
      </c>
    </row>
    <row r="12" spans="1:22" ht="24" customHeight="1" x14ac:dyDescent="0.3">
      <c r="D12" s="484" t="s">
        <v>22</v>
      </c>
      <c r="E12" s="555">
        <f>+[5]안양!$G$9</f>
        <v>100000</v>
      </c>
      <c r="F12" s="556">
        <f>+[5]안양!$H$9</f>
        <v>99708.947649666938</v>
      </c>
      <c r="G12" s="557">
        <f t="shared" si="0"/>
        <v>-291.05235033306235</v>
      </c>
      <c r="H12" s="555">
        <f>+[5]안양!$G$10</f>
        <v>87100</v>
      </c>
      <c r="I12" s="556">
        <f>+[5]안양!$H$10</f>
        <v>102200.00411827215</v>
      </c>
      <c r="J12" s="557">
        <f t="shared" si="1"/>
        <v>15100.004118272147</v>
      </c>
      <c r="K12" s="555">
        <f>+[5]안양!$G$12</f>
        <v>64000</v>
      </c>
      <c r="L12" s="556">
        <f>+[5]안양!$H$12</f>
        <v>64099.564810074153</v>
      </c>
      <c r="M12" s="557">
        <f t="shared" si="2"/>
        <v>99.564810074152774</v>
      </c>
      <c r="N12" s="555">
        <f>+[5]안양!$G$13</f>
        <v>45000</v>
      </c>
      <c r="O12" s="556">
        <f>+[5]안양!$H$13</f>
        <v>45855.375975151292</v>
      </c>
      <c r="P12" s="557">
        <f t="shared" si="3"/>
        <v>855.37597515129164</v>
      </c>
      <c r="Q12" s="555">
        <f>+[5]안양!$G$16</f>
        <v>15333.333333333334</v>
      </c>
      <c r="R12" s="556">
        <f>+[5]안양!$H$16</f>
        <v>15979.679028903671</v>
      </c>
      <c r="S12" s="557">
        <f t="shared" si="4"/>
        <v>646.34569557033683</v>
      </c>
      <c r="T12" s="555">
        <f>+[5]안양!$G$17</f>
        <v>15161.290322580646</v>
      </c>
      <c r="U12" s="556">
        <f>+[5]안양!$H$17</f>
        <v>15269.993953395202</v>
      </c>
      <c r="V12" s="557">
        <f t="shared" si="5"/>
        <v>108.70363081455616</v>
      </c>
    </row>
    <row r="13" spans="1:22" ht="24" customHeight="1" x14ac:dyDescent="0.3">
      <c r="D13" s="450" t="s">
        <v>23</v>
      </c>
      <c r="E13" s="558">
        <f>+[5]인천!$G$9</f>
        <v>100000</v>
      </c>
      <c r="F13" s="559">
        <f>+[5]인천!$H$9</f>
        <v>99902.972005048869</v>
      </c>
      <c r="G13" s="560">
        <f t="shared" si="0"/>
        <v>-97.027994951131404</v>
      </c>
      <c r="H13" s="558">
        <f>+[5]인천!$G$10</f>
        <v>99500</v>
      </c>
      <c r="I13" s="559">
        <f>+[5]인천!$H$10</f>
        <v>100982.58053263777</v>
      </c>
      <c r="J13" s="560">
        <f t="shared" si="1"/>
        <v>1482.580532637774</v>
      </c>
      <c r="K13" s="558">
        <f>+[5]인천!$G$12</f>
        <v>64500</v>
      </c>
      <c r="L13" s="559">
        <f>+[5]인천!$H$12</f>
        <v>64495.103426005386</v>
      </c>
      <c r="M13" s="560">
        <f t="shared" si="2"/>
        <v>-4.8965739946143003</v>
      </c>
      <c r="N13" s="558">
        <f>+[5]인천!$G$13</f>
        <v>44999.999999999993</v>
      </c>
      <c r="O13" s="559">
        <f>+[5]인천!$H$13</f>
        <v>46075.011842361266</v>
      </c>
      <c r="P13" s="560">
        <f t="shared" si="3"/>
        <v>1075.011842361273</v>
      </c>
      <c r="Q13" s="558">
        <f>+[5]인천!$G$16</f>
        <v>15733.333333333332</v>
      </c>
      <c r="R13" s="559">
        <f>+[5]인천!$H$16</f>
        <v>15596.892523553739</v>
      </c>
      <c r="S13" s="560">
        <f t="shared" si="4"/>
        <v>-136.44080977959311</v>
      </c>
      <c r="T13" s="558">
        <f>+[5]인천!$G$17</f>
        <v>15503.988578846816</v>
      </c>
      <c r="U13" s="559">
        <f>+[5]인천!$H$17</f>
        <v>14141.553460629684</v>
      </c>
      <c r="V13" s="560">
        <f t="shared" si="5"/>
        <v>-1362.4351182171322</v>
      </c>
    </row>
    <row r="14" spans="1:22" ht="24" customHeight="1" x14ac:dyDescent="0.3">
      <c r="D14" s="450" t="s">
        <v>24</v>
      </c>
      <c r="E14" s="558">
        <f>+[5]파주!$G$9</f>
        <v>100000</v>
      </c>
      <c r="F14" s="559">
        <f>+[5]파주!$H$9</f>
        <v>99999.999568591214</v>
      </c>
      <c r="G14" s="560">
        <f t="shared" si="0"/>
        <v>-4.3140878551639616E-4</v>
      </c>
      <c r="H14" s="558">
        <f>+[5]파주!$G$10</f>
        <v>0</v>
      </c>
      <c r="I14" s="559">
        <f>+[5]파주!$H$10</f>
        <v>101196.2471494253</v>
      </c>
      <c r="J14" s="560">
        <f t="shared" si="1"/>
        <v>101196.2471494253</v>
      </c>
      <c r="K14" s="558">
        <f>+[5]파주!$G$12</f>
        <v>64500</v>
      </c>
      <c r="L14" s="559">
        <f>+[5]파주!$H$12</f>
        <v>63901.285837556869</v>
      </c>
      <c r="M14" s="560">
        <f t="shared" si="2"/>
        <v>-598.7141624431315</v>
      </c>
      <c r="N14" s="558">
        <f>+[5]파주!$G$13</f>
        <v>45000.000000000007</v>
      </c>
      <c r="O14" s="559">
        <f>+[5]파주!$H$13</f>
        <v>47392.559727798638</v>
      </c>
      <c r="P14" s="560">
        <f t="shared" si="3"/>
        <v>2392.5597277986308</v>
      </c>
      <c r="Q14" s="558">
        <f>+[5]파주!$G$16</f>
        <v>15266.666666666664</v>
      </c>
      <c r="R14" s="559">
        <f>+[5]파주!$H$16</f>
        <v>16099.098127902264</v>
      </c>
      <c r="S14" s="560">
        <f t="shared" si="4"/>
        <v>832.43146123559927</v>
      </c>
      <c r="T14" s="558">
        <f>+[5]파주!$G$17</f>
        <v>13419.354838709676</v>
      </c>
      <c r="U14" s="559">
        <f>+[5]파주!$H$17</f>
        <v>12418.433778823772</v>
      </c>
      <c r="V14" s="560">
        <f t="shared" si="5"/>
        <v>-1000.9210598859045</v>
      </c>
    </row>
    <row r="15" spans="1:22" ht="24" customHeight="1" x14ac:dyDescent="0.3">
      <c r="D15" s="450" t="s">
        <v>178</v>
      </c>
      <c r="E15" s="558">
        <f>+[5]김포!$G$9</f>
        <v>100000</v>
      </c>
      <c r="F15" s="559">
        <f>+[5]김포!$H$9</f>
        <v>99999.999999999985</v>
      </c>
      <c r="G15" s="560">
        <f t="shared" si="0"/>
        <v>0</v>
      </c>
      <c r="H15" s="558">
        <f>+[5]김포!$G$10</f>
        <v>0</v>
      </c>
      <c r="I15" s="559">
        <f>+[5]김포!$H$10</f>
        <v>0</v>
      </c>
      <c r="J15" s="560">
        <f t="shared" si="1"/>
        <v>0</v>
      </c>
      <c r="K15" s="558">
        <f>+[5]김포!$G$12</f>
        <v>64300</v>
      </c>
      <c r="L15" s="559">
        <f>+[5]김포!$H$12</f>
        <v>63855.085371104935</v>
      </c>
      <c r="M15" s="560">
        <f t="shared" si="2"/>
        <v>-444.91462889506511</v>
      </c>
      <c r="N15" s="558">
        <f>+[5]김포!$G$13</f>
        <v>46000</v>
      </c>
      <c r="O15" s="559">
        <f>+[5]김포!$H$13</f>
        <v>46085.86332679035</v>
      </c>
      <c r="P15" s="560">
        <f t="shared" si="3"/>
        <v>85.863326790349674</v>
      </c>
      <c r="Q15" s="558">
        <f>+[5]김포!$G$16</f>
        <v>14666.666666666666</v>
      </c>
      <c r="R15" s="559">
        <f>+[5]김포!$H$16</f>
        <v>14612.730840825116</v>
      </c>
      <c r="S15" s="560">
        <f t="shared" si="4"/>
        <v>-53.935825841550468</v>
      </c>
      <c r="T15" s="558">
        <f>+[5]김포!$G$17</f>
        <v>14465.780691996957</v>
      </c>
      <c r="U15" s="559">
        <f>+[5]김포!$H$17</f>
        <v>14218.814466418262</v>
      </c>
      <c r="V15" s="560">
        <f t="shared" si="5"/>
        <v>-246.96622557869523</v>
      </c>
    </row>
    <row r="16" spans="1:22" ht="24" customHeight="1" x14ac:dyDescent="0.3">
      <c r="D16" s="485" t="s">
        <v>25</v>
      </c>
      <c r="E16" s="561">
        <f>+[5]부산!$G$9</f>
        <v>100000</v>
      </c>
      <c r="F16" s="562">
        <f>+[5]부산!$H$9</f>
        <v>100000.06700460248</v>
      </c>
      <c r="G16" s="563">
        <f t="shared" si="0"/>
        <v>6.700460247520823E-2</v>
      </c>
      <c r="H16" s="561">
        <f>+[5]부산!$G$10</f>
        <v>92100.000000000015</v>
      </c>
      <c r="I16" s="562">
        <f>+[5]부산!$H$10</f>
        <v>92398.526805249217</v>
      </c>
      <c r="J16" s="563">
        <f t="shared" si="1"/>
        <v>298.52680524920288</v>
      </c>
      <c r="K16" s="561">
        <f>+[5]부산!$G$12</f>
        <v>65000</v>
      </c>
      <c r="L16" s="562">
        <f>+[5]부산!$H$12</f>
        <v>0</v>
      </c>
      <c r="M16" s="563">
        <f t="shared" si="2"/>
        <v>-65000</v>
      </c>
      <c r="N16" s="561">
        <f>+[5]부산!$G$13</f>
        <v>36500</v>
      </c>
      <c r="O16" s="562">
        <f>+[5]부산!$H$13</f>
        <v>36499.994146209174</v>
      </c>
      <c r="P16" s="563">
        <f t="shared" si="3"/>
        <v>-5.8537908262223937E-3</v>
      </c>
      <c r="Q16" s="561">
        <f>+[5]부산!$G$16</f>
        <v>10736.513444967724</v>
      </c>
      <c r="R16" s="562">
        <f>+[5]부산!$H$16</f>
        <v>11894.618385889897</v>
      </c>
      <c r="S16" s="563">
        <f t="shared" si="4"/>
        <v>1158.1049409221723</v>
      </c>
      <c r="T16" s="561">
        <f>+[5]부산!$G$17</f>
        <v>17412.560307625834</v>
      </c>
      <c r="U16" s="562">
        <f>+[5]부산!$H$17</f>
        <v>18307.371016385288</v>
      </c>
      <c r="V16" s="563">
        <f t="shared" si="5"/>
        <v>894.81070875945443</v>
      </c>
    </row>
    <row r="17" spans="4:25" ht="24" customHeight="1" x14ac:dyDescent="0.3">
      <c r="D17" s="450" t="s">
        <v>26</v>
      </c>
      <c r="E17" s="558">
        <f>+[5]서부산!$G$9</f>
        <v>100000</v>
      </c>
      <c r="F17" s="559">
        <f>+[5]서부산!$H$9</f>
        <v>100003.22001201012</v>
      </c>
      <c r="G17" s="560">
        <f t="shared" si="0"/>
        <v>3.2200120101188077</v>
      </c>
      <c r="H17" s="558">
        <f>+[5]서부산!$G$10</f>
        <v>92100.000000000015</v>
      </c>
      <c r="I17" s="559">
        <f>+[5]서부산!$H$10</f>
        <v>92100.030514775761</v>
      </c>
      <c r="J17" s="560">
        <f t="shared" si="1"/>
        <v>3.0514775746269152E-2</v>
      </c>
      <c r="K17" s="558">
        <f>+[5]서부산!$G$12</f>
        <v>65000</v>
      </c>
      <c r="L17" s="559">
        <f>+[5]서부산!$H$12</f>
        <v>64282.696570559194</v>
      </c>
      <c r="M17" s="560">
        <f t="shared" si="2"/>
        <v>-717.30342944080621</v>
      </c>
      <c r="N17" s="558">
        <f>+[5]서부산!$G$13</f>
        <v>35200</v>
      </c>
      <c r="O17" s="559">
        <f>+[5]서부산!$H$13</f>
        <v>35372.014801562291</v>
      </c>
      <c r="P17" s="560">
        <f t="shared" si="3"/>
        <v>172.01480156229081</v>
      </c>
      <c r="Q17" s="558">
        <f>+[5]서부산!$G$16</f>
        <v>10666.666666666666</v>
      </c>
      <c r="R17" s="559">
        <f>+[5]서부산!$H$16</f>
        <v>10682.224673084487</v>
      </c>
      <c r="S17" s="560">
        <f t="shared" si="4"/>
        <v>15.558006417821161</v>
      </c>
      <c r="T17" s="558">
        <f>+[5]서부산!$G$17</f>
        <v>17671.323476209582</v>
      </c>
      <c r="U17" s="559">
        <f>+[5]서부산!$H$17</f>
        <v>17724.003782944845</v>
      </c>
      <c r="V17" s="560">
        <f t="shared" si="5"/>
        <v>52.680306735263002</v>
      </c>
    </row>
    <row r="18" spans="4:25" ht="24" customHeight="1" x14ac:dyDescent="0.3">
      <c r="D18" s="450" t="s">
        <v>27</v>
      </c>
      <c r="E18" s="558">
        <f>+[5]김해!$G$9</f>
        <v>100000</v>
      </c>
      <c r="F18" s="559">
        <f>+[5]김해!$H$9</f>
        <v>100000.00066371093</v>
      </c>
      <c r="G18" s="560">
        <f t="shared" si="0"/>
        <v>6.6371093271300197E-4</v>
      </c>
      <c r="H18" s="558">
        <f>+[5]김해!$G$10</f>
        <v>92100.000000000015</v>
      </c>
      <c r="I18" s="559">
        <f>+[5]김해!$H$10</f>
        <v>92099.999447165523</v>
      </c>
      <c r="J18" s="560">
        <f t="shared" si="1"/>
        <v>-5.528344918275252E-4</v>
      </c>
      <c r="K18" s="558">
        <f>+[5]김해!$G$12</f>
        <v>64000</v>
      </c>
      <c r="L18" s="559">
        <f>+[5]김해!$H$12</f>
        <v>63418.99363449699</v>
      </c>
      <c r="M18" s="560">
        <f t="shared" si="2"/>
        <v>-581.00636550300987</v>
      </c>
      <c r="N18" s="558">
        <f>+[5]김해!$G$13</f>
        <v>35000</v>
      </c>
      <c r="O18" s="559">
        <f>+[5]김해!$H$13</f>
        <v>34999.999602067735</v>
      </c>
      <c r="P18" s="560">
        <f t="shared" si="3"/>
        <v>-3.9793226460460573E-4</v>
      </c>
      <c r="Q18" s="558">
        <f>+[5]김해!$G$16</f>
        <v>9426.6666666666679</v>
      </c>
      <c r="R18" s="559">
        <f>+[5]김해!$H$16</f>
        <v>9179.5287430287462</v>
      </c>
      <c r="S18" s="560">
        <f t="shared" si="4"/>
        <v>-247.13792363792163</v>
      </c>
      <c r="T18" s="558">
        <f>+[5]김해!$G$17</f>
        <v>17730.479017177095</v>
      </c>
      <c r="U18" s="559">
        <f>+[5]김해!$H$17</f>
        <v>15495.492666360176</v>
      </c>
      <c r="V18" s="560">
        <f t="shared" si="5"/>
        <v>-2234.9863508169183</v>
      </c>
    </row>
    <row r="19" spans="4:25" ht="24" customHeight="1" x14ac:dyDescent="0.3">
      <c r="D19" s="450" t="s">
        <v>28</v>
      </c>
      <c r="E19" s="558">
        <f>+[5]정관!$G$9</f>
        <v>100000</v>
      </c>
      <c r="F19" s="559">
        <f>+[5]정관!$H$9</f>
        <v>100002.93772568906</v>
      </c>
      <c r="G19" s="560">
        <f t="shared" si="0"/>
        <v>2.9377256890584249</v>
      </c>
      <c r="H19" s="558">
        <f>+[5]정관!$G$10</f>
        <v>92100</v>
      </c>
      <c r="I19" s="559">
        <f>+[5]정관!$H$10</f>
        <v>92099.996198782086</v>
      </c>
      <c r="J19" s="560">
        <f t="shared" si="1"/>
        <v>-3.8012179138604552E-3</v>
      </c>
      <c r="K19" s="558">
        <f>+[5]정관!$G$12</f>
        <v>63500</v>
      </c>
      <c r="L19" s="559">
        <f>+[5]정관!$H$12</f>
        <v>62028.601926930351</v>
      </c>
      <c r="M19" s="560">
        <f t="shared" si="2"/>
        <v>-1471.3980730696494</v>
      </c>
      <c r="N19" s="558">
        <f>+[5]정관!$G$13</f>
        <v>35499.999999999993</v>
      </c>
      <c r="O19" s="559">
        <f>+[5]정관!$H$13</f>
        <v>35499.995904759897</v>
      </c>
      <c r="P19" s="560">
        <f t="shared" si="3"/>
        <v>-4.0952400959213264E-3</v>
      </c>
      <c r="Q19" s="558">
        <f>+[5]정관!$G$16</f>
        <v>10733.333333333332</v>
      </c>
      <c r="R19" s="559">
        <f>+[5]정관!$H$16</f>
        <v>11189.502209121607</v>
      </c>
      <c r="S19" s="560">
        <f t="shared" si="4"/>
        <v>456.16887578827482</v>
      </c>
      <c r="T19" s="558">
        <f>+[5]정관!$G$17</f>
        <v>18315.171013635976</v>
      </c>
      <c r="U19" s="559">
        <f>+[5]정관!$H$17</f>
        <v>18891.313289890422</v>
      </c>
      <c r="V19" s="560">
        <f t="shared" si="5"/>
        <v>576.14227625444619</v>
      </c>
    </row>
    <row r="20" spans="4:25" ht="24" customHeight="1" x14ac:dyDescent="0.3">
      <c r="D20" s="450" t="s">
        <v>29</v>
      </c>
      <c r="E20" s="558">
        <f>+[5]양산!$G$9</f>
        <v>100000</v>
      </c>
      <c r="F20" s="559">
        <f>+[5]양산!$H$9</f>
        <v>99923.671938735439</v>
      </c>
      <c r="G20" s="560">
        <f t="shared" si="0"/>
        <v>-76.328061264561256</v>
      </c>
      <c r="H20" s="558">
        <f>+[5]양산!$G$10</f>
        <v>92100</v>
      </c>
      <c r="I20" s="559">
        <f>+[5]양산!$H$10</f>
        <v>102200.0024499365</v>
      </c>
      <c r="J20" s="560">
        <f t="shared" si="1"/>
        <v>10100.002449936495</v>
      </c>
      <c r="K20" s="558">
        <f>+[5]양산!$G$12</f>
        <v>63000</v>
      </c>
      <c r="L20" s="559">
        <f>+[5]양산!$H$12</f>
        <v>62155.087212086837</v>
      </c>
      <c r="M20" s="560">
        <f t="shared" si="2"/>
        <v>-844.9127879131629</v>
      </c>
      <c r="N20" s="558">
        <f>+[5]양산!$G$13</f>
        <v>36000</v>
      </c>
      <c r="O20" s="559">
        <f>+[5]양산!$H$13</f>
        <v>36000.013969355321</v>
      </c>
      <c r="P20" s="560">
        <f t="shared" si="3"/>
        <v>1.3969355321023613E-2</v>
      </c>
      <c r="Q20" s="558">
        <f>+[5]양산!$G$16</f>
        <v>9066.6666666666679</v>
      </c>
      <c r="R20" s="559">
        <f>+[5]양산!$H$16</f>
        <v>9483.863589262226</v>
      </c>
      <c r="S20" s="560">
        <f t="shared" si="4"/>
        <v>417.19692259555814</v>
      </c>
      <c r="T20" s="558">
        <f>+[5]양산!$G$17</f>
        <v>17446.695345461932</v>
      </c>
      <c r="U20" s="559">
        <f>+[5]양산!$H$17</f>
        <v>17292.596278079469</v>
      </c>
      <c r="V20" s="560">
        <f t="shared" si="5"/>
        <v>-154.09906738246355</v>
      </c>
    </row>
    <row r="21" spans="4:25" ht="24" customHeight="1" x14ac:dyDescent="0.3">
      <c r="D21" s="450" t="s">
        <v>30</v>
      </c>
      <c r="E21" s="558">
        <f>+[5]창원!$G$9</f>
        <v>100000</v>
      </c>
      <c r="F21" s="559">
        <f>+[5]창원!$H$9</f>
        <v>100000.0002849655</v>
      </c>
      <c r="G21" s="560">
        <f t="shared" si="0"/>
        <v>2.8496549930423498E-4</v>
      </c>
      <c r="H21" s="558">
        <f>+[5]창원!$G$10</f>
        <v>0</v>
      </c>
      <c r="I21" s="559">
        <f>+[5]창원!$H$10</f>
        <v>0</v>
      </c>
      <c r="J21" s="560">
        <f t="shared" si="1"/>
        <v>0</v>
      </c>
      <c r="K21" s="558">
        <f>+[5]창원!$G$12</f>
        <v>65000</v>
      </c>
      <c r="L21" s="559">
        <f>+[5]창원!$H$12</f>
        <v>64222.057582515146</v>
      </c>
      <c r="M21" s="560">
        <f t="shared" si="2"/>
        <v>-777.94241748485365</v>
      </c>
      <c r="N21" s="558">
        <f>+[5]창원!$G$13</f>
        <v>33000</v>
      </c>
      <c r="O21" s="559">
        <f>+[5]창원!$H$13</f>
        <v>33000.009726092234</v>
      </c>
      <c r="P21" s="560">
        <f t="shared" si="3"/>
        <v>9.7260922339046374E-3</v>
      </c>
      <c r="Q21" s="558">
        <f>+[5]창원!$G$16</f>
        <v>10400</v>
      </c>
      <c r="R21" s="559">
        <f>+[5]창원!$H$16</f>
        <v>11079.969764027956</v>
      </c>
      <c r="S21" s="560">
        <f t="shared" si="4"/>
        <v>679.96976402795553</v>
      </c>
      <c r="T21" s="558">
        <f>+[5]창원!$G$17</f>
        <v>17019.566391856468</v>
      </c>
      <c r="U21" s="559">
        <f>+[5]창원!$H$17</f>
        <v>17007.390563214816</v>
      </c>
      <c r="V21" s="560">
        <f t="shared" si="5"/>
        <v>-12.175828641651606</v>
      </c>
      <c r="Y21" s="542"/>
    </row>
    <row r="22" spans="4:25" ht="24" customHeight="1" x14ac:dyDescent="0.3">
      <c r="D22" s="450" t="s">
        <v>95</v>
      </c>
      <c r="E22" s="558">
        <f>+[5]대구!$G$9</f>
        <v>100000</v>
      </c>
      <c r="F22" s="559">
        <f>+[5]대구!$H$9</f>
        <v>99999.999999999985</v>
      </c>
      <c r="G22" s="560">
        <f t="shared" si="0"/>
        <v>0</v>
      </c>
      <c r="H22" s="558">
        <f>+[5]대구!$G$10</f>
        <v>0</v>
      </c>
      <c r="I22" s="559">
        <f>+[5]대구!$H$10</f>
        <v>0</v>
      </c>
      <c r="J22" s="560">
        <f t="shared" si="1"/>
        <v>0</v>
      </c>
      <c r="K22" s="558">
        <f>+[5]대구!$G$12</f>
        <v>62500</v>
      </c>
      <c r="L22" s="559">
        <f>+[5]대구!$H$12</f>
        <v>61220.305106031985</v>
      </c>
      <c r="M22" s="560">
        <f t="shared" si="2"/>
        <v>-1279.6948939680151</v>
      </c>
      <c r="N22" s="558">
        <f>+[5]대구!$G$13</f>
        <v>35500</v>
      </c>
      <c r="O22" s="559">
        <f>+[5]대구!$H$13</f>
        <v>35405.447891291435</v>
      </c>
      <c r="P22" s="560">
        <f t="shared" si="3"/>
        <v>-94.552108708565356</v>
      </c>
      <c r="Q22" s="558">
        <f>+[5]대구!$G$16</f>
        <v>10466.666666666666</v>
      </c>
      <c r="R22" s="559">
        <f>+[5]대구!$H$16</f>
        <v>11130.640427899871</v>
      </c>
      <c r="S22" s="560">
        <f t="shared" si="4"/>
        <v>663.97376123320464</v>
      </c>
      <c r="T22" s="558">
        <f>+[5]대구!$G$17</f>
        <v>14718.131256952165</v>
      </c>
      <c r="U22" s="559">
        <f>+[5]대구!$H$17</f>
        <v>14264.900745625115</v>
      </c>
      <c r="V22" s="560">
        <f t="shared" si="5"/>
        <v>-453.23051132705041</v>
      </c>
    </row>
    <row r="23" spans="4:25" ht="24" customHeight="1" x14ac:dyDescent="0.3">
      <c r="D23" s="450" t="s">
        <v>97</v>
      </c>
      <c r="E23" s="558">
        <f>+[5]울산!$G$9</f>
        <v>99999.999999999985</v>
      </c>
      <c r="F23" s="559">
        <f>+[5]울산!$H$9</f>
        <v>100000.03334425577</v>
      </c>
      <c r="G23" s="560">
        <f t="shared" si="0"/>
        <v>3.3344255789415911E-2</v>
      </c>
      <c r="H23" s="558">
        <f>+[5]울산!$G$10</f>
        <v>0</v>
      </c>
      <c r="I23" s="559">
        <f>+[5]울산!$H$10</f>
        <v>0</v>
      </c>
      <c r="J23" s="560">
        <f t="shared" si="1"/>
        <v>0</v>
      </c>
      <c r="K23" s="558">
        <f>+[5]울산!$G$12</f>
        <v>61300.000000000007</v>
      </c>
      <c r="L23" s="559">
        <f>+[5]울산!$H$12</f>
        <v>60203.777407241578</v>
      </c>
      <c r="M23" s="560">
        <f t="shared" si="2"/>
        <v>-1096.2225927584295</v>
      </c>
      <c r="N23" s="558">
        <f>+[5]울산!$G$13</f>
        <v>37000</v>
      </c>
      <c r="O23" s="559">
        <f>+[5]울산!$H$13</f>
        <v>36999.998632668197</v>
      </c>
      <c r="P23" s="560">
        <f t="shared" si="3"/>
        <v>-1.3673318026121706E-3</v>
      </c>
      <c r="Q23" s="558">
        <f>+[5]울산!$G$16</f>
        <v>10913.333333333334</v>
      </c>
      <c r="R23" s="559">
        <f>+[5]울산!$H$16</f>
        <v>11883.902326864978</v>
      </c>
      <c r="S23" s="560">
        <f t="shared" si="4"/>
        <v>970.56899353164408</v>
      </c>
      <c r="T23" s="558">
        <f>+[5]울산!$G$17</f>
        <v>19031.069854464051</v>
      </c>
      <c r="U23" s="559">
        <f>+[5]울산!$H$17</f>
        <v>19458.741920900044</v>
      </c>
      <c r="V23" s="560">
        <f t="shared" si="5"/>
        <v>427.67206643599275</v>
      </c>
    </row>
    <row r="24" spans="4:25" ht="24" customHeight="1" x14ac:dyDescent="0.3">
      <c r="D24" s="485" t="s">
        <v>31</v>
      </c>
      <c r="E24" s="561">
        <f>+[5]아산!$G$9</f>
        <v>100000</v>
      </c>
      <c r="F24" s="562">
        <f>+[5]아산!$H$9</f>
        <v>99956.02966578315</v>
      </c>
      <c r="G24" s="563">
        <f t="shared" si="0"/>
        <v>-43.970334216850461</v>
      </c>
      <c r="H24" s="561">
        <f>+[5]아산!$G$10</f>
        <v>87100</v>
      </c>
      <c r="I24" s="562">
        <f>+[5]아산!$H$10</f>
        <v>86600.797604426829</v>
      </c>
      <c r="J24" s="563">
        <f t="shared" si="1"/>
        <v>-499.20239557317109</v>
      </c>
      <c r="K24" s="561">
        <f>+[5]아산!$G$12</f>
        <v>64500</v>
      </c>
      <c r="L24" s="562">
        <f>+[5]아산!$H$12</f>
        <v>64482.778202214649</v>
      </c>
      <c r="M24" s="563">
        <f t="shared" si="2"/>
        <v>-17.221797785350645</v>
      </c>
      <c r="N24" s="561">
        <f>+[5]아산!$G$13</f>
        <v>42000</v>
      </c>
      <c r="O24" s="562">
        <f>+[5]아산!$H$13</f>
        <v>42184.190661925408</v>
      </c>
      <c r="P24" s="563">
        <f t="shared" si="3"/>
        <v>184.19066192540777</v>
      </c>
      <c r="Q24" s="561">
        <f>+[5]아산!$G$16</f>
        <v>10933.333333333336</v>
      </c>
      <c r="R24" s="562">
        <f>+[5]아산!$H$16</f>
        <v>11351.192226402734</v>
      </c>
      <c r="S24" s="563">
        <f t="shared" si="4"/>
        <v>417.85889306939862</v>
      </c>
      <c r="T24" s="561">
        <f>+[5]아산!$G$17</f>
        <v>13742.308305428276</v>
      </c>
      <c r="U24" s="562">
        <f>+[5]아산!$H$17</f>
        <v>13137.421440848459</v>
      </c>
      <c r="V24" s="563">
        <f t="shared" si="5"/>
        <v>-604.88686457981748</v>
      </c>
    </row>
    <row r="25" spans="4:25" ht="24" customHeight="1" x14ac:dyDescent="0.3">
      <c r="D25" s="450" t="s">
        <v>34</v>
      </c>
      <c r="E25" s="558">
        <f>+[5]전주!$G$9</f>
        <v>100000</v>
      </c>
      <c r="F25" s="559">
        <f>+[5]전주!$H$9</f>
        <v>99910.001725453534</v>
      </c>
      <c r="G25" s="560">
        <f t="shared" si="0"/>
        <v>-89.998274546465836</v>
      </c>
      <c r="H25" s="558">
        <f>+[5]전주!$G$10</f>
        <v>0</v>
      </c>
      <c r="I25" s="559">
        <f>+[5]전주!$H$10</f>
        <v>97456.060542514751</v>
      </c>
      <c r="J25" s="560">
        <f t="shared" si="1"/>
        <v>97456.060542514751</v>
      </c>
      <c r="K25" s="558">
        <f>+[5]전주!$G$12</f>
        <v>65000</v>
      </c>
      <c r="L25" s="559">
        <f>+[5]전주!$H$12</f>
        <v>65000.014264747944</v>
      </c>
      <c r="M25" s="560">
        <f t="shared" si="2"/>
        <v>1.4264747944253031E-2</v>
      </c>
      <c r="N25" s="558">
        <f>+[5]전주!$G$13</f>
        <v>36000</v>
      </c>
      <c r="O25" s="559">
        <f>+[5]전주!$H$13</f>
        <v>35999.957620280962</v>
      </c>
      <c r="P25" s="560">
        <f t="shared" si="3"/>
        <v>-4.2379719037853647E-2</v>
      </c>
      <c r="Q25" s="558">
        <f>+[5]전주!$G$16</f>
        <v>12533.333333333336</v>
      </c>
      <c r="R25" s="559">
        <f>+[5]전주!$H$16</f>
        <v>12989.613692306952</v>
      </c>
      <c r="S25" s="560">
        <f t="shared" si="4"/>
        <v>456.28035897361588</v>
      </c>
      <c r="T25" s="558">
        <f>+[5]전주!$G$17</f>
        <v>14400.092369092201</v>
      </c>
      <c r="U25" s="559">
        <f>+[5]전주!$H$17</f>
        <v>15120.902799773487</v>
      </c>
      <c r="V25" s="560">
        <f t="shared" si="5"/>
        <v>720.81043068128565</v>
      </c>
    </row>
    <row r="26" spans="4:25" ht="24" customHeight="1" x14ac:dyDescent="0.3">
      <c r="D26" s="450" t="s">
        <v>33</v>
      </c>
      <c r="E26" s="558">
        <f>+[5]군산!$G$9</f>
        <v>100000</v>
      </c>
      <c r="F26" s="559">
        <f>+[5]군산!$H$9</f>
        <v>100000</v>
      </c>
      <c r="G26" s="560">
        <f t="shared" si="0"/>
        <v>0</v>
      </c>
      <c r="H26" s="558">
        <f>+[5]군산!$G$10</f>
        <v>95000</v>
      </c>
      <c r="I26" s="559">
        <f>+[5]군산!$H$10</f>
        <v>93172.54925907834</v>
      </c>
      <c r="J26" s="560">
        <f t="shared" si="1"/>
        <v>-1827.4507409216603</v>
      </c>
      <c r="K26" s="558">
        <f>+[5]군산!$G$12</f>
        <v>64900.000000000007</v>
      </c>
      <c r="L26" s="559">
        <f>+[5]군산!$H$12</f>
        <v>64873.930196012079</v>
      </c>
      <c r="M26" s="560">
        <f t="shared" si="2"/>
        <v>-26.069803987928026</v>
      </c>
      <c r="N26" s="558">
        <f>+[5]군산!$G$13</f>
        <v>37500</v>
      </c>
      <c r="O26" s="559">
        <f>+[5]군산!$H$13</f>
        <v>39139.402676801277</v>
      </c>
      <c r="P26" s="560">
        <f t="shared" si="3"/>
        <v>1639.4026768012773</v>
      </c>
      <c r="Q26" s="558">
        <f>+[5]군산!$G$16</f>
        <v>13666.666666666666</v>
      </c>
      <c r="R26" s="559">
        <f>+[5]군산!$H$16</f>
        <v>14173.793178450531</v>
      </c>
      <c r="S26" s="560">
        <f t="shared" si="4"/>
        <v>507.12651178386477</v>
      </c>
      <c r="T26" s="558">
        <f>+[5]군산!$G$17</f>
        <v>14837.329653268933</v>
      </c>
      <c r="U26" s="559">
        <f>+[5]군산!$H$17</f>
        <v>15306.233681211583</v>
      </c>
      <c r="V26" s="560">
        <f t="shared" si="5"/>
        <v>468.90402794264992</v>
      </c>
    </row>
    <row r="27" spans="4:25" ht="24" customHeight="1" x14ac:dyDescent="0.3">
      <c r="D27" s="450" t="s">
        <v>32</v>
      </c>
      <c r="E27" s="558">
        <f>+[5]원주!$G$9</f>
        <v>100000</v>
      </c>
      <c r="F27" s="559">
        <f>+[5]원주!$H$9</f>
        <v>99999.999999999985</v>
      </c>
      <c r="G27" s="560">
        <f t="shared" si="0"/>
        <v>0</v>
      </c>
      <c r="H27" s="558">
        <f>+[5]원주!$G$10</f>
        <v>0</v>
      </c>
      <c r="I27" s="559">
        <f>+[5]원주!$H$10</f>
        <v>0</v>
      </c>
      <c r="J27" s="560">
        <f t="shared" si="1"/>
        <v>0</v>
      </c>
      <c r="K27" s="558">
        <f>+[5]원주!$G$12</f>
        <v>64000</v>
      </c>
      <c r="L27" s="559">
        <f>+[5]원주!$H$12</f>
        <v>63999.764780998034</v>
      </c>
      <c r="M27" s="560">
        <f t="shared" si="2"/>
        <v>-0.23521900196647039</v>
      </c>
      <c r="N27" s="558">
        <f>+[5]원주!$G$13</f>
        <v>49000</v>
      </c>
      <c r="O27" s="559">
        <f>+[5]원주!$H$13</f>
        <v>49000.007468677722</v>
      </c>
      <c r="P27" s="560">
        <f t="shared" si="3"/>
        <v>7.4686777224997059E-3</v>
      </c>
      <c r="Q27" s="558">
        <f>+[5]원주!$G$16</f>
        <v>13666.666666666666</v>
      </c>
      <c r="R27" s="559">
        <f>+[5]원주!$H$16</f>
        <v>13569.335997006005</v>
      </c>
      <c r="S27" s="560">
        <f t="shared" si="4"/>
        <v>-97.330669660661442</v>
      </c>
      <c r="T27" s="558">
        <f>+[5]원주!$G$17</f>
        <v>13419.354838709678</v>
      </c>
      <c r="U27" s="559">
        <f>+[5]원주!$H$17</f>
        <v>13693.556704114473</v>
      </c>
      <c r="V27" s="560">
        <f t="shared" si="5"/>
        <v>274.20186540479517</v>
      </c>
    </row>
    <row r="28" spans="4:25" ht="24" customHeight="1" x14ac:dyDescent="0.3">
      <c r="D28" s="499" t="s">
        <v>35</v>
      </c>
      <c r="E28" s="564">
        <f>+[5]제주!$G$9</f>
        <v>117000</v>
      </c>
      <c r="F28" s="565">
        <f>+[5]제주!$H$9</f>
        <v>116999.9940135919</v>
      </c>
      <c r="G28" s="566">
        <f t="shared" si="0"/>
        <v>-5.9864080976694822E-3</v>
      </c>
      <c r="H28" s="564">
        <f>+[5]제주!$G$10</f>
        <v>0</v>
      </c>
      <c r="I28" s="565">
        <f>+[5]제주!$H$10</f>
        <v>0</v>
      </c>
      <c r="J28" s="566">
        <f t="shared" si="1"/>
        <v>0</v>
      </c>
      <c r="K28" s="564">
        <f>+[5]제주!$G$12</f>
        <v>0</v>
      </c>
      <c r="L28" s="565">
        <f>+[5]제주!$H$12</f>
        <v>0</v>
      </c>
      <c r="M28" s="566">
        <f t="shared" si="2"/>
        <v>0</v>
      </c>
      <c r="N28" s="564">
        <f>+[5]제주!$G$13</f>
        <v>0</v>
      </c>
      <c r="O28" s="565">
        <f>+[5]제주!$H$13</f>
        <v>0</v>
      </c>
      <c r="P28" s="566">
        <f t="shared" si="3"/>
        <v>0</v>
      </c>
      <c r="Q28" s="564">
        <f>+[5]제주!$G$16</f>
        <v>18143.333333333336</v>
      </c>
      <c r="R28" s="565">
        <f>+[5]제주!$H$16</f>
        <v>18024.793164384115</v>
      </c>
      <c r="S28" s="566">
        <f t="shared" si="4"/>
        <v>-118.54016894922097</v>
      </c>
      <c r="T28" s="564">
        <f>+[5]제주!$G$17</f>
        <v>18359.608288631152</v>
      </c>
      <c r="U28" s="565">
        <f>+[5]제주!$H$17</f>
        <v>18766.126051626979</v>
      </c>
      <c r="V28" s="566">
        <f t="shared" si="5"/>
        <v>406.51776299582707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 codeName="Sheet8"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Y29" sqref="Y29"/>
      <selection pane="topRight" activeCell="Y29" sqref="Y29"/>
      <selection pane="bottomLeft" activeCell="Y29" sqref="Y29"/>
      <selection pane="bottomRight" activeCell="O15" sqref="O15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183" t="s">
        <v>242</v>
      </c>
      <c r="F4" s="183"/>
      <c r="I4" s="183"/>
    </row>
    <row r="5" spans="1:22" ht="21.95" customHeight="1" x14ac:dyDescent="0.3">
      <c r="V5" s="185" t="s">
        <v>157</v>
      </c>
    </row>
    <row r="6" spans="1:22" ht="24" customHeight="1" thickBot="1" x14ac:dyDescent="0.35">
      <c r="A6" s="6" t="s">
        <v>235</v>
      </c>
      <c r="D6" s="840" t="s">
        <v>11</v>
      </c>
      <c r="E6" s="438" t="s">
        <v>158</v>
      </c>
      <c r="F6" s="439"/>
      <c r="G6" s="440"/>
      <c r="H6" s="438" t="s">
        <v>159</v>
      </c>
      <c r="I6" s="439"/>
      <c r="J6" s="440"/>
      <c r="K6" s="438" t="s">
        <v>160</v>
      </c>
      <c r="L6" s="439"/>
      <c r="M6" s="440"/>
      <c r="N6" s="438" t="s">
        <v>161</v>
      </c>
      <c r="O6" s="439"/>
      <c r="P6" s="440"/>
      <c r="Q6" s="438" t="s">
        <v>162</v>
      </c>
      <c r="R6" s="439"/>
      <c r="S6" s="440"/>
      <c r="T6" s="438" t="s">
        <v>163</v>
      </c>
      <c r="U6" s="439"/>
      <c r="V6" s="440"/>
    </row>
    <row r="7" spans="1:22" ht="24" customHeight="1" x14ac:dyDescent="0.3">
      <c r="D7" s="841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1:22" ht="24" customHeight="1" x14ac:dyDescent="0.3">
      <c r="D8" s="469" t="s">
        <v>47</v>
      </c>
      <c r="E8" s="459">
        <f>+[5]합계!$E$9</f>
        <v>259.09074136428831</v>
      </c>
      <c r="F8" s="461">
        <f>+[5]합계!$F$9</f>
        <v>277.42269788242118</v>
      </c>
      <c r="G8" s="486">
        <f>+F8-E8</f>
        <v>18.33195651813287</v>
      </c>
      <c r="H8" s="459">
        <f>+[5]합계!$E$15</f>
        <v>351.71425753161685</v>
      </c>
      <c r="I8" s="461">
        <f>+[5]합계!$F$15</f>
        <v>375.76830161043773</v>
      </c>
      <c r="J8" s="486">
        <f>+I8-H8</f>
        <v>24.05404407882088</v>
      </c>
      <c r="K8" s="530">
        <f>+([5]합계!$E$10*0.4+[5]합계!$E$11+[5]합계!$E$12+[5]합계!$E$13+[5]합계!$E$14)/[5]합계!$E$15</f>
        <v>0.22256195986178545</v>
      </c>
      <c r="L8" s="531">
        <f>+([5]합계!$F$10*0.4+[5]합계!$F$11+[5]합계!$F$12+[5]합계!$F$13+[5]합계!$F$14)/[5]합계!$F$15</f>
        <v>0.21262998621731483</v>
      </c>
      <c r="M8" s="532">
        <f>+L8-K8</f>
        <v>-9.9319736444706264E-3</v>
      </c>
      <c r="N8" s="459">
        <f>+[5]합계!$E$16</f>
        <v>824.91189379407797</v>
      </c>
      <c r="O8" s="461">
        <f>+[5]합계!$F$16</f>
        <v>823.12898555890092</v>
      </c>
      <c r="P8" s="486">
        <f>+O8-N8</f>
        <v>-1.7829082351770467</v>
      </c>
      <c r="Q8" s="459">
        <f>+[5]합계!$E$17</f>
        <v>901.90840249315011</v>
      </c>
      <c r="R8" s="461">
        <f>+[5]합계!$F$17</f>
        <v>904.29636852109957</v>
      </c>
      <c r="S8" s="486">
        <f>+R8-Q8</f>
        <v>2.3879660279494601</v>
      </c>
      <c r="T8" s="459">
        <f>+[5]합계!$E$19</f>
        <v>3.1637152048780788</v>
      </c>
      <c r="U8" s="461">
        <f>+[5]합계!$F$19</f>
        <v>3.2358222702173616</v>
      </c>
      <c r="V8" s="486">
        <f>+U8-T8</f>
        <v>7.2107065339282794E-2</v>
      </c>
    </row>
    <row r="9" spans="1:22" ht="24" customHeight="1" x14ac:dyDescent="0.3">
      <c r="D9" s="470" t="s">
        <v>19</v>
      </c>
      <c r="E9" s="464">
        <f>+[5]수도권!$E$9</f>
        <v>284.48712757201645</v>
      </c>
      <c r="F9" s="478">
        <f>+[5]수도권!$F$9</f>
        <v>299.59017509257001</v>
      </c>
      <c r="G9" s="487">
        <f t="shared" ref="G9:G28" si="0">+F9-E9</f>
        <v>15.103047520553559</v>
      </c>
      <c r="H9" s="464">
        <f>+[5]수도권!$E$15</f>
        <v>354.84399999999999</v>
      </c>
      <c r="I9" s="478">
        <f>+[5]수도권!$F$15</f>
        <v>379.51410797685259</v>
      </c>
      <c r="J9" s="487">
        <f t="shared" ref="J9:J28" si="1">+I9-H9</f>
        <v>24.670107976852591</v>
      </c>
      <c r="K9" s="536">
        <f>+([5]수도권!$E$10*0.4+[5]수도권!$E$11+[5]수도권!$E$12+[5]수도권!$E$13+[5]수도권!$E$14)/[5]수도권!$E$15</f>
        <v>0.18775795430976613</v>
      </c>
      <c r="L9" s="537">
        <f>+([5]수도권!$F$10*0.4+[5]수도권!$F$11+[5]수도권!$F$12+[5]수도권!$F$13+[5]수도권!$F$14)/[5]수도권!$F$15</f>
        <v>0.18633678601289119</v>
      </c>
      <c r="M9" s="533">
        <f t="shared" ref="M9:M28" si="2">+L9-K9</f>
        <v>-1.4211682968749417E-3</v>
      </c>
      <c r="N9" s="464">
        <f>+[5]수도권!$E$16</f>
        <v>856.08836213991765</v>
      </c>
      <c r="O9" s="478">
        <f>+[5]수도권!$F$16</f>
        <v>862.65939559570506</v>
      </c>
      <c r="P9" s="487">
        <f t="shared" ref="P9:P28" si="3">+O9-N9</f>
        <v>6.5710334557874148</v>
      </c>
      <c r="Q9" s="464">
        <f>+[5]수도권!$E$17</f>
        <v>880.3243950617283</v>
      </c>
      <c r="R9" s="478">
        <f>+[5]수도권!$F$17</f>
        <v>874.08221462330005</v>
      </c>
      <c r="S9" s="487">
        <f t="shared" ref="S9:S28" si="4">+R9-Q9</f>
        <v>-6.2421804384282495</v>
      </c>
      <c r="T9" s="464">
        <f>+[5]수도권!$E$19</f>
        <v>3.0867048559670782</v>
      </c>
      <c r="U9" s="478">
        <f>+[5]수도권!$F$19</f>
        <v>3.2398828498595167</v>
      </c>
      <c r="V9" s="487">
        <f t="shared" ref="V9:V28" si="5">+U9-T9</f>
        <v>0.15317799389243847</v>
      </c>
    </row>
    <row r="10" spans="1:22" ht="24" customHeight="1" x14ac:dyDescent="0.3">
      <c r="D10" s="471" t="s">
        <v>20</v>
      </c>
      <c r="E10" s="466">
        <f>+[5]영남권!$E$9</f>
        <v>236.15119166001611</v>
      </c>
      <c r="F10" s="479">
        <f>+[5]영남권!$F$9</f>
        <v>241.72751470707399</v>
      </c>
      <c r="G10" s="488">
        <f t="shared" si="0"/>
        <v>5.5763230470578833</v>
      </c>
      <c r="H10" s="466">
        <f>+[5]영남권!$E$15</f>
        <v>349.44642587897761</v>
      </c>
      <c r="I10" s="479">
        <f>+[5]영남권!$F$15</f>
        <v>369.92379191313518</v>
      </c>
      <c r="J10" s="488">
        <f t="shared" si="1"/>
        <v>20.477366034157569</v>
      </c>
      <c r="K10" s="538">
        <f>+([5]영남권!$E$10*0.4+[5]영남권!$E$11+[5]영남권!$E$12+[5]영남권!$E$13+[5]영남권!$E$14)/[5]영남권!$E$15</f>
        <v>0.26238787431066352</v>
      </c>
      <c r="L10" s="539">
        <f>+([5]영남권!$F$10*0.4+[5]영남권!$F$11+[5]영남권!$F$12+[5]영남권!$F$13+[5]영남권!$F$14)/[5]영남권!$F$15</f>
        <v>0.26143077823734984</v>
      </c>
      <c r="M10" s="534">
        <f t="shared" si="2"/>
        <v>-9.5709607331367907E-4</v>
      </c>
      <c r="N10" s="466">
        <f>+[5]영남권!$E$16</f>
        <v>804.77483881078842</v>
      </c>
      <c r="O10" s="479">
        <f>+[5]영남권!$F$16</f>
        <v>793.61608986305816</v>
      </c>
      <c r="P10" s="488">
        <f t="shared" si="3"/>
        <v>-11.15874894773026</v>
      </c>
      <c r="Q10" s="466">
        <f>+[5]영남권!$E$17</f>
        <v>911.96067955417959</v>
      </c>
      <c r="R10" s="479">
        <f>+[5]영남권!$F$17</f>
        <v>918.7384652783403</v>
      </c>
      <c r="S10" s="488">
        <f t="shared" si="4"/>
        <v>6.777785724160708</v>
      </c>
      <c r="T10" s="466">
        <f>+[5]영남권!$E$19</f>
        <v>3.3166940900429047</v>
      </c>
      <c r="U10" s="479">
        <f>+[5]영남권!$F$19</f>
        <v>3.2976656267725462</v>
      </c>
      <c r="V10" s="488">
        <f t="shared" si="5"/>
        <v>-1.9028463270358564E-2</v>
      </c>
    </row>
    <row r="11" spans="1:22" ht="24" customHeight="1" x14ac:dyDescent="0.3">
      <c r="D11" s="472" t="s">
        <v>57</v>
      </c>
      <c r="E11" s="467">
        <f>+[5]중부권!$E$9</f>
        <v>261.02983050847456</v>
      </c>
      <c r="F11" s="480">
        <f>+[5]중부권!$F$9</f>
        <v>317.01878027292111</v>
      </c>
      <c r="G11" s="489">
        <f t="shared" si="0"/>
        <v>55.988949764446545</v>
      </c>
      <c r="H11" s="467">
        <f>+[5]중부권!$E$15</f>
        <v>350.63118644067799</v>
      </c>
      <c r="I11" s="480">
        <f>+[5]중부권!$F$15</f>
        <v>382.00690604381606</v>
      </c>
      <c r="J11" s="489">
        <f t="shared" si="1"/>
        <v>31.375719603138066</v>
      </c>
      <c r="K11" s="540">
        <f>+([5]중부권!$E$10*0.4+[5]중부권!$E$11+[5]중부권!$E$12+[5]중부권!$E$13+[5]중부권!$E$14)/[5]중부권!$E$15</f>
        <v>0.20124927249840963</v>
      </c>
      <c r="L11" s="541">
        <f>+([5]중부권!$F$10*0.4+[5]중부권!$F$11+[5]중부권!$F$12+[5]중부권!$F$13+[5]중부권!$F$14)/[5]중부권!$F$15</f>
        <v>0.15341935540174473</v>
      </c>
      <c r="M11" s="535">
        <f t="shared" si="2"/>
        <v>-4.7829917096664898E-2</v>
      </c>
      <c r="N11" s="467">
        <f>+[5]중부권!$E$16</f>
        <v>808.32169491525417</v>
      </c>
      <c r="O11" s="480">
        <f>+[5]중부권!$F$16</f>
        <v>811.24929028721374</v>
      </c>
      <c r="P11" s="489">
        <f t="shared" si="3"/>
        <v>2.9275953719595691</v>
      </c>
      <c r="Q11" s="467">
        <f>+[5]중부권!$E$17</f>
        <v>922.58915254237297</v>
      </c>
      <c r="R11" s="480">
        <f>+[5]중부권!$F$17</f>
        <v>932.98441568612111</v>
      </c>
      <c r="S11" s="489">
        <f t="shared" si="4"/>
        <v>10.395263143748139</v>
      </c>
      <c r="T11" s="467">
        <f>+[5]중부권!$E$19</f>
        <v>2.9606000000000003</v>
      </c>
      <c r="U11" s="480">
        <f>+[5]중부권!$F$19</f>
        <v>3.0778540243162276</v>
      </c>
      <c r="V11" s="489">
        <f t="shared" si="5"/>
        <v>0.11725402431622722</v>
      </c>
    </row>
    <row r="12" spans="1:22" ht="24" customHeight="1" x14ac:dyDescent="0.3">
      <c r="D12" s="484" t="s">
        <v>22</v>
      </c>
      <c r="E12" s="446">
        <f>+[5]안양!$E$9</f>
        <v>300.39999999999992</v>
      </c>
      <c r="F12" s="447">
        <f>+[5]안양!$F$9</f>
        <v>317.92703631647203</v>
      </c>
      <c r="G12" s="448">
        <f t="shared" si="0"/>
        <v>17.527036316472106</v>
      </c>
      <c r="H12" s="446">
        <f>+[5]안양!$E$15</f>
        <v>366.59999999999991</v>
      </c>
      <c r="I12" s="447">
        <f>+[5]안양!$F$15</f>
        <v>378.30560778210111</v>
      </c>
      <c r="J12" s="448">
        <f t="shared" si="1"/>
        <v>11.705607782101197</v>
      </c>
      <c r="K12" s="504">
        <f>+([5]안양!$E$10*0.4+[5]안양!$E$11+[5]안양!$E$12+[5]안양!$E$13+[5]안양!$E$14)/[5]안양!$E$15</f>
        <v>0.16748499727223137</v>
      </c>
      <c r="L12" s="505">
        <f>+([5]안양!$F$10*0.4+[5]안양!$F$11+[5]안양!$F$12+[5]안양!$F$13+[5]안양!$F$14)/[5]안양!$F$15</f>
        <v>0.15071146117855547</v>
      </c>
      <c r="M12" s="506">
        <f t="shared" si="2"/>
        <v>-1.6773536093675906E-2</v>
      </c>
      <c r="N12" s="446">
        <f>+[5]안양!$E$16</f>
        <v>846</v>
      </c>
      <c r="O12" s="447">
        <f>+[5]안양!$F$16</f>
        <v>855.26770428015482</v>
      </c>
      <c r="P12" s="448">
        <f t="shared" si="3"/>
        <v>9.2677042801548168</v>
      </c>
      <c r="Q12" s="446">
        <f>+[5]안양!$E$17</f>
        <v>879</v>
      </c>
      <c r="R12" s="447">
        <f>+[5]안양!$F$17</f>
        <v>846.85914396887131</v>
      </c>
      <c r="S12" s="448">
        <f t="shared" si="4"/>
        <v>-32.140856031128692</v>
      </c>
      <c r="T12" s="507">
        <f>+[5]안양!$E$19</f>
        <v>3.29</v>
      </c>
      <c r="U12" s="508">
        <f>+[5]안양!$F$19</f>
        <v>3.14323346303502</v>
      </c>
      <c r="V12" s="509">
        <f t="shared" si="5"/>
        <v>-0.14676653696497999</v>
      </c>
    </row>
    <row r="13" spans="1:22" ht="24" customHeight="1" x14ac:dyDescent="0.3">
      <c r="D13" s="450" t="s">
        <v>23</v>
      </c>
      <c r="E13" s="451">
        <f>+[5]인천!$E$9</f>
        <v>280.18100000000004</v>
      </c>
      <c r="F13" s="452">
        <f>+[5]인천!$F$9</f>
        <v>278.91044091232567</v>
      </c>
      <c r="G13" s="188">
        <f t="shared" si="0"/>
        <v>-1.2705590876743713</v>
      </c>
      <c r="H13" s="451">
        <f>+[5]인천!$E$15</f>
        <v>368.88100000000003</v>
      </c>
      <c r="I13" s="452">
        <f>+[5]인천!$F$15</f>
        <v>399.69354898837543</v>
      </c>
      <c r="J13" s="188">
        <f t="shared" si="1"/>
        <v>30.812548988375397</v>
      </c>
      <c r="K13" s="510">
        <f>+([5]인천!$E$10*0.4+[5]인천!$E$11+[5]인천!$E$12+[5]인천!$E$13+[5]인천!$E$14)/[5]인천!$E$15</f>
        <v>0.22257638642272165</v>
      </c>
      <c r="L13" s="511">
        <f>+([5]인천!$F$10*0.4+[5]인천!$F$11+[5]인천!$F$12+[5]인천!$F$13+[5]인천!$F$14)/[5]인천!$F$15</f>
        <v>0.24716165544712271</v>
      </c>
      <c r="M13" s="512">
        <f t="shared" si="2"/>
        <v>2.4585269024401057E-2</v>
      </c>
      <c r="N13" s="451">
        <f>+[5]인천!$E$16</f>
        <v>884.48599999999999</v>
      </c>
      <c r="O13" s="452">
        <f>+[5]인천!$F$16</f>
        <v>954.51848019114095</v>
      </c>
      <c r="P13" s="188">
        <f t="shared" si="3"/>
        <v>70.032480191140962</v>
      </c>
      <c r="Q13" s="451">
        <f>+[5]인천!$E$17</f>
        <v>849.36400000000003</v>
      </c>
      <c r="R13" s="452">
        <f>+[5]인천!$F$17</f>
        <v>804.49642189988856</v>
      </c>
      <c r="S13" s="188">
        <f t="shared" si="4"/>
        <v>-44.867578100111473</v>
      </c>
      <c r="T13" s="513">
        <f>+[5]인천!$E$19</f>
        <v>3.32</v>
      </c>
      <c r="U13" s="514">
        <f>+[5]인천!$F$19</f>
        <v>3.2531246144982546</v>
      </c>
      <c r="V13" s="515">
        <f t="shared" si="5"/>
        <v>-6.687538550174521E-2</v>
      </c>
    </row>
    <row r="14" spans="1:22" ht="24" customHeight="1" x14ac:dyDescent="0.3">
      <c r="D14" s="450" t="s">
        <v>24</v>
      </c>
      <c r="E14" s="451">
        <f>+[5]파주!$E$9</f>
        <v>301.5508695652174</v>
      </c>
      <c r="F14" s="452">
        <f>+[5]파주!$F$9</f>
        <v>311.6550840317301</v>
      </c>
      <c r="G14" s="188">
        <f t="shared" si="0"/>
        <v>10.104214466512701</v>
      </c>
      <c r="H14" s="451">
        <f>+[5]파주!$E$15</f>
        <v>346.2752173913043</v>
      </c>
      <c r="I14" s="452">
        <f>+[5]파주!$F$15</f>
        <v>370.41695603459846</v>
      </c>
      <c r="J14" s="188">
        <f t="shared" si="1"/>
        <v>24.141738643294161</v>
      </c>
      <c r="K14" s="510">
        <f>+([5]파주!$E$10*0.4+[5]파주!$E$11+[5]파주!$E$12+[5]파주!$E$13+[5]파주!$E$14)/[5]파주!$E$15</f>
        <v>0.12915838494889087</v>
      </c>
      <c r="L14" s="511">
        <f>+([5]파주!$F$10*0.4+[5]파주!$F$11+[5]파주!$F$12+[5]파주!$F$13+[5]파주!$F$14)/[5]파주!$F$15</f>
        <v>0.13311771419415994</v>
      </c>
      <c r="M14" s="512">
        <f t="shared" si="2"/>
        <v>3.9593292452690665E-3</v>
      </c>
      <c r="N14" s="451">
        <f>+[5]파주!$E$16</f>
        <v>874.05391304347836</v>
      </c>
      <c r="O14" s="452">
        <f>+[5]파주!$F$16</f>
        <v>781.15744185004223</v>
      </c>
      <c r="P14" s="188">
        <f t="shared" si="3"/>
        <v>-92.896471193436128</v>
      </c>
      <c r="Q14" s="451">
        <f>+[5]파주!$E$17</f>
        <v>878.36130434782615</v>
      </c>
      <c r="R14" s="452">
        <f>+[5]파주!$F$17</f>
        <v>959.73647649352563</v>
      </c>
      <c r="S14" s="188">
        <f t="shared" si="4"/>
        <v>81.37517214569948</v>
      </c>
      <c r="T14" s="513">
        <f>+[5]파주!$E$19</f>
        <v>2.7702017391304352</v>
      </c>
      <c r="U14" s="514">
        <f>+[5]파주!$F$19</f>
        <v>3.6935373997221341</v>
      </c>
      <c r="V14" s="515">
        <f t="shared" si="5"/>
        <v>0.92333566059169891</v>
      </c>
    </row>
    <row r="15" spans="1:22" ht="24" customHeight="1" x14ac:dyDescent="0.3">
      <c r="D15" s="450" t="s">
        <v>178</v>
      </c>
      <c r="E15" s="451">
        <f>+[5]김포!$E$9</f>
        <v>230</v>
      </c>
      <c r="F15" s="452">
        <f>+[5]김포!$F$9</f>
        <v>278.21290254732418</v>
      </c>
      <c r="G15" s="188">
        <f t="shared" si="0"/>
        <v>48.212902547324177</v>
      </c>
      <c r="H15" s="451">
        <f>+[5]김포!$E$15</f>
        <v>307</v>
      </c>
      <c r="I15" s="452">
        <f>+[5]김포!$F$15</f>
        <v>359.30714769806031</v>
      </c>
      <c r="J15" s="188">
        <f t="shared" si="1"/>
        <v>52.307147698060305</v>
      </c>
      <c r="K15" s="510">
        <f>+([5]김포!$E$10*0.4+[5]김포!$E$11+[5]김포!$E$12+[5]김포!$E$13+[5]김포!$E$14)/[5]김포!$E$15</f>
        <v>0.250814332247557</v>
      </c>
      <c r="L15" s="511">
        <f>+([5]김포!$F$10*0.4+[5]김포!$F$11+[5]김포!$F$12+[5]김포!$F$13+[5]김포!$F$14)/[5]김포!$F$15</f>
        <v>0.22569616460533862</v>
      </c>
      <c r="M15" s="512">
        <f t="shared" si="2"/>
        <v>-2.5118167642218386E-2</v>
      </c>
      <c r="N15" s="451">
        <f>+[5]김포!$E$16</f>
        <v>800</v>
      </c>
      <c r="O15" s="452">
        <f>+[5]김포!$F$16</f>
        <v>827.19648282308947</v>
      </c>
      <c r="P15" s="188">
        <f t="shared" si="3"/>
        <v>27.196482823089468</v>
      </c>
      <c r="Q15" s="451">
        <f>+[5]김포!$E$17</f>
        <v>950</v>
      </c>
      <c r="R15" s="452">
        <f>+[5]김포!$F$17</f>
        <v>943.69624912362679</v>
      </c>
      <c r="S15" s="188">
        <f t="shared" si="4"/>
        <v>-6.3037508763732149</v>
      </c>
      <c r="T15" s="513">
        <f>+[5]김포!$E$19</f>
        <v>2.5</v>
      </c>
      <c r="U15" s="514">
        <f>+[5]김포!$F$19</f>
        <v>2.843336644075718</v>
      </c>
      <c r="V15" s="515">
        <f t="shared" si="5"/>
        <v>0.34333664407571796</v>
      </c>
    </row>
    <row r="16" spans="1:22" ht="24" customHeight="1" x14ac:dyDescent="0.3">
      <c r="D16" s="485" t="s">
        <v>25</v>
      </c>
      <c r="E16" s="454">
        <f>+[5]부산!$E$9</f>
        <v>231.65996819051048</v>
      </c>
      <c r="F16" s="455">
        <f>+[5]부산!$F$9</f>
        <v>199.54212513709717</v>
      </c>
      <c r="G16" s="456">
        <f t="shared" si="0"/>
        <v>-32.11784305341331</v>
      </c>
      <c r="H16" s="454">
        <f>+[5]부산!$E$15</f>
        <v>358.73007958822427</v>
      </c>
      <c r="I16" s="455">
        <f>+[5]부산!$F$15</f>
        <v>404.30064187601192</v>
      </c>
      <c r="J16" s="456">
        <f t="shared" si="1"/>
        <v>45.570562287787652</v>
      </c>
      <c r="K16" s="516">
        <f>+([5]부산!$E$10*0.4+[5]부산!$E$11+[5]부산!$E$12+[5]부산!$E$13+[5]부산!$E$14)/[5]부산!$E$15</f>
        <v>0.28560592043242494</v>
      </c>
      <c r="L16" s="517">
        <f>+([5]부산!$F$10*0.4+[5]부산!$F$11+[5]부산!$F$12+[5]부산!$F$13+[5]부산!$F$14)/[5]부산!$F$15</f>
        <v>0.25521198397385786</v>
      </c>
      <c r="M16" s="518">
        <f t="shared" si="2"/>
        <v>-3.0393936458567083E-2</v>
      </c>
      <c r="N16" s="454">
        <f>+[5]부산!$E$16</f>
        <v>834.99399992853466</v>
      </c>
      <c r="O16" s="455">
        <f>+[5]부산!$F$16</f>
        <v>879.45892306888811</v>
      </c>
      <c r="P16" s="456">
        <f t="shared" si="3"/>
        <v>44.464923140353449</v>
      </c>
      <c r="Q16" s="454">
        <f>+[5]부산!$E$17</f>
        <v>891.44147058449391</v>
      </c>
      <c r="R16" s="455">
        <f>+[5]부산!$F$17</f>
        <v>839.89658954405388</v>
      </c>
      <c r="S16" s="456">
        <f t="shared" si="4"/>
        <v>-51.544881040440032</v>
      </c>
      <c r="T16" s="519">
        <f>+[5]부산!$E$19</f>
        <v>2.8727291067077156</v>
      </c>
      <c r="U16" s="520">
        <f>+[5]부산!$F$19</f>
        <v>3.4487154645636404</v>
      </c>
      <c r="V16" s="521">
        <f t="shared" si="5"/>
        <v>0.57598635785592478</v>
      </c>
    </row>
    <row r="17" spans="4:22" ht="24" customHeight="1" x14ac:dyDescent="0.3">
      <c r="D17" s="450" t="s">
        <v>26</v>
      </c>
      <c r="E17" s="451">
        <f>+[5]서부산!$E$9</f>
        <v>225.39999999999998</v>
      </c>
      <c r="F17" s="452">
        <f>+[5]서부산!$F$9</f>
        <v>255.51161570646914</v>
      </c>
      <c r="G17" s="188">
        <f t="shared" si="0"/>
        <v>30.111615706469166</v>
      </c>
      <c r="H17" s="451">
        <f>+[5]서부산!$E$15</f>
        <v>352.79999999999995</v>
      </c>
      <c r="I17" s="452">
        <f>+[5]서부산!$F$15</f>
        <v>349.13147501034518</v>
      </c>
      <c r="J17" s="188">
        <f t="shared" si="1"/>
        <v>-3.6685249896547703</v>
      </c>
      <c r="K17" s="510">
        <f>+([5]서부산!$E$10*0.4+[5]서부산!$E$11+[5]서부산!$E$12+[5]서부산!$E$13+[5]서부산!$E$14)/[5]서부산!$E$15</f>
        <v>0.28287981859410438</v>
      </c>
      <c r="L17" s="511">
        <f>+([5]서부산!$F$10*0.4+[5]서부산!$F$11+[5]서부산!$F$12+[5]서부산!$F$13+[5]서부산!$F$14)/[5]서부산!$F$15</f>
        <v>0.2360256240124097</v>
      </c>
      <c r="M17" s="512">
        <f t="shared" si="2"/>
        <v>-4.685419458169468E-2</v>
      </c>
      <c r="N17" s="451">
        <f>+[5]서부산!$E$16</f>
        <v>819.90000000000009</v>
      </c>
      <c r="O17" s="452">
        <f>+[5]서부산!$F$16</f>
        <v>820.45427375971315</v>
      </c>
      <c r="P17" s="188">
        <f t="shared" si="3"/>
        <v>0.55427375971305537</v>
      </c>
      <c r="Q17" s="451">
        <f>+[5]서부산!$E$17</f>
        <v>909.40000000000009</v>
      </c>
      <c r="R17" s="452">
        <f>+[5]서부산!$F$17</f>
        <v>912.30332429077214</v>
      </c>
      <c r="S17" s="188">
        <f t="shared" si="4"/>
        <v>2.9033242907720478</v>
      </c>
      <c r="T17" s="513">
        <f>+[5]서부산!$E$19</f>
        <v>4.891</v>
      </c>
      <c r="U17" s="514">
        <f>+[5]서부산!$F$19</f>
        <v>3.3574067773230936</v>
      </c>
      <c r="V17" s="515">
        <f t="shared" si="5"/>
        <v>-1.5335932226769065</v>
      </c>
    </row>
    <row r="18" spans="4:22" ht="24" customHeight="1" x14ac:dyDescent="0.3">
      <c r="D18" s="450" t="s">
        <v>27</v>
      </c>
      <c r="E18" s="451">
        <f>+[5]김해!$E$9</f>
        <v>218.39000000000001</v>
      </c>
      <c r="F18" s="452">
        <f>+[5]김해!$F$9</f>
        <v>245.26779098160506</v>
      </c>
      <c r="G18" s="188">
        <f t="shared" si="0"/>
        <v>26.877790981605045</v>
      </c>
      <c r="H18" s="451">
        <f>+[5]김해!$E$15</f>
        <v>342.99999999999994</v>
      </c>
      <c r="I18" s="452">
        <f>+[5]김해!$F$15</f>
        <v>360.65678088881646</v>
      </c>
      <c r="J18" s="188">
        <f t="shared" si="1"/>
        <v>17.656780888816513</v>
      </c>
      <c r="K18" s="510">
        <f>+([5]김해!$E$10*0.4+[5]김해!$E$11+[5]김해!$E$12+[5]김해!$E$13+[5]김해!$E$14)/[5]김해!$E$15</f>
        <v>0.17711953352769683</v>
      </c>
      <c r="L18" s="511">
        <f>+([5]김해!$F$10*0.4+[5]김해!$F$11+[5]김해!$F$12+[5]김해!$F$13+[5]김해!$F$14)/[5]김해!$F$15</f>
        <v>0.17175537870128377</v>
      </c>
      <c r="M18" s="512">
        <f t="shared" si="2"/>
        <v>-5.364154826413059E-3</v>
      </c>
      <c r="N18" s="451">
        <f>+[5]김해!$E$16</f>
        <v>830</v>
      </c>
      <c r="O18" s="452">
        <f>+[5]김해!$F$16</f>
        <v>758.91258342829224</v>
      </c>
      <c r="P18" s="188">
        <f t="shared" si="3"/>
        <v>-71.087416571707763</v>
      </c>
      <c r="Q18" s="451">
        <f>+[5]김해!$E$17</f>
        <v>890</v>
      </c>
      <c r="R18" s="452">
        <f>+[5]김해!$F$17</f>
        <v>878.12469477453988</v>
      </c>
      <c r="S18" s="188">
        <f t="shared" si="4"/>
        <v>-11.875305225460124</v>
      </c>
      <c r="T18" s="513">
        <f>+[5]김해!$E$19</f>
        <v>3.3</v>
      </c>
      <c r="U18" s="514">
        <f>+[5]김해!$F$19</f>
        <v>3.3370828585381735</v>
      </c>
      <c r="V18" s="515">
        <f t="shared" si="5"/>
        <v>3.7082858538173724E-2</v>
      </c>
    </row>
    <row r="19" spans="4:22" ht="24" customHeight="1" x14ac:dyDescent="0.3">
      <c r="D19" s="450" t="s">
        <v>28</v>
      </c>
      <c r="E19" s="451">
        <f>+[5]정관!$E$9</f>
        <v>234.70000000000002</v>
      </c>
      <c r="F19" s="452">
        <f>+[5]정관!$F$9</f>
        <v>269.87126417704008</v>
      </c>
      <c r="G19" s="188">
        <f t="shared" si="0"/>
        <v>35.171264177040058</v>
      </c>
      <c r="H19" s="451">
        <f>+[5]정관!$E$15</f>
        <v>358.00000000000006</v>
      </c>
      <c r="I19" s="452">
        <f>+[5]정관!$F$15</f>
        <v>374.77800110650071</v>
      </c>
      <c r="J19" s="188">
        <f t="shared" si="1"/>
        <v>16.778001106500653</v>
      </c>
      <c r="K19" s="510">
        <f>+([5]정관!$E$10*0.4+[5]정관!$E$11+[5]정관!$E$12+[5]정관!$E$13+[5]정관!$E$14)/[5]정관!$E$15</f>
        <v>0.24301675977653628</v>
      </c>
      <c r="L19" s="511">
        <f>+([5]정관!$F$10*0.4+[5]정관!$F$11+[5]정관!$F$12+[5]정관!$F$13+[5]정관!$F$14)/[5]정관!$F$15</f>
        <v>0.22033613947859562</v>
      </c>
      <c r="M19" s="512">
        <f t="shared" si="2"/>
        <v>-2.2680620297940657E-2</v>
      </c>
      <c r="N19" s="451">
        <f>+[5]정관!$E$16</f>
        <v>795</v>
      </c>
      <c r="O19" s="452">
        <f>+[5]정관!$F$16</f>
        <v>815.4627745504838</v>
      </c>
      <c r="P19" s="188">
        <f t="shared" si="3"/>
        <v>20.4627745504838</v>
      </c>
      <c r="Q19" s="451">
        <f>+[5]정관!$E$17</f>
        <v>920</v>
      </c>
      <c r="R19" s="452">
        <f>+[5]정관!$F$17</f>
        <v>900.75435684647266</v>
      </c>
      <c r="S19" s="188">
        <f t="shared" si="4"/>
        <v>-19.24564315352734</v>
      </c>
      <c r="T19" s="513">
        <f>+[5]정관!$E$19</f>
        <v>3.0549000000000004</v>
      </c>
      <c r="U19" s="514">
        <f>+[5]정관!$F$19</f>
        <v>3.3825449515905923</v>
      </c>
      <c r="V19" s="515">
        <f t="shared" si="5"/>
        <v>0.32764495159059193</v>
      </c>
    </row>
    <row r="20" spans="4:22" ht="24" customHeight="1" x14ac:dyDescent="0.3">
      <c r="D20" s="450" t="s">
        <v>29</v>
      </c>
      <c r="E20" s="451">
        <f>+[5]양산!$E$9</f>
        <v>239.77850000000001</v>
      </c>
      <c r="F20" s="452">
        <f>+[5]양산!$F$9</f>
        <v>161.79008234040504</v>
      </c>
      <c r="G20" s="188">
        <f t="shared" si="0"/>
        <v>-77.988417659594973</v>
      </c>
      <c r="H20" s="451">
        <f>+[5]양산!$E$15</f>
        <v>327.17120833333337</v>
      </c>
      <c r="I20" s="452">
        <f>+[5]양산!$F$15</f>
        <v>365.66488133294592</v>
      </c>
      <c r="J20" s="188">
        <f t="shared" si="1"/>
        <v>38.493672999612556</v>
      </c>
      <c r="K20" s="510">
        <f>+([5]양산!$E$10*0.4+[5]양산!$E$11+[5]양산!$E$12+[5]양산!$E$13+[5]양산!$E$14)/[5]양산!$E$15</f>
        <v>0.23609376792910033</v>
      </c>
      <c r="L20" s="511">
        <f>+([5]양산!$F$10*0.4+[5]양산!$F$11+[5]양산!$F$12+[5]양산!$F$13+[5]양산!$F$14)/[5]양산!$F$15</f>
        <v>0.38885886945611986</v>
      </c>
      <c r="M20" s="512">
        <f t="shared" si="2"/>
        <v>0.15276510152701953</v>
      </c>
      <c r="N20" s="451">
        <f>+[5]양산!$E$16</f>
        <v>783.08333333333337</v>
      </c>
      <c r="O20" s="452">
        <f>+[5]양산!$F$16</f>
        <v>775.45006296619169</v>
      </c>
      <c r="P20" s="188">
        <f t="shared" si="3"/>
        <v>-7.6332703671416766</v>
      </c>
      <c r="Q20" s="451">
        <f>+[5]양산!$E$17</f>
        <v>921.7157533333334</v>
      </c>
      <c r="R20" s="452">
        <f>+[5]양산!$F$17</f>
        <v>919.95640802092373</v>
      </c>
      <c r="S20" s="188">
        <f t="shared" si="4"/>
        <v>-1.7593453124096641</v>
      </c>
      <c r="T20" s="513">
        <f>+[5]양산!$E$19</f>
        <v>2.3890189166666658</v>
      </c>
      <c r="U20" s="514">
        <f>+[5]양산!$F$19</f>
        <v>3.2951099486583351</v>
      </c>
      <c r="V20" s="515">
        <f t="shared" si="5"/>
        <v>0.90609103199166929</v>
      </c>
    </row>
    <row r="21" spans="4:22" ht="24" customHeight="1" x14ac:dyDescent="0.3">
      <c r="D21" s="450" t="s">
        <v>30</v>
      </c>
      <c r="E21" s="451">
        <f>+[5]창원!$E$9</f>
        <v>239.8</v>
      </c>
      <c r="F21" s="452">
        <f>+[5]창원!$F$9</f>
        <v>262.01725304263414</v>
      </c>
      <c r="G21" s="188">
        <f t="shared" si="0"/>
        <v>22.217253042634127</v>
      </c>
      <c r="H21" s="451">
        <f>+[5]창원!$E$15</f>
        <v>343.9</v>
      </c>
      <c r="I21" s="452">
        <f>+[5]창원!$F$15</f>
        <v>367.19359366833419</v>
      </c>
      <c r="J21" s="188">
        <f t="shared" si="1"/>
        <v>23.293593668334211</v>
      </c>
      <c r="K21" s="510">
        <f>+([5]창원!$E$10*0.4+[5]창원!$E$11+[5]창원!$E$12+[5]창원!$E$13+[5]창원!$E$14)/[5]창원!$E$15</f>
        <v>0.3027042744984007</v>
      </c>
      <c r="L21" s="511">
        <f>+([5]창원!$F$10*0.4+[5]창원!$F$11+[5]창원!$F$12+[5]창원!$F$13+[5]창원!$F$14)/[5]창원!$F$15</f>
        <v>0.28643294011469067</v>
      </c>
      <c r="M21" s="512">
        <f t="shared" si="2"/>
        <v>-1.6271334383710034E-2</v>
      </c>
      <c r="N21" s="451">
        <f>+[5]창원!$E$16</f>
        <v>836.9</v>
      </c>
      <c r="O21" s="452">
        <f>+[5]창원!$F$16</f>
        <v>886.03449563204674</v>
      </c>
      <c r="P21" s="188">
        <f t="shared" si="3"/>
        <v>49.134495632046765</v>
      </c>
      <c r="Q21" s="451">
        <f>+[5]창원!$E$17</f>
        <v>880.4</v>
      </c>
      <c r="R21" s="452">
        <f>+[5]창원!$F$17</f>
        <v>859.62256402598393</v>
      </c>
      <c r="S21" s="188">
        <f t="shared" si="4"/>
        <v>-20.777435974016043</v>
      </c>
      <c r="T21" s="513">
        <f>+[5]창원!$E$19</f>
        <v>3.09</v>
      </c>
      <c r="U21" s="514">
        <f>+[5]창원!$F$19</f>
        <v>3.0512021205107169</v>
      </c>
      <c r="V21" s="515">
        <f t="shared" si="5"/>
        <v>-3.8797879489282927E-2</v>
      </c>
    </row>
    <row r="22" spans="4:22" ht="24" customHeight="1" x14ac:dyDescent="0.3">
      <c r="D22" s="450" t="s">
        <v>95</v>
      </c>
      <c r="E22" s="451">
        <f>+[5]대구!$E$9</f>
        <v>253.5</v>
      </c>
      <c r="F22" s="452">
        <f>+[5]대구!$F$9</f>
        <v>252.7243219625866</v>
      </c>
      <c r="G22" s="188">
        <f t="shared" si="0"/>
        <v>-0.77567803741339958</v>
      </c>
      <c r="H22" s="451">
        <f>+[5]대구!$E$15</f>
        <v>338</v>
      </c>
      <c r="I22" s="452">
        <f>+[5]대구!$F$15</f>
        <v>344.60937212764588</v>
      </c>
      <c r="J22" s="188">
        <f t="shared" si="1"/>
        <v>6.6093721276458837</v>
      </c>
      <c r="K22" s="510">
        <f>+([5]대구!$E$10*0.4+[5]대구!$E$11+[5]대구!$E$12+[5]대구!$E$13+[5]대구!$E$14)/[5]대구!$E$15</f>
        <v>0.25</v>
      </c>
      <c r="L22" s="511">
        <f>+([5]대구!$F$10*0.4+[5]대구!$F$11+[5]대구!$F$12+[5]대구!$F$13+[5]대구!$F$14)/[5]대구!$F$15</f>
        <v>0.26663537789977559</v>
      </c>
      <c r="M22" s="512">
        <f t="shared" si="2"/>
        <v>1.6635377899775594E-2</v>
      </c>
      <c r="N22" s="451">
        <f>+[5]대구!$E$16</f>
        <v>774.57175853455442</v>
      </c>
      <c r="O22" s="452">
        <f>+[5]대구!$F$16</f>
        <v>605.44954365978424</v>
      </c>
      <c r="P22" s="188">
        <f t="shared" si="3"/>
        <v>-169.12221487477018</v>
      </c>
      <c r="Q22" s="451">
        <f>+[5]대구!$E$17</f>
        <v>946.69881598667803</v>
      </c>
      <c r="R22" s="452">
        <f>+[5]대구!$F$17</f>
        <v>1146.5677390122337</v>
      </c>
      <c r="S22" s="188">
        <f t="shared" si="4"/>
        <v>199.86892302555566</v>
      </c>
      <c r="T22" s="513">
        <f>+[5]대구!$E$19</f>
        <v>2.7040000000000002</v>
      </c>
      <c r="U22" s="514">
        <f>+[5]대구!$F$19</f>
        <v>3.1717845815263117</v>
      </c>
      <c r="V22" s="515">
        <f t="shared" si="5"/>
        <v>0.46778458152631153</v>
      </c>
    </row>
    <row r="23" spans="4:22" ht="24" customHeight="1" x14ac:dyDescent="0.3">
      <c r="D23" s="450" t="s">
        <v>97</v>
      </c>
      <c r="E23" s="451">
        <f>+[5]울산!$E$9</f>
        <v>259.10000000000002</v>
      </c>
      <c r="F23" s="452">
        <f>+[5]울산!$F$9</f>
        <v>267.85186864798283</v>
      </c>
      <c r="G23" s="188">
        <f t="shared" si="0"/>
        <v>8.7518686479828034</v>
      </c>
      <c r="H23" s="451">
        <f>+[5]울산!$E$15</f>
        <v>363</v>
      </c>
      <c r="I23" s="452">
        <f>+[5]울산!$F$15</f>
        <v>392.38498460117034</v>
      </c>
      <c r="J23" s="188">
        <f t="shared" si="1"/>
        <v>29.384984601170345</v>
      </c>
      <c r="K23" s="510">
        <f>+([5]울산!$E$10*0.4+[5]울산!$E$11+[5]울산!$E$12+[5]울산!$E$13+[5]울산!$E$14)/[5]울산!$E$15</f>
        <v>0.28622589531680442</v>
      </c>
      <c r="L23" s="511">
        <f>+([5]울산!$F$10*0.4+[5]울산!$F$11+[5]울산!$F$12+[5]울산!$F$13+[5]울산!$F$14)/[5]울산!$F$15</f>
        <v>0.31737482533834988</v>
      </c>
      <c r="M23" s="512">
        <f t="shared" si="2"/>
        <v>3.1148930021545451E-2</v>
      </c>
      <c r="N23" s="451">
        <f>+[5]울산!$E$16</f>
        <v>718</v>
      </c>
      <c r="O23" s="452">
        <f>+[5]울산!$F$16</f>
        <v>767.50777640899344</v>
      </c>
      <c r="P23" s="188">
        <f t="shared" si="3"/>
        <v>49.507776408993436</v>
      </c>
      <c r="Q23" s="451">
        <f>+[5]울산!$E$17</f>
        <v>956</v>
      </c>
      <c r="R23" s="452">
        <f>+[5]울산!$F$17</f>
        <v>898.18247613181393</v>
      </c>
      <c r="S23" s="188">
        <f t="shared" si="4"/>
        <v>-57.817523868186072</v>
      </c>
      <c r="T23" s="513">
        <f>+[5]울산!$E$19</f>
        <v>3.3</v>
      </c>
      <c r="U23" s="514">
        <f>+[5]울산!$F$19</f>
        <v>3.225450415768401</v>
      </c>
      <c r="V23" s="515">
        <f t="shared" si="5"/>
        <v>-7.4549584231598853E-2</v>
      </c>
    </row>
    <row r="24" spans="4:22" ht="24" customHeight="1" x14ac:dyDescent="0.3">
      <c r="D24" s="485" t="s">
        <v>31</v>
      </c>
      <c r="E24" s="454">
        <f>+[5]아산!$E$9</f>
        <v>233.54642857142858</v>
      </c>
      <c r="F24" s="455">
        <f>+[5]아산!$F$9</f>
        <v>344.680764763887</v>
      </c>
      <c r="G24" s="456">
        <f t="shared" si="0"/>
        <v>111.13433619245842</v>
      </c>
      <c r="H24" s="454">
        <f>+[5]아산!$E$15</f>
        <v>364.75357142857143</v>
      </c>
      <c r="I24" s="455">
        <f>+[5]아산!$F$15</f>
        <v>414.92784156897085</v>
      </c>
      <c r="J24" s="456">
        <f t="shared" si="1"/>
        <v>50.174270140399415</v>
      </c>
      <c r="K24" s="516">
        <f>+([5]아산!$E$10*0.4+[5]아산!$E$11+[5]아산!$E$12+[5]아산!$E$13+[5]아산!$E$14)/[5]아산!$E$15</f>
        <v>0.25200105746541207</v>
      </c>
      <c r="L24" s="517">
        <f>+([5]아산!$F$10*0.4+[5]아산!$F$11+[5]아산!$F$12+[5]아산!$F$13+[5]아산!$F$14)/[5]아산!$F$15</f>
        <v>0.16918468870837011</v>
      </c>
      <c r="M24" s="518">
        <f t="shared" si="2"/>
        <v>-8.2816368757041958E-2</v>
      </c>
      <c r="N24" s="454">
        <f>+[5]아산!$E$16</f>
        <v>854.95142857142855</v>
      </c>
      <c r="O24" s="455">
        <f>+[5]아산!$F$16</f>
        <v>850.95120704137935</v>
      </c>
      <c r="P24" s="456">
        <f t="shared" si="3"/>
        <v>-4.0002215300492026</v>
      </c>
      <c r="Q24" s="454">
        <f>+[5]아산!$E$17</f>
        <v>861.46928571428566</v>
      </c>
      <c r="R24" s="455">
        <f>+[5]아산!$F$17</f>
        <v>898.49475913954973</v>
      </c>
      <c r="S24" s="456">
        <f t="shared" si="4"/>
        <v>37.025473425264067</v>
      </c>
      <c r="T24" s="519">
        <f>+[5]아산!$E$19</f>
        <v>3.0293000000000001</v>
      </c>
      <c r="U24" s="520">
        <f>+[5]아산!$F$19</f>
        <v>3.4108706767466472</v>
      </c>
      <c r="V24" s="521">
        <f t="shared" si="5"/>
        <v>0.38157067674664713</v>
      </c>
    </row>
    <row r="25" spans="4:22" ht="24" customHeight="1" x14ac:dyDescent="0.3">
      <c r="D25" s="450" t="s">
        <v>34</v>
      </c>
      <c r="E25" s="451">
        <f>+[5]전주!$E$9</f>
        <v>277.48</v>
      </c>
      <c r="F25" s="452">
        <f>+[5]전주!$F$9</f>
        <v>259.34331975784278</v>
      </c>
      <c r="G25" s="188">
        <f t="shared" si="0"/>
        <v>-18.13668024215724</v>
      </c>
      <c r="H25" s="451">
        <f>+[5]전주!$E$15</f>
        <v>333.92</v>
      </c>
      <c r="I25" s="452">
        <f>+[5]전주!$F$15</f>
        <v>339.14444248761725</v>
      </c>
      <c r="J25" s="188">
        <f t="shared" si="1"/>
        <v>5.2244424876172388</v>
      </c>
      <c r="K25" s="510">
        <f>+([5]전주!$E$10*0.4+[5]전주!$E$11+[5]전주!$E$12+[5]전주!$E$13+[5]전주!$E$14)/[5]전주!$E$15</f>
        <v>0.1690225203641591</v>
      </c>
      <c r="L25" s="511">
        <f>+([5]전주!$F$10*0.4+[5]전주!$F$11+[5]전주!$F$12+[5]전주!$F$13+[5]전주!$F$14)/[5]전주!$F$15</f>
        <v>0.1395134136718521</v>
      </c>
      <c r="M25" s="512">
        <f t="shared" si="2"/>
        <v>-2.9509106692306997E-2</v>
      </c>
      <c r="N25" s="451">
        <f>+[5]전주!$E$16</f>
        <v>764.52</v>
      </c>
      <c r="O25" s="452">
        <f>+[5]전주!$F$16</f>
        <v>688.19702806824444</v>
      </c>
      <c r="P25" s="188">
        <f t="shared" si="3"/>
        <v>-76.322971931755546</v>
      </c>
      <c r="Q25" s="451">
        <f>+[5]전주!$E$17</f>
        <v>980.06</v>
      </c>
      <c r="R25" s="452">
        <f>+[5]전주!$F$17</f>
        <v>1032.1221794166208</v>
      </c>
      <c r="S25" s="188">
        <f t="shared" si="4"/>
        <v>52.062179416620893</v>
      </c>
      <c r="T25" s="513">
        <f>+[5]전주!$E$19</f>
        <v>2.85</v>
      </c>
      <c r="U25" s="514">
        <f>+[5]전주!$F$19</f>
        <v>2.2928123280132091</v>
      </c>
      <c r="V25" s="515">
        <f t="shared" si="5"/>
        <v>-0.55718767198679098</v>
      </c>
    </row>
    <row r="26" spans="4:22" ht="24" customHeight="1" x14ac:dyDescent="0.3">
      <c r="D26" s="450" t="s">
        <v>33</v>
      </c>
      <c r="E26" s="451">
        <f>+[5]군산!$E$9</f>
        <v>260.10000000000008</v>
      </c>
      <c r="F26" s="452">
        <f>+[5]군산!$F$9</f>
        <v>273.53715824821609</v>
      </c>
      <c r="G26" s="188">
        <f t="shared" si="0"/>
        <v>13.437158248216008</v>
      </c>
      <c r="H26" s="451">
        <f>+[5]군산!$E$15</f>
        <v>334.30000000000007</v>
      </c>
      <c r="I26" s="452">
        <f>+[5]군산!$F$15</f>
        <v>344.78356513222337</v>
      </c>
      <c r="J26" s="188">
        <f t="shared" si="1"/>
        <v>10.483565132223305</v>
      </c>
      <c r="K26" s="510">
        <f>+([5]군산!$E$10*0.4+[5]군산!$E$11+[5]군산!$E$12+[5]군산!$E$13+[5]군산!$E$14)/[5]군산!$E$15</f>
        <v>0.21208495363446003</v>
      </c>
      <c r="L26" s="511">
        <f>+([5]군산!$F$10*0.4+[5]군산!$F$11+[5]군산!$F$12+[5]군산!$F$13+[5]군산!$F$14)/[5]군산!$F$15</f>
        <v>0.1946787892485291</v>
      </c>
      <c r="M26" s="512">
        <f t="shared" si="2"/>
        <v>-1.7406164385930928E-2</v>
      </c>
      <c r="N26" s="451">
        <f>+[5]군산!$E$16</f>
        <v>785</v>
      </c>
      <c r="O26" s="452">
        <f>+[5]군산!$F$16</f>
        <v>720.47992164544598</v>
      </c>
      <c r="P26" s="188">
        <f t="shared" si="3"/>
        <v>-64.520078354554016</v>
      </c>
      <c r="Q26" s="451">
        <f>+[5]군산!$E$17</f>
        <v>935</v>
      </c>
      <c r="R26" s="452">
        <f>+[5]군산!$F$17</f>
        <v>1002.3653281096958</v>
      </c>
      <c r="S26" s="188">
        <f t="shared" si="4"/>
        <v>67.365328109695838</v>
      </c>
      <c r="T26" s="513">
        <f>+[5]군산!$E$19</f>
        <v>2.84</v>
      </c>
      <c r="U26" s="514">
        <f>+[5]군산!$F$19</f>
        <v>2.7814257730516307</v>
      </c>
      <c r="V26" s="515">
        <f t="shared" si="5"/>
        <v>-5.8574226948369112E-2</v>
      </c>
    </row>
    <row r="27" spans="4:22" ht="24" customHeight="1" x14ac:dyDescent="0.3">
      <c r="D27" s="450" t="s">
        <v>32</v>
      </c>
      <c r="E27" s="451">
        <f>+[5]원주!$E$9</f>
        <v>259.90000000000003</v>
      </c>
      <c r="F27" s="452">
        <f>+[5]원주!$F$9</f>
        <v>328.22662494510325</v>
      </c>
      <c r="G27" s="188">
        <f t="shared" si="0"/>
        <v>68.326624945103219</v>
      </c>
      <c r="H27" s="451">
        <f>+[5]원주!$E$15</f>
        <v>343.1</v>
      </c>
      <c r="I27" s="452">
        <f>+[5]원주!$F$15</f>
        <v>363.74968599033821</v>
      </c>
      <c r="J27" s="188">
        <f t="shared" si="1"/>
        <v>20.649685990338185</v>
      </c>
      <c r="K27" s="510">
        <f>+([5]원주!$E$10*0.4+[5]원주!$E$11+[5]원주!$E$12+[5]원주!$E$13+[5]원주!$E$14)/[5]원주!$E$15</f>
        <v>0.24249489944622554</v>
      </c>
      <c r="L27" s="511">
        <f>+([5]원주!$F$10*0.4+[5]원주!$F$11+[5]원주!$F$12+[5]원주!$F$13+[5]원주!$F$14)/[5]원주!$F$15</f>
        <v>9.7657984084633664E-2</v>
      </c>
      <c r="M27" s="512">
        <f t="shared" si="2"/>
        <v>-0.14483691536159188</v>
      </c>
      <c r="N27" s="451">
        <f>+[5]원주!$E$16</f>
        <v>815.9</v>
      </c>
      <c r="O27" s="452">
        <f>+[5]원주!$F$16</f>
        <v>1041.4635485287658</v>
      </c>
      <c r="P27" s="188">
        <f t="shared" si="3"/>
        <v>225.56354852876586</v>
      </c>
      <c r="Q27" s="451">
        <f>+[5]원주!$E$17</f>
        <v>953.30000000000007</v>
      </c>
      <c r="R27" s="452">
        <f>+[5]원주!$F$17</f>
        <v>734.15019762845861</v>
      </c>
      <c r="S27" s="188">
        <f t="shared" si="4"/>
        <v>-219.14980237154145</v>
      </c>
      <c r="T27" s="513">
        <f>+[5]원주!$E$19</f>
        <v>2.871</v>
      </c>
      <c r="U27" s="514">
        <f>+[5]원주!$F$19</f>
        <v>2.7985068072024606</v>
      </c>
      <c r="V27" s="515">
        <f t="shared" si="5"/>
        <v>-7.2493192797539407E-2</v>
      </c>
    </row>
    <row r="28" spans="4:22" ht="24" customHeight="1" x14ac:dyDescent="0.3">
      <c r="D28" s="499" t="s">
        <v>35</v>
      </c>
      <c r="E28" s="522">
        <f>+[5]제주!$E$9</f>
        <v>344.5</v>
      </c>
      <c r="F28" s="523">
        <f>+[5]제주!$F$9</f>
        <v>326.05362199312725</v>
      </c>
      <c r="G28" s="197">
        <f t="shared" si="0"/>
        <v>-18.446378006872749</v>
      </c>
      <c r="H28" s="522">
        <f>+[5]제주!$E$15</f>
        <v>344.5</v>
      </c>
      <c r="I28" s="523">
        <f>+[5]제주!$F$15</f>
        <v>326.05362199312725</v>
      </c>
      <c r="J28" s="197">
        <f t="shared" si="1"/>
        <v>-18.446378006872749</v>
      </c>
      <c r="K28" s="524">
        <f>+([5]제주!$E$10*0.4+[5]제주!$E$11+[5]제주!$E$12+[5]제주!$E$13+[5]제주!$E$14)/[5]제주!$E$15</f>
        <v>0</v>
      </c>
      <c r="L28" s="525">
        <f>+([5]제주!$F$10*0.4+[5]제주!$F$11+[5]제주!$F$12+[5]제주!$F$13+[5]제주!$F$14)/[5]제주!$F$15</f>
        <v>0</v>
      </c>
      <c r="M28" s="526">
        <f t="shared" si="2"/>
        <v>0</v>
      </c>
      <c r="N28" s="522">
        <f>+[5]제주!$E$16</f>
        <v>714.80000000000007</v>
      </c>
      <c r="O28" s="523">
        <f>+[5]제주!$F$16</f>
        <v>684.50859106529208</v>
      </c>
      <c r="P28" s="197">
        <f t="shared" si="3"/>
        <v>-30.291408934707988</v>
      </c>
      <c r="Q28" s="522">
        <f>+[5]제주!$E$17</f>
        <v>1034.2</v>
      </c>
      <c r="R28" s="523">
        <f>+[5]제주!$F$17</f>
        <v>1088.7646048109962</v>
      </c>
      <c r="S28" s="197">
        <f t="shared" si="4"/>
        <v>54.564604810996116</v>
      </c>
      <c r="T28" s="527">
        <f>+[5]제주!$E$19</f>
        <v>3.06</v>
      </c>
      <c r="U28" s="528">
        <f>+[5]제주!$F$19</f>
        <v>3.5604982817869413</v>
      </c>
      <c r="V28" s="529">
        <f t="shared" si="5"/>
        <v>0.50049828178694122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 codeName="Sheet9">
    <tabColor theme="1" tint="0.249977111117893"/>
    <pageSetUpPr fitToPage="1"/>
  </sheetPr>
  <dimension ref="D3:AO55"/>
  <sheetViews>
    <sheetView showGridLines="0" view="pageBreakPreview" topLeftCell="A4" zoomScale="60" zoomScaleNormal="70" workbookViewId="0">
      <pane ySplit="6" topLeftCell="A10" activePane="bottomLeft" state="frozenSplit"/>
      <selection activeCell="A15" sqref="A15"/>
      <selection pane="bottomLeft" activeCell="G13" sqref="G13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183" t="s">
        <v>245</v>
      </c>
      <c r="F6" s="183"/>
      <c r="G6" s="183"/>
      <c r="H6" s="183"/>
      <c r="I6" s="183"/>
      <c r="J6" s="183"/>
      <c r="K6" s="183"/>
      <c r="L6" s="183"/>
      <c r="M6" s="183"/>
    </row>
    <row r="7" spans="4:17" ht="21.95" customHeight="1" thickBot="1" x14ac:dyDescent="0.35">
      <c r="D7" s="184"/>
      <c r="O7" s="185" t="s">
        <v>76</v>
      </c>
    </row>
    <row r="8" spans="4:17" ht="25.5" customHeight="1" thickTop="1" x14ac:dyDescent="0.3">
      <c r="D8" s="842" t="s">
        <v>11</v>
      </c>
      <c r="E8" s="843"/>
      <c r="F8" s="852" t="s">
        <v>246</v>
      </c>
      <c r="G8" s="853"/>
      <c r="H8" s="853"/>
      <c r="I8" s="853"/>
      <c r="J8" s="854"/>
      <c r="K8" s="810" t="s">
        <v>247</v>
      </c>
      <c r="L8" s="810"/>
      <c r="M8" s="810"/>
      <c r="N8" s="810"/>
      <c r="O8" s="813"/>
      <c r="P8" s="186"/>
      <c r="Q8" s="186"/>
    </row>
    <row r="9" spans="4:17" ht="25.5" customHeight="1" x14ac:dyDescent="0.3">
      <c r="D9" s="844"/>
      <c r="E9" s="845"/>
      <c r="F9" s="568" t="s">
        <v>12</v>
      </c>
      <c r="G9" s="357" t="s">
        <v>13</v>
      </c>
      <c r="H9" s="366" t="s">
        <v>71</v>
      </c>
      <c r="I9" s="357" t="s">
        <v>14</v>
      </c>
      <c r="J9" s="569" t="s">
        <v>72</v>
      </c>
      <c r="K9" s="366" t="s">
        <v>12</v>
      </c>
      <c r="L9" s="357" t="s">
        <v>13</v>
      </c>
      <c r="M9" s="366" t="s">
        <v>71</v>
      </c>
      <c r="N9" s="357" t="s">
        <v>14</v>
      </c>
      <c r="O9" s="367" t="s">
        <v>72</v>
      </c>
      <c r="P9" s="186"/>
      <c r="Q9" s="186"/>
    </row>
    <row r="10" spans="4:17" ht="25.5" customHeight="1" x14ac:dyDescent="0.3">
      <c r="D10" s="71" t="s">
        <v>110</v>
      </c>
      <c r="E10" s="90" t="s">
        <v>86</v>
      </c>
      <c r="F10" s="570">
        <f>+IFERROR(HLOOKUP($F$8,[13]손익!$G$5:$AI$63,2,),)</f>
        <v>9200</v>
      </c>
      <c r="G10" s="358">
        <f>+'[7]11월'!$G$8</f>
        <v>10221.802</v>
      </c>
      <c r="H10" s="203">
        <f>+G10-F10</f>
        <v>1021.8019999999997</v>
      </c>
      <c r="I10" s="358">
        <f>+IFERROR(HLOOKUP($F$8,[8]월별!$E$2:$T$53,2,),)</f>
        <v>10109.272999999999</v>
      </c>
      <c r="J10" s="571">
        <f>+G10-I10</f>
        <v>112.52900000000045</v>
      </c>
      <c r="K10" s="203">
        <f>+F10+[4]건자재!K10</f>
        <v>81400</v>
      </c>
      <c r="L10" s="358">
        <f>+G10+[4]건자재!L10</f>
        <v>97161.153999999995</v>
      </c>
      <c r="M10" s="203">
        <f>+L10-K10</f>
        <v>15761.153999999995</v>
      </c>
      <c r="N10" s="358">
        <f>+I10+[4]건자재!N10</f>
        <v>88735.037000000011</v>
      </c>
      <c r="O10" s="351">
        <f>+L10-N10</f>
        <v>8426.1169999999838</v>
      </c>
      <c r="P10" s="77"/>
      <c r="Q10" s="77"/>
    </row>
    <row r="11" spans="4:17" ht="25.5" customHeight="1" x14ac:dyDescent="0.3">
      <c r="D11" s="72" t="s">
        <v>21</v>
      </c>
      <c r="E11" s="356" t="s">
        <v>122</v>
      </c>
      <c r="F11" s="572">
        <f>+F12/F10*1000</f>
        <v>976086.95652173914</v>
      </c>
      <c r="G11" s="359">
        <f>+G12/G10*1000</f>
        <v>798803.69146262086</v>
      </c>
      <c r="H11" s="213">
        <f t="shared" ref="H11:H28" si="0">+G11-F11</f>
        <v>-177283.26505911828</v>
      </c>
      <c r="I11" s="359">
        <f>+I12/I10*1000</f>
        <v>985246.58044154115</v>
      </c>
      <c r="J11" s="573">
        <f t="shared" ref="J11:J28" si="1">+G11-I11</f>
        <v>-186442.88897892029</v>
      </c>
      <c r="K11" s="213">
        <f>+K12/K10*1000</f>
        <v>976904.17690417694</v>
      </c>
      <c r="L11" s="359">
        <f>+L12/L10*1000</f>
        <v>830659.38156724663</v>
      </c>
      <c r="M11" s="213">
        <f t="shared" ref="M11:M28" si="2">+L11-K11</f>
        <v>-146244.79533693031</v>
      </c>
      <c r="N11" s="359">
        <f>+N12/N10*1000</f>
        <v>1021630.8430569537</v>
      </c>
      <c r="O11" s="211">
        <f t="shared" ref="O11:O28" si="3">+L11-N11</f>
        <v>-190971.46148970712</v>
      </c>
      <c r="P11" s="77"/>
      <c r="Q11" s="77"/>
    </row>
    <row r="12" spans="4:17" ht="25.5" customHeight="1" x14ac:dyDescent="0.3">
      <c r="D12" s="187" t="s">
        <v>77</v>
      </c>
      <c r="E12" s="91" t="s">
        <v>122</v>
      </c>
      <c r="F12" s="417">
        <f>+IFERROR(HLOOKUP($F$8,[13]손익!$G$5:$AI$63,22,),)</f>
        <v>8980000</v>
      </c>
      <c r="G12" s="360">
        <f>+'[7]11월'!$G$9</f>
        <v>8165213.1710000001</v>
      </c>
      <c r="H12" s="195">
        <f t="shared" si="0"/>
        <v>-814786.82899999991</v>
      </c>
      <c r="I12" s="360">
        <f>+IFERROR(HLOOKUP($F$8,[8]월별!$E$2:$T$53,5,),)</f>
        <v>9960126.6539999992</v>
      </c>
      <c r="J12" s="418">
        <f t="shared" si="1"/>
        <v>-1794913.4829999991</v>
      </c>
      <c r="K12" s="195">
        <f>+F12+[4]건자재!K12</f>
        <v>79520000</v>
      </c>
      <c r="L12" s="360">
        <f>+G12+[4]건자재!L12</f>
        <v>80707824.094000012</v>
      </c>
      <c r="M12" s="195">
        <f t="shared" si="2"/>
        <v>1187824.0940000117</v>
      </c>
      <c r="N12" s="360">
        <f>+I12+[4]건자재!N12</f>
        <v>90654450.658999994</v>
      </c>
      <c r="O12" s="218">
        <f t="shared" si="3"/>
        <v>-9946626.5649999827</v>
      </c>
      <c r="P12" s="77"/>
      <c r="Q12" s="77"/>
    </row>
    <row r="13" spans="4:17" ht="25.5" customHeight="1" x14ac:dyDescent="0.3">
      <c r="D13" s="187"/>
      <c r="E13" s="92" t="s">
        <v>123</v>
      </c>
      <c r="F13" s="574">
        <f>+IFERROR(HLOOKUP($F$8,[13]손익!$G$5:$AI$63,23,),)</f>
        <v>2262202.1052631568</v>
      </c>
      <c r="G13" s="361">
        <f>+'[7]11월'!$J$9</f>
        <v>1777655.8499999996</v>
      </c>
      <c r="H13" s="205">
        <f t="shared" si="0"/>
        <v>-484546.25526315719</v>
      </c>
      <c r="I13" s="361">
        <f>+IFERROR(HLOOKUP($F$8,[8]월별!$E$2:$T$53,6,),)</f>
        <v>2444753.5610000007</v>
      </c>
      <c r="J13" s="575">
        <f t="shared" si="1"/>
        <v>-667097.71100000106</v>
      </c>
      <c r="K13" s="205">
        <f>+F13+[4]건자재!K13</f>
        <v>20009162.105263166</v>
      </c>
      <c r="L13" s="361">
        <f>+G13+[4]건자재!L13</f>
        <v>15846121.252999997</v>
      </c>
      <c r="M13" s="205">
        <f t="shared" si="2"/>
        <v>-4163040.8522631694</v>
      </c>
      <c r="N13" s="361">
        <f>+I13+[4]건자재!N13</f>
        <v>18091173.504999999</v>
      </c>
      <c r="O13" s="352">
        <f t="shared" si="3"/>
        <v>-2245052.2520000022</v>
      </c>
      <c r="P13" s="77"/>
      <c r="Q13" s="77"/>
    </row>
    <row r="14" spans="4:17" ht="25.5" customHeight="1" x14ac:dyDescent="0.3">
      <c r="D14" s="187"/>
      <c r="E14" s="94" t="s">
        <v>58</v>
      </c>
      <c r="F14" s="415">
        <f>SUM(F12:F13)</f>
        <v>11242202.105263157</v>
      </c>
      <c r="G14" s="362">
        <f>SUM(G12:G13)</f>
        <v>9942869.0209999997</v>
      </c>
      <c r="H14" s="204">
        <f t="shared" si="0"/>
        <v>-1299333.0842631571</v>
      </c>
      <c r="I14" s="362">
        <f>SUM(I12:I13)</f>
        <v>12404880.215</v>
      </c>
      <c r="J14" s="416">
        <f t="shared" si="1"/>
        <v>-2462011.1940000001</v>
      </c>
      <c r="K14" s="204">
        <f>SUM(K12:K13)</f>
        <v>99529162.105263174</v>
      </c>
      <c r="L14" s="362">
        <f>SUM(L12:L13)</f>
        <v>96553945.347000003</v>
      </c>
      <c r="M14" s="204">
        <f t="shared" si="2"/>
        <v>-2975216.7582631707</v>
      </c>
      <c r="N14" s="362">
        <f>SUM(N12:N13)</f>
        <v>108745624.16399999</v>
      </c>
      <c r="O14" s="221">
        <f t="shared" si="3"/>
        <v>-12191678.816999987</v>
      </c>
      <c r="P14" s="77"/>
      <c r="Q14" s="77"/>
    </row>
    <row r="15" spans="4:17" ht="25.5" customHeight="1" x14ac:dyDescent="0.3">
      <c r="D15" s="71" t="s">
        <v>5</v>
      </c>
      <c r="E15" s="90" t="s">
        <v>122</v>
      </c>
      <c r="F15" s="570">
        <f>+IFERROR(HLOOKUP($F$8,[13]손익!$G$5:$AI$63,25,),)</f>
        <v>8771440</v>
      </c>
      <c r="G15" s="358">
        <f>+'[7]11월'!$G$11</f>
        <v>7971479.4730000002</v>
      </c>
      <c r="H15" s="203">
        <f t="shared" si="0"/>
        <v>-799960.52699999977</v>
      </c>
      <c r="I15" s="358">
        <f>+IFERROR(HLOOKUP($F$8,[8]월별!$E$2:$T$53,8,),)</f>
        <v>9798823.2119999994</v>
      </c>
      <c r="J15" s="571">
        <f t="shared" si="1"/>
        <v>-1827343.7389999991</v>
      </c>
      <c r="K15" s="203">
        <f>+F15+[4]건자재!K15</f>
        <v>77670185</v>
      </c>
      <c r="L15" s="358">
        <f>+G15+[4]건자재!L15</f>
        <v>78958914.058000013</v>
      </c>
      <c r="M15" s="203">
        <f t="shared" si="2"/>
        <v>1288729.0580000132</v>
      </c>
      <c r="N15" s="358">
        <f>+I15+[4]건자재!N15</f>
        <v>88912905.798999995</v>
      </c>
      <c r="O15" s="351">
        <f t="shared" si="3"/>
        <v>-9953991.7409999818</v>
      </c>
      <c r="P15" s="77"/>
      <c r="Q15" s="77"/>
    </row>
    <row r="16" spans="4:17" ht="25.5" customHeight="1" x14ac:dyDescent="0.3">
      <c r="D16" s="187"/>
      <c r="E16" s="92" t="s">
        <v>123</v>
      </c>
      <c r="F16" s="574">
        <f>+IFERROR(HLOOKUP($F$8,[13]손익!$G$5:$AI$63,26,),)</f>
        <v>2183522.7160421051</v>
      </c>
      <c r="G16" s="361">
        <f>+'[7]11월'!$J$11</f>
        <v>1721296.0080000004</v>
      </c>
      <c r="H16" s="205">
        <f t="shared" si="0"/>
        <v>-462226.70804210473</v>
      </c>
      <c r="I16" s="361">
        <f>+IFERROR(HLOOKUP($F$8,[8]월별!$E$2:$T$53,9,),)</f>
        <v>2389967.6060000006</v>
      </c>
      <c r="J16" s="575">
        <f t="shared" si="1"/>
        <v>-668671.59800000023</v>
      </c>
      <c r="K16" s="205">
        <f>+F16+[4]건자재!K16</f>
        <v>19313243.4472421</v>
      </c>
      <c r="L16" s="361">
        <f>+G16+[4]건자재!L16</f>
        <v>15434015.072000004</v>
      </c>
      <c r="M16" s="205">
        <f t="shared" si="2"/>
        <v>-3879228.3752420954</v>
      </c>
      <c r="N16" s="361">
        <f>+I16+[4]건자재!N16</f>
        <v>17645864.149999999</v>
      </c>
      <c r="O16" s="352">
        <f t="shared" si="3"/>
        <v>-2211849.0779999942</v>
      </c>
      <c r="P16" s="77"/>
      <c r="Q16" s="77"/>
    </row>
    <row r="17" spans="4:17" ht="25.5" customHeight="1" x14ac:dyDescent="0.3">
      <c r="D17" s="72"/>
      <c r="E17" s="368" t="s">
        <v>43</v>
      </c>
      <c r="F17" s="576">
        <f>SUM(F15:F16)</f>
        <v>10954962.716042105</v>
      </c>
      <c r="G17" s="369">
        <f>SUM(G15:G16)</f>
        <v>9692775.4810000006</v>
      </c>
      <c r="H17" s="370">
        <f t="shared" si="0"/>
        <v>-1262187.2350421045</v>
      </c>
      <c r="I17" s="369">
        <f>SUM(I15:I16)</f>
        <v>12188790.818</v>
      </c>
      <c r="J17" s="577">
        <f t="shared" si="1"/>
        <v>-2496015.3369999994</v>
      </c>
      <c r="K17" s="370">
        <f>SUM(K15:K16)</f>
        <v>96983428.447242096</v>
      </c>
      <c r="L17" s="369">
        <f>SUM(L15:L16)</f>
        <v>94392929.130000025</v>
      </c>
      <c r="M17" s="370">
        <f t="shared" si="2"/>
        <v>-2590499.317242071</v>
      </c>
      <c r="N17" s="369">
        <f>SUM(N15:N16)</f>
        <v>106558769.949</v>
      </c>
      <c r="O17" s="371">
        <f t="shared" si="3"/>
        <v>-12165840.818999976</v>
      </c>
      <c r="P17" s="77"/>
      <c r="Q17" s="77"/>
    </row>
    <row r="18" spans="4:17" ht="25.5" customHeight="1" x14ac:dyDescent="0.3">
      <c r="D18" s="187" t="s">
        <v>18</v>
      </c>
      <c r="E18" s="91" t="s">
        <v>122</v>
      </c>
      <c r="F18" s="417">
        <f>+F12-F15</f>
        <v>208560</v>
      </c>
      <c r="G18" s="360">
        <f>+G12-G15</f>
        <v>193733.69799999986</v>
      </c>
      <c r="H18" s="195">
        <f t="shared" si="0"/>
        <v>-14826.302000000142</v>
      </c>
      <c r="I18" s="360">
        <f>+I12-I15</f>
        <v>161303.44199999981</v>
      </c>
      <c r="J18" s="418">
        <f t="shared" si="1"/>
        <v>32430.256000000052</v>
      </c>
      <c r="K18" s="195">
        <f>+K12-K15</f>
        <v>1849815</v>
      </c>
      <c r="L18" s="360">
        <f>+L12-L15</f>
        <v>1748910.0359999985</v>
      </c>
      <c r="M18" s="195">
        <f t="shared" si="2"/>
        <v>-100904.96400000155</v>
      </c>
      <c r="N18" s="360">
        <f>+N12-N15</f>
        <v>1741544.8599999994</v>
      </c>
      <c r="O18" s="218">
        <f t="shared" si="3"/>
        <v>7365.1759999990463</v>
      </c>
      <c r="P18" s="77"/>
      <c r="Q18" s="77"/>
    </row>
    <row r="19" spans="4:17" ht="25.5" customHeight="1" x14ac:dyDescent="0.3">
      <c r="D19" s="187"/>
      <c r="E19" s="193" t="s">
        <v>9</v>
      </c>
      <c r="F19" s="578">
        <f>+F18/F12</f>
        <v>2.3224944320712693E-2</v>
      </c>
      <c r="G19" s="363">
        <f>+G18/G12</f>
        <v>2.3726716491380119E-2</v>
      </c>
      <c r="H19" s="196">
        <f t="shared" si="0"/>
        <v>5.0177217066742566E-4</v>
      </c>
      <c r="I19" s="363">
        <f>+I18/I12</f>
        <v>1.6194918759915581E-2</v>
      </c>
      <c r="J19" s="579">
        <f t="shared" si="1"/>
        <v>7.531797731464538E-3</v>
      </c>
      <c r="K19" s="196">
        <f>+K18/K12</f>
        <v>2.326226106639839E-2</v>
      </c>
      <c r="L19" s="363">
        <f>+L18/L12</f>
        <v>2.1669646724251312E-2</v>
      </c>
      <c r="M19" s="196">
        <f t="shared" si="2"/>
        <v>-1.5926143421470772E-3</v>
      </c>
      <c r="N19" s="363">
        <f>+N18/N12</f>
        <v>1.9210803742563988E-2</v>
      </c>
      <c r="O19" s="353">
        <f t="shared" si="3"/>
        <v>2.4588429816873245E-3</v>
      </c>
      <c r="P19" s="77"/>
      <c r="Q19" s="77"/>
    </row>
    <row r="20" spans="4:17" ht="25.5" customHeight="1" x14ac:dyDescent="0.3">
      <c r="D20" s="187"/>
      <c r="E20" s="93" t="s">
        <v>123</v>
      </c>
      <c r="F20" s="415">
        <f>+F13-F16</f>
        <v>78679.389221051708</v>
      </c>
      <c r="G20" s="362">
        <f>+G13-G16</f>
        <v>56359.841999999247</v>
      </c>
      <c r="H20" s="204">
        <f t="shared" si="0"/>
        <v>-22319.54722105246</v>
      </c>
      <c r="I20" s="362">
        <f>+I13-I16</f>
        <v>54785.955000000075</v>
      </c>
      <c r="J20" s="416">
        <f t="shared" si="1"/>
        <v>1573.886999999173</v>
      </c>
      <c r="K20" s="204">
        <f>+K13-K16</f>
        <v>695918.65802106634</v>
      </c>
      <c r="L20" s="362">
        <f>+L13-L16</f>
        <v>412106.18099999242</v>
      </c>
      <c r="M20" s="204">
        <f t="shared" si="2"/>
        <v>-283812.47702107392</v>
      </c>
      <c r="N20" s="362">
        <f>+N13-N16</f>
        <v>445309.35500000045</v>
      </c>
      <c r="O20" s="221">
        <f t="shared" si="3"/>
        <v>-33203.174000008032</v>
      </c>
      <c r="P20" s="77"/>
      <c r="Q20" s="77"/>
    </row>
    <row r="21" spans="4:17" ht="25.5" customHeight="1" x14ac:dyDescent="0.3">
      <c r="D21" s="187"/>
      <c r="E21" s="194" t="s">
        <v>9</v>
      </c>
      <c r="F21" s="580">
        <f>+F20/F13</f>
        <v>3.477999999999961E-2</v>
      </c>
      <c r="G21" s="364">
        <f>+G20/G13</f>
        <v>3.1704585564185137E-2</v>
      </c>
      <c r="H21" s="206">
        <f t="shared" si="0"/>
        <v>-3.0754144358144733E-3</v>
      </c>
      <c r="I21" s="364">
        <f>+I20/I13</f>
        <v>2.2409602290379919E-2</v>
      </c>
      <c r="J21" s="581">
        <f t="shared" si="1"/>
        <v>9.2949832738052178E-3</v>
      </c>
      <c r="K21" s="206">
        <f>+K20/K13</f>
        <v>3.4780000000000671E-2</v>
      </c>
      <c r="L21" s="364">
        <f>+L20/L13</f>
        <v>2.6006754234697796E-2</v>
      </c>
      <c r="M21" s="206">
        <f t="shared" si="2"/>
        <v>-8.7732457653028756E-3</v>
      </c>
      <c r="N21" s="364">
        <f>+N20/N13</f>
        <v>2.4614730209564725E-2</v>
      </c>
      <c r="O21" s="354">
        <f t="shared" si="3"/>
        <v>1.3920240251330714E-3</v>
      </c>
      <c r="P21" s="77"/>
      <c r="Q21" s="77"/>
    </row>
    <row r="22" spans="4:17" ht="25.5" customHeight="1" x14ac:dyDescent="0.3">
      <c r="D22" s="187"/>
      <c r="E22" s="94" t="s">
        <v>58</v>
      </c>
      <c r="F22" s="415">
        <f>SUM(F18,F20)</f>
        <v>287239.38922105171</v>
      </c>
      <c r="G22" s="362">
        <f>SUM(G18,G20)</f>
        <v>250093.53999999911</v>
      </c>
      <c r="H22" s="204">
        <f t="shared" si="0"/>
        <v>-37145.849221052602</v>
      </c>
      <c r="I22" s="362">
        <f>SUM(I18,I20)</f>
        <v>216089.39699999988</v>
      </c>
      <c r="J22" s="416">
        <f t="shared" si="1"/>
        <v>34004.142999999225</v>
      </c>
      <c r="K22" s="204">
        <f>+K14-K17</f>
        <v>2545733.6580210775</v>
      </c>
      <c r="L22" s="362">
        <f>+L14-L17</f>
        <v>2161016.2169999778</v>
      </c>
      <c r="M22" s="204">
        <f t="shared" si="2"/>
        <v>-384717.44102109969</v>
      </c>
      <c r="N22" s="362">
        <f>+N14-N17</f>
        <v>2186854.2149999887</v>
      </c>
      <c r="O22" s="221">
        <f t="shared" si="3"/>
        <v>-25837.998000010848</v>
      </c>
      <c r="P22" s="77"/>
      <c r="Q22" s="77"/>
    </row>
    <row r="23" spans="4:17" ht="25.5" customHeight="1" x14ac:dyDescent="0.3">
      <c r="D23" s="187"/>
      <c r="E23" s="372" t="s">
        <v>9</v>
      </c>
      <c r="F23" s="578">
        <f>+F22/F14</f>
        <v>2.55501001077518E-2</v>
      </c>
      <c r="G23" s="363">
        <f>+G22/G14</f>
        <v>2.5153055870673239E-2</v>
      </c>
      <c r="H23" s="196">
        <f t="shared" si="0"/>
        <v>-3.9704423707856082E-4</v>
      </c>
      <c r="I23" s="363">
        <f>+I22/I14</f>
        <v>1.7419708473984639E-2</v>
      </c>
      <c r="J23" s="579">
        <f t="shared" si="1"/>
        <v>7.7333473966886002E-3</v>
      </c>
      <c r="K23" s="196">
        <f>+K22/K14</f>
        <v>2.5577766397035278E-2</v>
      </c>
      <c r="L23" s="363">
        <f>+L22/L14</f>
        <v>2.2381438782575053E-2</v>
      </c>
      <c r="M23" s="196">
        <f t="shared" si="2"/>
        <v>-3.1963276144602246E-3</v>
      </c>
      <c r="N23" s="363">
        <f>+N22/N14</f>
        <v>2.0109813445936726E-2</v>
      </c>
      <c r="O23" s="353">
        <f t="shared" si="3"/>
        <v>2.2716253366383277E-3</v>
      </c>
      <c r="P23" s="77"/>
      <c r="Q23" s="77"/>
    </row>
    <row r="24" spans="4:17" ht="25.5" customHeight="1" x14ac:dyDescent="0.3">
      <c r="D24" s="71" t="s">
        <v>124</v>
      </c>
      <c r="E24" s="90" t="s">
        <v>125</v>
      </c>
      <c r="F24" s="570">
        <f>+IFERROR(HLOOKUP($F$8,[13]판매4!$G$4:$U$50,7,),)</f>
        <v>83504.47</v>
      </c>
      <c r="G24" s="358">
        <f>+'[7]11월'!$M$19</f>
        <v>83862.614999999991</v>
      </c>
      <c r="H24" s="203">
        <f t="shared" si="0"/>
        <v>358.14499999998952</v>
      </c>
      <c r="I24" s="358">
        <f>+IFERROR(HLOOKUP($F$8,[8]월별!$E$2:$T$53,17,),)</f>
        <v>81379.444000000003</v>
      </c>
      <c r="J24" s="571">
        <f t="shared" si="1"/>
        <v>2483.1709999999875</v>
      </c>
      <c r="K24" s="203">
        <f>+F24+[4]건자재!K24</f>
        <v>915974.34999999986</v>
      </c>
      <c r="L24" s="358">
        <f>+G24+[4]건자재!L24</f>
        <v>994228.78599999996</v>
      </c>
      <c r="M24" s="203">
        <f t="shared" si="2"/>
        <v>78254.436000000103</v>
      </c>
      <c r="N24" s="358">
        <f>+I24+[4]건자재!N24</f>
        <v>899570.30300000007</v>
      </c>
      <c r="O24" s="351">
        <f t="shared" si="3"/>
        <v>94658.482999999891</v>
      </c>
      <c r="P24" s="77"/>
      <c r="Q24" s="77"/>
    </row>
    <row r="25" spans="4:17" ht="25.5" customHeight="1" x14ac:dyDescent="0.3">
      <c r="D25" s="187"/>
      <c r="E25" s="92" t="s">
        <v>126</v>
      </c>
      <c r="F25" s="574">
        <f>+IFERROR(HLOOKUP($F$8,[13]판매4!$G$4:$U$50,31,),)+IFERROR(HLOOKUP($F$8,[13]판매4!$G$4:$U$50,34,),)</f>
        <v>37999.589999999997</v>
      </c>
      <c r="G25" s="361">
        <f>+'[7]11월'!$M$37+'[7]11월'!$M$40</f>
        <v>47874.276000000013</v>
      </c>
      <c r="H25" s="205">
        <f t="shared" si="0"/>
        <v>9874.6860000000161</v>
      </c>
      <c r="I25" s="361">
        <f>+IFERROR(HLOOKUP($F$8,[8]월별!$E$2:$T$53,35,),)+IFERROR(HLOOKUP($F$8,[8]월별!$E$2:$T$53,38,),)</f>
        <v>36519.824000000001</v>
      </c>
      <c r="J25" s="575">
        <f t="shared" si="1"/>
        <v>11354.452000000012</v>
      </c>
      <c r="K25" s="205">
        <f>+F25+[4]건자재!K25</f>
        <v>468368.88</v>
      </c>
      <c r="L25" s="361">
        <f>+G25+[4]건자재!L25</f>
        <v>564927.08299999998</v>
      </c>
      <c r="M25" s="205">
        <f t="shared" si="2"/>
        <v>96558.20299999998</v>
      </c>
      <c r="N25" s="361">
        <f>+I25+[4]건자재!N25</f>
        <v>419003.5</v>
      </c>
      <c r="O25" s="352">
        <f t="shared" si="3"/>
        <v>145923.58299999998</v>
      </c>
      <c r="P25" s="77"/>
      <c r="Q25" s="77"/>
    </row>
    <row r="26" spans="4:17" ht="25.5" customHeight="1" x14ac:dyDescent="0.3">
      <c r="D26" s="72"/>
      <c r="E26" s="368" t="s">
        <v>58</v>
      </c>
      <c r="F26" s="576">
        <f>SUM(F24:F25)</f>
        <v>121504.06</v>
      </c>
      <c r="G26" s="369">
        <f>SUM(G24:G25)</f>
        <v>131736.891</v>
      </c>
      <c r="H26" s="370">
        <f t="shared" si="0"/>
        <v>10232.831000000006</v>
      </c>
      <c r="I26" s="369">
        <f>SUM(I24:I25)</f>
        <v>117899.26800000001</v>
      </c>
      <c r="J26" s="577">
        <f t="shared" si="1"/>
        <v>13837.622999999992</v>
      </c>
      <c r="K26" s="370">
        <f>SUM(K24:K25)</f>
        <v>1384343.23</v>
      </c>
      <c r="L26" s="369">
        <f>SUM(L24:L25)</f>
        <v>1559155.8689999999</v>
      </c>
      <c r="M26" s="370">
        <f t="shared" si="2"/>
        <v>174812.63899999997</v>
      </c>
      <c r="N26" s="369">
        <f>SUM(N24:N25)</f>
        <v>1318573.8030000001</v>
      </c>
      <c r="O26" s="371">
        <f t="shared" si="3"/>
        <v>240582.06599999988</v>
      </c>
      <c r="P26" s="77"/>
      <c r="Q26" s="77"/>
    </row>
    <row r="27" spans="4:17" ht="25.5" customHeight="1" x14ac:dyDescent="0.3">
      <c r="D27" s="187" t="s">
        <v>7</v>
      </c>
      <c r="E27" s="372"/>
      <c r="F27" s="417">
        <f>+F22-F26</f>
        <v>165735.32922105171</v>
      </c>
      <c r="G27" s="360">
        <f>+G22-G26</f>
        <v>118356.6489999991</v>
      </c>
      <c r="H27" s="195">
        <f t="shared" si="0"/>
        <v>-47378.680221052608</v>
      </c>
      <c r="I27" s="360">
        <f>+I22-I26</f>
        <v>98190.12899999987</v>
      </c>
      <c r="J27" s="418">
        <f t="shared" si="1"/>
        <v>20166.519999999233</v>
      </c>
      <c r="K27" s="195">
        <f>+K22-K26</f>
        <v>1161390.4280210775</v>
      </c>
      <c r="L27" s="360">
        <f>+L22-L26</f>
        <v>601860.34799997788</v>
      </c>
      <c r="M27" s="195">
        <f t="shared" si="2"/>
        <v>-559530.08002109965</v>
      </c>
      <c r="N27" s="360">
        <f>+N22-N26</f>
        <v>868280.4119999886</v>
      </c>
      <c r="O27" s="218">
        <f t="shared" si="3"/>
        <v>-266420.06400001072</v>
      </c>
      <c r="P27" s="77"/>
      <c r="Q27" s="77"/>
    </row>
    <row r="28" spans="4:17" ht="25.5" customHeight="1" thickBot="1" x14ac:dyDescent="0.35">
      <c r="D28" s="187"/>
      <c r="E28" s="567" t="s">
        <v>10</v>
      </c>
      <c r="F28" s="582">
        <f>+F27/F14</f>
        <v>1.4742247797116274E-2</v>
      </c>
      <c r="G28" s="583">
        <f>+G27/G14</f>
        <v>1.19036717420316E-2</v>
      </c>
      <c r="H28" s="584">
        <f t="shared" si="0"/>
        <v>-2.8385760550846736E-3</v>
      </c>
      <c r="I28" s="583">
        <f>+I27/I14</f>
        <v>7.9154435430394739E-3</v>
      </c>
      <c r="J28" s="585">
        <f t="shared" si="1"/>
        <v>3.9882281989921265E-3</v>
      </c>
      <c r="K28" s="207">
        <f>+K27/K14</f>
        <v>1.1668845627302457E-2</v>
      </c>
      <c r="L28" s="365">
        <f>+L27/L14</f>
        <v>6.2334102023173113E-3</v>
      </c>
      <c r="M28" s="207">
        <f t="shared" si="2"/>
        <v>-5.4354354249851458E-3</v>
      </c>
      <c r="N28" s="365">
        <f>+N27/N14</f>
        <v>7.9845089738096418E-3</v>
      </c>
      <c r="O28" s="355">
        <f t="shared" si="3"/>
        <v>-1.7510987714923305E-3</v>
      </c>
      <c r="P28" s="77"/>
      <c r="Q28" s="77"/>
    </row>
    <row r="29" spans="4:17" ht="25.5" customHeight="1" thickTop="1" x14ac:dyDescent="0.3">
      <c r="D29" s="846" t="s">
        <v>129</v>
      </c>
      <c r="E29" s="847"/>
      <c r="F29" s="164"/>
      <c r="G29" s="164"/>
      <c r="H29" s="164"/>
      <c r="I29" s="164"/>
      <c r="J29" s="164"/>
      <c r="K29" s="164"/>
      <c r="L29" s="164"/>
      <c r="M29" s="164"/>
      <c r="N29" s="75"/>
      <c r="O29" s="188"/>
      <c r="P29" s="77"/>
      <c r="Q29" s="77"/>
    </row>
    <row r="30" spans="4:17" ht="25.5" customHeight="1" x14ac:dyDescent="0.3">
      <c r="D30" s="848"/>
      <c r="E30" s="849"/>
      <c r="F30" s="164"/>
      <c r="G30" s="164"/>
      <c r="H30" s="164"/>
      <c r="I30" s="164"/>
      <c r="J30" s="164"/>
      <c r="K30" s="164"/>
      <c r="L30" s="164"/>
      <c r="M30" s="164"/>
      <c r="N30" s="75"/>
      <c r="O30" s="188"/>
      <c r="P30" s="77"/>
      <c r="Q30" s="77"/>
    </row>
    <row r="31" spans="4:17" ht="25.5" customHeight="1" x14ac:dyDescent="0.3">
      <c r="D31" s="848"/>
      <c r="E31" s="849"/>
      <c r="F31" s="164"/>
      <c r="G31" s="164"/>
      <c r="H31" s="164"/>
      <c r="I31" s="164"/>
      <c r="J31" s="164"/>
      <c r="K31" s="164"/>
      <c r="L31" s="164"/>
      <c r="M31" s="164"/>
      <c r="N31" s="75"/>
      <c r="O31" s="188"/>
      <c r="P31" s="77"/>
      <c r="Q31" s="77"/>
    </row>
    <row r="32" spans="4:17" ht="25.5" customHeight="1" x14ac:dyDescent="0.3">
      <c r="D32" s="848"/>
      <c r="E32" s="849"/>
      <c r="F32" s="164"/>
      <c r="G32" s="164"/>
      <c r="H32" s="164"/>
      <c r="I32" s="164"/>
      <c r="J32" s="164"/>
      <c r="K32" s="164"/>
      <c r="L32" s="164"/>
      <c r="M32" s="164"/>
      <c r="N32" s="75"/>
      <c r="O32" s="188"/>
      <c r="P32" s="77"/>
      <c r="Q32" s="77"/>
    </row>
    <row r="33" spans="4:41" ht="25.5" customHeight="1" x14ac:dyDescent="0.3">
      <c r="D33" s="848"/>
      <c r="E33" s="849"/>
      <c r="F33" s="164"/>
      <c r="G33" s="164"/>
      <c r="H33" s="164"/>
      <c r="I33" s="164"/>
      <c r="J33" s="164"/>
      <c r="K33" s="164"/>
      <c r="L33" s="164"/>
      <c r="M33" s="164"/>
      <c r="N33" s="75"/>
      <c r="O33" s="188"/>
      <c r="P33" s="77"/>
      <c r="Q33" s="77"/>
    </row>
    <row r="34" spans="4:41" ht="25.5" customHeight="1" x14ac:dyDescent="0.3">
      <c r="D34" s="850"/>
      <c r="E34" s="851"/>
      <c r="F34" s="198"/>
      <c r="G34" s="198"/>
      <c r="H34" s="198"/>
      <c r="I34" s="198"/>
      <c r="J34" s="198"/>
      <c r="K34" s="198"/>
      <c r="L34" s="198"/>
      <c r="M34" s="198"/>
      <c r="N34" s="166"/>
      <c r="O34" s="197"/>
      <c r="R34" s="6" t="s">
        <v>164</v>
      </c>
    </row>
    <row r="35" spans="4:41" ht="21.95" customHeight="1" x14ac:dyDescent="0.3"/>
    <row r="36" spans="4:41" ht="21.95" customHeight="1" x14ac:dyDescent="0.3">
      <c r="F36" s="6">
        <f>+IFERROR(HLOOKUP($F$8,[13]손익!$G$5:$AJ$65,17,),)</f>
        <v>165735.32922105171</v>
      </c>
      <c r="G36" s="6">
        <f>+'[7]11월'!$M$41</f>
        <v>118356.6489999991</v>
      </c>
      <c r="I36" s="6">
        <f>+IFERROR(HLOOKUP($F$8,[8]월별!$E$2:$T$53,39,),)</f>
        <v>98190.12899999987</v>
      </c>
      <c r="K36" s="6">
        <f>+F36+[4]건자재!K36</f>
        <v>1161390.4280210615</v>
      </c>
      <c r="L36" s="6">
        <f>+G36+[4]건자재!L36</f>
        <v>601860.34800000209</v>
      </c>
      <c r="N36" s="6">
        <f>+I36+[4]건자재!N36</f>
        <v>868280.41200000164</v>
      </c>
      <c r="R36" s="503"/>
      <c r="S36" s="592" t="s">
        <v>180</v>
      </c>
      <c r="T36" s="592" t="s">
        <v>179</v>
      </c>
      <c r="U36" s="592" t="s">
        <v>181</v>
      </c>
      <c r="V36" s="592" t="s">
        <v>173</v>
      </c>
      <c r="W36" s="592" t="s">
        <v>211</v>
      </c>
      <c r="X36" s="592" t="s">
        <v>182</v>
      </c>
      <c r="Y36" s="592" t="s">
        <v>227</v>
      </c>
      <c r="Z36" s="592" t="s">
        <v>187</v>
      </c>
      <c r="AA36" s="592" t="s">
        <v>188</v>
      </c>
      <c r="AB36" s="592" t="s">
        <v>189</v>
      </c>
      <c r="AC36" s="592" t="s">
        <v>190</v>
      </c>
      <c r="AD36" s="592" t="s">
        <v>191</v>
      </c>
      <c r="AE36" s="592" t="s">
        <v>180</v>
      </c>
      <c r="AF36" s="592" t="s">
        <v>202</v>
      </c>
      <c r="AG36" s="592" t="s">
        <v>209</v>
      </c>
      <c r="AH36" s="592" t="s">
        <v>210</v>
      </c>
      <c r="AI36" s="592" t="s">
        <v>211</v>
      </c>
      <c r="AJ36" s="592" t="s">
        <v>182</v>
      </c>
      <c r="AK36" s="592" t="s">
        <v>227</v>
      </c>
      <c r="AL36" s="592" t="s">
        <v>226</v>
      </c>
      <c r="AM36" s="592" t="s">
        <v>229</v>
      </c>
      <c r="AN36" s="592" t="s">
        <v>189</v>
      </c>
      <c r="AO36" s="592" t="s">
        <v>248</v>
      </c>
    </row>
    <row r="37" spans="4:41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K37" s="6" t="b">
        <f>+K27=K36</f>
        <v>0</v>
      </c>
      <c r="L37" s="6" t="b">
        <f>+L27=L36</f>
        <v>0</v>
      </c>
      <c r="N37" s="6" t="b">
        <f>+N27=N36</f>
        <v>0</v>
      </c>
      <c r="R37" s="199" t="s">
        <v>121</v>
      </c>
      <c r="S37" s="209" t="s">
        <v>180</v>
      </c>
      <c r="T37" s="209" t="s">
        <v>179</v>
      </c>
      <c r="U37" s="209">
        <v>3</v>
      </c>
      <c r="V37" s="209" t="s">
        <v>173</v>
      </c>
      <c r="W37" s="209" t="s">
        <v>211</v>
      </c>
      <c r="X37" s="209" t="s">
        <v>182</v>
      </c>
      <c r="Y37" s="209" t="s">
        <v>227</v>
      </c>
      <c r="Z37" s="209" t="str">
        <f t="shared" ref="Z37:AE37" si="4">+Z36</f>
        <v>8월</v>
      </c>
      <c r="AA37" s="209" t="str">
        <f t="shared" si="4"/>
        <v>9월</v>
      </c>
      <c r="AB37" s="209" t="str">
        <f t="shared" si="4"/>
        <v>10월</v>
      </c>
      <c r="AC37" s="209" t="str">
        <f t="shared" si="4"/>
        <v>11월</v>
      </c>
      <c r="AD37" s="209" t="str">
        <f t="shared" si="4"/>
        <v>12월</v>
      </c>
      <c r="AE37" s="209" t="str">
        <f t="shared" si="4"/>
        <v>1월</v>
      </c>
      <c r="AF37" s="209" t="str">
        <f t="shared" ref="AF37:AO37" si="5">+AF36</f>
        <v>2월</v>
      </c>
      <c r="AG37" s="209" t="str">
        <f t="shared" si="5"/>
        <v>3월</v>
      </c>
      <c r="AH37" s="209" t="str">
        <f t="shared" si="5"/>
        <v>4월</v>
      </c>
      <c r="AI37" s="209" t="str">
        <f t="shared" si="5"/>
        <v>5월</v>
      </c>
      <c r="AJ37" s="209" t="str">
        <f t="shared" si="5"/>
        <v>6월</v>
      </c>
      <c r="AK37" s="209" t="str">
        <f t="shared" si="5"/>
        <v>7월</v>
      </c>
      <c r="AL37" s="209" t="str">
        <f t="shared" si="5"/>
        <v>8월</v>
      </c>
      <c r="AM37" s="209" t="str">
        <f t="shared" si="5"/>
        <v>9월</v>
      </c>
      <c r="AN37" s="209" t="str">
        <f t="shared" si="5"/>
        <v>10월</v>
      </c>
      <c r="AO37" s="209" t="str">
        <f t="shared" si="5"/>
        <v>11월</v>
      </c>
    </row>
    <row r="38" spans="4:41" ht="21.95" customHeight="1" x14ac:dyDescent="0.3">
      <c r="F38" s="593">
        <f>+F27-F36</f>
        <v>0</v>
      </c>
      <c r="G38" s="593">
        <f>+G27-G36</f>
        <v>0</v>
      </c>
      <c r="I38" s="593">
        <f>+I27-I36</f>
        <v>0</v>
      </c>
      <c r="K38" s="593">
        <f>+K27-K36</f>
        <v>1.6065314412117004E-8</v>
      </c>
      <c r="L38" s="593">
        <f>+L27-L36</f>
        <v>-2.4214386940002441E-8</v>
      </c>
      <c r="N38" s="98">
        <f>+N27-N36</f>
        <v>-1.3038516044616699E-8</v>
      </c>
      <c r="R38" s="200" t="s">
        <v>127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  <c r="AG38" s="74">
        <f>+IFERROR(HLOOKUP(AG$36,[7]월별!$E$2:$S$67,42,),)</f>
        <v>873530.5235919673</v>
      </c>
      <c r="AH38" s="74">
        <f>+IFERROR(HLOOKUP(AH$36,[7]월별!$E$2:$S$67,42,),)</f>
        <v>853042.90795678552</v>
      </c>
      <c r="AI38" s="74">
        <f>+IFERROR(HLOOKUP(AI$36,[7]월별!$E$2:$S$67,42,),)</f>
        <v>811389.30758305453</v>
      </c>
      <c r="AJ38" s="74">
        <f>+IFERROR(HLOOKUP(AJ$36,[7]월별!$E$2:$S$67,42,),)</f>
        <v>785072.67759542307</v>
      </c>
      <c r="AK38" s="74">
        <f>+IFERROR(HLOOKUP(AK$36,[7]월별!$E$2:$S$67,42,),)</f>
        <v>751049.2097042331</v>
      </c>
      <c r="AL38" s="74">
        <f>+IFERROR(HLOOKUP(AL$36,[7]월별!$E$2:$S$67,42,),)</f>
        <v>846014.52770958561</v>
      </c>
      <c r="AM38" s="74">
        <f>+IFERROR(HLOOKUP(AM$36,[7]월별!$E$2:$S$67,42,),)</f>
        <v>879572.42936012533</v>
      </c>
      <c r="AN38" s="74">
        <f>+IFERROR(HLOOKUP(AN$36,[7]월별!$E$2:$S$67,42,),)</f>
        <v>818946.47731031897</v>
      </c>
      <c r="AO38" s="74">
        <f>+IFERROR(HLOOKUP(AO$36,[7]월별!$E$2:$S$67,42,),)</f>
        <v>818946.47731031897</v>
      </c>
    </row>
    <row r="39" spans="4:41" ht="21.95" customHeight="1" x14ac:dyDescent="0.3">
      <c r="R39" s="201" t="s">
        <v>128</v>
      </c>
      <c r="S39" s="202">
        <f>+IFERROR(HLOOKUP(S$36,[8]월별!$E$2:$S$67,43,),)</f>
        <v>1.9263299607757241E-2</v>
      </c>
      <c r="T39" s="202">
        <f>+IFERROR(HLOOKUP(T$36,[8]월별!$E$2:$S$67,43,),)</f>
        <v>2.0328430506478493E-2</v>
      </c>
      <c r="U39" s="202">
        <f>+IFERROR(HLOOKUP(U$36,[8]월별!$E$2:$S$67,43,),)</f>
        <v>1.815970186077798E-2</v>
      </c>
      <c r="V39" s="202">
        <f>+IFERROR(HLOOKUP(V$36,[8]월별!$E$2:$S$67,43,),)</f>
        <v>2.0783119934692784E-2</v>
      </c>
      <c r="W39" s="202">
        <f>+IFERROR(HLOOKUP(W$36,[8]월별!$E$2:$S$67,43,),)</f>
        <v>1.8530156032889104E-2</v>
      </c>
      <c r="X39" s="202">
        <f>+IFERROR(HLOOKUP(X$36,[8]월별!$E$2:$S$67,43,),)</f>
        <v>2.338088905753952E-2</v>
      </c>
      <c r="Y39" s="202">
        <f>+IFERROR(HLOOKUP(Y$36,[8]월별!$E$2:$S$67,43,),)</f>
        <v>2.4066421287530761E-2</v>
      </c>
      <c r="Z39" s="202">
        <f>+IFERROR(HLOOKUP(Z$36,[8]월별!$E$2:$S$67,43,),)</f>
        <v>2.751551238666371E-2</v>
      </c>
      <c r="AA39" s="202">
        <f>+IFERROR(HLOOKUP(AA$36,[8]월별!$E$2:$S$67,43,),)</f>
        <v>1.6738202604907604E-2</v>
      </c>
      <c r="AB39" s="202">
        <f>+IFERROR(HLOOKUP(AB$36,[8]월별!$E$2:$S$67,43,),)</f>
        <v>1.8118540365804674E-2</v>
      </c>
      <c r="AC39" s="202">
        <f>+IFERROR(HLOOKUP(AC$36,[8]월별!$E$2:$S$67,43,),)</f>
        <v>1.7419708473984639E-2</v>
      </c>
      <c r="AD39" s="202">
        <f>+IFERROR(HLOOKUP(AD$36,[8]월별!$E$2:$S$67,43,),)</f>
        <v>2.0746012557623313E-2</v>
      </c>
      <c r="AE39" s="202">
        <f>+IFERROR(HLOOKUP(AE$36,[7]월별!$E$2:$S$67,43,),)</f>
        <v>0</v>
      </c>
      <c r="AF39" s="202">
        <f>+IFERROR(HLOOKUP(AF$36,[7]월별!$E$2:$S$67,43,),)</f>
        <v>0</v>
      </c>
      <c r="AG39" s="202">
        <f>+IFERROR(HLOOKUP(AG$36,[7]월별!$E$2:$S$67,43,),)</f>
        <v>0</v>
      </c>
      <c r="AH39" s="202">
        <f>+IFERROR(HLOOKUP(AH$36,[7]월별!$E$2:$S$67,43,),)</f>
        <v>0</v>
      </c>
      <c r="AI39" s="202">
        <f>+IFERROR(HLOOKUP(AI$36,[7]월별!$E$2:$S$67,43,),)</f>
        <v>0</v>
      </c>
      <c r="AJ39" s="202">
        <f>+IFERROR(HLOOKUP(AJ$36,[7]월별!$E$2:$S$67,43,),)</f>
        <v>0</v>
      </c>
      <c r="AK39" s="202">
        <f>+IFERROR(HLOOKUP(AK$36,[7]월별!$E$2:$S$67,43,),)</f>
        <v>0</v>
      </c>
      <c r="AL39" s="202">
        <f>+IFERROR(HLOOKUP(AL$36,[7]월별!$E$2:$S$67,43,),)</f>
        <v>0</v>
      </c>
      <c r="AM39" s="202">
        <f>+IFERROR(HLOOKUP(AM$36,[7]월별!$E$2:$S$67,43,),)</f>
        <v>0</v>
      </c>
      <c r="AN39" s="202">
        <f>+IFERROR(HLOOKUP(AN$36,[7]월별!$E$2:$S$67,43,),)</f>
        <v>0</v>
      </c>
      <c r="AO39" s="202">
        <f>+IFERROR(HLOOKUP(AO$36,[7]월별!$E$2:$S$67,43,),)</f>
        <v>0</v>
      </c>
    </row>
    <row r="40" spans="4:41" ht="21.95" customHeight="1" x14ac:dyDescent="0.3"/>
    <row r="41" spans="4:41" ht="21.95" customHeight="1" x14ac:dyDescent="0.3"/>
    <row r="42" spans="4:41" ht="21.95" customHeight="1" x14ac:dyDescent="0.3"/>
    <row r="43" spans="4:41" ht="21.95" customHeight="1" x14ac:dyDescent="0.3"/>
    <row r="44" spans="4:41" ht="21.95" customHeight="1" x14ac:dyDescent="0.3"/>
    <row r="45" spans="4:41" ht="21.95" customHeight="1" x14ac:dyDescent="0.3"/>
    <row r="46" spans="4:41" ht="21.95" customHeight="1" x14ac:dyDescent="0.3"/>
    <row r="47" spans="4:41" ht="21.95" customHeight="1" x14ac:dyDescent="0.3"/>
    <row r="48" spans="4:41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 codeName="Sheet10"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N8" activePane="bottomRight" state="frozen"/>
      <selection activeCell="A15" sqref="A15"/>
      <selection pane="topRight" activeCell="A15" sqref="A15"/>
      <selection pane="bottomLeft" activeCell="A15" sqref="A15"/>
      <selection pane="bottomRight" activeCell="Q10" sqref="Q10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 x14ac:dyDescent="0.3">
      <c r="A1" s="422" t="s">
        <v>190</v>
      </c>
    </row>
    <row r="2" spans="1:39" ht="9.75" customHeight="1" x14ac:dyDescent="0.3"/>
    <row r="3" spans="1:39" ht="9.9499999999999993" customHeight="1" x14ac:dyDescent="0.3"/>
    <row r="4" spans="1:39" ht="31.5" x14ac:dyDescent="0.3">
      <c r="D4" s="183" t="s">
        <v>249</v>
      </c>
      <c r="F4" s="183"/>
      <c r="I4" s="183"/>
    </row>
    <row r="5" spans="1:39" ht="21.95" customHeight="1" thickBot="1" x14ac:dyDescent="0.35">
      <c r="J5" s="76"/>
      <c r="AE5" s="76"/>
      <c r="AH5" s="76"/>
      <c r="AJ5" s="185" t="s">
        <v>167</v>
      </c>
    </row>
    <row r="6" spans="1:39" ht="24" customHeight="1" thickTop="1" x14ac:dyDescent="0.3">
      <c r="A6" s="6" t="s">
        <v>235</v>
      </c>
      <c r="D6" s="295" t="s">
        <v>15</v>
      </c>
      <c r="E6" s="855" t="s">
        <v>11</v>
      </c>
      <c r="F6" s="856"/>
      <c r="G6" s="293" t="s">
        <v>140</v>
      </c>
      <c r="H6" s="292"/>
      <c r="I6" s="292"/>
      <c r="J6" s="292" t="s">
        <v>139</v>
      </c>
      <c r="K6" s="292"/>
      <c r="L6" s="294"/>
      <c r="M6" s="292" t="s">
        <v>213</v>
      </c>
      <c r="N6" s="292"/>
      <c r="O6" s="294"/>
      <c r="P6" s="388" t="s">
        <v>138</v>
      </c>
      <c r="Q6" s="389"/>
      <c r="R6" s="390"/>
      <c r="S6" s="293" t="s">
        <v>184</v>
      </c>
      <c r="T6" s="292"/>
      <c r="U6" s="292"/>
      <c r="V6" s="292" t="s">
        <v>185</v>
      </c>
      <c r="W6" s="292"/>
      <c r="X6" s="294"/>
      <c r="Y6" s="292" t="s">
        <v>224</v>
      </c>
      <c r="Z6" s="292"/>
      <c r="AA6" s="294"/>
      <c r="AB6" s="388" t="s">
        <v>186</v>
      </c>
      <c r="AC6" s="389"/>
      <c r="AD6" s="390"/>
      <c r="AE6" s="387" t="s">
        <v>137</v>
      </c>
      <c r="AF6" s="292"/>
      <c r="AG6" s="294"/>
      <c r="AH6" s="388" t="s">
        <v>136</v>
      </c>
      <c r="AI6" s="389"/>
      <c r="AJ6" s="390"/>
    </row>
    <row r="7" spans="1:39" ht="24" customHeight="1" x14ac:dyDescent="0.3">
      <c r="D7" s="291"/>
      <c r="E7" s="857"/>
      <c r="F7" s="858"/>
      <c r="G7" s="287" t="s">
        <v>12</v>
      </c>
      <c r="H7" s="373" t="s">
        <v>13</v>
      </c>
      <c r="I7" s="290" t="s">
        <v>36</v>
      </c>
      <c r="J7" s="289" t="s">
        <v>15</v>
      </c>
      <c r="K7" s="373" t="s">
        <v>16</v>
      </c>
      <c r="L7" s="288" t="s">
        <v>36</v>
      </c>
      <c r="M7" s="289" t="s">
        <v>15</v>
      </c>
      <c r="N7" s="373" t="s">
        <v>16</v>
      </c>
      <c r="O7" s="288" t="s">
        <v>36</v>
      </c>
      <c r="P7" s="391" t="s">
        <v>15</v>
      </c>
      <c r="Q7" s="373" t="s">
        <v>16</v>
      </c>
      <c r="R7" s="392" t="s">
        <v>36</v>
      </c>
      <c r="S7" s="287" t="s">
        <v>12</v>
      </c>
      <c r="T7" s="373" t="s">
        <v>13</v>
      </c>
      <c r="U7" s="290" t="s">
        <v>36</v>
      </c>
      <c r="V7" s="289" t="s">
        <v>15</v>
      </c>
      <c r="W7" s="373" t="s">
        <v>16</v>
      </c>
      <c r="X7" s="288" t="s">
        <v>36</v>
      </c>
      <c r="Y7" s="289" t="s">
        <v>15</v>
      </c>
      <c r="Z7" s="373" t="s">
        <v>16</v>
      </c>
      <c r="AA7" s="288" t="s">
        <v>36</v>
      </c>
      <c r="AB7" s="391" t="s">
        <v>15</v>
      </c>
      <c r="AC7" s="373" t="s">
        <v>16</v>
      </c>
      <c r="AD7" s="392" t="s">
        <v>36</v>
      </c>
      <c r="AE7" s="288" t="s">
        <v>15</v>
      </c>
      <c r="AF7" s="373" t="s">
        <v>16</v>
      </c>
      <c r="AG7" s="288" t="s">
        <v>36</v>
      </c>
      <c r="AH7" s="391" t="s">
        <v>15</v>
      </c>
      <c r="AI7" s="373" t="s">
        <v>16</v>
      </c>
      <c r="AJ7" s="392" t="s">
        <v>36</v>
      </c>
    </row>
    <row r="8" spans="1:39" ht="24" customHeight="1" x14ac:dyDescent="0.3">
      <c r="D8" s="77"/>
      <c r="E8" s="264" t="s">
        <v>110</v>
      </c>
      <c r="F8" s="263" t="s">
        <v>132</v>
      </c>
      <c r="G8" s="259">
        <f>+IFERROR(HLOOKUP($A$1,[14]손익요약!$G$5:$AL$106,3,),)</f>
        <v>16653.733333333334</v>
      </c>
      <c r="H8" s="374">
        <f>+'[9]서부산크라샤(당월)'!$F$66</f>
        <v>0</v>
      </c>
      <c r="I8" s="262">
        <f>H8-G8</f>
        <v>-16653.733333333334</v>
      </c>
      <c r="J8" s="261">
        <f>+IFERROR(HLOOKUP($A$1,[14]손익요약!$G$5:$AL$106,6,),)</f>
        <v>2421.83</v>
      </c>
      <c r="K8" s="374">
        <f>+'[9]서부산크라샤(당월)'!$I$66</f>
        <v>0</v>
      </c>
      <c r="L8" s="260">
        <f>K8-J8</f>
        <v>-2421.83</v>
      </c>
      <c r="M8" s="261">
        <f>+IFERROR(HLOOKUP($A$1,[14]손익요약!$G$5:$AL$106,9,),)</f>
        <v>0</v>
      </c>
      <c r="N8" s="374"/>
      <c r="O8" s="260">
        <f>N8-M8</f>
        <v>0</v>
      </c>
      <c r="P8" s="393">
        <f>+G8+J8+M8</f>
        <v>19075.563333333332</v>
      </c>
      <c r="Q8" s="374">
        <f>+H8+K8+N8</f>
        <v>0</v>
      </c>
      <c r="R8" s="394">
        <f>Q8-P8</f>
        <v>-19075.563333333332</v>
      </c>
      <c r="S8" s="259">
        <f>+IFERROR(HLOOKUP($A$1,[15]손익요약!$G$5:$AL$106,3,),)</f>
        <v>12959.425726877136</v>
      </c>
      <c r="T8" s="374">
        <f>+'[9]부산크라샤(당월)'!$F$66</f>
        <v>12732</v>
      </c>
      <c r="U8" s="262">
        <f>T8-S8</f>
        <v>-227.42572687713619</v>
      </c>
      <c r="V8" s="261">
        <f>+IFERROR(HLOOKUP($A$1,[15]손익요약!$G$5:$AL$106,6,),)</f>
        <v>11530.90965901488</v>
      </c>
      <c r="W8" s="374">
        <f>+'[9]부산크라샤(당월)'!$I$66</f>
        <v>12060</v>
      </c>
      <c r="X8" s="260">
        <f>W8-V8</f>
        <v>529.09034098511984</v>
      </c>
      <c r="Y8" s="261"/>
      <c r="Z8" s="374">
        <f>+'[9]부산크라샤(당월)'!$L$66</f>
        <v>0</v>
      </c>
      <c r="AA8" s="260">
        <f>Z8-Y8</f>
        <v>0</v>
      </c>
      <c r="AB8" s="393">
        <f>+S8+V8+Y8</f>
        <v>24490.335385892016</v>
      </c>
      <c r="AC8" s="374">
        <f>+T8+W8+Z8</f>
        <v>24792</v>
      </c>
      <c r="AD8" s="394">
        <f>AC8-AB8</f>
        <v>301.66461410798365</v>
      </c>
      <c r="AE8" s="260">
        <f>+IFERROR(HLOOKUP($A$1,[16]손익계획!$G$5:$AX$449,3,),)</f>
        <v>20268.648431551352</v>
      </c>
      <c r="AF8" s="374">
        <f>+'[9]부산모래장(당월)'!$R$48</f>
        <v>12130</v>
      </c>
      <c r="AG8" s="260">
        <f>AF8-AE8</f>
        <v>-8138.6484315513517</v>
      </c>
      <c r="AH8" s="393">
        <f>+P8+AB8+AE8</f>
        <v>63834.5471507767</v>
      </c>
      <c r="AI8" s="374">
        <f>+Q8+AC8+AF8</f>
        <v>36922</v>
      </c>
      <c r="AJ8" s="394">
        <f>AI8-AH8</f>
        <v>-26912.5471507767</v>
      </c>
    </row>
    <row r="9" spans="1:39" ht="24" customHeight="1" x14ac:dyDescent="0.3">
      <c r="D9" s="77"/>
      <c r="E9" s="281"/>
      <c r="F9" s="286" t="s">
        <v>10</v>
      </c>
      <c r="G9" s="282">
        <f>+G8/G$12</f>
        <v>0.83461741495325859</v>
      </c>
      <c r="H9" s="375">
        <f>+H8/H$12</f>
        <v>0</v>
      </c>
      <c r="I9" s="285">
        <f>+H9-G9</f>
        <v>-0.83461741495325859</v>
      </c>
      <c r="J9" s="284">
        <f>+J8/J$12</f>
        <v>0.25704454442502145</v>
      </c>
      <c r="K9" s="375" t="e">
        <f>+K8/K$12</f>
        <v>#DIV/0!</v>
      </c>
      <c r="L9" s="283" t="e">
        <f>+K9-J9</f>
        <v>#DIV/0!</v>
      </c>
      <c r="M9" s="284">
        <f>+M8/M$12</f>
        <v>0</v>
      </c>
      <c r="N9" s="375"/>
      <c r="O9" s="283">
        <f>+N9-M9</f>
        <v>0</v>
      </c>
      <c r="P9" s="395">
        <f>+P8/P$12</f>
        <v>0.37129643152655778</v>
      </c>
      <c r="Q9" s="375">
        <f>+Q8/Q$12</f>
        <v>0</v>
      </c>
      <c r="R9" s="396">
        <f>+Q9-P9</f>
        <v>-0.37129643152655778</v>
      </c>
      <c r="S9" s="282">
        <f>+S8/S$12</f>
        <v>0.72159466143077944</v>
      </c>
      <c r="T9" s="375">
        <f>+T8/T$12</f>
        <v>0.75230441975892226</v>
      </c>
      <c r="U9" s="285">
        <f>+T9-S9</f>
        <v>3.0709758328142822E-2</v>
      </c>
      <c r="V9" s="284">
        <f>+V8/V$12</f>
        <v>0.45164507700740519</v>
      </c>
      <c r="W9" s="375">
        <f>+W8/W$12</f>
        <v>0.5358094899591257</v>
      </c>
      <c r="X9" s="283">
        <f>+W9-V9</f>
        <v>8.4164412951720502E-2</v>
      </c>
      <c r="Y9" s="284"/>
      <c r="Z9" s="375" t="e">
        <f>+Z8/Z$12</f>
        <v>#DIV/0!</v>
      </c>
      <c r="AA9" s="283" t="e">
        <f>+Z9-Y9</f>
        <v>#DIV/0!</v>
      </c>
      <c r="AB9" s="395">
        <f>+AB8/AB$12</f>
        <v>0.5631213272693345</v>
      </c>
      <c r="AC9" s="375">
        <f>+AC8/AC$12</f>
        <v>0.62872793670115645</v>
      </c>
      <c r="AD9" s="396">
        <f>+AC9-AB9</f>
        <v>6.5606609431821949E-2</v>
      </c>
      <c r="AE9" s="283">
        <f>+AE8/AE$12</f>
        <v>0.68087231028160855</v>
      </c>
      <c r="AF9" s="375">
        <f>+AF8/AF$12</f>
        <v>0.4758355562529421</v>
      </c>
      <c r="AG9" s="283">
        <f>+AF9-AE9</f>
        <v>-0.20503675402866645</v>
      </c>
      <c r="AH9" s="395">
        <f>+AH8/AH$12</f>
        <v>0.51217378014422299</v>
      </c>
      <c r="AI9" s="375">
        <f>+AI8/AI$12</f>
        <v>0.55835828569700274</v>
      </c>
      <c r="AJ9" s="396">
        <f>+AI9-AH9</f>
        <v>4.6184505552779753E-2</v>
      </c>
    </row>
    <row r="10" spans="1:39" ht="24" customHeight="1" x14ac:dyDescent="0.3">
      <c r="D10" s="257"/>
      <c r="E10" s="281"/>
      <c r="F10" s="280" t="s">
        <v>135</v>
      </c>
      <c r="G10" s="276">
        <f>+IFERROR(HLOOKUP($A$1,[14]손익요약!$G$5:$AL$106,2,),)</f>
        <v>3300</v>
      </c>
      <c r="H10" s="376">
        <f>+'[9]서부산크라샤(당월)'!$F$59</f>
        <v>1202</v>
      </c>
      <c r="I10" s="279">
        <f>H10-G10</f>
        <v>-2098</v>
      </c>
      <c r="J10" s="278">
        <f>+IFERROR(HLOOKUP($A$1,[14]손익요약!$G$5:$AL$106,5,),)</f>
        <v>7000</v>
      </c>
      <c r="K10" s="376">
        <f>+'[9]서부산크라샤(당월)'!$I$59</f>
        <v>0</v>
      </c>
      <c r="L10" s="277">
        <f>K10-J10</f>
        <v>-7000</v>
      </c>
      <c r="M10" s="278">
        <f>+IFERROR(HLOOKUP($A$1,[14]손익요약!$G$5:$AL$106,8,),)</f>
        <v>22000</v>
      </c>
      <c r="N10" s="376"/>
      <c r="O10" s="277">
        <f>N10-M10</f>
        <v>-22000</v>
      </c>
      <c r="P10" s="397">
        <f>+G10+J10+M10</f>
        <v>32300</v>
      </c>
      <c r="Q10" s="376">
        <f>+H10+K10+N10</f>
        <v>1202</v>
      </c>
      <c r="R10" s="398">
        <f>Q10-P10</f>
        <v>-31098</v>
      </c>
      <c r="S10" s="276">
        <f>+IFERROR(HLOOKUP($A$1,[15]손익요약!$G$5:$AL$106,2,),)</f>
        <v>5000</v>
      </c>
      <c r="T10" s="376">
        <f>+'[9]부산크라샤(당월)'!$F$59</f>
        <v>4192</v>
      </c>
      <c r="U10" s="279">
        <f>T10-S10</f>
        <v>-808</v>
      </c>
      <c r="V10" s="278">
        <f>+IFERROR(HLOOKUP($A$1,[15]손익요약!$G$5:$AL$106,5,),)</f>
        <v>14000</v>
      </c>
      <c r="W10" s="376">
        <f>+'[9]부산크라샤(당월)'!$I$59</f>
        <v>10448</v>
      </c>
      <c r="X10" s="277">
        <f>W10-V10</f>
        <v>-3552</v>
      </c>
      <c r="Y10" s="278"/>
      <c r="Z10" s="376">
        <f>+'[9]부산크라샤(당월)'!$L$59</f>
        <v>0</v>
      </c>
      <c r="AA10" s="277">
        <f>Z10-Y10</f>
        <v>0</v>
      </c>
      <c r="AB10" s="397">
        <f>+S10+V10+Y10</f>
        <v>19000</v>
      </c>
      <c r="AC10" s="376">
        <f>+T10+W10+Z10</f>
        <v>14640</v>
      </c>
      <c r="AD10" s="398">
        <f>AC10-AB10</f>
        <v>-4360</v>
      </c>
      <c r="AE10" s="277">
        <f>+IFERROR(HLOOKUP($A$1,[16]손익계획!$G$5:$AX$449,2,),)</f>
        <v>9500</v>
      </c>
      <c r="AF10" s="376">
        <f>+'[9]부산모래장(당월)'!$R$47</f>
        <v>13362</v>
      </c>
      <c r="AG10" s="277">
        <f>AF10-AE10</f>
        <v>3862</v>
      </c>
      <c r="AH10" s="397">
        <f>+P10+AB10+AE10</f>
        <v>60800</v>
      </c>
      <c r="AI10" s="376">
        <f>+Q10+AC10+AF10</f>
        <v>29204</v>
      </c>
      <c r="AJ10" s="398">
        <f>AI10-AH10</f>
        <v>-31596</v>
      </c>
    </row>
    <row r="11" spans="1:39" ht="24" customHeight="1" x14ac:dyDescent="0.3">
      <c r="D11" s="257"/>
      <c r="E11" s="258"/>
      <c r="F11" s="275" t="s">
        <v>10</v>
      </c>
      <c r="G11" s="271">
        <f>+G10/G$12</f>
        <v>0.16538258504674147</v>
      </c>
      <c r="H11" s="377">
        <f>+H10/H$12</f>
        <v>1</v>
      </c>
      <c r="I11" s="274">
        <f>+H11-G11</f>
        <v>0.83461741495325859</v>
      </c>
      <c r="J11" s="273">
        <f>+J10/J$12</f>
        <v>0.74295545557497855</v>
      </c>
      <c r="K11" s="377" t="e">
        <f>+K10/K$12</f>
        <v>#DIV/0!</v>
      </c>
      <c r="L11" s="272" t="e">
        <f>+K11-J11</f>
        <v>#DIV/0!</v>
      </c>
      <c r="M11" s="273">
        <f>+M10/M$12</f>
        <v>1</v>
      </c>
      <c r="N11" s="377"/>
      <c r="O11" s="272">
        <f>+N11-M11</f>
        <v>-1</v>
      </c>
      <c r="P11" s="399">
        <f>+P10/P$12</f>
        <v>0.62870356847344222</v>
      </c>
      <c r="Q11" s="377">
        <f>+Q10/Q$12</f>
        <v>1</v>
      </c>
      <c r="R11" s="400">
        <f>+Q11-P11</f>
        <v>0.37129643152655778</v>
      </c>
      <c r="S11" s="271">
        <f>+S10/S$12</f>
        <v>0.27840533856922062</v>
      </c>
      <c r="T11" s="377">
        <f>+T10/T$12</f>
        <v>0.24769558024107777</v>
      </c>
      <c r="U11" s="274">
        <f>+T11-S11</f>
        <v>-3.070975832814285E-2</v>
      </c>
      <c r="V11" s="273">
        <f>+V10/V$12</f>
        <v>0.54835492299259481</v>
      </c>
      <c r="W11" s="377">
        <f>+W10/W$12</f>
        <v>0.46419051004087436</v>
      </c>
      <c r="X11" s="272">
        <f>+W11-V11</f>
        <v>-8.4164412951720446E-2</v>
      </c>
      <c r="Y11" s="273"/>
      <c r="Z11" s="377" t="e">
        <f>+Z10/Z$12</f>
        <v>#DIV/0!</v>
      </c>
      <c r="AA11" s="272" t="e">
        <f>+Z11-Y11</f>
        <v>#DIV/0!</v>
      </c>
      <c r="AB11" s="399">
        <f>+AB10/AB$12</f>
        <v>0.4368786727306655</v>
      </c>
      <c r="AC11" s="377">
        <f>+AC10/AC$12</f>
        <v>0.3712720632988436</v>
      </c>
      <c r="AD11" s="400">
        <f>+AC11-AB11</f>
        <v>-6.5606609431821894E-2</v>
      </c>
      <c r="AE11" s="272">
        <f>+AE10/AE$12</f>
        <v>0.31912768971839145</v>
      </c>
      <c r="AF11" s="377">
        <f>+AF10/AF$12</f>
        <v>0.52416444374705795</v>
      </c>
      <c r="AG11" s="272">
        <f>+AF11-AE11</f>
        <v>0.2050367540286665</v>
      </c>
      <c r="AH11" s="399">
        <f>+AH10/AH$12</f>
        <v>0.48782621985577701</v>
      </c>
      <c r="AI11" s="377">
        <f>+AI10/AI$12</f>
        <v>0.44164171430299731</v>
      </c>
      <c r="AJ11" s="400">
        <f>+AI11-AH11</f>
        <v>-4.6184505552779698E-2</v>
      </c>
    </row>
    <row r="12" spans="1:39" ht="24" customHeight="1" x14ac:dyDescent="0.3">
      <c r="D12" s="257"/>
      <c r="E12" s="270"/>
      <c r="F12" s="269" t="s">
        <v>43</v>
      </c>
      <c r="G12" s="265">
        <f>G8+G10</f>
        <v>19953.733333333334</v>
      </c>
      <c r="H12" s="378">
        <f>H8+H10</f>
        <v>1202</v>
      </c>
      <c r="I12" s="268">
        <f t="shared" ref="I12:I32" si="0">H12-G12</f>
        <v>-18751.733333333334</v>
      </c>
      <c r="J12" s="267">
        <f>J8+J10</f>
        <v>9421.83</v>
      </c>
      <c r="K12" s="378">
        <f>K8+K10</f>
        <v>0</v>
      </c>
      <c r="L12" s="266">
        <f t="shared" ref="L12:L32" si="1">K12-J12</f>
        <v>-9421.83</v>
      </c>
      <c r="M12" s="267">
        <f>M8+M10</f>
        <v>22000</v>
      </c>
      <c r="N12" s="378"/>
      <c r="O12" s="266">
        <f t="shared" ref="O12:O32" si="2">N12-M12</f>
        <v>-22000</v>
      </c>
      <c r="P12" s="401">
        <f>P8+P10</f>
        <v>51375.563333333332</v>
      </c>
      <c r="Q12" s="378">
        <f>Q8+Q10</f>
        <v>1202</v>
      </c>
      <c r="R12" s="402">
        <f t="shared" ref="R12:R32" si="3">Q12-P12</f>
        <v>-50173.563333333332</v>
      </c>
      <c r="S12" s="265">
        <f>S8+S10</f>
        <v>17959.425726877136</v>
      </c>
      <c r="T12" s="378">
        <f>T8+T10</f>
        <v>16924</v>
      </c>
      <c r="U12" s="268">
        <f t="shared" ref="U12:U32" si="4">T12-S12</f>
        <v>-1035.4257268771362</v>
      </c>
      <c r="V12" s="267">
        <f>V8+V10</f>
        <v>25530.90965901488</v>
      </c>
      <c r="W12" s="378">
        <f>W8+W10</f>
        <v>22508</v>
      </c>
      <c r="X12" s="266">
        <f t="shared" ref="X12:X32" si="5">W12-V12</f>
        <v>-3022.9096590148802</v>
      </c>
      <c r="Y12" s="267"/>
      <c r="Z12" s="378">
        <f>Z8+Z10</f>
        <v>0</v>
      </c>
      <c r="AA12" s="266">
        <f t="shared" ref="AA12:AA32" si="6">Z12-Y12</f>
        <v>0</v>
      </c>
      <c r="AB12" s="401">
        <f>AB8+AB10</f>
        <v>43490.335385892016</v>
      </c>
      <c r="AC12" s="378">
        <f>AC8+AC10</f>
        <v>39432</v>
      </c>
      <c r="AD12" s="402">
        <f t="shared" ref="AD12:AD32" si="7">AC12-AB12</f>
        <v>-4058.3353858920163</v>
      </c>
      <c r="AE12" s="266">
        <f>AE8+AE10</f>
        <v>29768.648431551352</v>
      </c>
      <c r="AF12" s="378">
        <f>AF8+AF10</f>
        <v>25492</v>
      </c>
      <c r="AG12" s="266">
        <f t="shared" ref="AG12:AG32" si="8">AF12-AE12</f>
        <v>-4276.6484315513517</v>
      </c>
      <c r="AH12" s="401">
        <f>AH8+AH10</f>
        <v>124634.54715077669</v>
      </c>
      <c r="AI12" s="378">
        <f>AI8+AI10</f>
        <v>66126</v>
      </c>
      <c r="AJ12" s="402">
        <f t="shared" ref="AJ12:AJ32" si="9">AI12-AH12</f>
        <v>-58508.547150776692</v>
      </c>
      <c r="AL12" s="6">
        <f>+'사업장별(당월)'!J32*1000</f>
        <v>124634.54715077671</v>
      </c>
      <c r="AM12" s="6">
        <f>+'사업장별(당월)'!K32*1000</f>
        <v>66126</v>
      </c>
    </row>
    <row r="13" spans="1:39" ht="24" customHeight="1" x14ac:dyDescent="0.3">
      <c r="D13" s="257"/>
      <c r="E13" s="264" t="s">
        <v>77</v>
      </c>
      <c r="F13" s="263" t="s">
        <v>132</v>
      </c>
      <c r="G13" s="259">
        <f>+IFERROR(HLOOKUP($A$1,[14]손익요약!$G$5:$AL$106,15,),)</f>
        <v>251806.93333333335</v>
      </c>
      <c r="H13" s="374">
        <f>+'[9]서부산크라샤(당월)'!$F$72</f>
        <v>0</v>
      </c>
      <c r="I13" s="262">
        <f t="shared" si="0"/>
        <v>-251806.93333333335</v>
      </c>
      <c r="J13" s="261">
        <f>+IFERROR(HLOOKUP($A$1,[14]손익요약!$G$5:$AL$106,18,),)</f>
        <v>44857.183333333334</v>
      </c>
      <c r="K13" s="374">
        <f>+'[9]서부산크라샤(당월)'!$I$72</f>
        <v>0</v>
      </c>
      <c r="L13" s="260">
        <f t="shared" si="1"/>
        <v>-44857.183333333334</v>
      </c>
      <c r="M13" s="261">
        <f>+IFERROR(HLOOKUP($A$1,[14]손익요약!$G$5:$AL$106,21,),)</f>
        <v>0</v>
      </c>
      <c r="N13" s="374"/>
      <c r="O13" s="260">
        <f t="shared" si="2"/>
        <v>0</v>
      </c>
      <c r="P13" s="393">
        <f>+G13+J13+M13</f>
        <v>296664.1166666667</v>
      </c>
      <c r="Q13" s="374">
        <f>+H13+K13+N13</f>
        <v>0</v>
      </c>
      <c r="R13" s="394">
        <f t="shared" si="3"/>
        <v>-296664.1166666667</v>
      </c>
      <c r="S13" s="259">
        <f>+IFERROR(HLOOKUP($A$1,[15]손익요약!$G$5:$AL$106,12,),)</f>
        <v>207350.81163003418</v>
      </c>
      <c r="T13" s="374">
        <f>+'[9]부산크라샤(당월)'!$F$72</f>
        <v>200634</v>
      </c>
      <c r="U13" s="262">
        <f t="shared" si="4"/>
        <v>-6716.811630034179</v>
      </c>
      <c r="V13" s="261">
        <f>+IFERROR(HLOOKUP($A$1,[15]손익요약!$G$5:$AL$106,15,),)</f>
        <v>255744.23828637449</v>
      </c>
      <c r="W13" s="374">
        <f>+'[9]부산크라샤(당월)'!$I$72</f>
        <v>254810</v>
      </c>
      <c r="X13" s="260">
        <f t="shared" si="5"/>
        <v>-934.23828637448605</v>
      </c>
      <c r="Y13" s="261"/>
      <c r="Z13" s="374">
        <f>+'[9]부산크라샤(당월)'!$L$72</f>
        <v>0</v>
      </c>
      <c r="AA13" s="260">
        <f t="shared" si="6"/>
        <v>0</v>
      </c>
      <c r="AB13" s="393">
        <f>+S13+V13+Y13</f>
        <v>463095.04991640867</v>
      </c>
      <c r="AC13" s="374">
        <f>+T13+W13+Z13</f>
        <v>455444</v>
      </c>
      <c r="AD13" s="394">
        <f t="shared" si="7"/>
        <v>-7651.049916408665</v>
      </c>
      <c r="AE13" s="260">
        <f>+IFERROR(HLOOKUP($A$1,[16]손익계획!$G$5:$AX$449,6,),)</f>
        <v>575611.77016930934</v>
      </c>
      <c r="AF13" s="374">
        <f>+'[9]부산모래장(당월)'!$R$54</f>
        <v>355400</v>
      </c>
      <c r="AG13" s="260">
        <f t="shared" si="8"/>
        <v>-220211.77016930934</v>
      </c>
      <c r="AH13" s="393">
        <f>+P13+AB13+AE13</f>
        <v>1335370.9367523848</v>
      </c>
      <c r="AI13" s="374">
        <f>+Q13+AC13+AF13</f>
        <v>810844</v>
      </c>
      <c r="AJ13" s="394">
        <f t="shared" si="9"/>
        <v>-524526.93675238476</v>
      </c>
      <c r="AL13" s="6" t="b">
        <f>+AL12=AH12</f>
        <v>1</v>
      </c>
      <c r="AM13" s="6" t="b">
        <f>+AM12=AI12</f>
        <v>1</v>
      </c>
    </row>
    <row r="14" spans="1:39" ht="24" customHeight="1" x14ac:dyDescent="0.3">
      <c r="D14" s="257"/>
      <c r="E14" s="258"/>
      <c r="F14" s="256" t="s">
        <v>131</v>
      </c>
      <c r="G14" s="252">
        <f>+G13/G8*1000</f>
        <v>15120.149235806988</v>
      </c>
      <c r="H14" s="379" t="e">
        <f>+H13/H8*1000</f>
        <v>#DIV/0!</v>
      </c>
      <c r="I14" s="255" t="e">
        <f t="shared" si="0"/>
        <v>#DIV/0!</v>
      </c>
      <c r="J14" s="254">
        <f>+J13/J8*1000</f>
        <v>18522.019850003235</v>
      </c>
      <c r="K14" s="379" t="e">
        <f>+K13/K8*1000</f>
        <v>#DIV/0!</v>
      </c>
      <c r="L14" s="253" t="e">
        <f t="shared" si="1"/>
        <v>#DIV/0!</v>
      </c>
      <c r="M14" s="254" t="e">
        <f>+M13/M8*1000</f>
        <v>#DIV/0!</v>
      </c>
      <c r="N14" s="379"/>
      <c r="O14" s="253" t="e">
        <f t="shared" si="2"/>
        <v>#DIV/0!</v>
      </c>
      <c r="P14" s="403">
        <f>+P13/P8*1000</f>
        <v>15552.050101097935</v>
      </c>
      <c r="Q14" s="379" t="e">
        <f>+Q13/Q8*1000</f>
        <v>#DIV/0!</v>
      </c>
      <c r="R14" s="404" t="e">
        <f t="shared" si="3"/>
        <v>#DIV/0!</v>
      </c>
      <c r="S14" s="252">
        <f>+S13/S8*1000</f>
        <v>16000</v>
      </c>
      <c r="T14" s="379">
        <f>+T13/T8*1000</f>
        <v>15758.246936852027</v>
      </c>
      <c r="U14" s="255">
        <f t="shared" si="4"/>
        <v>-241.75306314797308</v>
      </c>
      <c r="V14" s="254">
        <f>+V13/V8*1000</f>
        <v>22179.016734072953</v>
      </c>
      <c r="W14" s="379">
        <f>+W13/W8*1000</f>
        <v>21128.524046434497</v>
      </c>
      <c r="X14" s="253">
        <f t="shared" si="5"/>
        <v>-1050.4926876384561</v>
      </c>
      <c r="Y14" s="254"/>
      <c r="Z14" s="379" t="e">
        <f>+Z13/Z8*1000</f>
        <v>#DIV/0!</v>
      </c>
      <c r="AA14" s="253" t="e">
        <f t="shared" si="6"/>
        <v>#DIV/0!</v>
      </c>
      <c r="AB14" s="403">
        <f>+AB13/AB8*1000</f>
        <v>18909.297999372469</v>
      </c>
      <c r="AC14" s="379">
        <f>+AC13/AC8*1000</f>
        <v>18370.603420458214</v>
      </c>
      <c r="AD14" s="404">
        <f t="shared" si="7"/>
        <v>-538.69457891425554</v>
      </c>
      <c r="AE14" s="253">
        <f>+AE13/AE8*1000</f>
        <v>28399.119562075917</v>
      </c>
      <c r="AF14" s="379">
        <f>+AF13/AF8*1000</f>
        <v>29299.258037922507</v>
      </c>
      <c r="AG14" s="253">
        <f t="shared" si="8"/>
        <v>900.13847584659015</v>
      </c>
      <c r="AH14" s="403">
        <f>+AH13/AH8*1000</f>
        <v>20919.251351439045</v>
      </c>
      <c r="AI14" s="379">
        <f>+AI13/AI8*1000</f>
        <v>21960.998862466822</v>
      </c>
      <c r="AJ14" s="404">
        <f t="shared" si="9"/>
        <v>1041.7475110277774</v>
      </c>
    </row>
    <row r="15" spans="1:39" ht="24" customHeight="1" x14ac:dyDescent="0.3">
      <c r="D15" s="257"/>
      <c r="E15" s="662"/>
      <c r="F15" s="223" t="s">
        <v>135</v>
      </c>
      <c r="G15" s="247">
        <f>+IFERROR(HLOOKUP($A$1,[14]손익요약!$G$5:$AL$106,14,),)</f>
        <v>37950</v>
      </c>
      <c r="H15" s="380">
        <f>+'[9]서부산크라샤(당월)'!$F$71</f>
        <v>14424</v>
      </c>
      <c r="I15" s="250">
        <f t="shared" si="0"/>
        <v>-23526</v>
      </c>
      <c r="J15" s="249">
        <f>+IFERROR(HLOOKUP($A$1,[14]손익요약!$G$5:$AL$106,17,),)</f>
        <v>105000</v>
      </c>
      <c r="K15" s="380">
        <f>+'[9]서부산크라샤(당월)'!$I$71</f>
        <v>0</v>
      </c>
      <c r="L15" s="248">
        <f t="shared" si="1"/>
        <v>-105000</v>
      </c>
      <c r="M15" s="249">
        <f>+IFERROR(HLOOKUP($A$1,[14]손익요약!$G$5:$AL$106,20,),)</f>
        <v>198000</v>
      </c>
      <c r="N15" s="380"/>
      <c r="O15" s="248">
        <f t="shared" si="2"/>
        <v>-198000</v>
      </c>
      <c r="P15" s="405">
        <f>+G15+J15+M15</f>
        <v>340950</v>
      </c>
      <c r="Q15" s="380">
        <f>+H15+K15+N15</f>
        <v>14424</v>
      </c>
      <c r="R15" s="406">
        <f t="shared" si="3"/>
        <v>-326526</v>
      </c>
      <c r="S15" s="247">
        <f>+IFERROR(HLOOKUP($A$1,[15]손익요약!$G$5:$AL$106,11,),)</f>
        <v>60000</v>
      </c>
      <c r="T15" s="380">
        <f>+'[9]부산크라샤(당월)'!$F$71</f>
        <v>54496</v>
      </c>
      <c r="U15" s="250">
        <f t="shared" si="4"/>
        <v>-5504</v>
      </c>
      <c r="V15" s="249">
        <f>+IFERROR(HLOOKUP($A$1,[15]손익요약!$G$5:$AL$106,14,),)</f>
        <v>266000</v>
      </c>
      <c r="W15" s="380">
        <f>+'[9]부산크라샤(당월)'!$I$71</f>
        <v>188320</v>
      </c>
      <c r="X15" s="248">
        <f t="shared" si="5"/>
        <v>-77680</v>
      </c>
      <c r="Y15" s="249"/>
      <c r="Z15" s="380">
        <f>+'[9]부산크라샤(당월)'!$L$71</f>
        <v>0</v>
      </c>
      <c r="AA15" s="248">
        <f t="shared" si="6"/>
        <v>0</v>
      </c>
      <c r="AB15" s="405">
        <f>+S15+V15+Y15</f>
        <v>326000</v>
      </c>
      <c r="AC15" s="380">
        <f>+T15+W15+Z15</f>
        <v>242816</v>
      </c>
      <c r="AD15" s="406">
        <f t="shared" si="7"/>
        <v>-83184</v>
      </c>
      <c r="AE15" s="248">
        <f>+IFERROR(HLOOKUP($A$1,[16]손익계획!$G$5:$AX$449,5,),)</f>
        <v>270750</v>
      </c>
      <c r="AF15" s="380">
        <f>+'[9]부산모래장(당월)'!$R$53</f>
        <v>345941.5</v>
      </c>
      <c r="AG15" s="248">
        <f t="shared" si="8"/>
        <v>75191.5</v>
      </c>
      <c r="AH15" s="405">
        <f>+P15+AB15+AE15</f>
        <v>937700</v>
      </c>
      <c r="AI15" s="380">
        <f>+Q15+AC15+AF15</f>
        <v>603181.5</v>
      </c>
      <c r="AJ15" s="406">
        <f t="shared" si="9"/>
        <v>-334518.5</v>
      </c>
    </row>
    <row r="16" spans="1:39" ht="24" customHeight="1" x14ac:dyDescent="0.3">
      <c r="D16" s="76"/>
      <c r="E16" s="662"/>
      <c r="F16" s="256" t="s">
        <v>131</v>
      </c>
      <c r="G16" s="252">
        <f>IFERROR(G15/G10,)*1000</f>
        <v>11500</v>
      </c>
      <c r="H16" s="379">
        <f>IFERROR(H15/H10,)*1000</f>
        <v>12000</v>
      </c>
      <c r="I16" s="255">
        <f t="shared" si="0"/>
        <v>500</v>
      </c>
      <c r="J16" s="254">
        <f>IFERROR(J15/J10,)*1000</f>
        <v>15000</v>
      </c>
      <c r="K16" s="379">
        <f>IFERROR(K15/K10,)*1000</f>
        <v>0</v>
      </c>
      <c r="L16" s="253">
        <f t="shared" si="1"/>
        <v>-15000</v>
      </c>
      <c r="M16" s="254">
        <f>IFERROR(M15/M10,)*1000</f>
        <v>9000</v>
      </c>
      <c r="N16" s="379"/>
      <c r="O16" s="253">
        <f t="shared" si="2"/>
        <v>-9000</v>
      </c>
      <c r="P16" s="403">
        <f>IFERROR(P15/P10,)*1000</f>
        <v>10555.727554179568</v>
      </c>
      <c r="Q16" s="379">
        <f>IFERROR(Q15/Q10,)*1000</f>
        <v>12000</v>
      </c>
      <c r="R16" s="404">
        <f t="shared" si="3"/>
        <v>1444.272445820432</v>
      </c>
      <c r="S16" s="252">
        <f>IFERROR(S15/S10,)*1000</f>
        <v>12000</v>
      </c>
      <c r="T16" s="379">
        <f>IFERROR(T15/T10,)*1000</f>
        <v>13000</v>
      </c>
      <c r="U16" s="255">
        <f t="shared" si="4"/>
        <v>1000</v>
      </c>
      <c r="V16" s="254">
        <f>IFERROR(V15/V10,)*1000</f>
        <v>19000</v>
      </c>
      <c r="W16" s="379">
        <f>IFERROR(W15/W10,)*1000</f>
        <v>18024.502297090352</v>
      </c>
      <c r="X16" s="253">
        <f t="shared" si="5"/>
        <v>-975.49770290964807</v>
      </c>
      <c r="Y16" s="254"/>
      <c r="Z16" s="379">
        <f>IFERROR(Z15/Z10,)*1000</f>
        <v>0</v>
      </c>
      <c r="AA16" s="253">
        <f t="shared" si="6"/>
        <v>0</v>
      </c>
      <c r="AB16" s="403">
        <f>IFERROR(AB15/AB10,)*1000</f>
        <v>17157.894736842107</v>
      </c>
      <c r="AC16" s="379">
        <f>IFERROR(AC15/AC10,)*1000</f>
        <v>16585.792349726777</v>
      </c>
      <c r="AD16" s="404">
        <f t="shared" si="7"/>
        <v>-572.1023871153302</v>
      </c>
      <c r="AE16" s="253">
        <f>IFERROR(AE15/AE10,)*1000</f>
        <v>28500</v>
      </c>
      <c r="AF16" s="379">
        <f>IFERROR(AF15/AF10,)*1000</f>
        <v>25889.949109414756</v>
      </c>
      <c r="AG16" s="253">
        <f t="shared" si="8"/>
        <v>-2610.0508905852439</v>
      </c>
      <c r="AH16" s="403">
        <f>IFERROR(AH15/AH10,)*1000</f>
        <v>15422.697368421053</v>
      </c>
      <c r="AI16" s="379">
        <f>IFERROR(AI15/AI10,)*1000</f>
        <v>20654.071360087659</v>
      </c>
      <c r="AJ16" s="404">
        <f t="shared" si="9"/>
        <v>5231.3739916666054</v>
      </c>
    </row>
    <row r="17" spans="4:39" ht="24" customHeight="1" x14ac:dyDescent="0.3">
      <c r="D17" s="76"/>
      <c r="E17" s="662"/>
      <c r="F17" s="251" t="s">
        <v>43</v>
      </c>
      <c r="G17" s="247">
        <f>G13+G15</f>
        <v>289756.93333333335</v>
      </c>
      <c r="H17" s="380">
        <f>H13+H15</f>
        <v>14424</v>
      </c>
      <c r="I17" s="250">
        <f t="shared" si="0"/>
        <v>-275332.93333333335</v>
      </c>
      <c r="J17" s="249">
        <f>J13+J15</f>
        <v>149857.18333333335</v>
      </c>
      <c r="K17" s="380">
        <f>K13+K15</f>
        <v>0</v>
      </c>
      <c r="L17" s="248">
        <f t="shared" si="1"/>
        <v>-149857.18333333335</v>
      </c>
      <c r="M17" s="249">
        <f>M13+M15</f>
        <v>198000</v>
      </c>
      <c r="N17" s="380"/>
      <c r="O17" s="248">
        <f t="shared" si="2"/>
        <v>-198000</v>
      </c>
      <c r="P17" s="405">
        <f>P13+P15</f>
        <v>637614.1166666667</v>
      </c>
      <c r="Q17" s="380">
        <f>Q13+Q15</f>
        <v>14424</v>
      </c>
      <c r="R17" s="406">
        <f t="shared" si="3"/>
        <v>-623190.1166666667</v>
      </c>
      <c r="S17" s="247">
        <f>S13+S15</f>
        <v>267350.81163003418</v>
      </c>
      <c r="T17" s="380">
        <f>T13+T15</f>
        <v>255130</v>
      </c>
      <c r="U17" s="250">
        <f t="shared" si="4"/>
        <v>-12220.811630034179</v>
      </c>
      <c r="V17" s="249">
        <f>V13+V15</f>
        <v>521744.23828637449</v>
      </c>
      <c r="W17" s="380">
        <f>W13+W15</f>
        <v>443130</v>
      </c>
      <c r="X17" s="248">
        <f t="shared" si="5"/>
        <v>-78614.238286374486</v>
      </c>
      <c r="Y17" s="249"/>
      <c r="Z17" s="380">
        <f>Z13+Z15</f>
        <v>0</v>
      </c>
      <c r="AA17" s="248">
        <f t="shared" si="6"/>
        <v>0</v>
      </c>
      <c r="AB17" s="405">
        <f>AB13+AB15</f>
        <v>789095.04991640872</v>
      </c>
      <c r="AC17" s="380">
        <f>AC13+AC15</f>
        <v>698260</v>
      </c>
      <c r="AD17" s="406">
        <f t="shared" si="7"/>
        <v>-90835.049916408723</v>
      </c>
      <c r="AE17" s="248">
        <f>AE13+AE15</f>
        <v>846361.77016930934</v>
      </c>
      <c r="AF17" s="380">
        <f>AF13+AF15</f>
        <v>701341.5</v>
      </c>
      <c r="AG17" s="248">
        <f t="shared" si="8"/>
        <v>-145020.27016930934</v>
      </c>
      <c r="AH17" s="405">
        <f>AH13+AH15</f>
        <v>2273070.9367523845</v>
      </c>
      <c r="AI17" s="380">
        <f>AI13+AI15</f>
        <v>1414025.5</v>
      </c>
      <c r="AJ17" s="406">
        <f t="shared" si="9"/>
        <v>-859045.43675238453</v>
      </c>
      <c r="AL17" s="6">
        <f>+'사업장별(당월)'!O32*1000</f>
        <v>2273070.936752385</v>
      </c>
      <c r="AM17" s="6">
        <f>+'사업장별(당월)'!P32*1000</f>
        <v>1414025.5</v>
      </c>
    </row>
    <row r="18" spans="4:39" ht="24" customHeight="1" x14ac:dyDescent="0.3">
      <c r="D18" s="76"/>
      <c r="E18" s="246" t="s">
        <v>7</v>
      </c>
      <c r="F18" s="245" t="s">
        <v>134</v>
      </c>
      <c r="G18" s="660">
        <f>+IFERROR(HLOOKUP($A$1,[14]손익요약!$G$5:$AL$106,80,),)</f>
        <v>60657.13194851092</v>
      </c>
      <c r="H18" s="381">
        <f>+'[9]서부산크라샤(당월)'!$F$87</f>
        <v>0</v>
      </c>
      <c r="I18" s="232">
        <f t="shared" si="0"/>
        <v>-60657.13194851092</v>
      </c>
      <c r="J18" s="231">
        <f>+IFERROR(HLOOKUP($A$1,[14]손익요약!$G$5:$AL$106,83,),)</f>
        <v>16933.488341908163</v>
      </c>
      <c r="K18" s="381">
        <f>+'[9]서부산크라샤(당월)'!$I$87</f>
        <v>0</v>
      </c>
      <c r="L18" s="230">
        <f t="shared" si="1"/>
        <v>-16933.488341908163</v>
      </c>
      <c r="M18" s="231">
        <f>+IFERROR(HLOOKUP($A$1,[14]손익요약!$G$5:$AL$106,86,),)</f>
        <v>0</v>
      </c>
      <c r="N18" s="381"/>
      <c r="O18" s="230">
        <f t="shared" si="2"/>
        <v>0</v>
      </c>
      <c r="P18" s="407">
        <f>+G18+J18+M18</f>
        <v>77590.620290419087</v>
      </c>
      <c r="Q18" s="381">
        <f>+H18+K18+N18</f>
        <v>0</v>
      </c>
      <c r="R18" s="408">
        <f t="shared" si="3"/>
        <v>-77590.620290419087</v>
      </c>
      <c r="S18" s="660">
        <f>+IFERROR(HLOOKUP($A$1,[15]손익요약!$G$5:$U$95,57,),)</f>
        <v>-5740.8375328615148</v>
      </c>
      <c r="T18" s="381">
        <f>+'[9]부산크라샤(당월)'!$F$87</f>
        <v>-102195.70481492006</v>
      </c>
      <c r="U18" s="232">
        <f t="shared" si="4"/>
        <v>-96454.867282058549</v>
      </c>
      <c r="V18" s="231">
        <f>+IFERROR(HLOOKUP($A$1,[15]손익요약!$G$5:$AL$106,60,),)</f>
        <v>65050.398080881401</v>
      </c>
      <c r="W18" s="381">
        <f>+'[9]부산크라샤(당월)'!$I$87</f>
        <v>-23100.494102596575</v>
      </c>
      <c r="X18" s="230">
        <f t="shared" si="5"/>
        <v>-88150.892183477976</v>
      </c>
      <c r="Y18" s="231"/>
      <c r="Z18" s="381">
        <f>+'[9]부산크라샤(당월)'!$L$87</f>
        <v>0</v>
      </c>
      <c r="AA18" s="230">
        <f t="shared" si="6"/>
        <v>0</v>
      </c>
      <c r="AB18" s="407">
        <f>+S18+V18+Y18</f>
        <v>59309.560548019886</v>
      </c>
      <c r="AC18" s="381">
        <f>+T18+W18+Z18</f>
        <v>-125296.19891751662</v>
      </c>
      <c r="AD18" s="408">
        <f t="shared" si="7"/>
        <v>-184605.75946553651</v>
      </c>
      <c r="AE18" s="230">
        <f>+IFERROR(HLOOKUP($A$1,[16]손익계획!$G$5:$AX$449,25,),)</f>
        <v>46202.745358142362</v>
      </c>
      <c r="AF18" s="381">
        <f>+'[9]부산모래장(당월)'!$R$82</f>
        <v>35877.002</v>
      </c>
      <c r="AG18" s="230">
        <f t="shared" si="8"/>
        <v>-10325.743358142361</v>
      </c>
      <c r="AH18" s="407">
        <f>+P18+AB18+AE18</f>
        <v>183102.92619658133</v>
      </c>
      <c r="AI18" s="381">
        <f>+Q18+AC18+AF18</f>
        <v>-89419.196917516616</v>
      </c>
      <c r="AJ18" s="408">
        <f t="shared" si="9"/>
        <v>-272522.12311409798</v>
      </c>
      <c r="AL18" s="6" t="b">
        <f>+AL17=AH17</f>
        <v>1</v>
      </c>
      <c r="AM18" s="6" t="b">
        <f>+AM17=AI17</f>
        <v>1</v>
      </c>
    </row>
    <row r="19" spans="4:39" ht="24" customHeight="1" x14ac:dyDescent="0.3">
      <c r="D19" s="76"/>
      <c r="E19" s="165"/>
      <c r="F19" s="244" t="s">
        <v>133</v>
      </c>
      <c r="G19" s="240">
        <f>+IFERROR(HLOOKUP($A$1,[14]손익요약!$G$5:$AL$106,79,),)</f>
        <v>255.91918778649415</v>
      </c>
      <c r="H19" s="382">
        <f>+'[9]서부산크라샤(당월)'!$F$86</f>
        <v>-70358.754802101044</v>
      </c>
      <c r="I19" s="243">
        <f t="shared" si="0"/>
        <v>-70614.673989887538</v>
      </c>
      <c r="J19" s="242">
        <f>+IFERROR(HLOOKUP($A$1,[14]손익요약!$G$5:$AL$106,82,),)</f>
        <v>24667.616931333694</v>
      </c>
      <c r="K19" s="382">
        <f>+'[9]서부산크라샤(당월)'!$I$86</f>
        <v>0</v>
      </c>
      <c r="L19" s="241">
        <f t="shared" si="1"/>
        <v>-24667.616931333694</v>
      </c>
      <c r="M19" s="242">
        <f>+IFERROR(HLOOKUP($A$1,[14]손익요약!$G$5:$AL$106,85,),)</f>
        <v>15748.507810484247</v>
      </c>
      <c r="N19" s="382"/>
      <c r="O19" s="241">
        <f t="shared" si="2"/>
        <v>-15748.507810484247</v>
      </c>
      <c r="P19" s="409">
        <f>+G19+J19+M19</f>
        <v>40672.043929604435</v>
      </c>
      <c r="Q19" s="382">
        <f>+H19+K19+N19</f>
        <v>-70358.754802101044</v>
      </c>
      <c r="R19" s="410">
        <f t="shared" si="3"/>
        <v>-111030.79873170548</v>
      </c>
      <c r="S19" s="240">
        <f>+IFERROR(HLOOKUP($A$1,[15]손익요약!$G$5:$AL$106,56,),)</f>
        <v>-21908.607480479604</v>
      </c>
      <c r="T19" s="382">
        <f>+'[9]부산크라샤(당월)'!$F$86</f>
        <v>-44861.888657632866</v>
      </c>
      <c r="U19" s="243">
        <f t="shared" si="4"/>
        <v>-22953.281177153262</v>
      </c>
      <c r="V19" s="242">
        <f>+IFERROR(HLOOKUP($A$1,[15]손익요약!$G$5:$AL$106,59,),)</f>
        <v>35154.931247257933</v>
      </c>
      <c r="W19" s="382">
        <f>+'[9]부산크라샤(당월)'!$I$86</f>
        <v>-51465.997384850496</v>
      </c>
      <c r="X19" s="241">
        <f t="shared" si="5"/>
        <v>-86620.928632108436</v>
      </c>
      <c r="Y19" s="242"/>
      <c r="Z19" s="382">
        <f>+'[9]부산크라샤(당월)'!$L$86</f>
        <v>0</v>
      </c>
      <c r="AA19" s="241">
        <f t="shared" si="6"/>
        <v>0</v>
      </c>
      <c r="AB19" s="409">
        <f>+S19+V19+Y19</f>
        <v>13246.323766778329</v>
      </c>
      <c r="AC19" s="382">
        <f>+T19+W19+Z19</f>
        <v>-96327.886042483355</v>
      </c>
      <c r="AD19" s="410">
        <f t="shared" si="7"/>
        <v>-109574.20980926168</v>
      </c>
      <c r="AE19" s="241">
        <f>+IFERROR(HLOOKUP($A$1,[16]손익계획!$G$5:$AX$449,24,),)</f>
        <v>22228.705180011119</v>
      </c>
      <c r="AF19" s="382">
        <f>+'[9]부산모래장(당월)'!$I$81-'[9]부산모래장(당월)'!$R$82</f>
        <v>-34003.048365970419</v>
      </c>
      <c r="AG19" s="241">
        <f t="shared" si="8"/>
        <v>-56231.753545981541</v>
      </c>
      <c r="AH19" s="409">
        <f>+P19+AB19+AE19</f>
        <v>76147.072876393882</v>
      </c>
      <c r="AI19" s="382">
        <f>+Q19+AC19+AF19</f>
        <v>-200689.68921055482</v>
      </c>
      <c r="AJ19" s="410">
        <f t="shared" si="9"/>
        <v>-276836.76208694873</v>
      </c>
    </row>
    <row r="20" spans="4:39" ht="24" customHeight="1" x14ac:dyDescent="0.3">
      <c r="D20" s="76"/>
      <c r="E20" s="663"/>
      <c r="F20" s="239" t="s">
        <v>58</v>
      </c>
      <c r="G20" s="235">
        <f>G18+G19</f>
        <v>60913.051136297414</v>
      </c>
      <c r="H20" s="383">
        <f>H18+H19</f>
        <v>-70358.754802101044</v>
      </c>
      <c r="I20" s="238">
        <f t="shared" si="0"/>
        <v>-131271.80593839847</v>
      </c>
      <c r="J20" s="237">
        <f>J18+J19</f>
        <v>41601.105273241861</v>
      </c>
      <c r="K20" s="383">
        <f>K18+K19</f>
        <v>0</v>
      </c>
      <c r="L20" s="236">
        <f t="shared" si="1"/>
        <v>-41601.105273241861</v>
      </c>
      <c r="M20" s="237">
        <f>M18+M19</f>
        <v>15748.507810484247</v>
      </c>
      <c r="N20" s="383"/>
      <c r="O20" s="236">
        <f t="shared" si="2"/>
        <v>-15748.507810484247</v>
      </c>
      <c r="P20" s="411">
        <f>P18+P19</f>
        <v>118262.66422002352</v>
      </c>
      <c r="Q20" s="383">
        <f>Q18+Q19</f>
        <v>-70358.754802101044</v>
      </c>
      <c r="R20" s="412">
        <f t="shared" si="3"/>
        <v>-188621.41902212455</v>
      </c>
      <c r="S20" s="235">
        <f>S18+S19</f>
        <v>-27649.445013341119</v>
      </c>
      <c r="T20" s="383">
        <f>T18+T19</f>
        <v>-147057.59347255292</v>
      </c>
      <c r="U20" s="238">
        <f t="shared" si="4"/>
        <v>-119408.14845921181</v>
      </c>
      <c r="V20" s="237">
        <f>V18+V19</f>
        <v>100205.32932813934</v>
      </c>
      <c r="W20" s="383">
        <f>W18+W19</f>
        <v>-74566.491487447071</v>
      </c>
      <c r="X20" s="236">
        <f t="shared" si="5"/>
        <v>-174771.82081558643</v>
      </c>
      <c r="Y20" s="237"/>
      <c r="Z20" s="383">
        <f>Z18+Z19</f>
        <v>0</v>
      </c>
      <c r="AA20" s="236">
        <f t="shared" si="6"/>
        <v>0</v>
      </c>
      <c r="AB20" s="411">
        <f>AB18+AB19</f>
        <v>72555.884314798212</v>
      </c>
      <c r="AC20" s="383">
        <f>AC18+AC19</f>
        <v>-221624.08495999998</v>
      </c>
      <c r="AD20" s="412">
        <f t="shared" si="7"/>
        <v>-294179.96927479818</v>
      </c>
      <c r="AE20" s="236">
        <f>AE18+AE19</f>
        <v>68431.450538153484</v>
      </c>
      <c r="AF20" s="383">
        <f>AF18+AF19</f>
        <v>1873.9536340295817</v>
      </c>
      <c r="AG20" s="236">
        <f t="shared" si="8"/>
        <v>-66557.496904123895</v>
      </c>
      <c r="AH20" s="411">
        <f>AH18+AH19</f>
        <v>259249.99907297522</v>
      </c>
      <c r="AI20" s="383">
        <f>AI18+AI19</f>
        <v>-290108.88612807146</v>
      </c>
      <c r="AJ20" s="412">
        <f t="shared" si="9"/>
        <v>-549358.88520104671</v>
      </c>
      <c r="AL20" s="6">
        <f>+'사업장별(당월)'!T32*1000</f>
        <v>259249.99907297536</v>
      </c>
      <c r="AM20" s="6">
        <f>'사업장별(당월)'!U32*1000</f>
        <v>-290108.88612807158</v>
      </c>
    </row>
    <row r="21" spans="4:39" ht="24" customHeight="1" x14ac:dyDescent="0.3">
      <c r="D21" s="76"/>
      <c r="E21" s="234" t="s">
        <v>132</v>
      </c>
      <c r="F21" s="233" t="s">
        <v>25</v>
      </c>
      <c r="G21" s="229">
        <f>+IFERROR(HLOOKUP($A$1,[14]손익!$G$5:$AB$252,3,),)</f>
        <v>0</v>
      </c>
      <c r="H21" s="381">
        <f>+'[9]서부산크라샤(당월)'!$F$60</f>
        <v>0</v>
      </c>
      <c r="I21" s="232">
        <f t="shared" si="0"/>
        <v>0</v>
      </c>
      <c r="J21" s="231">
        <f>+IFERROR(HLOOKUP($A$1,[14]손익!$G$5:$AB$252,12,),)</f>
        <v>0</v>
      </c>
      <c r="K21" s="381">
        <f>+'[9]서부산크라샤(당월)'!$I$60</f>
        <v>0</v>
      </c>
      <c r="L21" s="230">
        <f t="shared" si="1"/>
        <v>0</v>
      </c>
      <c r="M21" s="231"/>
      <c r="N21" s="381"/>
      <c r="O21" s="230">
        <f t="shared" si="2"/>
        <v>0</v>
      </c>
      <c r="P21" s="407">
        <f t="shared" ref="P21:P26" si="10">+G21+J21+M21</f>
        <v>0</v>
      </c>
      <c r="Q21" s="381">
        <f t="shared" ref="Q21:Q26" si="11">+H21+K21+N21</f>
        <v>0</v>
      </c>
      <c r="R21" s="408">
        <f t="shared" si="3"/>
        <v>0</v>
      </c>
      <c r="S21" s="229">
        <f>+IFERROR(HLOOKUP($A$1,[15]손익!$G$5:$AB$252,3,),)</f>
        <v>12959.425726877136</v>
      </c>
      <c r="T21" s="381">
        <f>+'[9]부산크라샤(당월)'!$F$60</f>
        <v>8700</v>
      </c>
      <c r="U21" s="232">
        <f t="shared" si="4"/>
        <v>-4259.4257268771362</v>
      </c>
      <c r="V21" s="231">
        <f>+IFERROR(HLOOKUP($A$1,[15]손익!$G$5:$AB$252,12,),)</f>
        <v>9164.2386912729435</v>
      </c>
      <c r="W21" s="381">
        <f>+'[9]부산크라샤(당월)'!$I$60</f>
        <v>6860</v>
      </c>
      <c r="X21" s="230">
        <f t="shared" si="5"/>
        <v>-2304.2386912729435</v>
      </c>
      <c r="Y21" s="231"/>
      <c r="Z21" s="381">
        <f>+'[9]부산크라샤(당월)'!$L$60</f>
        <v>0</v>
      </c>
      <c r="AA21" s="230">
        <f t="shared" si="6"/>
        <v>0</v>
      </c>
      <c r="AB21" s="407">
        <f t="shared" ref="AB21:AB32" si="12">+S21+V21+Y21</f>
        <v>22123.664418150081</v>
      </c>
      <c r="AC21" s="381">
        <f t="shared" ref="AC21:AC32" si="13">+T21+W21+Z21</f>
        <v>15560</v>
      </c>
      <c r="AD21" s="408">
        <f t="shared" si="7"/>
        <v>-6563.6644181500815</v>
      </c>
      <c r="AE21" s="230">
        <f>+IFERROR(HLOOKUP($A$1,[16]이송계획!$G$193:$U$216,16,),)</f>
        <v>5180.5854944884186</v>
      </c>
      <c r="AF21" s="381">
        <f>+'[9]부산모래장(당월)'!$R$64</f>
        <v>4050</v>
      </c>
      <c r="AG21" s="230">
        <f t="shared" si="8"/>
        <v>-1130.5854944884186</v>
      </c>
      <c r="AH21" s="407">
        <f t="shared" ref="AH21:AI26" si="14">+P21+AB21+AE21</f>
        <v>27304.249912638501</v>
      </c>
      <c r="AI21" s="381">
        <f t="shared" si="14"/>
        <v>19610</v>
      </c>
      <c r="AJ21" s="408">
        <f t="shared" si="9"/>
        <v>-7694.249912638501</v>
      </c>
      <c r="AL21" s="594" t="b">
        <f>+AL20=AH20</f>
        <v>1</v>
      </c>
      <c r="AM21" s="594" t="b">
        <f>+AM20=AI20</f>
        <v>0</v>
      </c>
    </row>
    <row r="22" spans="4:39" ht="24" customHeight="1" x14ac:dyDescent="0.3">
      <c r="D22" s="76"/>
      <c r="E22" s="165" t="s">
        <v>0</v>
      </c>
      <c r="F22" s="220" t="s">
        <v>26</v>
      </c>
      <c r="G22" s="225">
        <f>+IFERROR(HLOOKUP($A$1,[14]손익!$G$5:$AB$252,4,),)</f>
        <v>14211.6</v>
      </c>
      <c r="H22" s="384">
        <f>+'[9]서부산크라샤(당월)'!$F$61</f>
        <v>0</v>
      </c>
      <c r="I22" s="228">
        <f t="shared" si="0"/>
        <v>-14211.6</v>
      </c>
      <c r="J22" s="227">
        <f>+IFERROR(HLOOKUP($A$1,[14]손익!$G$5:$AB$252,13,),)</f>
        <v>1218.5333333333333</v>
      </c>
      <c r="K22" s="384">
        <f>+'[9]서부산크라샤(당월)'!$I$61</f>
        <v>0</v>
      </c>
      <c r="L22" s="226">
        <f t="shared" si="1"/>
        <v>-1218.5333333333333</v>
      </c>
      <c r="M22" s="227"/>
      <c r="N22" s="384"/>
      <c r="O22" s="226">
        <f t="shared" si="2"/>
        <v>0</v>
      </c>
      <c r="P22" s="413">
        <f t="shared" si="10"/>
        <v>15430.133333333333</v>
      </c>
      <c r="Q22" s="384">
        <f t="shared" si="11"/>
        <v>0</v>
      </c>
      <c r="R22" s="414">
        <f t="shared" si="3"/>
        <v>-15430.133333333333</v>
      </c>
      <c r="S22" s="225">
        <f>+IFERROR(HLOOKUP($A$1,[15]손익!$G$5:$AB$252,4,),)</f>
        <v>0</v>
      </c>
      <c r="T22" s="384">
        <f>+'[9]부산크라샤(당월)'!$F$61</f>
        <v>4032</v>
      </c>
      <c r="U22" s="228">
        <f t="shared" si="4"/>
        <v>4032</v>
      </c>
      <c r="V22" s="227">
        <f>+IFERROR(HLOOKUP($A$1,[15]손익!$G$5:$AB$252,13,),)</f>
        <v>2366.6709677419362</v>
      </c>
      <c r="W22" s="384">
        <f>+'[9]부산크라샤(당월)'!$I$61</f>
        <v>4560</v>
      </c>
      <c r="X22" s="226">
        <f t="shared" si="5"/>
        <v>2193.3290322580638</v>
      </c>
      <c r="Y22" s="227"/>
      <c r="Z22" s="384">
        <f>+'[9]부산크라샤(당월)'!$L$61</f>
        <v>0</v>
      </c>
      <c r="AA22" s="226">
        <f t="shared" si="6"/>
        <v>0</v>
      </c>
      <c r="AB22" s="413">
        <f t="shared" si="12"/>
        <v>2366.6709677419362</v>
      </c>
      <c r="AC22" s="384">
        <f t="shared" si="13"/>
        <v>8592</v>
      </c>
      <c r="AD22" s="414">
        <f t="shared" si="7"/>
        <v>6225.3290322580633</v>
      </c>
      <c r="AE22" s="226">
        <f>+IFERROR(HLOOKUP($A$1,[16]이송계획!$G$193:$U$216,17,),)</f>
        <v>5364.3636363636369</v>
      </c>
      <c r="AF22" s="384">
        <f>+'[9]부산모래장(당월)'!$R$65</f>
        <v>2464</v>
      </c>
      <c r="AG22" s="226">
        <f t="shared" si="8"/>
        <v>-2900.3636363636369</v>
      </c>
      <c r="AH22" s="413">
        <f t="shared" si="14"/>
        <v>23161.167937438906</v>
      </c>
      <c r="AI22" s="384">
        <f t="shared" si="14"/>
        <v>11056</v>
      </c>
      <c r="AJ22" s="414">
        <f t="shared" si="9"/>
        <v>-12105.167937438906</v>
      </c>
      <c r="AL22" s="98">
        <f>+AH20-AL20</f>
        <v>0</v>
      </c>
      <c r="AM22" s="98">
        <f>+AI20-AM20</f>
        <v>0</v>
      </c>
    </row>
    <row r="23" spans="4:39" ht="24" customHeight="1" x14ac:dyDescent="0.3">
      <c r="D23" s="76"/>
      <c r="E23" s="165"/>
      <c r="F23" s="220" t="s">
        <v>27</v>
      </c>
      <c r="G23" s="225">
        <f>+IFERROR(HLOOKUP($A$1,[14]손익!$G$5:$AB$252,5,),)</f>
        <v>1549.3333333333333</v>
      </c>
      <c r="H23" s="384">
        <f>+'[9]서부산크라샤(당월)'!$F$62</f>
        <v>0</v>
      </c>
      <c r="I23" s="228">
        <f t="shared" si="0"/>
        <v>-1549.3333333333333</v>
      </c>
      <c r="J23" s="227">
        <f>+IFERROR(HLOOKUP($A$1,[14]손익!$G$5:$AB$252,14,),)</f>
        <v>0</v>
      </c>
      <c r="K23" s="384">
        <f>+'[9]서부산크라샤(당월)'!$I$62</f>
        <v>0</v>
      </c>
      <c r="L23" s="226">
        <f t="shared" si="1"/>
        <v>0</v>
      </c>
      <c r="M23" s="227"/>
      <c r="N23" s="384"/>
      <c r="O23" s="226">
        <f t="shared" si="2"/>
        <v>0</v>
      </c>
      <c r="P23" s="413">
        <f t="shared" si="10"/>
        <v>1549.3333333333333</v>
      </c>
      <c r="Q23" s="384">
        <f t="shared" si="11"/>
        <v>0</v>
      </c>
      <c r="R23" s="414">
        <f t="shared" si="3"/>
        <v>-1549.3333333333333</v>
      </c>
      <c r="S23" s="225">
        <f>+IFERROR(HLOOKUP($A$1,[15]손익!$G$5:$AB$252,5,),)</f>
        <v>0</v>
      </c>
      <c r="T23" s="384">
        <f>+'[9]부산크라샤(당월)'!$F$62</f>
        <v>0</v>
      </c>
      <c r="U23" s="228">
        <f t="shared" si="4"/>
        <v>0</v>
      </c>
      <c r="V23" s="227">
        <f>+IFERROR(HLOOKUP($A$1,[15]손익!$G$5:$AB$252,14,),)</f>
        <v>0</v>
      </c>
      <c r="W23" s="384">
        <f>+'[9]부산크라샤(당월)'!$I$62</f>
        <v>0</v>
      </c>
      <c r="X23" s="226">
        <f t="shared" si="5"/>
        <v>0</v>
      </c>
      <c r="Y23" s="227"/>
      <c r="Z23" s="384">
        <f>+'[9]부산크라샤(당월)'!$L$62</f>
        <v>0</v>
      </c>
      <c r="AA23" s="226">
        <f t="shared" si="6"/>
        <v>0</v>
      </c>
      <c r="AB23" s="413">
        <f t="shared" si="12"/>
        <v>0</v>
      </c>
      <c r="AC23" s="384">
        <f t="shared" si="13"/>
        <v>0</v>
      </c>
      <c r="AD23" s="414">
        <f t="shared" si="7"/>
        <v>0</v>
      </c>
      <c r="AE23" s="226">
        <f>+IFERROR(HLOOKUP($A$1,[16]이송계획!$G$193:$U$216,18,),)</f>
        <v>3720.2797202797201</v>
      </c>
      <c r="AF23" s="384">
        <f>+'[9]부산모래장(당월)'!$V$64</f>
        <v>0</v>
      </c>
      <c r="AG23" s="226">
        <f t="shared" si="8"/>
        <v>-3720.2797202797201</v>
      </c>
      <c r="AH23" s="413">
        <f t="shared" si="14"/>
        <v>5269.6130536130531</v>
      </c>
      <c r="AI23" s="384">
        <f t="shared" si="14"/>
        <v>0</v>
      </c>
      <c r="AJ23" s="414">
        <f t="shared" si="9"/>
        <v>-5269.6130536130531</v>
      </c>
    </row>
    <row r="24" spans="4:39" ht="24" customHeight="1" x14ac:dyDescent="0.3">
      <c r="D24" s="76"/>
      <c r="E24" s="165"/>
      <c r="F24" s="220" t="s">
        <v>28</v>
      </c>
      <c r="G24" s="225">
        <f>+IFERROR(HLOOKUP($A$1,[14]손익!$G$5:$AB$252,6,),)</f>
        <v>0</v>
      </c>
      <c r="H24" s="384">
        <f>+'[9]서부산크라샤(당월)'!$F$63</f>
        <v>0</v>
      </c>
      <c r="I24" s="228">
        <f t="shared" si="0"/>
        <v>0</v>
      </c>
      <c r="J24" s="227">
        <f>+IFERROR(HLOOKUP($A$1,[14]손익!$G$5:$AB$252,15,),)</f>
        <v>0</v>
      </c>
      <c r="K24" s="384">
        <f>+'[9]서부산크라샤(당월)'!$I$63</f>
        <v>0</v>
      </c>
      <c r="L24" s="226">
        <f t="shared" si="1"/>
        <v>0</v>
      </c>
      <c r="M24" s="227"/>
      <c r="N24" s="384"/>
      <c r="O24" s="226">
        <f t="shared" si="2"/>
        <v>0</v>
      </c>
      <c r="P24" s="413">
        <f t="shared" si="10"/>
        <v>0</v>
      </c>
      <c r="Q24" s="384">
        <f t="shared" si="11"/>
        <v>0</v>
      </c>
      <c r="R24" s="414">
        <f t="shared" si="3"/>
        <v>0</v>
      </c>
      <c r="S24" s="225">
        <f>+IFERROR(HLOOKUP($A$1,[15]손익!$G$5:$AB$252,6,),)</f>
        <v>0</v>
      </c>
      <c r="T24" s="384">
        <f>+'[9]부산크라샤(당월)'!$F$63</f>
        <v>0</v>
      </c>
      <c r="U24" s="228">
        <f t="shared" si="4"/>
        <v>0</v>
      </c>
      <c r="V24" s="227">
        <f>+IFERROR(HLOOKUP($A$1,[15]손익!$G$5:$AB$252,15,),)</f>
        <v>0</v>
      </c>
      <c r="W24" s="384">
        <f>+'[9]부산크라샤(당월)'!$I$63</f>
        <v>640</v>
      </c>
      <c r="X24" s="226">
        <f t="shared" si="5"/>
        <v>640</v>
      </c>
      <c r="Y24" s="227"/>
      <c r="Z24" s="384">
        <f>+'[9]부산크라샤(당월)'!$L$63</f>
        <v>0</v>
      </c>
      <c r="AA24" s="226">
        <f t="shared" si="6"/>
        <v>0</v>
      </c>
      <c r="AB24" s="413">
        <f t="shared" si="12"/>
        <v>0</v>
      </c>
      <c r="AC24" s="384">
        <f t="shared" si="13"/>
        <v>640</v>
      </c>
      <c r="AD24" s="414">
        <f t="shared" si="7"/>
        <v>640</v>
      </c>
      <c r="AE24" s="226">
        <f>+IFERROR(HLOOKUP($A$1,[16]이송계획!$G$193:$U$216,19,),)</f>
        <v>4400.5594405594402</v>
      </c>
      <c r="AF24" s="384">
        <f>+'[9]부산모래장(당월)'!$V$65</f>
        <v>0</v>
      </c>
      <c r="AG24" s="226">
        <f t="shared" si="8"/>
        <v>-4400.5594405594402</v>
      </c>
      <c r="AH24" s="413">
        <f t="shared" si="14"/>
        <v>4400.5594405594402</v>
      </c>
      <c r="AI24" s="384">
        <f t="shared" si="14"/>
        <v>640</v>
      </c>
      <c r="AJ24" s="414">
        <f t="shared" si="9"/>
        <v>-3760.5594405594402</v>
      </c>
    </row>
    <row r="25" spans="4:39" ht="24" customHeight="1" x14ac:dyDescent="0.3">
      <c r="D25" s="76"/>
      <c r="E25" s="165"/>
      <c r="F25" s="220" t="s">
        <v>29</v>
      </c>
      <c r="G25" s="225">
        <f>+IFERROR(HLOOKUP($A$1,[14]손익!$G$5:$AB$252,7,),)</f>
        <v>0</v>
      </c>
      <c r="H25" s="384">
        <f>+'[9]서부산크라샤(당월)'!$F$64</f>
        <v>0</v>
      </c>
      <c r="I25" s="228">
        <f t="shared" si="0"/>
        <v>0</v>
      </c>
      <c r="J25" s="227">
        <f>+IFERROR(HLOOKUP($A$1,[14]손익!$G$5:$AB$252,16,),)</f>
        <v>687.03</v>
      </c>
      <c r="K25" s="384">
        <f>+'[9]서부산크라샤(당월)'!$I$64</f>
        <v>0</v>
      </c>
      <c r="L25" s="226">
        <f t="shared" si="1"/>
        <v>-687.03</v>
      </c>
      <c r="M25" s="227"/>
      <c r="N25" s="384"/>
      <c r="O25" s="226">
        <f t="shared" si="2"/>
        <v>0</v>
      </c>
      <c r="P25" s="413">
        <f t="shared" si="10"/>
        <v>687.03</v>
      </c>
      <c r="Q25" s="384">
        <f t="shared" si="11"/>
        <v>0</v>
      </c>
      <c r="R25" s="414">
        <f t="shared" si="3"/>
        <v>-687.03</v>
      </c>
      <c r="S25" s="225">
        <f>+IFERROR(HLOOKUP($A$1,[15]손익!$G$5:$AB$252,7,),)</f>
        <v>0</v>
      </c>
      <c r="T25" s="384">
        <f>+'[9]부산크라샤(당월)'!$F$64</f>
        <v>0</v>
      </c>
      <c r="U25" s="228">
        <f t="shared" si="4"/>
        <v>0</v>
      </c>
      <c r="V25" s="227">
        <f>+IFERROR(HLOOKUP($A$1,[15]손익!$G$5:$AB$252,16,),)</f>
        <v>0</v>
      </c>
      <c r="W25" s="384">
        <f>+'[9]부산크라샤(당월)'!$I$64</f>
        <v>0</v>
      </c>
      <c r="X25" s="226">
        <f t="shared" si="5"/>
        <v>0</v>
      </c>
      <c r="Y25" s="227"/>
      <c r="Z25" s="384">
        <f>+'[9]부산크라샤(당월)'!$L$64</f>
        <v>0</v>
      </c>
      <c r="AA25" s="226">
        <f t="shared" si="6"/>
        <v>0</v>
      </c>
      <c r="AB25" s="413">
        <f t="shared" si="12"/>
        <v>0</v>
      </c>
      <c r="AC25" s="384">
        <f t="shared" si="13"/>
        <v>0</v>
      </c>
      <c r="AD25" s="414">
        <f t="shared" si="7"/>
        <v>0</v>
      </c>
      <c r="AE25" s="226">
        <f>+IFERROR(HLOOKUP($A$1,[16]이송계획!$G$193:$U$216,20,),)</f>
        <v>1602.86013986014</v>
      </c>
      <c r="AF25" s="384">
        <f>+'[9]부산모래장(당월)'!$R$66</f>
        <v>1792</v>
      </c>
      <c r="AG25" s="226">
        <f t="shared" si="8"/>
        <v>189.13986013986005</v>
      </c>
      <c r="AH25" s="413">
        <f t="shared" si="14"/>
        <v>2289.8901398601402</v>
      </c>
      <c r="AI25" s="384">
        <f t="shared" si="14"/>
        <v>1792</v>
      </c>
      <c r="AJ25" s="414">
        <f t="shared" si="9"/>
        <v>-497.89013986014015</v>
      </c>
    </row>
    <row r="26" spans="4:39" ht="24" customHeight="1" x14ac:dyDescent="0.3">
      <c r="D26" s="76"/>
      <c r="E26" s="165"/>
      <c r="F26" s="220" t="s">
        <v>30</v>
      </c>
      <c r="G26" s="225">
        <f>+IFERROR(HLOOKUP($A$1,[14]손익!$G$5:$AB$252,8,),)</f>
        <v>892.8</v>
      </c>
      <c r="H26" s="384">
        <f>+'[9]서부산크라샤(당월)'!$F$65</f>
        <v>0</v>
      </c>
      <c r="I26" s="228">
        <f t="shared" si="0"/>
        <v>-892.8</v>
      </c>
      <c r="J26" s="227">
        <f>+IFERROR(HLOOKUP($A$1,[14]손익!$G$5:$AB$252,17,),)</f>
        <v>516.26666666666665</v>
      </c>
      <c r="K26" s="384">
        <f>+'[9]서부산크라샤(당월)'!$I$65</f>
        <v>0</v>
      </c>
      <c r="L26" s="226">
        <f t="shared" si="1"/>
        <v>-516.26666666666665</v>
      </c>
      <c r="M26" s="227"/>
      <c r="N26" s="384"/>
      <c r="O26" s="226">
        <f t="shared" si="2"/>
        <v>0</v>
      </c>
      <c r="P26" s="413">
        <f t="shared" si="10"/>
        <v>1409.0666666666666</v>
      </c>
      <c r="Q26" s="382">
        <f t="shared" si="11"/>
        <v>0</v>
      </c>
      <c r="R26" s="432">
        <f t="shared" si="3"/>
        <v>-1409.0666666666666</v>
      </c>
      <c r="S26" s="225">
        <f>+IFERROR(HLOOKUP($A$1,[15]손익!$G$5:$AB$252,8,),)</f>
        <v>0</v>
      </c>
      <c r="T26" s="384">
        <f>+'[9]부산크라샤(당월)'!$F$65</f>
        <v>0</v>
      </c>
      <c r="U26" s="228">
        <f t="shared" si="4"/>
        <v>0</v>
      </c>
      <c r="V26" s="227">
        <f>+IFERROR(HLOOKUP($A$1,[15]손익!$G$5:$AB$252,17,),)</f>
        <v>0</v>
      </c>
      <c r="W26" s="384">
        <f>+'[9]부산크라샤(당월)'!$I$65</f>
        <v>0</v>
      </c>
      <c r="X26" s="226">
        <f t="shared" si="5"/>
        <v>0</v>
      </c>
      <c r="Y26" s="227"/>
      <c r="Z26" s="384">
        <f>+'[9]부산크라샤(당월)'!$L$65</f>
        <v>0</v>
      </c>
      <c r="AA26" s="226">
        <f t="shared" si="6"/>
        <v>0</v>
      </c>
      <c r="AB26" s="413">
        <f t="shared" si="12"/>
        <v>0</v>
      </c>
      <c r="AC26" s="382">
        <f t="shared" si="13"/>
        <v>0</v>
      </c>
      <c r="AD26" s="432">
        <f t="shared" si="7"/>
        <v>0</v>
      </c>
      <c r="AE26" s="226">
        <f>+IFERROR(HLOOKUP($A$1,[16]이송계획!$G$193:$U$216,21,),)</f>
        <v>0</v>
      </c>
      <c r="AF26" s="384"/>
      <c r="AG26" s="226">
        <f t="shared" si="8"/>
        <v>0</v>
      </c>
      <c r="AH26" s="413">
        <f t="shared" si="14"/>
        <v>1409.0666666666666</v>
      </c>
      <c r="AI26" s="382">
        <f t="shared" si="14"/>
        <v>0</v>
      </c>
      <c r="AJ26" s="414">
        <f t="shared" si="9"/>
        <v>-1409.0666666666666</v>
      </c>
    </row>
    <row r="27" spans="4:39" ht="24" customHeight="1" x14ac:dyDescent="0.3">
      <c r="D27" s="76"/>
      <c r="E27" s="224" t="s">
        <v>132</v>
      </c>
      <c r="F27" s="223" t="s">
        <v>25</v>
      </c>
      <c r="G27" s="191">
        <f>+IFERROR(HLOOKUP($A$1,[14]손익!$G$5:$AB$252,31,),)</f>
        <v>0</v>
      </c>
      <c r="H27" s="385">
        <f t="shared" ref="H27:H32" si="15">IFERROR(H35/H21,)*1000</f>
        <v>0</v>
      </c>
      <c r="I27" s="192">
        <f t="shared" si="0"/>
        <v>0</v>
      </c>
      <c r="J27" s="222">
        <f>+IFERROR(HLOOKUP($A$1,[14]손익!$G$5:$AB$252,40,),)</f>
        <v>0</v>
      </c>
      <c r="K27" s="385">
        <f t="shared" ref="K27:K32" si="16">IFERROR(K35/K21,)*1000</f>
        <v>0</v>
      </c>
      <c r="L27" s="204">
        <f t="shared" si="1"/>
        <v>0</v>
      </c>
      <c r="M27" s="222"/>
      <c r="N27" s="385"/>
      <c r="O27" s="204">
        <f t="shared" si="2"/>
        <v>0</v>
      </c>
      <c r="P27" s="427">
        <f>+IFERROR(HLOOKUP($A$1,[14]손익!$G$5:$AB$252,48,),)</f>
        <v>9000</v>
      </c>
      <c r="Q27" s="423">
        <f t="shared" ref="Q27:Q32" si="17">IFERROR(Q35/Q21,)*1000</f>
        <v>0</v>
      </c>
      <c r="R27" s="433">
        <f t="shared" si="3"/>
        <v>-9000</v>
      </c>
      <c r="S27" s="191">
        <f>+IFERROR(HLOOKUP($A$1,[15]손익!$G$5:$AB$252,30,),)</f>
        <v>16000</v>
      </c>
      <c r="T27" s="385">
        <f t="shared" ref="T27:T32" si="18">IFERROR(T35/T21,)*1000</f>
        <v>17500</v>
      </c>
      <c r="U27" s="192">
        <f t="shared" si="4"/>
        <v>1500</v>
      </c>
      <c r="V27" s="222">
        <f>+IFERROR(HLOOKUP($A$1,[15]손익!$G$5:$AB$252,39,),)</f>
        <v>23000</v>
      </c>
      <c r="W27" s="385">
        <f t="shared" ref="W27:W32" si="19">IFERROR(W35/W21,)*1000</f>
        <v>23500</v>
      </c>
      <c r="X27" s="204">
        <f t="shared" si="5"/>
        <v>500</v>
      </c>
      <c r="Y27" s="222"/>
      <c r="Z27" s="385">
        <f t="shared" ref="Z27:Z32" si="20">IFERROR(Z35/Z21,)*1000</f>
        <v>0</v>
      </c>
      <c r="AA27" s="204">
        <f t="shared" si="6"/>
        <v>0</v>
      </c>
      <c r="AB27" s="427">
        <f t="shared" si="12"/>
        <v>39000</v>
      </c>
      <c r="AC27" s="423">
        <f t="shared" si="13"/>
        <v>41000</v>
      </c>
      <c r="AD27" s="433">
        <f t="shared" si="7"/>
        <v>2000</v>
      </c>
      <c r="AE27" s="204">
        <f t="shared" ref="AE27:AF32" si="21">IFERROR(AE35/AE21,)*1000</f>
        <v>30500</v>
      </c>
      <c r="AF27" s="385">
        <f t="shared" si="21"/>
        <v>32888.888888888883</v>
      </c>
      <c r="AG27" s="204">
        <f t="shared" si="8"/>
        <v>2388.8888888888832</v>
      </c>
      <c r="AH27" s="415">
        <f t="shared" ref="AH27:AH32" si="22">+AH35/AH21*1000</f>
        <v>21100.603787124313</v>
      </c>
      <c r="AI27" s="385">
        <f t="shared" ref="AI27:AI32" si="23">IFERROR(AI35/AI21,)*1000</f>
        <v>22777.15451300357</v>
      </c>
      <c r="AJ27" s="416">
        <f t="shared" si="9"/>
        <v>1676.5507258792568</v>
      </c>
    </row>
    <row r="28" spans="4:39" ht="24" customHeight="1" x14ac:dyDescent="0.3">
      <c r="D28" s="76"/>
      <c r="E28" s="165" t="s">
        <v>131</v>
      </c>
      <c r="F28" s="220" t="s">
        <v>26</v>
      </c>
      <c r="G28" s="189">
        <f>+IFERROR(HLOOKUP($A$1,[14]손익!$G$5:$AB$252,32,),)</f>
        <v>16000</v>
      </c>
      <c r="H28" s="95">
        <f t="shared" si="15"/>
        <v>0</v>
      </c>
      <c r="I28" s="190">
        <f t="shared" si="0"/>
        <v>-16000</v>
      </c>
      <c r="J28" s="219">
        <f>+IFERROR(HLOOKUP($A$1,[14]손익!$G$5:$AB$252,41,),)</f>
        <v>22000</v>
      </c>
      <c r="K28" s="95">
        <f t="shared" si="16"/>
        <v>0</v>
      </c>
      <c r="L28" s="195">
        <f t="shared" si="1"/>
        <v>-22000</v>
      </c>
      <c r="M28" s="219"/>
      <c r="N28" s="95"/>
      <c r="O28" s="195">
        <f t="shared" si="2"/>
        <v>0</v>
      </c>
      <c r="P28" s="428">
        <f>+IFERROR(HLOOKUP($A$1,[14]손익!$G$5:$AB$252,49,),)</f>
        <v>10555.727554179568</v>
      </c>
      <c r="Q28" s="424">
        <f t="shared" si="17"/>
        <v>0</v>
      </c>
      <c r="R28" s="434">
        <f t="shared" si="3"/>
        <v>-10555.727554179568</v>
      </c>
      <c r="S28" s="189">
        <f>+IFERROR(HLOOKUP($A$1,[15]손익!$G$5:$AB$252,31,),)</f>
        <v>0</v>
      </c>
      <c r="T28" s="95">
        <f t="shared" si="18"/>
        <v>12000</v>
      </c>
      <c r="U28" s="190">
        <f t="shared" si="4"/>
        <v>12000</v>
      </c>
      <c r="V28" s="219">
        <f>+IFERROR(HLOOKUP($A$1,[15]손익!$G$5:$AB$252,40,),)</f>
        <v>19000</v>
      </c>
      <c r="W28" s="95">
        <f t="shared" si="19"/>
        <v>18000</v>
      </c>
      <c r="X28" s="195">
        <f t="shared" si="5"/>
        <v>-1000</v>
      </c>
      <c r="Y28" s="219"/>
      <c r="Z28" s="95">
        <f t="shared" si="20"/>
        <v>0</v>
      </c>
      <c r="AA28" s="195">
        <f t="shared" si="6"/>
        <v>0</v>
      </c>
      <c r="AB28" s="428">
        <f t="shared" si="12"/>
        <v>19000</v>
      </c>
      <c r="AC28" s="424">
        <f t="shared" si="13"/>
        <v>30000</v>
      </c>
      <c r="AD28" s="434">
        <f t="shared" si="7"/>
        <v>11000</v>
      </c>
      <c r="AE28" s="195">
        <f t="shared" si="21"/>
        <v>28000.000000000004</v>
      </c>
      <c r="AF28" s="95">
        <f t="shared" si="21"/>
        <v>27500</v>
      </c>
      <c r="AG28" s="195">
        <f t="shared" si="8"/>
        <v>-500.00000000000364</v>
      </c>
      <c r="AH28" s="417">
        <f t="shared" si="22"/>
        <v>19401.537295200022</v>
      </c>
      <c r="AI28" s="95">
        <f t="shared" si="23"/>
        <v>17929.088277858176</v>
      </c>
      <c r="AJ28" s="418">
        <f t="shared" si="9"/>
        <v>-1472.4490173418453</v>
      </c>
    </row>
    <row r="29" spans="4:39" ht="24" customHeight="1" x14ac:dyDescent="0.3">
      <c r="D29" s="76"/>
      <c r="E29" s="165"/>
      <c r="F29" s="220" t="s">
        <v>27</v>
      </c>
      <c r="G29" s="189">
        <f>+IFERROR(HLOOKUP($A$1,[14]손익!$G$5:$AB$252,33,),)</f>
        <v>10000</v>
      </c>
      <c r="H29" s="95">
        <f t="shared" si="15"/>
        <v>0</v>
      </c>
      <c r="I29" s="190">
        <f t="shared" si="0"/>
        <v>-10000</v>
      </c>
      <c r="J29" s="219">
        <f>+IFERROR(HLOOKUP($A$1,[14]손익!$G$5:$AB$252,42,),)</f>
        <v>0</v>
      </c>
      <c r="K29" s="95">
        <f t="shared" si="16"/>
        <v>0</v>
      </c>
      <c r="L29" s="195">
        <f t="shared" si="1"/>
        <v>0</v>
      </c>
      <c r="M29" s="219"/>
      <c r="N29" s="95"/>
      <c r="O29" s="195">
        <f t="shared" si="2"/>
        <v>0</v>
      </c>
      <c r="P29" s="429">
        <f>+IFERROR(HLOOKUP($A$1,[14]손익!$G$5:$AB$252,50,),)</f>
        <v>0</v>
      </c>
      <c r="Q29" s="425">
        <f t="shared" si="17"/>
        <v>0</v>
      </c>
      <c r="R29" s="434">
        <f t="shared" si="3"/>
        <v>0</v>
      </c>
      <c r="S29" s="189">
        <f>+IFERROR(HLOOKUP($A$1,[15]손익!$G$5:$AB$252,32,),)</f>
        <v>0</v>
      </c>
      <c r="T29" s="95">
        <f t="shared" si="18"/>
        <v>0</v>
      </c>
      <c r="U29" s="190">
        <f t="shared" si="4"/>
        <v>0</v>
      </c>
      <c r="V29" s="219">
        <f>+IFERROR(HLOOKUP($A$1,[15]손익!$G$5:$AB$252,41,),)</f>
        <v>0</v>
      </c>
      <c r="W29" s="95">
        <f t="shared" si="19"/>
        <v>0</v>
      </c>
      <c r="X29" s="195">
        <f t="shared" si="5"/>
        <v>0</v>
      </c>
      <c r="Y29" s="219"/>
      <c r="Z29" s="95">
        <f t="shared" si="20"/>
        <v>0</v>
      </c>
      <c r="AA29" s="195">
        <f t="shared" si="6"/>
        <v>0</v>
      </c>
      <c r="AB29" s="429">
        <f t="shared" si="12"/>
        <v>0</v>
      </c>
      <c r="AC29" s="425">
        <f t="shared" si="13"/>
        <v>0</v>
      </c>
      <c r="AD29" s="434">
        <f t="shared" si="7"/>
        <v>0</v>
      </c>
      <c r="AE29" s="195">
        <f t="shared" si="21"/>
        <v>27500</v>
      </c>
      <c r="AF29" s="95">
        <f t="shared" si="21"/>
        <v>0</v>
      </c>
      <c r="AG29" s="195">
        <f t="shared" si="8"/>
        <v>-27500</v>
      </c>
      <c r="AH29" s="417">
        <f t="shared" si="22"/>
        <v>22354.777180509795</v>
      </c>
      <c r="AI29" s="95">
        <f t="shared" si="23"/>
        <v>0</v>
      </c>
      <c r="AJ29" s="418">
        <f t="shared" si="9"/>
        <v>-22354.777180509795</v>
      </c>
    </row>
    <row r="30" spans="4:39" ht="24" customHeight="1" x14ac:dyDescent="0.3">
      <c r="D30" s="76"/>
      <c r="E30" s="165"/>
      <c r="F30" s="220" t="s">
        <v>28</v>
      </c>
      <c r="G30" s="189">
        <f>+IFERROR(HLOOKUP($A$1,[14]손익!$G$5:$AB$252,34,),)</f>
        <v>0</v>
      </c>
      <c r="H30" s="95">
        <f t="shared" si="15"/>
        <v>0</v>
      </c>
      <c r="I30" s="190">
        <f t="shared" si="0"/>
        <v>0</v>
      </c>
      <c r="J30" s="219">
        <f>+IFERROR(HLOOKUP($A$1,[14]손익!$G$5:$AB$252,43,),)</f>
        <v>0</v>
      </c>
      <c r="K30" s="95">
        <f t="shared" si="16"/>
        <v>0</v>
      </c>
      <c r="L30" s="195">
        <f t="shared" si="1"/>
        <v>0</v>
      </c>
      <c r="M30" s="219"/>
      <c r="N30" s="95"/>
      <c r="O30" s="195">
        <f t="shared" si="2"/>
        <v>0</v>
      </c>
      <c r="P30" s="429">
        <f>+IFERROR(HLOOKUP($A$1,[14]손익!$G$5:$AB$252,51,),)</f>
        <v>16473.826106492925</v>
      </c>
      <c r="Q30" s="55">
        <f t="shared" si="17"/>
        <v>0</v>
      </c>
      <c r="R30" s="435">
        <f t="shared" si="3"/>
        <v>-16473.826106492925</v>
      </c>
      <c r="S30" s="189">
        <f>+IFERROR(HLOOKUP($A$1,[15]손익!$G$5:$AB$252,33,),)</f>
        <v>0</v>
      </c>
      <c r="T30" s="95">
        <f t="shared" si="18"/>
        <v>0</v>
      </c>
      <c r="U30" s="190">
        <f t="shared" si="4"/>
        <v>0</v>
      </c>
      <c r="V30" s="219">
        <f>+IFERROR(HLOOKUP($A$1,[15]손익!$G$5:$AB$252,42,),)</f>
        <v>0</v>
      </c>
      <c r="W30" s="95">
        <f t="shared" si="19"/>
        <v>18000</v>
      </c>
      <c r="X30" s="195">
        <f t="shared" si="5"/>
        <v>18000</v>
      </c>
      <c r="Y30" s="219"/>
      <c r="Z30" s="95">
        <f t="shared" si="20"/>
        <v>0</v>
      </c>
      <c r="AA30" s="195">
        <f t="shared" si="6"/>
        <v>0</v>
      </c>
      <c r="AB30" s="429">
        <f t="shared" si="12"/>
        <v>0</v>
      </c>
      <c r="AC30" s="55">
        <f t="shared" si="13"/>
        <v>18000</v>
      </c>
      <c r="AD30" s="435">
        <f t="shared" si="7"/>
        <v>18000</v>
      </c>
      <c r="AE30" s="195">
        <f t="shared" si="21"/>
        <v>27500</v>
      </c>
      <c r="AF30" s="95">
        <f t="shared" si="21"/>
        <v>0</v>
      </c>
      <c r="AG30" s="195">
        <f t="shared" si="8"/>
        <v>-27500</v>
      </c>
      <c r="AH30" s="417">
        <f t="shared" si="22"/>
        <v>27500</v>
      </c>
      <c r="AI30" s="95">
        <f t="shared" si="23"/>
        <v>182312.5</v>
      </c>
      <c r="AJ30" s="418">
        <f t="shared" si="9"/>
        <v>154812.5</v>
      </c>
    </row>
    <row r="31" spans="4:39" ht="24" customHeight="1" x14ac:dyDescent="0.3">
      <c r="D31" s="76"/>
      <c r="E31" s="165"/>
      <c r="F31" s="220" t="s">
        <v>29</v>
      </c>
      <c r="G31" s="189">
        <f>+IFERROR(HLOOKUP($A$1,[14]손익!$G$5:$AB$252,35,),)</f>
        <v>0</v>
      </c>
      <c r="H31" s="95">
        <f t="shared" si="15"/>
        <v>0</v>
      </c>
      <c r="I31" s="190">
        <f t="shared" si="0"/>
        <v>0</v>
      </c>
      <c r="J31" s="219">
        <f>+IFERROR(HLOOKUP($A$1,[14]손익!$G$5:$AB$252,44,),)</f>
        <v>15000</v>
      </c>
      <c r="K31" s="95">
        <f t="shared" si="16"/>
        <v>0</v>
      </c>
      <c r="L31" s="195">
        <f t="shared" si="1"/>
        <v>-15000</v>
      </c>
      <c r="M31" s="219"/>
      <c r="N31" s="95"/>
      <c r="O31" s="195">
        <f t="shared" si="2"/>
        <v>0</v>
      </c>
      <c r="P31" s="429">
        <f>+IFERROR(HLOOKUP($A$1,[14]손익!$G$5:$AB$252,52,),)</f>
        <v>10000</v>
      </c>
      <c r="Q31" s="55">
        <f t="shared" si="17"/>
        <v>0</v>
      </c>
      <c r="R31" s="435">
        <f t="shared" si="3"/>
        <v>-10000</v>
      </c>
      <c r="S31" s="189">
        <f>+IFERROR(HLOOKUP($A$1,[15]손익!$G$5:$AB$252,34,),)</f>
        <v>0</v>
      </c>
      <c r="T31" s="95">
        <f t="shared" si="18"/>
        <v>0</v>
      </c>
      <c r="U31" s="190">
        <f t="shared" si="4"/>
        <v>0</v>
      </c>
      <c r="V31" s="219">
        <f>+IFERROR(HLOOKUP($A$1,[15]손익!$G$5:$AB$252,43,),)</f>
        <v>0</v>
      </c>
      <c r="W31" s="95">
        <f t="shared" si="19"/>
        <v>0</v>
      </c>
      <c r="X31" s="195">
        <f t="shared" si="5"/>
        <v>0</v>
      </c>
      <c r="Y31" s="219"/>
      <c r="Z31" s="95">
        <f t="shared" si="20"/>
        <v>0</v>
      </c>
      <c r="AA31" s="195">
        <f t="shared" si="6"/>
        <v>0</v>
      </c>
      <c r="AB31" s="429">
        <f t="shared" si="12"/>
        <v>0</v>
      </c>
      <c r="AC31" s="55">
        <f t="shared" si="13"/>
        <v>0</v>
      </c>
      <c r="AD31" s="435">
        <f t="shared" si="7"/>
        <v>0</v>
      </c>
      <c r="AE31" s="195">
        <f t="shared" si="21"/>
        <v>27500</v>
      </c>
      <c r="AF31" s="95">
        <f t="shared" si="21"/>
        <v>0</v>
      </c>
      <c r="AG31" s="195">
        <f t="shared" si="8"/>
        <v>-27500</v>
      </c>
      <c r="AH31" s="417">
        <f t="shared" si="22"/>
        <v>23749.656326078366</v>
      </c>
      <c r="AI31" s="95">
        <f t="shared" si="23"/>
        <v>0</v>
      </c>
      <c r="AJ31" s="418">
        <f t="shared" si="9"/>
        <v>-23749.656326078366</v>
      </c>
    </row>
    <row r="32" spans="4:39" ht="24" customHeight="1" thickBot="1" x14ac:dyDescent="0.35">
      <c r="D32" s="76"/>
      <c r="E32" s="217"/>
      <c r="F32" s="216" t="s">
        <v>30</v>
      </c>
      <c r="G32" s="212">
        <f>+IFERROR(HLOOKUP($A$1,[14]손익!$G$5:$AB$252,36,),)</f>
        <v>10000</v>
      </c>
      <c r="H32" s="386">
        <f t="shared" si="15"/>
        <v>0</v>
      </c>
      <c r="I32" s="215">
        <f t="shared" si="0"/>
        <v>-10000</v>
      </c>
      <c r="J32" s="214">
        <f>+IFERROR(HLOOKUP($A$1,[14]손익!$G$5:$AB$252,45,),)</f>
        <v>15000</v>
      </c>
      <c r="K32" s="386">
        <f t="shared" si="16"/>
        <v>0</v>
      </c>
      <c r="L32" s="213">
        <f t="shared" si="1"/>
        <v>-15000</v>
      </c>
      <c r="M32" s="214"/>
      <c r="N32" s="386"/>
      <c r="O32" s="213">
        <f t="shared" si="2"/>
        <v>0</v>
      </c>
      <c r="P32" s="430">
        <f>+IFERROR(HLOOKUP($A$1,[14]손익!$G$5:$AB$252,53,),)</f>
        <v>0</v>
      </c>
      <c r="Q32" s="426">
        <f t="shared" si="17"/>
        <v>0</v>
      </c>
      <c r="R32" s="436">
        <f t="shared" si="3"/>
        <v>0</v>
      </c>
      <c r="S32" s="212">
        <f>+IFERROR(HLOOKUP($A$1,[15]손익!$G$5:$AB$252,35,),)</f>
        <v>0</v>
      </c>
      <c r="T32" s="386">
        <f t="shared" si="18"/>
        <v>0</v>
      </c>
      <c r="U32" s="215">
        <f t="shared" si="4"/>
        <v>0</v>
      </c>
      <c r="V32" s="214">
        <f>+IFERROR(HLOOKUP($A$1,[15]손익!$G$5:$AB$252,44,),)</f>
        <v>0</v>
      </c>
      <c r="W32" s="386">
        <f t="shared" si="19"/>
        <v>0</v>
      </c>
      <c r="X32" s="213">
        <f t="shared" si="5"/>
        <v>0</v>
      </c>
      <c r="Y32" s="214"/>
      <c r="Z32" s="386">
        <f t="shared" si="20"/>
        <v>0</v>
      </c>
      <c r="AA32" s="213">
        <f t="shared" si="6"/>
        <v>0</v>
      </c>
      <c r="AB32" s="430">
        <f t="shared" si="12"/>
        <v>0</v>
      </c>
      <c r="AC32" s="426">
        <f t="shared" si="13"/>
        <v>0</v>
      </c>
      <c r="AD32" s="436">
        <f t="shared" si="7"/>
        <v>0</v>
      </c>
      <c r="AE32" s="213">
        <f t="shared" si="21"/>
        <v>0</v>
      </c>
      <c r="AF32" s="386">
        <f t="shared" si="21"/>
        <v>0</v>
      </c>
      <c r="AG32" s="213">
        <f t="shared" si="8"/>
        <v>0</v>
      </c>
      <c r="AH32" s="419">
        <f t="shared" si="22"/>
        <v>11831.945495836488</v>
      </c>
      <c r="AI32" s="420">
        <f t="shared" si="23"/>
        <v>0</v>
      </c>
      <c r="AJ32" s="421">
        <f t="shared" si="9"/>
        <v>-11831.945495836488</v>
      </c>
    </row>
    <row r="33" spans="5:36" ht="21.95" customHeight="1" thickTop="1" x14ac:dyDescent="0.3">
      <c r="E33" s="6" t="s">
        <v>130</v>
      </c>
      <c r="G33" s="210"/>
      <c r="H33" s="210"/>
      <c r="I33" s="210"/>
      <c r="J33" s="76"/>
      <c r="M33" s="76"/>
      <c r="S33" s="210"/>
      <c r="T33" s="210"/>
      <c r="U33" s="210"/>
      <c r="V33" s="76"/>
      <c r="AE33" s="76"/>
      <c r="AH33" s="76"/>
    </row>
    <row r="34" spans="5:36" ht="21.95" customHeight="1" x14ac:dyDescent="0.3">
      <c r="J34" s="76"/>
      <c r="M34" s="76"/>
      <c r="V34" s="76"/>
      <c r="AE34" s="76"/>
      <c r="AF34" s="6" t="s">
        <v>164</v>
      </c>
      <c r="AH34" s="76"/>
    </row>
    <row r="35" spans="5:36" ht="21.95" customHeight="1" x14ac:dyDescent="0.3">
      <c r="E35" s="26" t="s">
        <v>132</v>
      </c>
      <c r="F35" s="431" t="s">
        <v>25</v>
      </c>
      <c r="G35" s="6">
        <f>+IFERROR(HLOOKUP($A$1,[14]손익!$G$5:$AB$252,59,),)</f>
        <v>0</v>
      </c>
      <c r="H35" s="6">
        <f>+IFERROR(VLOOKUP($F35,'[17]서부산(손익)'!$L$16:$R$29,4,),)/1000</f>
        <v>0</v>
      </c>
      <c r="I35" s="6">
        <f t="shared" ref="I35:I41" si="24">+H35-G35</f>
        <v>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76"/>
      <c r="O35" s="6">
        <f>+N35-M35</f>
        <v>0</v>
      </c>
      <c r="P35" s="6">
        <f>SUM(G35,J35,M35)</f>
        <v>0</v>
      </c>
      <c r="Q35" s="6">
        <f>SUM(H35,K35,N35)</f>
        <v>0</v>
      </c>
      <c r="R35" s="6">
        <f t="shared" ref="R35:R41" si="25">+Q35-P35</f>
        <v>0</v>
      </c>
      <c r="S35" s="6">
        <f>+IFERROR(HLOOKUP($A$1,[15]손익!$G$5:$AB$252,57,),)</f>
        <v>207350.81163003418</v>
      </c>
      <c r="T35" s="6">
        <f>+IFERROR(VLOOKUP($F35,'[17]부산크라샤(손익)'!$L$16:$R$29,3,),)/1000</f>
        <v>152250</v>
      </c>
      <c r="U35" s="6">
        <f t="shared" ref="U35:U41" si="26">+T35-S35</f>
        <v>-55100.811630034179</v>
      </c>
      <c r="V35" s="76">
        <f>+IFERROR(HLOOKUP($A$1,[15]손익!$G$5:$AB$252,66,),)</f>
        <v>210777.48989927769</v>
      </c>
      <c r="W35" s="6">
        <f>+IFERROR(VLOOKUP($F35,'[17]부산크라샤(손익)'!$L$16:$R$29,4,),)/1000</f>
        <v>161210</v>
      </c>
      <c r="X35" s="6">
        <f>+W35-V35</f>
        <v>-49567.489899277687</v>
      </c>
      <c r="AA35" s="6">
        <f>+Z35-Y35</f>
        <v>0</v>
      </c>
      <c r="AB35" s="6">
        <f>SUM(S35,V35)</f>
        <v>418128.30152931187</v>
      </c>
      <c r="AC35" s="6">
        <f t="shared" ref="AC35:AC41" si="27">SUM(T35,W35)</f>
        <v>313460</v>
      </c>
      <c r="AD35" s="6">
        <f t="shared" ref="AD35:AD41" si="28">+AC35-AB35</f>
        <v>-104668.30152931187</v>
      </c>
      <c r="AE35" s="437">
        <f>+IFERROR(HLOOKUP($A$1,[16]이송계획!$G$70:$W$100,16,),)+IFERROR(HLOOKUP($A$1,[16]이송계획!$G$70:$W$100,23,),)</f>
        <v>158007.85758189677</v>
      </c>
      <c r="AF35" s="6">
        <f>+'[9]부산모래장(당월)'!R76</f>
        <v>133200</v>
      </c>
      <c r="AH35" s="76">
        <f t="shared" ref="AH35:AI41" si="29">+P35+AB35+AE35</f>
        <v>576136.15911120863</v>
      </c>
      <c r="AI35" s="76">
        <f t="shared" si="29"/>
        <v>446660</v>
      </c>
      <c r="AJ35" s="6">
        <f t="shared" ref="AJ35:AJ41" si="30">+AI35-AH35</f>
        <v>-129476.15911120863</v>
      </c>
    </row>
    <row r="36" spans="5:36" ht="21.95" customHeight="1" x14ac:dyDescent="0.3">
      <c r="E36" s="26" t="s">
        <v>77</v>
      </c>
      <c r="F36" s="431" t="s">
        <v>26</v>
      </c>
      <c r="G36" s="6">
        <f>+IFERROR(HLOOKUP($A$1,[14]손익!$G$5:$AB$252,60,),)</f>
        <v>227385.60000000001</v>
      </c>
      <c r="H36" s="6">
        <f>+IFERROR(VLOOKUP($F36,'[17]서부산(손익)'!$L$16:$R$29,4,),)/1000</f>
        <v>0</v>
      </c>
      <c r="I36" s="6">
        <f t="shared" si="24"/>
        <v>-227385.60000000001</v>
      </c>
      <c r="J36" s="76">
        <f>+IFERROR(HLOOKUP($A$1,[14]손익!$G$5:$AB$252,69,),)</f>
        <v>26807.733333333334</v>
      </c>
      <c r="K36" s="6">
        <f>+IFERROR(VLOOKUP($F36,'[17]서부산(손익)'!$L$16:$R$29,3,),)/1000</f>
        <v>0</v>
      </c>
      <c r="L36" s="6">
        <f t="shared" ref="L36:L41" si="31">+K36-J36</f>
        <v>-26807.733333333334</v>
      </c>
      <c r="M36" s="76"/>
      <c r="O36" s="6">
        <f t="shared" ref="O36:O41" si="32">+N36-M36</f>
        <v>0</v>
      </c>
      <c r="P36" s="6">
        <f t="shared" ref="P36:P41" si="33">SUM(G36,J36,M36)</f>
        <v>254193.33333333334</v>
      </c>
      <c r="Q36" s="6">
        <f t="shared" ref="Q36:Q41" si="34">SUM(H36,K36,N36)</f>
        <v>0</v>
      </c>
      <c r="R36" s="6">
        <f t="shared" si="25"/>
        <v>-254193.33333333334</v>
      </c>
      <c r="S36" s="6">
        <f>+IFERROR(HLOOKUP($A$1,[15]손익!$G$5:$AB$252,58,),)</f>
        <v>0</v>
      </c>
      <c r="T36" s="6">
        <f>+IFERROR(VLOOKUP($F36,'[17]부산크라샤(손익)'!$L$16:$R$29,3,),)/1000</f>
        <v>48384</v>
      </c>
      <c r="U36" s="6">
        <f t="shared" si="26"/>
        <v>48384</v>
      </c>
      <c r="V36" s="76">
        <f>+IFERROR(HLOOKUP($A$1,[15]손익!$G$5:$AB$252,67,),)</f>
        <v>44966.748387096784</v>
      </c>
      <c r="W36" s="6">
        <f>+IFERROR(VLOOKUP($F36,'[17]부산크라샤(손익)'!$L$16:$R$29,4,),)/1000</f>
        <v>82080</v>
      </c>
      <c r="X36" s="6">
        <f t="shared" ref="X36:X41" si="35">+W36-V36</f>
        <v>37113.251612903216</v>
      </c>
      <c r="AA36" s="6">
        <f t="shared" ref="AA36:AA41" si="36">+Z36-Y36</f>
        <v>0</v>
      </c>
      <c r="AB36" s="6">
        <f t="shared" ref="AB36:AB41" si="37">SUM(S36,V36)</f>
        <v>44966.748387096784</v>
      </c>
      <c r="AC36" s="6">
        <f t="shared" si="27"/>
        <v>130464</v>
      </c>
      <c r="AD36" s="6">
        <f>+AC36-AB36</f>
        <v>85497.251612903216</v>
      </c>
      <c r="AE36" s="437">
        <f>+IFERROR(HLOOKUP($A$1,[16]이송계획!$G$70:$W$100,17,),)+IFERROR(HLOOKUP($A$1,[16]이송계획!$G$70:$W$100,24,),)</f>
        <v>150202.18181818185</v>
      </c>
      <c r="AF36" s="6">
        <f>+'[9]부산모래장(당월)'!R77</f>
        <v>67760</v>
      </c>
      <c r="AH36" s="6">
        <f t="shared" si="29"/>
        <v>449362.26353861194</v>
      </c>
      <c r="AI36" s="6">
        <f t="shared" si="29"/>
        <v>198224</v>
      </c>
      <c r="AJ36" s="6">
        <f t="shared" si="30"/>
        <v>-251138.26353861194</v>
      </c>
    </row>
    <row r="37" spans="5:36" ht="21.95" customHeight="1" x14ac:dyDescent="0.3">
      <c r="F37" s="431" t="s">
        <v>27</v>
      </c>
      <c r="G37" s="6">
        <f>+IFERROR(HLOOKUP($A$1,[14]손익!$G$5:$AB$252,61,),)</f>
        <v>15493.333333333332</v>
      </c>
      <c r="H37" s="6">
        <f>+IFERROR(VLOOKUP($F37,'[17]서부산(손익)'!$L$16:$R$29,4,),)/1000</f>
        <v>0</v>
      </c>
      <c r="I37" s="6">
        <f t="shared" si="24"/>
        <v>-15493.333333333332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31"/>
        <v>0</v>
      </c>
      <c r="M37" s="76"/>
      <c r="O37" s="6">
        <f t="shared" si="32"/>
        <v>0</v>
      </c>
      <c r="P37" s="6">
        <f t="shared" si="33"/>
        <v>15493.333333333332</v>
      </c>
      <c r="Q37" s="6">
        <f t="shared" si="34"/>
        <v>0</v>
      </c>
      <c r="R37" s="6">
        <f t="shared" si="25"/>
        <v>-15493.333333333332</v>
      </c>
      <c r="S37" s="6">
        <f>+IFERROR(HLOOKUP($A$1,[15]손익!$G$5:$AB$252,59,),)</f>
        <v>0</v>
      </c>
      <c r="T37" s="6">
        <f>+IFERROR(VLOOKUP($F37,'[17]부산크라샤(손익)'!$L$16:$R$29,3,),)/1000</f>
        <v>0</v>
      </c>
      <c r="U37" s="6">
        <f t="shared" si="26"/>
        <v>0</v>
      </c>
      <c r="V37" s="76">
        <f>+IFERROR(HLOOKUP($A$1,[15]손익!$G$5:$AB$252,68,),)</f>
        <v>0</v>
      </c>
      <c r="W37" s="6">
        <f>+IFERROR(VLOOKUP($F37,'[17]부산크라샤(손익)'!$L$16:$R$29,4,),)/1000</f>
        <v>0</v>
      </c>
      <c r="X37" s="6">
        <f t="shared" si="35"/>
        <v>0</v>
      </c>
      <c r="AA37" s="6">
        <f t="shared" si="36"/>
        <v>0</v>
      </c>
      <c r="AB37" s="6">
        <f t="shared" si="37"/>
        <v>0</v>
      </c>
      <c r="AC37" s="6">
        <f t="shared" si="27"/>
        <v>0</v>
      </c>
      <c r="AD37" s="6">
        <f t="shared" si="28"/>
        <v>0</v>
      </c>
      <c r="AE37" s="437">
        <f>+IFERROR(HLOOKUP($A$1,[16]이송계획!$G$70:$W$100,18,),)+IFERROR(HLOOKUP($A$1,[16]이송계획!$G$70:$W$100,25,),)</f>
        <v>102307.6923076923</v>
      </c>
      <c r="AF37" s="6">
        <f>+'[9]부산모래장(당월)'!R78</f>
        <v>49280</v>
      </c>
      <c r="AH37" s="6">
        <f t="shared" si="29"/>
        <v>117801.02564102563</v>
      </c>
      <c r="AI37" s="6">
        <f t="shared" si="29"/>
        <v>49280</v>
      </c>
      <c r="AJ37" s="6">
        <f t="shared" si="30"/>
        <v>-68521.025641025626</v>
      </c>
    </row>
    <row r="38" spans="5:36" ht="21.95" customHeight="1" x14ac:dyDescent="0.3">
      <c r="F38" s="431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24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31"/>
        <v>0</v>
      </c>
      <c r="M38" s="76"/>
      <c r="O38" s="6">
        <f t="shared" si="32"/>
        <v>0</v>
      </c>
      <c r="P38" s="6">
        <f t="shared" si="33"/>
        <v>0</v>
      </c>
      <c r="Q38" s="6">
        <f t="shared" si="34"/>
        <v>0</v>
      </c>
      <c r="R38" s="6">
        <f t="shared" si="25"/>
        <v>0</v>
      </c>
      <c r="S38" s="6">
        <f>+IFERROR(HLOOKUP($A$1,[15]손익!$G$5:$AB$252,60,),)</f>
        <v>0</v>
      </c>
      <c r="T38" s="6">
        <f>+IFERROR(VLOOKUP($F38,'[17]부산크라샤(손익)'!$L$16:$R$29,3,),)/1000</f>
        <v>0</v>
      </c>
      <c r="U38" s="6">
        <f t="shared" si="26"/>
        <v>0</v>
      </c>
      <c r="V38" s="76">
        <f>+IFERROR(HLOOKUP($A$1,[15]손익!$G$5:$AB$252,69,),)</f>
        <v>0</v>
      </c>
      <c r="W38" s="6">
        <f>+IFERROR(VLOOKUP($F38,'[17]부산크라샤(손익)'!$L$16:$R$29,4,),)/1000</f>
        <v>11520</v>
      </c>
      <c r="X38" s="6">
        <f t="shared" si="35"/>
        <v>11520</v>
      </c>
      <c r="AA38" s="6">
        <f t="shared" si="36"/>
        <v>0</v>
      </c>
      <c r="AB38" s="6">
        <f t="shared" si="37"/>
        <v>0</v>
      </c>
      <c r="AC38" s="6">
        <f t="shared" si="27"/>
        <v>11520</v>
      </c>
      <c r="AD38" s="6">
        <f t="shared" si="28"/>
        <v>11520</v>
      </c>
      <c r="AE38" s="437">
        <f>+IFERROR(HLOOKUP($A$1,[16]이송계획!$G$70:$W$100,19,),)+IFERROR(HLOOKUP($A$1,[16]이송계획!$G$70:$W$100,26,),)</f>
        <v>121015.38461538461</v>
      </c>
      <c r="AF38" s="6">
        <f>+'[9]부산모래장(당월)'!R79</f>
        <v>105160</v>
      </c>
      <c r="AH38" s="6">
        <f t="shared" si="29"/>
        <v>121015.38461538461</v>
      </c>
      <c r="AI38" s="6">
        <f t="shared" si="29"/>
        <v>116680</v>
      </c>
      <c r="AJ38" s="6">
        <f t="shared" si="30"/>
        <v>-4335.3846153846098</v>
      </c>
    </row>
    <row r="39" spans="5:36" ht="21.95" customHeight="1" x14ac:dyDescent="0.3">
      <c r="F39" s="431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24"/>
        <v>0</v>
      </c>
      <c r="J39" s="76">
        <f>+IFERROR(HLOOKUP($A$1,[14]손익!$G$5:$AB$252,72,),)</f>
        <v>10305.450000000001</v>
      </c>
      <c r="K39" s="6">
        <f>+IFERROR(VLOOKUP($F39,'[17]서부산(손익)'!$L$16:$R$29,3,),)/1000</f>
        <v>0</v>
      </c>
      <c r="L39" s="6">
        <f t="shared" si="31"/>
        <v>-10305.450000000001</v>
      </c>
      <c r="M39" s="76"/>
      <c r="O39" s="6">
        <f t="shared" si="32"/>
        <v>0</v>
      </c>
      <c r="P39" s="6">
        <f t="shared" si="33"/>
        <v>10305.450000000001</v>
      </c>
      <c r="Q39" s="6">
        <f t="shared" si="34"/>
        <v>0</v>
      </c>
      <c r="R39" s="6">
        <f t="shared" si="25"/>
        <v>-10305.450000000001</v>
      </c>
      <c r="S39" s="6">
        <f>+IFERROR(HLOOKUP($A$1,[15]손익!$G$5:$AB$252,61,),)</f>
        <v>0</v>
      </c>
      <c r="T39" s="6">
        <f>+IFERROR(VLOOKUP($F39,'[17]부산크라샤(손익)'!$L$16:$R$29,3,),)/1000</f>
        <v>0</v>
      </c>
      <c r="U39" s="6">
        <f t="shared" si="26"/>
        <v>0</v>
      </c>
      <c r="V39" s="76">
        <f>+IFERROR(HLOOKUP($A$1,[15]손익!$G$5:$AB$252,70,),)</f>
        <v>0</v>
      </c>
      <c r="W39" s="6">
        <f>+IFERROR(VLOOKUP($F39,'[17]부산크라샤(손익)'!$L$16:$R$29,4,),)/1000</f>
        <v>0</v>
      </c>
      <c r="X39" s="6">
        <f t="shared" si="35"/>
        <v>0</v>
      </c>
      <c r="AA39" s="6">
        <f t="shared" si="36"/>
        <v>0</v>
      </c>
      <c r="AB39" s="6">
        <f t="shared" si="37"/>
        <v>0</v>
      </c>
      <c r="AC39" s="6">
        <f t="shared" si="27"/>
        <v>0</v>
      </c>
      <c r="AD39" s="6">
        <f t="shared" si="28"/>
        <v>0</v>
      </c>
      <c r="AE39" s="437">
        <f>+IFERROR(HLOOKUP($A$1,[16]이송계획!$G$70:$W$100,20,),)+IFERROR(HLOOKUP($A$1,[16]이송계획!$G$70:$W$100,27,),)</f>
        <v>44078.653846153851</v>
      </c>
      <c r="AF39" s="6">
        <f>+'[9]부산모래장(당월)'!R80</f>
        <v>0</v>
      </c>
      <c r="AH39" s="6">
        <f t="shared" si="29"/>
        <v>54384.103846153856</v>
      </c>
      <c r="AI39" s="6">
        <f t="shared" si="29"/>
        <v>0</v>
      </c>
      <c r="AJ39" s="6">
        <f t="shared" si="30"/>
        <v>-54384.103846153856</v>
      </c>
    </row>
    <row r="40" spans="5:36" ht="21.95" customHeight="1" x14ac:dyDescent="0.3">
      <c r="F40" s="431" t="s">
        <v>30</v>
      </c>
      <c r="G40" s="6">
        <f>+IFERROR(HLOOKUP($A$1,[14]손익!$G$5:$AB$252,64,),)</f>
        <v>8928</v>
      </c>
      <c r="H40" s="6">
        <f>+IFERROR(VLOOKUP($F40,'[17]서부산(손익)'!$L$16:$R$29,4,),)/1000</f>
        <v>0</v>
      </c>
      <c r="I40" s="6">
        <f t="shared" si="24"/>
        <v>-8928</v>
      </c>
      <c r="J40" s="76">
        <f>+IFERROR(HLOOKUP($A$1,[14]손익!$G$5:$AB$252,73,),)</f>
        <v>7744</v>
      </c>
      <c r="K40" s="6">
        <f>+IFERROR(VLOOKUP($F40,'[17]서부산(손익)'!$L$16:$R$29,3,),)/1000</f>
        <v>0</v>
      </c>
      <c r="L40" s="6">
        <f t="shared" si="31"/>
        <v>-7744</v>
      </c>
      <c r="M40" s="76"/>
      <c r="O40" s="6">
        <f t="shared" si="32"/>
        <v>0</v>
      </c>
      <c r="P40" s="6">
        <f t="shared" si="33"/>
        <v>16672</v>
      </c>
      <c r="Q40" s="6">
        <f t="shared" si="34"/>
        <v>0</v>
      </c>
      <c r="R40" s="6">
        <f t="shared" si="25"/>
        <v>-16672</v>
      </c>
      <c r="S40" s="6">
        <f>+IFERROR(HLOOKUP($A$1,[15]손익!$G$5:$AB$252,62,),)</f>
        <v>0</v>
      </c>
      <c r="T40" s="6">
        <f>+IFERROR(VLOOKUP($F40,'[17]부산크라샤(손익)'!$L$16:$R$29,3,),)/1000</f>
        <v>0</v>
      </c>
      <c r="U40" s="6">
        <f t="shared" si="26"/>
        <v>0</v>
      </c>
      <c r="V40" s="76">
        <f>+IFERROR(HLOOKUP($A$1,[15]손익!$G$5:$AB$252,71,),)</f>
        <v>0</v>
      </c>
      <c r="W40" s="6">
        <f>+IFERROR(VLOOKUP($F40,'[17]부산크라샤(손익)'!$L$16:$R$29,4,),)/1000</f>
        <v>0</v>
      </c>
      <c r="X40" s="6">
        <f t="shared" si="35"/>
        <v>0</v>
      </c>
      <c r="AA40" s="6">
        <f t="shared" si="36"/>
        <v>0</v>
      </c>
      <c r="AB40" s="6">
        <f t="shared" si="37"/>
        <v>0</v>
      </c>
      <c r="AC40" s="6">
        <f t="shared" si="27"/>
        <v>0</v>
      </c>
      <c r="AD40" s="6">
        <f t="shared" si="28"/>
        <v>0</v>
      </c>
      <c r="AE40" s="437">
        <f>+IFERROR(HLOOKUP($A$1,[16]이송계획!$G$70:$W$100,21,),)+IFERROR(HLOOKUP($A$1,[16]이송계획!$G$70:$W$100,28,),)</f>
        <v>0</v>
      </c>
      <c r="AH40" s="6">
        <f t="shared" si="29"/>
        <v>16672</v>
      </c>
      <c r="AI40" s="6">
        <f t="shared" si="29"/>
        <v>0</v>
      </c>
      <c r="AJ40" s="6">
        <f t="shared" si="30"/>
        <v>-16672</v>
      </c>
    </row>
    <row r="41" spans="5:36" ht="21.95" customHeight="1" x14ac:dyDescent="0.3">
      <c r="F41" s="431" t="s">
        <v>8</v>
      </c>
      <c r="G41" s="6">
        <f>SUM(G35:G40)</f>
        <v>251806.93333333335</v>
      </c>
      <c r="H41" s="6">
        <f>SUM(H35:H40)</f>
        <v>0</v>
      </c>
      <c r="I41" s="6">
        <f t="shared" si="24"/>
        <v>-251806.93333333335</v>
      </c>
      <c r="J41" s="76">
        <f>SUM(J35:J40)</f>
        <v>44857.183333333334</v>
      </c>
      <c r="K41" s="76">
        <f>SUM(K35:K40)</f>
        <v>0</v>
      </c>
      <c r="L41" s="6">
        <f t="shared" si="31"/>
        <v>-44857.183333333334</v>
      </c>
      <c r="M41" s="76"/>
      <c r="N41" s="76"/>
      <c r="O41" s="6">
        <f t="shared" si="32"/>
        <v>0</v>
      </c>
      <c r="P41" s="6">
        <f t="shared" si="33"/>
        <v>296664.1166666667</v>
      </c>
      <c r="Q41" s="6">
        <f t="shared" si="34"/>
        <v>0</v>
      </c>
      <c r="R41" s="6">
        <f t="shared" si="25"/>
        <v>-296664.1166666667</v>
      </c>
      <c r="S41" s="6">
        <f>SUM(S35:S40)</f>
        <v>207350.81163003418</v>
      </c>
      <c r="T41" s="6">
        <f>SUM(T35:T40)</f>
        <v>200634</v>
      </c>
      <c r="U41" s="6">
        <f t="shared" si="26"/>
        <v>-6716.811630034179</v>
      </c>
      <c r="V41" s="76">
        <f>SUM(V35:V40)</f>
        <v>255744.23828637449</v>
      </c>
      <c r="W41" s="76">
        <f>SUM(W35:W40)</f>
        <v>254810</v>
      </c>
      <c r="X41" s="6">
        <f t="shared" si="35"/>
        <v>-934.23828637448605</v>
      </c>
      <c r="Z41" s="76"/>
      <c r="AA41" s="6">
        <f t="shared" si="36"/>
        <v>0</v>
      </c>
      <c r="AB41" s="6">
        <f t="shared" si="37"/>
        <v>463095.04991640867</v>
      </c>
      <c r="AC41" s="6">
        <f t="shared" si="27"/>
        <v>455444</v>
      </c>
      <c r="AD41" s="6">
        <f t="shared" si="28"/>
        <v>-7651.049916408665</v>
      </c>
      <c r="AE41" s="6">
        <f>SUM(AE35:AE40)</f>
        <v>575611.77016930934</v>
      </c>
      <c r="AF41" s="6">
        <f>SUM(AF35:AF40)</f>
        <v>355400</v>
      </c>
      <c r="AH41" s="6">
        <f t="shared" si="29"/>
        <v>1335370.9367523848</v>
      </c>
      <c r="AI41" s="6">
        <f t="shared" si="29"/>
        <v>810844</v>
      </c>
      <c r="AJ41" s="6">
        <f t="shared" si="30"/>
        <v>-524526.93675238476</v>
      </c>
    </row>
    <row r="42" spans="5:36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 x14ac:dyDescent="0.3"/>
    <row r="44" spans="5:36" ht="21.95" customHeight="1" x14ac:dyDescent="0.3"/>
    <row r="45" spans="5:36" ht="21.95" customHeight="1" x14ac:dyDescent="0.3"/>
    <row r="46" spans="5:36" ht="21.95" customHeight="1" x14ac:dyDescent="0.3"/>
    <row r="47" spans="5:36" ht="21.95" customHeight="1" x14ac:dyDescent="0.3"/>
    <row r="48" spans="5:3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 codeName="Sheet11"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N8" activePane="bottomRight" state="frozen"/>
      <selection activeCell="A15" sqref="A15"/>
      <selection pane="topRight" activeCell="A15" sqref="A15"/>
      <selection pane="bottomLeft" activeCell="A15" sqref="A15"/>
      <selection pane="bottomRight" activeCell="T24" sqref="T24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 x14ac:dyDescent="0.3">
      <c r="A1" s="422" t="s">
        <v>190</v>
      </c>
    </row>
    <row r="2" spans="1:39" ht="9.75" customHeight="1" x14ac:dyDescent="0.3"/>
    <row r="3" spans="1:39" ht="9.9499999999999993" customHeight="1" x14ac:dyDescent="0.3"/>
    <row r="4" spans="1:39" ht="31.5" x14ac:dyDescent="0.3">
      <c r="D4" s="183" t="s">
        <v>234</v>
      </c>
      <c r="F4" s="183"/>
      <c r="I4" s="183"/>
      <c r="P4" s="6">
        <f>+'골재사업소(당월)'!P12+'[4]골재사업소(누계)'!P12</f>
        <v>375559.62021333334</v>
      </c>
      <c r="Q4" s="6">
        <f>+'골재사업소(당월)'!Q12+'[4]골재사업소(누계)'!Q12</f>
        <v>171092</v>
      </c>
      <c r="S4" s="6">
        <f>+'골재사업소(당월)'!S12+'[4]골재사업소(누계)'!S12</f>
        <v>183547.09678376425</v>
      </c>
      <c r="T4" s="6">
        <f>+'골재사업소(당월)'!T12+'[4]골재사업소(누계)'!T12</f>
        <v>192217</v>
      </c>
      <c r="V4" s="6">
        <f>+'골재사업소(당월)'!V12+'[4]골재사업소(누계)'!V12</f>
        <v>274519.77424742805</v>
      </c>
      <c r="W4" s="6">
        <f>+'골재사업소(당월)'!W12+'[4]골재사업소(누계)'!W12</f>
        <v>200563</v>
      </c>
      <c r="AB4" s="6">
        <f>+'골재사업소(당월)'!AB12+'[4]골재사업소(누계)'!Y12</f>
        <v>43490.335385892016</v>
      </c>
      <c r="AC4" s="6">
        <f>+'골재사업소(당월)'!AC12+'[4]골재사업소(누계)'!Z12</f>
        <v>40673</v>
      </c>
      <c r="AE4" s="6">
        <f>+'골재사업소(당월)'!AE12+'[4]골재사업소(누계)'!AE12</f>
        <v>271467.71845098637</v>
      </c>
      <c r="AF4" s="6">
        <f>+'골재사업소(당월)'!AF12+'[4]골재사업소(누계)'!AF12</f>
        <v>215318</v>
      </c>
      <c r="AH4" s="6">
        <f>+'골재사업소(당월)'!AH12+'[4]골재사업소(누계)'!AE12</f>
        <v>366333.61717021174</v>
      </c>
      <c r="AI4" s="6">
        <f>+'골재사업소(당월)'!AI12+'[4]골재사업소(누계)'!AF12</f>
        <v>255952</v>
      </c>
    </row>
    <row r="5" spans="1:39" ht="21.95" customHeight="1" thickBot="1" x14ac:dyDescent="0.35">
      <c r="J5" s="76"/>
      <c r="AE5" s="76"/>
      <c r="AH5" s="76"/>
      <c r="AJ5" s="185" t="s">
        <v>167</v>
      </c>
    </row>
    <row r="6" spans="1:39" ht="24" customHeight="1" thickTop="1" x14ac:dyDescent="0.3">
      <c r="A6" s="6" t="s">
        <v>235</v>
      </c>
      <c r="D6" s="295" t="s">
        <v>15</v>
      </c>
      <c r="E6" s="855" t="s">
        <v>11</v>
      </c>
      <c r="F6" s="856"/>
      <c r="G6" s="293" t="s">
        <v>140</v>
      </c>
      <c r="H6" s="292"/>
      <c r="I6" s="292"/>
      <c r="J6" s="292" t="s">
        <v>139</v>
      </c>
      <c r="K6" s="292"/>
      <c r="L6" s="294"/>
      <c r="M6" s="292" t="s">
        <v>212</v>
      </c>
      <c r="N6" s="292"/>
      <c r="O6" s="294"/>
      <c r="P6" s="388" t="s">
        <v>138</v>
      </c>
      <c r="Q6" s="389"/>
      <c r="R6" s="390"/>
      <c r="S6" s="293" t="s">
        <v>184</v>
      </c>
      <c r="T6" s="292"/>
      <c r="U6" s="292"/>
      <c r="V6" s="292" t="s">
        <v>185</v>
      </c>
      <c r="W6" s="292"/>
      <c r="X6" s="294"/>
      <c r="Y6" s="292" t="s">
        <v>224</v>
      </c>
      <c r="Z6" s="292"/>
      <c r="AA6" s="294"/>
      <c r="AB6" s="388" t="s">
        <v>186</v>
      </c>
      <c r="AC6" s="389"/>
      <c r="AD6" s="390"/>
      <c r="AE6" s="387" t="s">
        <v>137</v>
      </c>
      <c r="AF6" s="292"/>
      <c r="AG6" s="294"/>
      <c r="AH6" s="388" t="s">
        <v>136</v>
      </c>
      <c r="AI6" s="389"/>
      <c r="AJ6" s="390"/>
    </row>
    <row r="7" spans="1:39" ht="24" customHeight="1" x14ac:dyDescent="0.3">
      <c r="D7" s="291"/>
      <c r="E7" s="857"/>
      <c r="F7" s="858"/>
      <c r="G7" s="287" t="s">
        <v>12</v>
      </c>
      <c r="H7" s="373" t="s">
        <v>13</v>
      </c>
      <c r="I7" s="290" t="s">
        <v>36</v>
      </c>
      <c r="J7" s="289" t="s">
        <v>15</v>
      </c>
      <c r="K7" s="373" t="s">
        <v>16</v>
      </c>
      <c r="L7" s="288" t="s">
        <v>36</v>
      </c>
      <c r="M7" s="289" t="s">
        <v>15</v>
      </c>
      <c r="N7" s="373" t="s">
        <v>16</v>
      </c>
      <c r="O7" s="288" t="s">
        <v>36</v>
      </c>
      <c r="P7" s="391" t="s">
        <v>15</v>
      </c>
      <c r="Q7" s="373" t="s">
        <v>16</v>
      </c>
      <c r="R7" s="392" t="s">
        <v>36</v>
      </c>
      <c r="S7" s="287" t="s">
        <v>12</v>
      </c>
      <c r="T7" s="373" t="s">
        <v>13</v>
      </c>
      <c r="U7" s="290" t="s">
        <v>36</v>
      </c>
      <c r="V7" s="289" t="s">
        <v>15</v>
      </c>
      <c r="W7" s="373" t="s">
        <v>16</v>
      </c>
      <c r="X7" s="288" t="s">
        <v>36</v>
      </c>
      <c r="Y7" s="289" t="s">
        <v>15</v>
      </c>
      <c r="Z7" s="373" t="s">
        <v>16</v>
      </c>
      <c r="AA7" s="288" t="s">
        <v>36</v>
      </c>
      <c r="AB7" s="391" t="s">
        <v>15</v>
      </c>
      <c r="AC7" s="373" t="s">
        <v>16</v>
      </c>
      <c r="AD7" s="392" t="s">
        <v>36</v>
      </c>
      <c r="AE7" s="288" t="s">
        <v>15</v>
      </c>
      <c r="AF7" s="373" t="s">
        <v>16</v>
      </c>
      <c r="AG7" s="288" t="s">
        <v>36</v>
      </c>
      <c r="AH7" s="391" t="s">
        <v>15</v>
      </c>
      <c r="AI7" s="373" t="s">
        <v>16</v>
      </c>
      <c r="AJ7" s="392" t="s">
        <v>36</v>
      </c>
    </row>
    <row r="8" spans="1:39" ht="24" customHeight="1" x14ac:dyDescent="0.3">
      <c r="D8" s="77"/>
      <c r="E8" s="264" t="s">
        <v>110</v>
      </c>
      <c r="F8" s="263" t="s">
        <v>132</v>
      </c>
      <c r="G8" s="259">
        <f>+'골재사업소(당월)'!G8+'[4]골재사업소(누계)'!G8</f>
        <v>132598.86666666667</v>
      </c>
      <c r="H8" s="374">
        <f>+'골재사업소(당월)'!H8+'[4]골재사업소(누계)'!H8</f>
        <v>98732</v>
      </c>
      <c r="I8" s="262">
        <f>H8-G8</f>
        <v>-33866.866666666669</v>
      </c>
      <c r="J8" s="261">
        <f>+'골재사업소(당월)'!J8+'[4]골재사업소(누계)'!J8</f>
        <v>16860.753546666667</v>
      </c>
      <c r="K8" s="374">
        <f>+'골재사업소(당월)'!K8+'[4]골재사업소(누계)'!K8</f>
        <v>2096</v>
      </c>
      <c r="L8" s="260">
        <f>K8-J8</f>
        <v>-14764.753546666667</v>
      </c>
      <c r="M8" s="261">
        <f>+'골재사업소(당월)'!M8+'[4]골재사업소(누계)'!M8</f>
        <v>0</v>
      </c>
      <c r="N8" s="374">
        <f>+'골재사업소(당월)'!N8+'[4]골재사업소(누계)'!N8</f>
        <v>0</v>
      </c>
      <c r="O8" s="260">
        <f>N8-M8</f>
        <v>0</v>
      </c>
      <c r="P8" s="393">
        <f>+G8+J8+M8</f>
        <v>149459.62021333334</v>
      </c>
      <c r="Q8" s="374">
        <f>+H8+K8+N8</f>
        <v>100828</v>
      </c>
      <c r="R8" s="394">
        <f>Q8-P8</f>
        <v>-48631.620213333343</v>
      </c>
      <c r="S8" s="259">
        <f>+'골재사업소(당월)'!S8+'[4]골재사업소(누계)'!S8</f>
        <v>122547.09678376424</v>
      </c>
      <c r="T8" s="374">
        <f>+'골재사업소(당월)'!T8+'[4]골재사업소(누계)'!T8</f>
        <v>131721</v>
      </c>
      <c r="U8" s="262">
        <f>T8-S8</f>
        <v>9173.9032162357616</v>
      </c>
      <c r="V8" s="261">
        <f>+'골재사업소(당월)'!V8+'[4]골재사업소(누계)'!V8</f>
        <v>110519.77424742805</v>
      </c>
      <c r="W8" s="374">
        <f>+'골재사업소(당월)'!W8+'[4]골재사업소(누계)'!W8</f>
        <v>128787</v>
      </c>
      <c r="X8" s="260">
        <f>W8-V8</f>
        <v>18267.225752571947</v>
      </c>
      <c r="Y8" s="261">
        <f>+'골재사업소(당월)'!Y8+'[4]골재사업소(누계)'!Y8</f>
        <v>0</v>
      </c>
      <c r="Z8" s="374">
        <f>+'골재사업소(당월)'!Z8+'[4]골재사업소(누계)'!Z8</f>
        <v>0</v>
      </c>
      <c r="AA8" s="260">
        <f>Z8-Y8</f>
        <v>0</v>
      </c>
      <c r="AB8" s="393">
        <f>+S8+V8+Y8</f>
        <v>233066.87103119231</v>
      </c>
      <c r="AC8" s="374">
        <f>+T8+W8+Z8</f>
        <v>260508</v>
      </c>
      <c r="AD8" s="394">
        <f>AC8-AB8</f>
        <v>27441.128968807694</v>
      </c>
      <c r="AE8" s="260">
        <f>+'골재사업소(당월)'!AE8+'[4]골재사업소(누계)'!AE8</f>
        <v>177967.71845098637</v>
      </c>
      <c r="AF8" s="374">
        <f>+'골재사업소(당월)'!AF8+'[4]골재사업소(누계)'!AF8</f>
        <v>133407</v>
      </c>
      <c r="AG8" s="260">
        <f>AF8-AE8</f>
        <v>-44560.718450986373</v>
      </c>
      <c r="AH8" s="393">
        <f>+P8+AB8+AE8</f>
        <v>560494.20969551196</v>
      </c>
      <c r="AI8" s="374">
        <f>+Q8+AC8+AF8</f>
        <v>494743</v>
      </c>
      <c r="AJ8" s="394">
        <f>AI8-AH8</f>
        <v>-65751.209695511963</v>
      </c>
    </row>
    <row r="9" spans="1:39" ht="24" customHeight="1" x14ac:dyDescent="0.3">
      <c r="D9" s="77"/>
      <c r="E9" s="281"/>
      <c r="F9" s="286" t="s">
        <v>10</v>
      </c>
      <c r="G9" s="282">
        <f>+G8/G$12</f>
        <v>0.85163668500263112</v>
      </c>
      <c r="H9" s="375">
        <f>+H8/H$12</f>
        <v>0.63620898523081681</v>
      </c>
      <c r="I9" s="285">
        <f>+H9-G9</f>
        <v>-0.21542769977181431</v>
      </c>
      <c r="J9" s="284">
        <f>+J8/J$12</f>
        <v>0.25600608311776624</v>
      </c>
      <c r="K9" s="375">
        <f>+K8/K$12</f>
        <v>0.13179074446680081</v>
      </c>
      <c r="L9" s="283">
        <f>+K9-J9</f>
        <v>-0.12421533865096543</v>
      </c>
      <c r="M9" s="284">
        <f>+M8/M$12</f>
        <v>0</v>
      </c>
      <c r="N9" s="375" t="e">
        <f>+N8/N$12</f>
        <v>#DIV/0!</v>
      </c>
      <c r="O9" s="283" t="e">
        <f>+N9-M9</f>
        <v>#DIV/0!</v>
      </c>
      <c r="P9" s="395">
        <f>+P8/P$12</f>
        <v>0.39796509573748667</v>
      </c>
      <c r="Q9" s="375">
        <f>+Q8/Q$12</f>
        <v>0.58932036565122858</v>
      </c>
      <c r="R9" s="396">
        <f>+Q9-P9</f>
        <v>0.19135526991374191</v>
      </c>
      <c r="S9" s="282">
        <f>+S8/S$12</f>
        <v>0.66766022961472526</v>
      </c>
      <c r="T9" s="375">
        <f>+T8/T$12</f>
        <v>0.68527237445179146</v>
      </c>
      <c r="U9" s="285">
        <f>+T9-S9</f>
        <v>1.761214483706619E-2</v>
      </c>
      <c r="V9" s="284">
        <f>+V8/V$12</f>
        <v>0.4025931266715061</v>
      </c>
      <c r="W9" s="375">
        <f>+W8/W$12</f>
        <v>0.64212741133708606</v>
      </c>
      <c r="X9" s="283">
        <f>+W9-V9</f>
        <v>0.23953428466557997</v>
      </c>
      <c r="Y9" s="284" t="e">
        <f>+Y8/Y$12</f>
        <v>#DIV/0!</v>
      </c>
      <c r="Z9" s="375">
        <f>+Z8/Z$12</f>
        <v>0</v>
      </c>
      <c r="AA9" s="283" t="e">
        <f>+Z9-Y9</f>
        <v>#DIV/0!</v>
      </c>
      <c r="AB9" s="395">
        <f>+AB8/AB$12</f>
        <v>0.50880534212508355</v>
      </c>
      <c r="AC9" s="375">
        <f>+AC8/AC$12</f>
        <v>0.66115257816207762</v>
      </c>
      <c r="AD9" s="396">
        <f>+AC9-AB9</f>
        <v>0.15234723603699407</v>
      </c>
      <c r="AE9" s="283">
        <f>+AE8/AE$12</f>
        <v>0.65557599064257999</v>
      </c>
      <c r="AF9" s="375">
        <f>+AF8/AF$12</f>
        <v>0.61958127049294531</v>
      </c>
      <c r="AG9" s="283">
        <f>+AF9-AE9</f>
        <v>-3.5994720149634674E-2</v>
      </c>
      <c r="AH9" s="395">
        <f>+AH8/AH$12</f>
        <v>0.50719133697202667</v>
      </c>
      <c r="AI9" s="375">
        <f>+AI8/AI$12</f>
        <v>0.63393560737592436</v>
      </c>
      <c r="AJ9" s="396">
        <f>+AI9-AH9</f>
        <v>0.12674427040389769</v>
      </c>
    </row>
    <row r="10" spans="1:39" ht="24" customHeight="1" x14ac:dyDescent="0.3">
      <c r="D10" s="257"/>
      <c r="E10" s="281"/>
      <c r="F10" s="280" t="s">
        <v>135</v>
      </c>
      <c r="G10" s="276">
        <f>+'골재사업소(당월)'!G10+'[4]골재사업소(누계)'!G10</f>
        <v>23100</v>
      </c>
      <c r="H10" s="376">
        <f>+'골재사업소(당월)'!H10+'[4]골재사업소(누계)'!H10</f>
        <v>56456</v>
      </c>
      <c r="I10" s="279">
        <f>H10-G10</f>
        <v>33356</v>
      </c>
      <c r="J10" s="278">
        <f>+'골재사업소(당월)'!J10+'[4]골재사업소(누계)'!J10</f>
        <v>49000</v>
      </c>
      <c r="K10" s="376">
        <f>+'골재사업소(당월)'!K10+'[4]골재사업소(누계)'!K10</f>
        <v>13808</v>
      </c>
      <c r="L10" s="277">
        <f>K10-J10</f>
        <v>-35192</v>
      </c>
      <c r="M10" s="278">
        <f>+'골재사업소(당월)'!M10+'[4]골재사업소(누계)'!M10</f>
        <v>154000</v>
      </c>
      <c r="N10" s="376">
        <f>+'골재사업소(당월)'!N10+'[4]골재사업소(누계)'!N10</f>
        <v>0</v>
      </c>
      <c r="O10" s="277">
        <f>N10-M10</f>
        <v>-154000</v>
      </c>
      <c r="P10" s="397">
        <f>+G10+J10+M10</f>
        <v>226100</v>
      </c>
      <c r="Q10" s="376">
        <f>+H10+K10+N10</f>
        <v>70264</v>
      </c>
      <c r="R10" s="398">
        <f>Q10-P10</f>
        <v>-155836</v>
      </c>
      <c r="S10" s="276">
        <f>+'골재사업소(당월)'!S10+'[4]골재사업소(누계)'!S10</f>
        <v>61000</v>
      </c>
      <c r="T10" s="376">
        <f>+'골재사업소(당월)'!T10+'[4]골재사업소(누계)'!T10</f>
        <v>60496</v>
      </c>
      <c r="U10" s="279">
        <f>T10-S10</f>
        <v>-504</v>
      </c>
      <c r="V10" s="278">
        <f>+'골재사업소(당월)'!V10+'[4]골재사업소(누계)'!V10</f>
        <v>164000</v>
      </c>
      <c r="W10" s="376">
        <f>+'골재사업소(당월)'!W10+'[4]골재사업소(누계)'!W10</f>
        <v>71776</v>
      </c>
      <c r="X10" s="277">
        <f>W10-V10</f>
        <v>-92224</v>
      </c>
      <c r="Y10" s="278">
        <f>+'골재사업소(당월)'!Y10+'[4]골재사업소(누계)'!Y10</f>
        <v>0</v>
      </c>
      <c r="Z10" s="376">
        <f>+'골재사업소(당월)'!Z10+'[4]골재사업소(누계)'!Z10</f>
        <v>1241</v>
      </c>
      <c r="AA10" s="277">
        <f>Z10-Y10</f>
        <v>1241</v>
      </c>
      <c r="AB10" s="397">
        <f>+S10+V10+Y10</f>
        <v>225000</v>
      </c>
      <c r="AC10" s="376">
        <f>+T10+W10+Z10</f>
        <v>133513</v>
      </c>
      <c r="AD10" s="398">
        <f>AC10-AB10</f>
        <v>-91487</v>
      </c>
      <c r="AE10" s="277">
        <f>+'골재사업소(당월)'!AE10+'[4]골재사업소(누계)'!AE10</f>
        <v>93500</v>
      </c>
      <c r="AF10" s="376">
        <f>+'골재사업소(당월)'!AF10+'[4]골재사업소(누계)'!AF10</f>
        <v>81911</v>
      </c>
      <c r="AG10" s="277">
        <f>AF10-AE10</f>
        <v>-11589</v>
      </c>
      <c r="AH10" s="397">
        <f>+P10+AB10+AE10</f>
        <v>544600</v>
      </c>
      <c r="AI10" s="376">
        <f>+Q10+AC10+AF10</f>
        <v>285688</v>
      </c>
      <c r="AJ10" s="398">
        <f>AI10-AH10</f>
        <v>-258912</v>
      </c>
    </row>
    <row r="11" spans="1:39" ht="24" customHeight="1" x14ac:dyDescent="0.3">
      <c r="D11" s="257"/>
      <c r="E11" s="258"/>
      <c r="F11" s="275" t="s">
        <v>10</v>
      </c>
      <c r="G11" s="271">
        <f>+G10/G$12</f>
        <v>0.14836331499736885</v>
      </c>
      <c r="H11" s="377">
        <f>+H10/H$12</f>
        <v>0.36379101476918319</v>
      </c>
      <c r="I11" s="274">
        <f>+H11-G11</f>
        <v>0.21542769977181433</v>
      </c>
      <c r="J11" s="273">
        <f>+J10/J$12</f>
        <v>0.7439939168822336</v>
      </c>
      <c r="K11" s="377">
        <f>+K10/K$12</f>
        <v>0.86820925553319916</v>
      </c>
      <c r="L11" s="272">
        <f>+K11-J11</f>
        <v>0.12421533865096557</v>
      </c>
      <c r="M11" s="273">
        <f>+M10/M$12</f>
        <v>1</v>
      </c>
      <c r="N11" s="377" t="e">
        <f>+N10/N$12</f>
        <v>#DIV/0!</v>
      </c>
      <c r="O11" s="272" t="e">
        <f>+N11-M11</f>
        <v>#DIV/0!</v>
      </c>
      <c r="P11" s="399">
        <f>+P10/P$12</f>
        <v>0.60203490426251327</v>
      </c>
      <c r="Q11" s="377">
        <f>+Q10/Q$12</f>
        <v>0.41067963434877142</v>
      </c>
      <c r="R11" s="400">
        <f>+Q11-P11</f>
        <v>-0.19135526991374185</v>
      </c>
      <c r="S11" s="271">
        <f>+S10/S$12</f>
        <v>0.33233977038527468</v>
      </c>
      <c r="T11" s="377">
        <f>+T10/T$12</f>
        <v>0.31472762554820854</v>
      </c>
      <c r="U11" s="274">
        <f>+T11-S11</f>
        <v>-1.7612144837066135E-2</v>
      </c>
      <c r="V11" s="273">
        <f>+V10/V$12</f>
        <v>0.59740687332849396</v>
      </c>
      <c r="W11" s="377">
        <f>+W10/W$12</f>
        <v>0.35787258866291388</v>
      </c>
      <c r="X11" s="272">
        <f>+W11-V11</f>
        <v>-0.23953428466558008</v>
      </c>
      <c r="Y11" s="273" t="e">
        <f>+Y10/Y$12</f>
        <v>#DIV/0!</v>
      </c>
      <c r="Z11" s="377">
        <f>+Z10/Z$12</f>
        <v>1</v>
      </c>
      <c r="AA11" s="272" t="e">
        <f>+Z11-Y11</f>
        <v>#DIV/0!</v>
      </c>
      <c r="AB11" s="399">
        <f>+AB10/AB$12</f>
        <v>0.49119465787491651</v>
      </c>
      <c r="AC11" s="377">
        <f>+AC10/AC$12</f>
        <v>0.33884742183792232</v>
      </c>
      <c r="AD11" s="400">
        <f>+AC11-AB11</f>
        <v>-0.15234723603699418</v>
      </c>
      <c r="AE11" s="272">
        <f>+AE10/AE$12</f>
        <v>0.34442400935742007</v>
      </c>
      <c r="AF11" s="377">
        <f>+AF10/AF$12</f>
        <v>0.38041872950705469</v>
      </c>
      <c r="AG11" s="272">
        <f>+AF11-AE11</f>
        <v>3.5994720149634618E-2</v>
      </c>
      <c r="AH11" s="399">
        <f>+AH10/AH$12</f>
        <v>0.49280866302797327</v>
      </c>
      <c r="AI11" s="377">
        <f>+AI10/AI$12</f>
        <v>0.3660643926240757</v>
      </c>
      <c r="AJ11" s="400">
        <f>+AI11-AH11</f>
        <v>-0.12674427040389757</v>
      </c>
      <c r="AL11" s="6">
        <f>+'골재사업소(당월)'!AL12</f>
        <v>124634.54715077671</v>
      </c>
    </row>
    <row r="12" spans="1:39" ht="24" customHeight="1" x14ac:dyDescent="0.3">
      <c r="D12" s="257"/>
      <c r="E12" s="270"/>
      <c r="F12" s="269" t="s">
        <v>43</v>
      </c>
      <c r="G12" s="265">
        <f>G8+G10</f>
        <v>155698.86666666667</v>
      </c>
      <c r="H12" s="378">
        <f>H8+H10</f>
        <v>155188</v>
      </c>
      <c r="I12" s="268">
        <f t="shared" ref="I12:I32" si="0">H12-G12</f>
        <v>-510.86666666666861</v>
      </c>
      <c r="J12" s="267">
        <f>J8+J10</f>
        <v>65860.753546666674</v>
      </c>
      <c r="K12" s="378">
        <f>K8+K10</f>
        <v>15904</v>
      </c>
      <c r="L12" s="266">
        <f t="shared" ref="L12:L32" si="1">K12-J12</f>
        <v>-49956.753546666674</v>
      </c>
      <c r="M12" s="267">
        <f>M8+M10</f>
        <v>154000</v>
      </c>
      <c r="N12" s="378">
        <f>N8+N10</f>
        <v>0</v>
      </c>
      <c r="O12" s="266">
        <f t="shared" ref="O12:O32" si="2">N12-M12</f>
        <v>-154000</v>
      </c>
      <c r="P12" s="401">
        <f>P8+P10</f>
        <v>375559.62021333334</v>
      </c>
      <c r="Q12" s="378">
        <f>Q8+Q10</f>
        <v>171092</v>
      </c>
      <c r="R12" s="402">
        <f t="shared" ref="R12:R32" si="3">Q12-P12</f>
        <v>-204467.62021333334</v>
      </c>
      <c r="S12" s="265">
        <f>S8+S10</f>
        <v>183547.09678376425</v>
      </c>
      <c r="T12" s="378">
        <f>T8+T10</f>
        <v>192217</v>
      </c>
      <c r="U12" s="268">
        <f t="shared" ref="U12:U32" si="4">T12-S12</f>
        <v>8669.9032162357471</v>
      </c>
      <c r="V12" s="267">
        <f>V8+V10</f>
        <v>274519.77424742805</v>
      </c>
      <c r="W12" s="378">
        <f>W8+W10</f>
        <v>200563</v>
      </c>
      <c r="X12" s="266">
        <f t="shared" ref="X12:X32" si="5">W12-V12</f>
        <v>-73956.774247428053</v>
      </c>
      <c r="Y12" s="267">
        <f>Y8+Y10</f>
        <v>0</v>
      </c>
      <c r="Z12" s="378">
        <f>Z8+Z10</f>
        <v>1241</v>
      </c>
      <c r="AA12" s="266">
        <f t="shared" ref="AA12:AA32" si="6">Z12-Y12</f>
        <v>1241</v>
      </c>
      <c r="AB12" s="401">
        <f>AB8+AB10</f>
        <v>458066.87103119231</v>
      </c>
      <c r="AC12" s="378">
        <f>AC8+AC10</f>
        <v>394021</v>
      </c>
      <c r="AD12" s="402">
        <f t="shared" ref="AD12:AD32" si="7">AC12-AB12</f>
        <v>-64045.871031192306</v>
      </c>
      <c r="AE12" s="266">
        <f>AE8+AE10</f>
        <v>271467.71845098637</v>
      </c>
      <c r="AF12" s="378">
        <f>AF8+AF10</f>
        <v>215318</v>
      </c>
      <c r="AG12" s="266">
        <f t="shared" ref="AG12:AG32" si="8">AF12-AE12</f>
        <v>-56149.718450986373</v>
      </c>
      <c r="AH12" s="401">
        <f>AH8+AH10</f>
        <v>1105094.209695512</v>
      </c>
      <c r="AI12" s="378">
        <f>AI8+AI10</f>
        <v>780431</v>
      </c>
      <c r="AJ12" s="402">
        <f t="shared" ref="AJ12:AJ32" si="9">AI12-AH12</f>
        <v>-324663.20969551196</v>
      </c>
      <c r="AL12" s="6">
        <f>+'골재사업소(당월)'!AL12+'[4]골재사업소(누계)'!AL12</f>
        <v>1105094.209695512</v>
      </c>
      <c r="AM12" s="6">
        <f>+'골재사업소(당월)'!AM12+'[4]골재사업소(누계)'!AM12</f>
        <v>780431</v>
      </c>
    </row>
    <row r="13" spans="1:39" ht="24" customHeight="1" x14ac:dyDescent="0.3">
      <c r="D13" s="257"/>
      <c r="E13" s="264" t="s">
        <v>77</v>
      </c>
      <c r="F13" s="263" t="s">
        <v>132</v>
      </c>
      <c r="G13" s="259">
        <f>+'골재사업소(당월)'!G13+'[4]골재사업소(누계)'!G13</f>
        <v>2027323.8666666665</v>
      </c>
      <c r="H13" s="374">
        <f>+'골재사업소(당월)'!H13+'[4]골재사업소(누계)'!H13</f>
        <v>1603364</v>
      </c>
      <c r="I13" s="262">
        <f t="shared" si="0"/>
        <v>-423959.86666666646</v>
      </c>
      <c r="J13" s="261">
        <f>+'골재사업소(당월)'!J13+'[4]골재사업소(누계)'!J13</f>
        <v>297344.7698666667</v>
      </c>
      <c r="K13" s="374">
        <f>+'골재사업소(당월)'!K13+'[4]골재사업소(누계)'!K13</f>
        <v>19824</v>
      </c>
      <c r="L13" s="260">
        <f t="shared" si="1"/>
        <v>-277520.7698666667</v>
      </c>
      <c r="M13" s="261">
        <f>+'골재사업소(당월)'!M13+'[4]골재사업소(누계)'!M13</f>
        <v>0</v>
      </c>
      <c r="N13" s="374">
        <f>+'골재사업소(당월)'!N13+'[4]골재사업소(누계)'!N13</f>
        <v>0</v>
      </c>
      <c r="O13" s="260">
        <f t="shared" si="2"/>
        <v>0</v>
      </c>
      <c r="P13" s="393">
        <f>+G13+J13+M13</f>
        <v>2324668.636533333</v>
      </c>
      <c r="Q13" s="374">
        <f>+H13+K13+N13</f>
        <v>1623188</v>
      </c>
      <c r="R13" s="394">
        <f t="shared" si="3"/>
        <v>-701480.63653333299</v>
      </c>
      <c r="S13" s="259">
        <f>+'골재사업소(당월)'!S13+'[4]골재사업소(누계)'!S13</f>
        <v>1960753.5485402278</v>
      </c>
      <c r="T13" s="374">
        <f>+'골재사업소(당월)'!T13+'[4]골재사업소(누계)'!T13</f>
        <v>2160533.5</v>
      </c>
      <c r="U13" s="262">
        <f t="shared" si="4"/>
        <v>199779.95145977219</v>
      </c>
      <c r="V13" s="261">
        <f>+'골재사업소(당월)'!V13+'[4]골재사업소(누계)'!V13</f>
        <v>2444651.9044650388</v>
      </c>
      <c r="W13" s="374">
        <f>+'골재사업소(당월)'!W13+'[4]골재사업소(누계)'!W13</f>
        <v>2801582.5</v>
      </c>
      <c r="X13" s="260">
        <f t="shared" si="5"/>
        <v>356930.5955349612</v>
      </c>
      <c r="Y13" s="261">
        <f>+'골재사업소(당월)'!Y13+'[4]골재사업소(누계)'!Y13</f>
        <v>0</v>
      </c>
      <c r="Z13" s="374">
        <f>+'골재사업소(당월)'!Z13+'[4]골재사업소(누계)'!Z13</f>
        <v>0</v>
      </c>
      <c r="AA13" s="260">
        <f t="shared" si="6"/>
        <v>0</v>
      </c>
      <c r="AB13" s="393">
        <f>+S13+V13+Y13</f>
        <v>4405405.4530052664</v>
      </c>
      <c r="AC13" s="374">
        <f>+T13+W13+Z13</f>
        <v>4962116</v>
      </c>
      <c r="AD13" s="394">
        <f t="shared" si="7"/>
        <v>556710.54699473362</v>
      </c>
      <c r="AE13" s="260">
        <f>+'골재사업소(당월)'!AE13+'[4]골재사업소(누계)'!AE13</f>
        <v>5168091.7364710402</v>
      </c>
      <c r="AF13" s="374">
        <f>+'골재사업소(당월)'!AF13+'[4]골재사업소(누계)'!AF13</f>
        <v>3924626.08</v>
      </c>
      <c r="AG13" s="260">
        <f t="shared" si="8"/>
        <v>-1243465.6564710401</v>
      </c>
      <c r="AH13" s="393">
        <f>+P13+AB13+AE13</f>
        <v>11898165.826009639</v>
      </c>
      <c r="AI13" s="374">
        <f>+Q13+AC13+AF13</f>
        <v>10509930.08</v>
      </c>
      <c r="AJ13" s="394">
        <f t="shared" si="9"/>
        <v>-1388235.7460096385</v>
      </c>
      <c r="AL13" s="6" t="b">
        <f>+AL12=AL12</f>
        <v>1</v>
      </c>
      <c r="AM13" s="6" t="b">
        <f>+AM12=AI12</f>
        <v>1</v>
      </c>
    </row>
    <row r="14" spans="1:39" ht="24" customHeight="1" x14ac:dyDescent="0.3">
      <c r="D14" s="257"/>
      <c r="E14" s="258"/>
      <c r="F14" s="256" t="s">
        <v>131</v>
      </c>
      <c r="G14" s="252">
        <f>+G13/G8*1000</f>
        <v>15289.149278802281</v>
      </c>
      <c r="H14" s="379">
        <f>+H13/H8*1000</f>
        <v>16239.5575902443</v>
      </c>
      <c r="I14" s="255">
        <f t="shared" si="0"/>
        <v>950.40831144201911</v>
      </c>
      <c r="J14" s="254">
        <f>+J13/J8*1000</f>
        <v>17635.319147728787</v>
      </c>
      <c r="K14" s="379">
        <f>+K13/K8*1000</f>
        <v>9458.0152671755714</v>
      </c>
      <c r="L14" s="253">
        <f t="shared" si="1"/>
        <v>-8177.303880553216</v>
      </c>
      <c r="M14" s="254" t="e">
        <f>+M13/M8*1000</f>
        <v>#DIV/0!</v>
      </c>
      <c r="N14" s="379" t="e">
        <f>+N13/N8*1000</f>
        <v>#DIV/0!</v>
      </c>
      <c r="O14" s="253" t="e">
        <f t="shared" si="2"/>
        <v>#DIV/0!</v>
      </c>
      <c r="P14" s="403">
        <f>+P13/P8*1000</f>
        <v>15553.824057729998</v>
      </c>
      <c r="Q14" s="379">
        <f>+Q13/Q8*1000</f>
        <v>16098.583726742572</v>
      </c>
      <c r="R14" s="404">
        <f t="shared" si="3"/>
        <v>544.7596690125738</v>
      </c>
      <c r="S14" s="252">
        <f>+S13/S8*1000</f>
        <v>16000</v>
      </c>
      <c r="T14" s="379">
        <f>+T13/T8*1000</f>
        <v>16402.346626581941</v>
      </c>
      <c r="U14" s="255">
        <f t="shared" si="4"/>
        <v>402.34662658194065</v>
      </c>
      <c r="V14" s="254">
        <f>+V13/V8*1000</f>
        <v>22119.588291883694</v>
      </c>
      <c r="W14" s="379">
        <f>+W13/W8*1000</f>
        <v>21753.612554062132</v>
      </c>
      <c r="X14" s="253">
        <f t="shared" si="5"/>
        <v>-365.97573782156178</v>
      </c>
      <c r="Y14" s="254" t="e">
        <f>+Y13/Y8*1000</f>
        <v>#DIV/0!</v>
      </c>
      <c r="Z14" s="379" t="e">
        <f>+Z13/Z8*1000</f>
        <v>#DIV/0!</v>
      </c>
      <c r="AA14" s="253" t="e">
        <f t="shared" si="6"/>
        <v>#DIV/0!</v>
      </c>
      <c r="AB14" s="403">
        <f>+AB13/AB8*1000</f>
        <v>18901.894694487371</v>
      </c>
      <c r="AC14" s="379">
        <f>+AC13/AC8*1000</f>
        <v>19047.84497980868</v>
      </c>
      <c r="AD14" s="404">
        <f t="shared" si="7"/>
        <v>145.95028532130891</v>
      </c>
      <c r="AE14" s="253">
        <f>+AE13/AE8*1000</f>
        <v>29039.489753836289</v>
      </c>
      <c r="AF14" s="379">
        <f>+AF13/AF8*1000</f>
        <v>29418.44191084426</v>
      </c>
      <c r="AG14" s="253">
        <f t="shared" si="8"/>
        <v>378.95215700797053</v>
      </c>
      <c r="AH14" s="403">
        <f>+AH13/AH8*1000</f>
        <v>21227.990620051736</v>
      </c>
      <c r="AI14" s="379">
        <f>+AI13/AI8*1000</f>
        <v>21243.211283434026</v>
      </c>
      <c r="AJ14" s="404">
        <f t="shared" si="9"/>
        <v>15.220663382289786</v>
      </c>
    </row>
    <row r="15" spans="1:39" ht="24" customHeight="1" x14ac:dyDescent="0.3">
      <c r="D15" s="257"/>
      <c r="E15" s="664"/>
      <c r="F15" s="223" t="s">
        <v>135</v>
      </c>
      <c r="G15" s="247">
        <f>+'골재사업소(당월)'!G15+'[4]골재사업소(누계)'!G15</f>
        <v>265650</v>
      </c>
      <c r="H15" s="380">
        <f>+'골재사업소(당월)'!H15+'[4]골재사업소(누계)'!H15</f>
        <v>661871</v>
      </c>
      <c r="I15" s="250">
        <f t="shared" si="0"/>
        <v>396221</v>
      </c>
      <c r="J15" s="249">
        <f>+'골재사업소(당월)'!J15+'[4]골재사업소(누계)'!J15</f>
        <v>735000</v>
      </c>
      <c r="K15" s="380">
        <f>+'골재사업소(당월)'!K15+'[4]골재사업소(누계)'!K15</f>
        <v>117104</v>
      </c>
      <c r="L15" s="248">
        <f t="shared" si="1"/>
        <v>-617896</v>
      </c>
      <c r="M15" s="249">
        <f>+'골재사업소(당월)'!M15+'[4]골재사업소(누계)'!M15</f>
        <v>1386000</v>
      </c>
      <c r="N15" s="380">
        <f>+'골재사업소(당월)'!N15+'[4]골재사업소(누계)'!N15</f>
        <v>0</v>
      </c>
      <c r="O15" s="248">
        <f t="shared" si="2"/>
        <v>-1386000</v>
      </c>
      <c r="P15" s="405">
        <f>+G15+J15+M15</f>
        <v>2386650</v>
      </c>
      <c r="Q15" s="380">
        <f>+H15+K15+N15</f>
        <v>778975</v>
      </c>
      <c r="R15" s="406">
        <f t="shared" si="3"/>
        <v>-1607675</v>
      </c>
      <c r="S15" s="247">
        <f>+'골재사업소(당월)'!S15+'[4]골재사업소(누계)'!S15</f>
        <v>732000</v>
      </c>
      <c r="T15" s="380">
        <f>+'골재사업소(당월)'!T15+'[4]골재사업소(누계)'!T15</f>
        <v>786448</v>
      </c>
      <c r="U15" s="250">
        <f t="shared" si="4"/>
        <v>54448</v>
      </c>
      <c r="V15" s="249">
        <f>+'골재사업소(당월)'!V15+'[4]골재사업소(누계)'!V15</f>
        <v>3116000</v>
      </c>
      <c r="W15" s="380">
        <f>+'골재사업소(당월)'!W15+'[4]골재사업소(누계)'!W15</f>
        <v>1320560</v>
      </c>
      <c r="X15" s="248">
        <f t="shared" si="5"/>
        <v>-1795440</v>
      </c>
      <c r="Y15" s="249">
        <f>+'골재사업소(당월)'!Y15+'[4]골재사업소(누계)'!Y15</f>
        <v>0</v>
      </c>
      <c r="Z15" s="380">
        <f>+'골재사업소(당월)'!Z15+'[4]골재사업소(누계)'!Z15</f>
        <v>34127.5</v>
      </c>
      <c r="AA15" s="248">
        <f t="shared" si="6"/>
        <v>34127.5</v>
      </c>
      <c r="AB15" s="405">
        <f>+S15+V15+Y15</f>
        <v>3848000</v>
      </c>
      <c r="AC15" s="380">
        <f>+T15+W15+Z15</f>
        <v>2141135.5</v>
      </c>
      <c r="AD15" s="406">
        <f t="shared" si="7"/>
        <v>-1706864.5</v>
      </c>
      <c r="AE15" s="248">
        <f>+'골재사업소(당월)'!AE15+'[4]골재사업소(누계)'!AE15</f>
        <v>2742750</v>
      </c>
      <c r="AF15" s="380">
        <f>+'골재사업소(당월)'!AF15+'[4]골재사업소(누계)'!AF15</f>
        <v>2359589</v>
      </c>
      <c r="AG15" s="248">
        <f t="shared" si="8"/>
        <v>-383161</v>
      </c>
      <c r="AH15" s="405">
        <f>+P15+AB15+AE15</f>
        <v>8977400</v>
      </c>
      <c r="AI15" s="380">
        <f>+Q15+AC15+AF15</f>
        <v>5279699.5</v>
      </c>
      <c r="AJ15" s="406">
        <f t="shared" si="9"/>
        <v>-3697700.5</v>
      </c>
    </row>
    <row r="16" spans="1:39" ht="24" customHeight="1" x14ac:dyDescent="0.3">
      <c r="D16" s="76"/>
      <c r="E16" s="664"/>
      <c r="F16" s="256" t="s">
        <v>131</v>
      </c>
      <c r="G16" s="252">
        <f>IFERROR(G15/G10,)*1000</f>
        <v>11500</v>
      </c>
      <c r="H16" s="379">
        <f>IFERROR(H15/H10,)*1000</f>
        <v>11723.660904066885</v>
      </c>
      <c r="I16" s="255">
        <f t="shared" si="0"/>
        <v>223.66090406688454</v>
      </c>
      <c r="J16" s="254">
        <f>IFERROR(J15/J10,)*1000</f>
        <v>15000</v>
      </c>
      <c r="K16" s="379">
        <f>IFERROR(K15/K10,)*1000</f>
        <v>8480.8806488991886</v>
      </c>
      <c r="L16" s="253">
        <f t="shared" si="1"/>
        <v>-6519.1193511008114</v>
      </c>
      <c r="M16" s="254">
        <f>IFERROR(M15/M10,)*1000</f>
        <v>9000</v>
      </c>
      <c r="N16" s="379">
        <f>IFERROR(N15/N10,)*1000</f>
        <v>0</v>
      </c>
      <c r="O16" s="253">
        <f t="shared" si="2"/>
        <v>-9000</v>
      </c>
      <c r="P16" s="403">
        <f>IFERROR(P15/P10,)*1000</f>
        <v>10555.727554179568</v>
      </c>
      <c r="Q16" s="379">
        <f>IFERROR(Q15/Q10,)*1000</f>
        <v>11086.402709780257</v>
      </c>
      <c r="R16" s="404">
        <f t="shared" si="3"/>
        <v>530.67515560068932</v>
      </c>
      <c r="S16" s="252">
        <f>IFERROR(S15/S10,)*1000</f>
        <v>12000</v>
      </c>
      <c r="T16" s="379">
        <f>IFERROR(T15/T10,)*1000</f>
        <v>13000</v>
      </c>
      <c r="U16" s="255">
        <f t="shared" si="4"/>
        <v>1000</v>
      </c>
      <c r="V16" s="254">
        <f>IFERROR(V15/V10,)*1000</f>
        <v>19000</v>
      </c>
      <c r="W16" s="379">
        <f>IFERROR(W15/W10,)*1000</f>
        <v>18398.350423539901</v>
      </c>
      <c r="X16" s="253">
        <f t="shared" si="5"/>
        <v>-601.64957646009861</v>
      </c>
      <c r="Y16" s="254">
        <f>IFERROR(Y15/Y10,)*1000</f>
        <v>0</v>
      </c>
      <c r="Z16" s="379">
        <f>IFERROR(Z15/Z10,)*1000</f>
        <v>27500</v>
      </c>
      <c r="AA16" s="253">
        <f t="shared" si="6"/>
        <v>27500</v>
      </c>
      <c r="AB16" s="403">
        <f>IFERROR(AB15/AB10,)*1000</f>
        <v>17102.222222222223</v>
      </c>
      <c r="AC16" s="379">
        <f>IFERROR(AC15/AC10,)*1000</f>
        <v>16036.906518466367</v>
      </c>
      <c r="AD16" s="404">
        <f t="shared" si="7"/>
        <v>-1065.3157037558558</v>
      </c>
      <c r="AE16" s="253">
        <f>IFERROR(AE15/AE10,)*1000</f>
        <v>29334.224598930483</v>
      </c>
      <c r="AF16" s="379">
        <f>IFERROR(AF15/AF10,)*1000</f>
        <v>28806.741463295526</v>
      </c>
      <c r="AG16" s="253">
        <f t="shared" si="8"/>
        <v>-527.48313563495685</v>
      </c>
      <c r="AH16" s="403">
        <f>IFERROR(AH15/AH10,)*1000</f>
        <v>16484.392214469335</v>
      </c>
      <c r="AI16" s="379">
        <f>IFERROR(AI15/AI10,)*1000</f>
        <v>18480.648469659209</v>
      </c>
      <c r="AJ16" s="404">
        <f t="shared" si="9"/>
        <v>1996.2562551898736</v>
      </c>
    </row>
    <row r="17" spans="4:39" ht="24" customHeight="1" x14ac:dyDescent="0.3">
      <c r="D17" s="76"/>
      <c r="E17" s="664"/>
      <c r="F17" s="251" t="s">
        <v>43</v>
      </c>
      <c r="G17" s="247">
        <f>G13+G15</f>
        <v>2292973.8666666662</v>
      </c>
      <c r="H17" s="380">
        <f>H13+H15</f>
        <v>2265235</v>
      </c>
      <c r="I17" s="250">
        <f t="shared" si="0"/>
        <v>-27738.866666666232</v>
      </c>
      <c r="J17" s="249">
        <f>J13+J15</f>
        <v>1032344.7698666668</v>
      </c>
      <c r="K17" s="380">
        <f>K13+K15</f>
        <v>136928</v>
      </c>
      <c r="L17" s="248">
        <f t="shared" si="1"/>
        <v>-895416.76986666676</v>
      </c>
      <c r="M17" s="249">
        <f>M13+M15</f>
        <v>1386000</v>
      </c>
      <c r="N17" s="380">
        <f>N13+N15</f>
        <v>0</v>
      </c>
      <c r="O17" s="248">
        <f t="shared" si="2"/>
        <v>-1386000</v>
      </c>
      <c r="P17" s="405">
        <f>P13+P15</f>
        <v>4711318.636533333</v>
      </c>
      <c r="Q17" s="380">
        <f>Q13+Q15</f>
        <v>2402163</v>
      </c>
      <c r="R17" s="406">
        <f t="shared" si="3"/>
        <v>-2309155.636533333</v>
      </c>
      <c r="S17" s="247">
        <f>S13+S15</f>
        <v>2692753.548540228</v>
      </c>
      <c r="T17" s="380">
        <f>T13+T15</f>
        <v>2946981.5</v>
      </c>
      <c r="U17" s="250">
        <f t="shared" si="4"/>
        <v>254227.95145977195</v>
      </c>
      <c r="V17" s="249">
        <f>V13+V15</f>
        <v>5560651.9044650383</v>
      </c>
      <c r="W17" s="380">
        <f>W13+W15</f>
        <v>4122142.5</v>
      </c>
      <c r="X17" s="248">
        <f t="shared" si="5"/>
        <v>-1438509.4044650383</v>
      </c>
      <c r="Y17" s="249">
        <f>Y13+Y15</f>
        <v>0</v>
      </c>
      <c r="Z17" s="380">
        <f>Z13+Z15</f>
        <v>34127.5</v>
      </c>
      <c r="AA17" s="248">
        <f t="shared" si="6"/>
        <v>34127.5</v>
      </c>
      <c r="AB17" s="405">
        <f>AB13+AB15</f>
        <v>8253405.4530052664</v>
      </c>
      <c r="AC17" s="380">
        <f>AC13+AC15</f>
        <v>7103251.5</v>
      </c>
      <c r="AD17" s="406">
        <f t="shared" si="7"/>
        <v>-1150153.9530052664</v>
      </c>
      <c r="AE17" s="248">
        <f>AE13+AE15</f>
        <v>7910841.7364710402</v>
      </c>
      <c r="AF17" s="380">
        <f>AF13+AF15</f>
        <v>6284215.0800000001</v>
      </c>
      <c r="AG17" s="248">
        <f t="shared" si="8"/>
        <v>-1626626.6564710401</v>
      </c>
      <c r="AH17" s="405">
        <f>AH13+AH15</f>
        <v>20875565.826009639</v>
      </c>
      <c r="AI17" s="380">
        <f>AI13+AI15</f>
        <v>15789629.58</v>
      </c>
      <c r="AJ17" s="406">
        <f t="shared" si="9"/>
        <v>-5085936.2460096385</v>
      </c>
      <c r="AL17" s="6">
        <f>+'골재사업소(당월)'!AL17+'[4]골재사업소(누계)'!AL17</f>
        <v>20875565.826009639</v>
      </c>
      <c r="AM17" s="6">
        <f>+'골재사업소(당월)'!AM17+'[4]골재사업소(누계)'!AM17</f>
        <v>15789629.58</v>
      </c>
    </row>
    <row r="18" spans="4:39" ht="24" customHeight="1" x14ac:dyDescent="0.3">
      <c r="D18" s="76"/>
      <c r="E18" s="246" t="s">
        <v>7</v>
      </c>
      <c r="F18" s="245" t="s">
        <v>134</v>
      </c>
      <c r="G18" s="229">
        <f>+'골재사업소(당월)'!G18+'[4]골재사업소(누계)'!G18</f>
        <v>426435.09809786075</v>
      </c>
      <c r="H18" s="381">
        <f>+'골재사업소(당월)'!H18+'[4]골재사업소(누계)'!H18</f>
        <v>152007.26137924445</v>
      </c>
      <c r="I18" s="232">
        <f t="shared" si="0"/>
        <v>-274427.83671861631</v>
      </c>
      <c r="J18" s="231">
        <f>+'골재사업소(당월)'!J18+'[4]골재사업소(누계)'!J18</f>
        <v>115291.06051581782</v>
      </c>
      <c r="K18" s="381">
        <f>+'골재사업소(당월)'!K18+'[4]골재사업소(누계)'!K18</f>
        <v>8957.9034389485114</v>
      </c>
      <c r="L18" s="230">
        <f t="shared" si="1"/>
        <v>-106333.15707686931</v>
      </c>
      <c r="M18" s="231">
        <f>+'골재사업소(당월)'!M18+'[4]골재사업소(누계)'!M18</f>
        <v>0</v>
      </c>
      <c r="N18" s="381">
        <f>+'골재사업소(당월)'!N18+'[4]골재사업소(누계)'!N18</f>
        <v>0</v>
      </c>
      <c r="O18" s="230">
        <f t="shared" si="2"/>
        <v>0</v>
      </c>
      <c r="P18" s="407">
        <f>+G18+J18+M18</f>
        <v>541726.15861367853</v>
      </c>
      <c r="Q18" s="381">
        <f>+H18+K18+N18</f>
        <v>160965.16481819295</v>
      </c>
      <c r="R18" s="408">
        <f t="shared" si="3"/>
        <v>-380760.99379548558</v>
      </c>
      <c r="S18" s="660">
        <f>+'골재사업소(당월)'!S18+'[4]골재사업소(누계)'!S18</f>
        <v>-126650.41049359445</v>
      </c>
      <c r="T18" s="381">
        <f>+'골재사업소(당월)'!T18+'[4]골재사업소(누계)'!T18</f>
        <v>-401488.47478327563</v>
      </c>
      <c r="U18" s="232">
        <f t="shared" si="4"/>
        <v>-274838.06428968115</v>
      </c>
      <c r="V18" s="231">
        <f>+'골재사업소(당월)'!V18+'[4]골재사업소(누계)'!V18</f>
        <v>549175.38657423295</v>
      </c>
      <c r="W18" s="381">
        <f>+'골재사업소(당월)'!W18+'[4]골재사업소(누계)'!W18</f>
        <v>313378.73944119288</v>
      </c>
      <c r="X18" s="230">
        <f t="shared" si="5"/>
        <v>-235796.64713304007</v>
      </c>
      <c r="Y18" s="231">
        <f>+'골재사업소(당월)'!Y18+'[4]골재사업소(누계)'!Y18</f>
        <v>0</v>
      </c>
      <c r="Z18" s="381">
        <f>+'골재사업소(당월)'!Z18+'[4]골재사업소(누계)'!Z18</f>
        <v>0</v>
      </c>
      <c r="AA18" s="230">
        <f t="shared" si="6"/>
        <v>0</v>
      </c>
      <c r="AB18" s="407">
        <f>+S18+V18+Y18</f>
        <v>422524.97608063847</v>
      </c>
      <c r="AC18" s="381">
        <f>+T18+W18+Z18</f>
        <v>-88109.735342082742</v>
      </c>
      <c r="AD18" s="408">
        <f t="shared" si="7"/>
        <v>-510634.71142272122</v>
      </c>
      <c r="AE18" s="230">
        <f>+'골재사업소(당월)'!AE18+'[4]골재사업소(누계)'!AE18</f>
        <v>286120.53875848325</v>
      </c>
      <c r="AF18" s="381">
        <f>+'골재사업소(당월)'!AF18+'[4]골재사업소(누계)'!AF18</f>
        <v>411903.13</v>
      </c>
      <c r="AG18" s="230">
        <f t="shared" si="8"/>
        <v>125782.59124151675</v>
      </c>
      <c r="AH18" s="407">
        <f>+P18+AB18+AE18</f>
        <v>1250371.6734528001</v>
      </c>
      <c r="AI18" s="381">
        <f>+Q18+AC18+AF18</f>
        <v>484758.55947611021</v>
      </c>
      <c r="AJ18" s="408">
        <f t="shared" si="9"/>
        <v>-765613.11397668999</v>
      </c>
      <c r="AL18" s="6" t="b">
        <f>+AL17=AL17</f>
        <v>1</v>
      </c>
      <c r="AM18" s="6" t="b">
        <f>+AM17=AI17</f>
        <v>1</v>
      </c>
    </row>
    <row r="19" spans="4:39" ht="24" customHeight="1" x14ac:dyDescent="0.3">
      <c r="D19" s="76"/>
      <c r="E19" s="165"/>
      <c r="F19" s="244" t="s">
        <v>133</v>
      </c>
      <c r="G19" s="240">
        <f>+'골재사업소(당월)'!G19+'[4]골재사업소(누계)'!G19</f>
        <v>14557.178570893779</v>
      </c>
      <c r="H19" s="382">
        <f>+'골재사업소(당월)'!H19+'[4]골재사업소(누계)'!H19</f>
        <v>-325946.48209883244</v>
      </c>
      <c r="I19" s="243">
        <f t="shared" si="0"/>
        <v>-340503.6606697262</v>
      </c>
      <c r="J19" s="242">
        <f>+'골재사업소(당월)'!J19+'[4]골재사업소(누계)'!J19</f>
        <v>199598.87577440406</v>
      </c>
      <c r="K19" s="382">
        <f>+'골재사업소(당월)'!K19+'[4]골재사업소(누계)'!K19</f>
        <v>38049.038075170065</v>
      </c>
      <c r="L19" s="241">
        <f t="shared" si="1"/>
        <v>-161549.83769923399</v>
      </c>
      <c r="M19" s="242">
        <f>+'골재사업소(당월)'!M19+'[4]골재사업소(누계)'!M19</f>
        <v>195688.64621461366</v>
      </c>
      <c r="N19" s="382">
        <f>+'골재사업소(당월)'!N19+'[4]골재사업소(누계)'!N19</f>
        <v>0</v>
      </c>
      <c r="O19" s="241">
        <f t="shared" si="2"/>
        <v>-195688.64621461366</v>
      </c>
      <c r="P19" s="409">
        <f>+G19+J19+M19</f>
        <v>409844.70055991149</v>
      </c>
      <c r="Q19" s="382">
        <f>+H19+K19+N19</f>
        <v>-287897.44402366236</v>
      </c>
      <c r="R19" s="410">
        <f t="shared" si="3"/>
        <v>-697742.1445835738</v>
      </c>
      <c r="S19" s="240">
        <f>+'골재사업소(당월)'!S19+'[4]골재사업소(누계)'!S19</f>
        <v>-308767.85447281535</v>
      </c>
      <c r="T19" s="382">
        <f>+'골재사업소(당월)'!T19+'[4]골재사업소(누계)'!T19</f>
        <v>-365468.9447891161</v>
      </c>
      <c r="U19" s="243">
        <f t="shared" si="4"/>
        <v>-56701.090316300746</v>
      </c>
      <c r="V19" s="242">
        <f>+'골재사업소(당월)'!V19+'[4]골재사업소(누계)'!V19</f>
        <v>299438.18333009747</v>
      </c>
      <c r="W19" s="382">
        <f>+'골재사업소(당월)'!W19+'[4]골재사업소(누계)'!W19</f>
        <v>-79435.228581367992</v>
      </c>
      <c r="X19" s="241">
        <f t="shared" si="5"/>
        <v>-378873.41191146546</v>
      </c>
      <c r="Y19" s="242">
        <f>+'골재사업소(당월)'!Y19+'[4]골재사업소(누계)'!Y19</f>
        <v>0</v>
      </c>
      <c r="Z19" s="382">
        <f>+'골재사업소(당월)'!Z19+'[4]골재사업소(누계)'!Z19</f>
        <v>4813.3760625666546</v>
      </c>
      <c r="AA19" s="241">
        <f t="shared" si="6"/>
        <v>4813.3760625666546</v>
      </c>
      <c r="AB19" s="409">
        <f>+S19+V19+Y19</f>
        <v>-9329.6711427178816</v>
      </c>
      <c r="AC19" s="382">
        <f>+T19+W19+Z19</f>
        <v>-440090.79730791744</v>
      </c>
      <c r="AD19" s="410">
        <f t="shared" si="7"/>
        <v>-430761.12616519956</v>
      </c>
      <c r="AE19" s="241">
        <f>+'골재사업소(당월)'!AE19+'[4]골재사업소(누계)'!AE19</f>
        <v>155430.0782390291</v>
      </c>
      <c r="AF19" s="382">
        <f>+'골재사업소(당월)'!AF19+'[4]골재사업소(누계)'!AF19</f>
        <v>-50874.457009954793</v>
      </c>
      <c r="AG19" s="241">
        <f t="shared" si="8"/>
        <v>-206304.53524898388</v>
      </c>
      <c r="AH19" s="409">
        <f>+P19+AB19+AE19</f>
        <v>555945.10765622277</v>
      </c>
      <c r="AI19" s="382">
        <f>+Q19+AC19+AF19</f>
        <v>-778862.69834153471</v>
      </c>
      <c r="AJ19" s="410">
        <f t="shared" si="9"/>
        <v>-1334807.8059977575</v>
      </c>
    </row>
    <row r="20" spans="4:39" ht="24" customHeight="1" x14ac:dyDescent="0.3">
      <c r="D20" s="76"/>
      <c r="E20" s="665"/>
      <c r="F20" s="239" t="s">
        <v>58</v>
      </c>
      <c r="G20" s="235">
        <f>G18+G19</f>
        <v>440992.27666875452</v>
      </c>
      <c r="H20" s="383">
        <f>H18+H19</f>
        <v>-173939.22071958799</v>
      </c>
      <c r="I20" s="238">
        <f t="shared" si="0"/>
        <v>-614931.49738834251</v>
      </c>
      <c r="J20" s="237">
        <f>J18+J19</f>
        <v>314889.93629022187</v>
      </c>
      <c r="K20" s="383">
        <f>K18+K19</f>
        <v>47006.941514118575</v>
      </c>
      <c r="L20" s="236">
        <f t="shared" si="1"/>
        <v>-267882.9947761033</v>
      </c>
      <c r="M20" s="237">
        <f>M18+M19</f>
        <v>195688.64621461366</v>
      </c>
      <c r="N20" s="383">
        <f>N18+N19</f>
        <v>0</v>
      </c>
      <c r="O20" s="236">
        <f t="shared" si="2"/>
        <v>-195688.64621461366</v>
      </c>
      <c r="P20" s="411">
        <f>P18+P19</f>
        <v>951570.85917359008</v>
      </c>
      <c r="Q20" s="383">
        <f>Q18+Q19</f>
        <v>-126932.27920546941</v>
      </c>
      <c r="R20" s="412">
        <f t="shared" si="3"/>
        <v>-1078503.1383790595</v>
      </c>
      <c r="S20" s="235">
        <f>S18+S19</f>
        <v>-435418.26496640977</v>
      </c>
      <c r="T20" s="383">
        <f>T18+T19</f>
        <v>-766957.41957239178</v>
      </c>
      <c r="U20" s="238">
        <f t="shared" si="4"/>
        <v>-331539.15460598201</v>
      </c>
      <c r="V20" s="237">
        <f>V18+V19</f>
        <v>848613.56990433042</v>
      </c>
      <c r="W20" s="383">
        <f>W18+W19</f>
        <v>233943.51085982489</v>
      </c>
      <c r="X20" s="236">
        <f t="shared" si="5"/>
        <v>-614670.05904450547</v>
      </c>
      <c r="Y20" s="237">
        <f>Y18+Y19</f>
        <v>0</v>
      </c>
      <c r="Z20" s="383">
        <f>Z18+Z19</f>
        <v>4813.3760625666546</v>
      </c>
      <c r="AA20" s="236">
        <f t="shared" si="6"/>
        <v>4813.3760625666546</v>
      </c>
      <c r="AB20" s="411">
        <f>AB18+AB19</f>
        <v>413195.30493792059</v>
      </c>
      <c r="AC20" s="383">
        <f>AC18+AC19</f>
        <v>-528200.53265000018</v>
      </c>
      <c r="AD20" s="412">
        <f t="shared" si="7"/>
        <v>-941395.83758792072</v>
      </c>
      <c r="AE20" s="236">
        <f>AE18+AE19</f>
        <v>441550.61699751235</v>
      </c>
      <c r="AF20" s="383">
        <f>AF18+AF19</f>
        <v>361028.67299004522</v>
      </c>
      <c r="AG20" s="236">
        <f t="shared" si="8"/>
        <v>-80521.944007467129</v>
      </c>
      <c r="AH20" s="411">
        <f>AH18+AH19</f>
        <v>1806316.7811090229</v>
      </c>
      <c r="AI20" s="383">
        <f>AI18+AI19</f>
        <v>-294104.13886542449</v>
      </c>
      <c r="AJ20" s="412">
        <f t="shared" si="9"/>
        <v>-2100420.9199744472</v>
      </c>
      <c r="AL20" s="6">
        <f>+'골재사업소(당월)'!AL20+'[4]골재사업소(누계)'!AL20</f>
        <v>1806316.7811090229</v>
      </c>
      <c r="AM20" s="6">
        <f>+'골재사업소(당월)'!AM20+'[4]골재사업소(누계)'!AM20</f>
        <v>-294104.1388654242</v>
      </c>
    </row>
    <row r="21" spans="4:39" ht="24" customHeight="1" x14ac:dyDescent="0.3">
      <c r="D21" s="76"/>
      <c r="E21" s="234" t="s">
        <v>132</v>
      </c>
      <c r="F21" s="233" t="s">
        <v>25</v>
      </c>
      <c r="G21" s="229">
        <f>+'골재사업소(당월)'!G21+'[4]골재사업소(누계)'!G21</f>
        <v>0</v>
      </c>
      <c r="H21" s="381">
        <f>+'골재사업소(당월)'!H21+'[4]골재사업소(누계)'!H21</f>
        <v>4208</v>
      </c>
      <c r="I21" s="232">
        <f t="shared" si="0"/>
        <v>4208</v>
      </c>
      <c r="J21" s="231">
        <f>+'골재사업소(당월)'!J21+'[4]골재사업소(누계)'!J21</f>
        <v>0</v>
      </c>
      <c r="K21" s="381">
        <f>+'골재사업소(당월)'!K21+'[4]골재사업소(누계)'!K21</f>
        <v>0</v>
      </c>
      <c r="L21" s="230">
        <f t="shared" si="1"/>
        <v>0</v>
      </c>
      <c r="M21" s="231">
        <f>+'골재사업소(당월)'!M21+'[4]골재사업소(누계)'!M21</f>
        <v>0</v>
      </c>
      <c r="N21" s="381">
        <f>+'골재사업소(당월)'!N21+'[4]골재사업소(누계)'!N21</f>
        <v>0</v>
      </c>
      <c r="O21" s="230">
        <f t="shared" si="2"/>
        <v>0</v>
      </c>
      <c r="P21" s="407">
        <f t="shared" ref="P21:Q26" si="10">+G21+J21+M21</f>
        <v>0</v>
      </c>
      <c r="Q21" s="381">
        <f t="shared" si="10"/>
        <v>4208</v>
      </c>
      <c r="R21" s="408">
        <f t="shared" si="3"/>
        <v>4208</v>
      </c>
      <c r="S21" s="229">
        <f>+'골재사업소(당월)'!S21+'[4]골재사업소(누계)'!S21</f>
        <v>122547.09678376424</v>
      </c>
      <c r="T21" s="381">
        <f>+'골재사업소(당월)'!T21+'[4]골재사업소(누계)'!T21</f>
        <v>105433</v>
      </c>
      <c r="U21" s="232">
        <f t="shared" si="4"/>
        <v>-17114.096783764238</v>
      </c>
      <c r="V21" s="231">
        <f>+'골재사업소(당월)'!V21+'[4]골재사업소(누계)'!V21</f>
        <v>86194.048440976418</v>
      </c>
      <c r="W21" s="381">
        <f>+'골재사업소(당월)'!W21+'[4]골재사업소(누계)'!W21</f>
        <v>76499</v>
      </c>
      <c r="X21" s="230">
        <f t="shared" si="5"/>
        <v>-9695.0484409764176</v>
      </c>
      <c r="Y21" s="231">
        <f>+'골재사업소(당월)'!Y21+'[4]골재사업소(누계)'!Y21</f>
        <v>0</v>
      </c>
      <c r="Z21" s="381">
        <f>+'골재사업소(당월)'!Z21+'[4]골재사업소(누계)'!Z21</f>
        <v>0</v>
      </c>
      <c r="AA21" s="230">
        <f t="shared" si="6"/>
        <v>0</v>
      </c>
      <c r="AB21" s="407">
        <f t="shared" ref="AB21:AB32" si="11">+S21+V21+Y21</f>
        <v>208741.14522474067</v>
      </c>
      <c r="AC21" s="381">
        <f t="shared" ref="AC21:AC32" si="12">+T21+W21+Z21</f>
        <v>181932</v>
      </c>
      <c r="AD21" s="408">
        <f t="shared" si="7"/>
        <v>-26809.145224740671</v>
      </c>
      <c r="AE21" s="230">
        <f>+'골재사업소(당월)'!AE21+'[4]골재사업소(누계)'!AE21</f>
        <v>48679.508660776584</v>
      </c>
      <c r="AF21" s="381">
        <f>+'골재사업소(당월)'!AF21+'[4]골재사업소(누계)'!AF21</f>
        <v>46863</v>
      </c>
      <c r="AG21" s="230">
        <f t="shared" si="8"/>
        <v>-1816.5086607765843</v>
      </c>
      <c r="AH21" s="407">
        <f t="shared" ref="AH21:AI26" si="13">+P21+AB21+AE21</f>
        <v>257420.65388551727</v>
      </c>
      <c r="AI21" s="381">
        <f t="shared" si="13"/>
        <v>233003</v>
      </c>
      <c r="AJ21" s="408">
        <f t="shared" si="9"/>
        <v>-24417.653885517269</v>
      </c>
      <c r="AL21" s="594" t="b">
        <f>+AL20=AL20</f>
        <v>1</v>
      </c>
      <c r="AM21" s="594" t="b">
        <f>+AM20=AI20</f>
        <v>1</v>
      </c>
    </row>
    <row r="22" spans="4:39" ht="24" customHeight="1" x14ac:dyDescent="0.3">
      <c r="D22" s="76"/>
      <c r="E22" s="165" t="s">
        <v>0</v>
      </c>
      <c r="F22" s="220" t="s">
        <v>26</v>
      </c>
      <c r="G22" s="225">
        <f>+'골재사업소(당월)'!G22+'[4]골재사업소(누계)'!G22</f>
        <v>116889.20000000001</v>
      </c>
      <c r="H22" s="384">
        <f>+'골재사업소(당월)'!H22+'[4]골재사업소(누계)'!H22</f>
        <v>84316</v>
      </c>
      <c r="I22" s="228">
        <f t="shared" si="0"/>
        <v>-32573.200000000012</v>
      </c>
      <c r="J22" s="227">
        <f>+'골재사업소(당월)'!J22+'[4]골재사업소(누계)'!J22</f>
        <v>9225.2666666666664</v>
      </c>
      <c r="K22" s="384">
        <f>+'골재사업소(당월)'!K22+'[4]골재사업소(누계)'!K22</f>
        <v>640</v>
      </c>
      <c r="L22" s="226">
        <f t="shared" si="1"/>
        <v>-8585.2666666666664</v>
      </c>
      <c r="M22" s="227">
        <f>+'골재사업소(당월)'!M22+'[4]골재사업소(누계)'!M22</f>
        <v>0</v>
      </c>
      <c r="N22" s="384">
        <f>+'골재사업소(당월)'!N22+'[4]골재사업소(누계)'!N22</f>
        <v>0</v>
      </c>
      <c r="O22" s="226">
        <f t="shared" si="2"/>
        <v>0</v>
      </c>
      <c r="P22" s="413">
        <f t="shared" si="10"/>
        <v>126114.46666666667</v>
      </c>
      <c r="Q22" s="384">
        <f t="shared" si="10"/>
        <v>84956</v>
      </c>
      <c r="R22" s="414">
        <f t="shared" si="3"/>
        <v>-41158.466666666674</v>
      </c>
      <c r="S22" s="225">
        <f>+'골재사업소(당월)'!S22+'[4]골재사업소(누계)'!S22</f>
        <v>0</v>
      </c>
      <c r="T22" s="384">
        <f>+'골재사업소(당월)'!T22+'[4]골재사업소(누계)'!T22</f>
        <v>26288</v>
      </c>
      <c r="U22" s="228">
        <f t="shared" si="4"/>
        <v>26288</v>
      </c>
      <c r="V22" s="227">
        <f>+'골재사업소(당월)'!V22+'[4]골재사업소(누계)'!V22</f>
        <v>24325.725806451617</v>
      </c>
      <c r="W22" s="384">
        <f>+'골재사업소(당월)'!W22+'[4]골재사업소(누계)'!W22</f>
        <v>46240</v>
      </c>
      <c r="X22" s="226">
        <f t="shared" si="5"/>
        <v>21914.274193548383</v>
      </c>
      <c r="Y22" s="227">
        <f>+'골재사업소(당월)'!Y22+'[4]골재사업소(누계)'!Y22</f>
        <v>0</v>
      </c>
      <c r="Z22" s="384">
        <f>+'골재사업소(당월)'!Z22+'[4]골재사업소(누계)'!Z22</f>
        <v>0</v>
      </c>
      <c r="AA22" s="226">
        <f t="shared" si="6"/>
        <v>0</v>
      </c>
      <c r="AB22" s="413">
        <f t="shared" si="11"/>
        <v>24325.725806451617</v>
      </c>
      <c r="AC22" s="384">
        <f t="shared" si="12"/>
        <v>72528</v>
      </c>
      <c r="AD22" s="414">
        <f t="shared" si="7"/>
        <v>48202.274193548379</v>
      </c>
      <c r="AE22" s="226">
        <f>+'골재사업소(당월)'!AE22+'[4]골재사업소(누계)'!AE22</f>
        <v>43117.146853146856</v>
      </c>
      <c r="AF22" s="384">
        <f>+'골재사업소(당월)'!AF22+'[4]골재사업소(누계)'!AF22</f>
        <v>25904</v>
      </c>
      <c r="AG22" s="226">
        <f t="shared" si="8"/>
        <v>-17213.146853146856</v>
      </c>
      <c r="AH22" s="413">
        <f t="shared" si="13"/>
        <v>193557.33932626515</v>
      </c>
      <c r="AI22" s="384">
        <f t="shared" si="13"/>
        <v>183388</v>
      </c>
      <c r="AJ22" s="414">
        <f t="shared" si="9"/>
        <v>-10169.339326265152</v>
      </c>
      <c r="AL22" s="98">
        <f>+AL20-AL20</f>
        <v>0</v>
      </c>
      <c r="AM22" s="98">
        <f>+AI20-AM20</f>
        <v>0</v>
      </c>
    </row>
    <row r="23" spans="4:39" ht="24" customHeight="1" x14ac:dyDescent="0.3">
      <c r="D23" s="76"/>
      <c r="E23" s="165"/>
      <c r="F23" s="220" t="s">
        <v>27</v>
      </c>
      <c r="G23" s="225">
        <f>+'골재사업소(당월)'!G23+'[4]골재사업소(누계)'!G23</f>
        <v>9517.3333333333339</v>
      </c>
      <c r="H23" s="384">
        <f>+'골재사업소(당월)'!H23+'[4]골재사업소(누계)'!H23</f>
        <v>6704</v>
      </c>
      <c r="I23" s="228">
        <f t="shared" si="0"/>
        <v>-2813.3333333333339</v>
      </c>
      <c r="J23" s="227">
        <f>+'골재사업소(당월)'!J23+'[4]골재사업소(누계)'!J23</f>
        <v>0</v>
      </c>
      <c r="K23" s="384">
        <f>+'골재사업소(당월)'!K23+'[4]골재사업소(누계)'!K23</f>
        <v>0</v>
      </c>
      <c r="L23" s="226">
        <f t="shared" si="1"/>
        <v>0</v>
      </c>
      <c r="M23" s="227">
        <f>+'골재사업소(당월)'!M23+'[4]골재사업소(누계)'!M23</f>
        <v>0</v>
      </c>
      <c r="N23" s="384">
        <f>+'골재사업소(당월)'!N23+'[4]골재사업소(누계)'!N23</f>
        <v>0</v>
      </c>
      <c r="O23" s="226">
        <f t="shared" si="2"/>
        <v>0</v>
      </c>
      <c r="P23" s="413">
        <f t="shared" si="10"/>
        <v>9517.3333333333339</v>
      </c>
      <c r="Q23" s="384">
        <f t="shared" si="10"/>
        <v>6704</v>
      </c>
      <c r="R23" s="414">
        <f t="shared" si="3"/>
        <v>-2813.3333333333339</v>
      </c>
      <c r="S23" s="225">
        <f>+'골재사업소(당월)'!S23+'[4]골재사업소(누계)'!S23</f>
        <v>0</v>
      </c>
      <c r="T23" s="384">
        <f>+'골재사업소(당월)'!T23+'[4]골재사업소(누계)'!T23</f>
        <v>0</v>
      </c>
      <c r="U23" s="228">
        <f t="shared" si="4"/>
        <v>0</v>
      </c>
      <c r="V23" s="227">
        <f>+'골재사업소(당월)'!V23+'[4]골재사업소(누계)'!V23</f>
        <v>0</v>
      </c>
      <c r="W23" s="384">
        <f>+'골재사업소(당월)'!W23+'[4]골재사업소(누계)'!W23</f>
        <v>0</v>
      </c>
      <c r="X23" s="226">
        <f t="shared" si="5"/>
        <v>0</v>
      </c>
      <c r="Y23" s="227">
        <f>+'골재사업소(당월)'!Y23+'[4]골재사업소(누계)'!Y23</f>
        <v>0</v>
      </c>
      <c r="Z23" s="384">
        <f>+'골재사업소(당월)'!Z23+'[4]골재사업소(누계)'!Z23</f>
        <v>0</v>
      </c>
      <c r="AA23" s="226">
        <f t="shared" si="6"/>
        <v>0</v>
      </c>
      <c r="AB23" s="413">
        <f t="shared" si="11"/>
        <v>0</v>
      </c>
      <c r="AC23" s="384">
        <f t="shared" si="12"/>
        <v>0</v>
      </c>
      <c r="AD23" s="414">
        <f t="shared" si="7"/>
        <v>0</v>
      </c>
      <c r="AE23" s="226">
        <f>+'골재사업소(당월)'!AE23+'[4]골재사업소(누계)'!AE23</f>
        <v>28566.433566433567</v>
      </c>
      <c r="AF23" s="384">
        <f>+'골재사업소(당월)'!AF23+'[4]골재사업소(누계)'!AF23</f>
        <v>0</v>
      </c>
      <c r="AG23" s="226">
        <f t="shared" si="8"/>
        <v>-28566.433566433567</v>
      </c>
      <c r="AH23" s="413">
        <f t="shared" si="13"/>
        <v>38083.766899766902</v>
      </c>
      <c r="AI23" s="384">
        <f t="shared" si="13"/>
        <v>6704</v>
      </c>
      <c r="AJ23" s="414">
        <f t="shared" si="9"/>
        <v>-31379.766899766902</v>
      </c>
    </row>
    <row r="24" spans="4:39" ht="24" customHeight="1" x14ac:dyDescent="0.3">
      <c r="D24" s="76"/>
      <c r="E24" s="165"/>
      <c r="F24" s="220" t="s">
        <v>28</v>
      </c>
      <c r="G24" s="225">
        <f>+'골재사업소(당월)'!G24+'[4]골재사업소(누계)'!G24</f>
        <v>0</v>
      </c>
      <c r="H24" s="384">
        <f>+'골재사업소(당월)'!H24+'[4]골재사업소(누계)'!H24</f>
        <v>0</v>
      </c>
      <c r="I24" s="228">
        <f t="shared" si="0"/>
        <v>0</v>
      </c>
      <c r="J24" s="227">
        <f>+'골재사업소(당월)'!J24+'[4]골재사업소(누계)'!J24</f>
        <v>0</v>
      </c>
      <c r="K24" s="384">
        <f>+'골재사업소(당월)'!K24+'[4]골재사업소(누계)'!K24</f>
        <v>0</v>
      </c>
      <c r="L24" s="226">
        <f t="shared" si="1"/>
        <v>0</v>
      </c>
      <c r="M24" s="227">
        <f>+'골재사업소(당월)'!M24+'[4]골재사업소(누계)'!M24</f>
        <v>0</v>
      </c>
      <c r="N24" s="384">
        <f>+'골재사업소(당월)'!N24+'[4]골재사업소(누계)'!N24</f>
        <v>0</v>
      </c>
      <c r="O24" s="226">
        <f t="shared" si="2"/>
        <v>0</v>
      </c>
      <c r="P24" s="413">
        <f t="shared" si="10"/>
        <v>0</v>
      </c>
      <c r="Q24" s="384">
        <f t="shared" si="10"/>
        <v>0</v>
      </c>
      <c r="R24" s="414">
        <f t="shared" si="3"/>
        <v>0</v>
      </c>
      <c r="S24" s="225">
        <f>+'골재사업소(당월)'!S24+'[4]골재사업소(누계)'!S24</f>
        <v>0</v>
      </c>
      <c r="T24" s="384">
        <f>+'골재사업소(당월)'!T24+'[4]골재사업소(누계)'!T24</f>
        <v>0</v>
      </c>
      <c r="U24" s="228">
        <f t="shared" si="4"/>
        <v>0</v>
      </c>
      <c r="V24" s="227">
        <f>+'골재사업소(당월)'!V24+'[4]골재사업소(누계)'!V24</f>
        <v>0</v>
      </c>
      <c r="W24" s="384">
        <f>+'골재사업소(당월)'!W24+'[4]골재사업소(누계)'!W24</f>
        <v>5808</v>
      </c>
      <c r="X24" s="226">
        <f t="shared" si="5"/>
        <v>5808</v>
      </c>
      <c r="Y24" s="227">
        <f>+'골재사업소(당월)'!Y24+'[4]골재사업소(누계)'!Y24</f>
        <v>0</v>
      </c>
      <c r="Z24" s="384">
        <f>+'골재사업소(당월)'!Z24+'[4]골재사업소(누계)'!Z24</f>
        <v>0</v>
      </c>
      <c r="AA24" s="226">
        <f t="shared" si="6"/>
        <v>0</v>
      </c>
      <c r="AB24" s="413">
        <f t="shared" si="11"/>
        <v>0</v>
      </c>
      <c r="AC24" s="384">
        <f t="shared" si="12"/>
        <v>5808</v>
      </c>
      <c r="AD24" s="414">
        <f t="shared" si="7"/>
        <v>5808</v>
      </c>
      <c r="AE24" s="226">
        <f>+'골재사업소(당월)'!AE24+'[4]골재사업소(누계)'!AE24</f>
        <v>44237.202797202801</v>
      </c>
      <c r="AF24" s="384">
        <f>+'골재사업소(당월)'!AF24+'[4]골재사업소(누계)'!AF24</f>
        <v>0</v>
      </c>
      <c r="AG24" s="226">
        <f t="shared" si="8"/>
        <v>-44237.202797202801</v>
      </c>
      <c r="AH24" s="413">
        <f t="shared" si="13"/>
        <v>44237.202797202801</v>
      </c>
      <c r="AI24" s="384">
        <f t="shared" si="13"/>
        <v>5808</v>
      </c>
      <c r="AJ24" s="414">
        <f t="shared" si="9"/>
        <v>-38429.202797202801</v>
      </c>
    </row>
    <row r="25" spans="4:39" ht="24" customHeight="1" x14ac:dyDescent="0.3">
      <c r="D25" s="76"/>
      <c r="E25" s="165"/>
      <c r="F25" s="220" t="s">
        <v>29</v>
      </c>
      <c r="G25" s="225">
        <f>+'골재사업소(당월)'!G25+'[4]골재사업소(누계)'!G25</f>
        <v>0</v>
      </c>
      <c r="H25" s="384">
        <f>+'골재사업소(당월)'!H25+'[4]골재사업소(누계)'!H25</f>
        <v>0</v>
      </c>
      <c r="I25" s="228">
        <f t="shared" si="0"/>
        <v>0</v>
      </c>
      <c r="J25" s="227">
        <f>+'골재사업소(당월)'!J25+'[4]골재사업소(누계)'!J25</f>
        <v>4053.8868799999991</v>
      </c>
      <c r="K25" s="384">
        <f>+'골재사업소(당월)'!K25+'[4]골재사업소(누계)'!K25</f>
        <v>1216</v>
      </c>
      <c r="L25" s="226">
        <f t="shared" si="1"/>
        <v>-2837.8868799999991</v>
      </c>
      <c r="M25" s="227">
        <f>+'골재사업소(당월)'!M25+'[4]골재사업소(누계)'!M25</f>
        <v>0</v>
      </c>
      <c r="N25" s="384">
        <f>+'골재사업소(당월)'!N25+'[4]골재사업소(누계)'!N25</f>
        <v>0</v>
      </c>
      <c r="O25" s="226">
        <f t="shared" si="2"/>
        <v>0</v>
      </c>
      <c r="P25" s="413">
        <f t="shared" si="10"/>
        <v>4053.8868799999991</v>
      </c>
      <c r="Q25" s="384">
        <f t="shared" si="10"/>
        <v>1216</v>
      </c>
      <c r="R25" s="414">
        <f t="shared" si="3"/>
        <v>-2837.8868799999991</v>
      </c>
      <c r="S25" s="225">
        <f>+'골재사업소(당월)'!S25+'[4]골재사업소(누계)'!S25</f>
        <v>0</v>
      </c>
      <c r="T25" s="384">
        <f>+'골재사업소(당월)'!T25+'[4]골재사업소(누계)'!T25</f>
        <v>0</v>
      </c>
      <c r="U25" s="228">
        <f t="shared" si="4"/>
        <v>0</v>
      </c>
      <c r="V25" s="227">
        <f>+'골재사업소(당월)'!V25+'[4]골재사업소(누계)'!V25</f>
        <v>0</v>
      </c>
      <c r="W25" s="384">
        <f>+'골재사업소(당월)'!W25+'[4]골재사업소(누계)'!W25</f>
        <v>240</v>
      </c>
      <c r="X25" s="226">
        <f t="shared" si="5"/>
        <v>240</v>
      </c>
      <c r="Y25" s="227">
        <f>+'골재사업소(당월)'!Y25+'[4]골재사업소(누계)'!Y25</f>
        <v>0</v>
      </c>
      <c r="Z25" s="384">
        <f>+'골재사업소(당월)'!Z25+'[4]골재사업소(누계)'!Z25</f>
        <v>0</v>
      </c>
      <c r="AA25" s="226">
        <f t="shared" si="6"/>
        <v>0</v>
      </c>
      <c r="AB25" s="413">
        <f t="shared" si="11"/>
        <v>0</v>
      </c>
      <c r="AC25" s="384">
        <f t="shared" si="12"/>
        <v>240</v>
      </c>
      <c r="AD25" s="414">
        <f t="shared" si="7"/>
        <v>240</v>
      </c>
      <c r="AE25" s="226">
        <f>+'골재사업소(당월)'!AE25+'[4]골재사업소(누계)'!AE25</f>
        <v>13367.426573426574</v>
      </c>
      <c r="AF25" s="384">
        <f>+'골재사업소(당월)'!AF25+'[4]골재사업소(누계)'!AF25</f>
        <v>21248</v>
      </c>
      <c r="AG25" s="226">
        <f t="shared" si="8"/>
        <v>7880.5734265734263</v>
      </c>
      <c r="AH25" s="413">
        <f t="shared" si="13"/>
        <v>17421.313453426574</v>
      </c>
      <c r="AI25" s="384">
        <f t="shared" si="13"/>
        <v>22704</v>
      </c>
      <c r="AJ25" s="414">
        <f t="shared" si="9"/>
        <v>5282.6865465734263</v>
      </c>
    </row>
    <row r="26" spans="4:39" ht="24" customHeight="1" x14ac:dyDescent="0.3">
      <c r="D26" s="76"/>
      <c r="E26" s="165"/>
      <c r="F26" s="220" t="s">
        <v>30</v>
      </c>
      <c r="G26" s="225">
        <f>+'골재사업소(당월)'!G26+'[4]골재사업소(누계)'!G26</f>
        <v>6192.3333333333339</v>
      </c>
      <c r="H26" s="384">
        <f>+'골재사업소(당월)'!H26+'[4]골재사업소(누계)'!H26</f>
        <v>3504</v>
      </c>
      <c r="I26" s="228">
        <f t="shared" si="0"/>
        <v>-2688.3333333333339</v>
      </c>
      <c r="J26" s="227">
        <f>+'골재사업소(당월)'!J26+'[4]골재사업소(누계)'!J26</f>
        <v>3581.6000000000004</v>
      </c>
      <c r="K26" s="384">
        <f>+'골재사업소(당월)'!K26+'[4]골재사업소(누계)'!K26</f>
        <v>240</v>
      </c>
      <c r="L26" s="226">
        <f t="shared" si="1"/>
        <v>-3341.6000000000004</v>
      </c>
      <c r="M26" s="227">
        <f>+'골재사업소(당월)'!M26+'[4]골재사업소(누계)'!M26</f>
        <v>0</v>
      </c>
      <c r="N26" s="384">
        <f>+'골재사업소(당월)'!N26+'[4]골재사업소(누계)'!N26</f>
        <v>0</v>
      </c>
      <c r="O26" s="226">
        <f t="shared" si="2"/>
        <v>0</v>
      </c>
      <c r="P26" s="413">
        <f t="shared" si="10"/>
        <v>9773.9333333333343</v>
      </c>
      <c r="Q26" s="382">
        <f t="shared" si="10"/>
        <v>3744</v>
      </c>
      <c r="R26" s="432">
        <f t="shared" si="3"/>
        <v>-6029.9333333333343</v>
      </c>
      <c r="S26" s="225">
        <f>+'골재사업소(당월)'!S26+'[4]골재사업소(누계)'!S26</f>
        <v>0</v>
      </c>
      <c r="T26" s="384">
        <f>+'골재사업소(당월)'!T26+'[4]골재사업소(누계)'!T26</f>
        <v>0</v>
      </c>
      <c r="U26" s="228">
        <f t="shared" si="4"/>
        <v>0</v>
      </c>
      <c r="V26" s="227">
        <f>+'골재사업소(당월)'!V26+'[4]골재사업소(누계)'!V26</f>
        <v>0</v>
      </c>
      <c r="W26" s="384">
        <f>+'골재사업소(당월)'!W26+'[4]골재사업소(누계)'!W26</f>
        <v>0</v>
      </c>
      <c r="X26" s="226">
        <f t="shared" si="5"/>
        <v>0</v>
      </c>
      <c r="Y26" s="227">
        <f>+'골재사업소(당월)'!Y26+'[4]골재사업소(누계)'!Y26</f>
        <v>0</v>
      </c>
      <c r="Z26" s="384">
        <f>+'골재사업소(당월)'!Z26+'[4]골재사업소(누계)'!Z26</f>
        <v>0</v>
      </c>
      <c r="AA26" s="226">
        <f t="shared" si="6"/>
        <v>0</v>
      </c>
      <c r="AB26" s="413">
        <f t="shared" si="11"/>
        <v>0</v>
      </c>
      <c r="AC26" s="382">
        <f t="shared" si="12"/>
        <v>0</v>
      </c>
      <c r="AD26" s="432">
        <f t="shared" si="7"/>
        <v>0</v>
      </c>
      <c r="AE26" s="226">
        <f>+'골재사업소(당월)'!AE26+'[4]골재사업소(누계)'!AE26</f>
        <v>0</v>
      </c>
      <c r="AF26" s="384">
        <f>+'골재사업소(당월)'!AF26+'[4]골재사업소(누계)'!AF26</f>
        <v>0</v>
      </c>
      <c r="AG26" s="226">
        <f t="shared" si="8"/>
        <v>0</v>
      </c>
      <c r="AH26" s="413">
        <f t="shared" si="13"/>
        <v>9773.9333333333343</v>
      </c>
      <c r="AI26" s="382">
        <f t="shared" si="13"/>
        <v>3744</v>
      </c>
      <c r="AJ26" s="414">
        <f t="shared" si="9"/>
        <v>-6029.9333333333343</v>
      </c>
    </row>
    <row r="27" spans="4:39" ht="24" customHeight="1" x14ac:dyDescent="0.3">
      <c r="D27" s="76"/>
      <c r="E27" s="224" t="s">
        <v>132</v>
      </c>
      <c r="F27" s="223" t="s">
        <v>25</v>
      </c>
      <c r="G27" s="191">
        <f t="shared" ref="G27:G32" si="14">IFERROR(G35/G21,)*1000</f>
        <v>0</v>
      </c>
      <c r="H27" s="385">
        <f t="shared" ref="H27:H32" si="15">IFERROR(H35/H21,)*1000</f>
        <v>12500</v>
      </c>
      <c r="I27" s="192">
        <f t="shared" si="0"/>
        <v>12500</v>
      </c>
      <c r="J27" s="222">
        <f t="shared" ref="J27:K32" si="16">IFERROR(J35/J21,)*1000</f>
        <v>0</v>
      </c>
      <c r="K27" s="385">
        <f t="shared" si="16"/>
        <v>0</v>
      </c>
      <c r="L27" s="204">
        <f t="shared" si="1"/>
        <v>0</v>
      </c>
      <c r="M27" s="222">
        <f t="shared" ref="M27:N32" si="17">IFERROR(M35/M21,)*1000</f>
        <v>0</v>
      </c>
      <c r="N27" s="385">
        <f t="shared" si="17"/>
        <v>0</v>
      </c>
      <c r="O27" s="204">
        <f t="shared" si="2"/>
        <v>0</v>
      </c>
      <c r="P27" s="427">
        <f>+IFERROR(HLOOKUP($A$1,[14]손익!$G$5:$AB$252,48,),)</f>
        <v>9000</v>
      </c>
      <c r="Q27" s="423">
        <f t="shared" ref="Q27:Q32" si="18">IFERROR(Q35/Q21,)*1000</f>
        <v>12500</v>
      </c>
      <c r="R27" s="433">
        <f t="shared" si="3"/>
        <v>3500</v>
      </c>
      <c r="S27" s="191">
        <f t="shared" ref="S27:T32" si="19">IFERROR(S35/S21,)*1000</f>
        <v>16000</v>
      </c>
      <c r="T27" s="385">
        <f t="shared" si="19"/>
        <v>17500</v>
      </c>
      <c r="U27" s="192">
        <f t="shared" si="4"/>
        <v>1500</v>
      </c>
      <c r="V27" s="222">
        <f t="shared" ref="V27:W32" si="20">IFERROR(V35/V21,)*1000</f>
        <v>23000.000000000004</v>
      </c>
      <c r="W27" s="385">
        <f t="shared" si="20"/>
        <v>23500</v>
      </c>
      <c r="X27" s="204">
        <f t="shared" si="5"/>
        <v>499.99999999999636</v>
      </c>
      <c r="Y27" s="222">
        <f t="shared" ref="Y27:Z32" si="21">IFERROR(Y35/Y21,)*1000</f>
        <v>0</v>
      </c>
      <c r="Z27" s="385">
        <f t="shared" si="21"/>
        <v>0</v>
      </c>
      <c r="AA27" s="204">
        <f t="shared" si="6"/>
        <v>0</v>
      </c>
      <c r="AB27" s="427">
        <f t="shared" si="11"/>
        <v>39000</v>
      </c>
      <c r="AC27" s="423">
        <f t="shared" si="12"/>
        <v>41000</v>
      </c>
      <c r="AD27" s="433">
        <f t="shared" si="7"/>
        <v>2000</v>
      </c>
      <c r="AE27" s="204">
        <f t="shared" ref="AE27:AF32" si="22">IFERROR(AE35/AE21,)*1000</f>
        <v>31264.078522891261</v>
      </c>
      <c r="AF27" s="385">
        <f t="shared" si="22"/>
        <v>32085.57710773958</v>
      </c>
      <c r="AG27" s="204">
        <f t="shared" si="8"/>
        <v>821.4985848483193</v>
      </c>
      <c r="AH27" s="415">
        <f t="shared" ref="AH27:AH32" si="23">+AH35/AH21*1000</f>
        <v>21230.373559456038</v>
      </c>
      <c r="AI27" s="385">
        <f t="shared" ref="AI27:AI32" si="24">IFERROR(AI35/AI21,)*1000</f>
        <v>22313.147899383272</v>
      </c>
      <c r="AJ27" s="416">
        <f t="shared" si="9"/>
        <v>1082.7743399272331</v>
      </c>
    </row>
    <row r="28" spans="4:39" ht="24" customHeight="1" x14ac:dyDescent="0.3">
      <c r="D28" s="76"/>
      <c r="E28" s="165" t="s">
        <v>131</v>
      </c>
      <c r="F28" s="220" t="s">
        <v>26</v>
      </c>
      <c r="G28" s="189">
        <f t="shared" si="14"/>
        <v>16000</v>
      </c>
      <c r="H28" s="95">
        <f t="shared" si="15"/>
        <v>17000</v>
      </c>
      <c r="I28" s="190">
        <f t="shared" si="0"/>
        <v>1000</v>
      </c>
      <c r="J28" s="219">
        <f t="shared" si="16"/>
        <v>19816.496722768625</v>
      </c>
      <c r="K28" s="95">
        <f t="shared" si="16"/>
        <v>10500</v>
      </c>
      <c r="L28" s="195">
        <f t="shared" si="1"/>
        <v>-9316.4967227686247</v>
      </c>
      <c r="M28" s="219">
        <f t="shared" si="17"/>
        <v>0</v>
      </c>
      <c r="N28" s="95">
        <f t="shared" si="17"/>
        <v>0</v>
      </c>
      <c r="O28" s="195">
        <f t="shared" si="2"/>
        <v>0</v>
      </c>
      <c r="P28" s="428">
        <f>+IFERROR(HLOOKUP($A$1,[14]손익!$G$5:$AB$252,49,),)</f>
        <v>10555.727554179568</v>
      </c>
      <c r="Q28" s="424">
        <f t="shared" si="18"/>
        <v>16951.033476152363</v>
      </c>
      <c r="R28" s="434">
        <f t="shared" si="3"/>
        <v>6395.3059219727947</v>
      </c>
      <c r="S28" s="189">
        <f t="shared" si="19"/>
        <v>0</v>
      </c>
      <c r="T28" s="95">
        <f t="shared" si="19"/>
        <v>12000</v>
      </c>
      <c r="U28" s="190">
        <f t="shared" si="4"/>
        <v>12000</v>
      </c>
      <c r="V28" s="219">
        <f t="shared" si="20"/>
        <v>19000</v>
      </c>
      <c r="W28" s="95">
        <f t="shared" si="20"/>
        <v>19294.809688581314</v>
      </c>
      <c r="X28" s="195">
        <f t="shared" si="5"/>
        <v>294.80968858131382</v>
      </c>
      <c r="Y28" s="219">
        <f t="shared" si="21"/>
        <v>0</v>
      </c>
      <c r="Z28" s="95">
        <f t="shared" si="21"/>
        <v>0</v>
      </c>
      <c r="AA28" s="195">
        <f t="shared" si="6"/>
        <v>0</v>
      </c>
      <c r="AB28" s="428">
        <f t="shared" si="11"/>
        <v>19000</v>
      </c>
      <c r="AC28" s="424">
        <f t="shared" si="12"/>
        <v>31294.809688581314</v>
      </c>
      <c r="AD28" s="434">
        <f t="shared" si="7"/>
        <v>12294.809688581314</v>
      </c>
      <c r="AE28" s="195">
        <f t="shared" si="22"/>
        <v>28000</v>
      </c>
      <c r="AF28" s="95">
        <f t="shared" si="22"/>
        <v>27903.927733168624</v>
      </c>
      <c r="AG28" s="195">
        <f t="shared" si="8"/>
        <v>-96.0722668313756</v>
      </c>
      <c r="AH28" s="417">
        <f t="shared" si="23"/>
        <v>19232.071394630017</v>
      </c>
      <c r="AI28" s="95">
        <f t="shared" si="24"/>
        <v>18379.410561214474</v>
      </c>
      <c r="AJ28" s="418">
        <f t="shared" si="9"/>
        <v>-852.66083341554258</v>
      </c>
    </row>
    <row r="29" spans="4:39" ht="24" customHeight="1" x14ac:dyDescent="0.3">
      <c r="D29" s="76"/>
      <c r="E29" s="165"/>
      <c r="F29" s="220" t="s">
        <v>27</v>
      </c>
      <c r="G29" s="189">
        <f t="shared" si="14"/>
        <v>9999.9999999999982</v>
      </c>
      <c r="H29" s="95">
        <f t="shared" si="15"/>
        <v>11500</v>
      </c>
      <c r="I29" s="190">
        <f t="shared" si="0"/>
        <v>1500.0000000000018</v>
      </c>
      <c r="J29" s="219">
        <f t="shared" si="16"/>
        <v>0</v>
      </c>
      <c r="K29" s="95">
        <f t="shared" si="16"/>
        <v>0</v>
      </c>
      <c r="L29" s="195">
        <f t="shared" si="1"/>
        <v>0</v>
      </c>
      <c r="M29" s="219">
        <f t="shared" si="17"/>
        <v>0</v>
      </c>
      <c r="N29" s="95">
        <f t="shared" si="17"/>
        <v>0</v>
      </c>
      <c r="O29" s="195">
        <f t="shared" si="2"/>
        <v>0</v>
      </c>
      <c r="P29" s="429">
        <f>+IFERROR(HLOOKUP($A$1,[14]손익!$G$5:$AB$252,50,),)</f>
        <v>0</v>
      </c>
      <c r="Q29" s="425">
        <f t="shared" si="18"/>
        <v>11500</v>
      </c>
      <c r="R29" s="434">
        <f t="shared" si="3"/>
        <v>11500</v>
      </c>
      <c r="S29" s="189">
        <f t="shared" si="19"/>
        <v>0</v>
      </c>
      <c r="T29" s="95">
        <f t="shared" si="19"/>
        <v>0</v>
      </c>
      <c r="U29" s="190">
        <f t="shared" si="4"/>
        <v>0</v>
      </c>
      <c r="V29" s="219">
        <f t="shared" si="20"/>
        <v>0</v>
      </c>
      <c r="W29" s="95">
        <f t="shared" si="20"/>
        <v>0</v>
      </c>
      <c r="X29" s="195">
        <f t="shared" si="5"/>
        <v>0</v>
      </c>
      <c r="Y29" s="219">
        <f t="shared" si="21"/>
        <v>0</v>
      </c>
      <c r="Z29" s="95">
        <f t="shared" si="21"/>
        <v>0</v>
      </c>
      <c r="AA29" s="195">
        <f t="shared" si="6"/>
        <v>0</v>
      </c>
      <c r="AB29" s="429">
        <f t="shared" si="11"/>
        <v>0</v>
      </c>
      <c r="AC29" s="425">
        <f t="shared" si="12"/>
        <v>0</v>
      </c>
      <c r="AD29" s="434">
        <f t="shared" si="7"/>
        <v>0</v>
      </c>
      <c r="AE29" s="195">
        <f t="shared" si="22"/>
        <v>27499.999999999996</v>
      </c>
      <c r="AF29" s="95">
        <f t="shared" si="22"/>
        <v>0</v>
      </c>
      <c r="AG29" s="195">
        <f t="shared" si="8"/>
        <v>-27499.999999999996</v>
      </c>
      <c r="AH29" s="417">
        <f t="shared" si="23"/>
        <v>23126.658104181581</v>
      </c>
      <c r="AI29" s="95">
        <f t="shared" si="24"/>
        <v>100381.85202863961</v>
      </c>
      <c r="AJ29" s="418">
        <f t="shared" si="9"/>
        <v>77255.193924458028</v>
      </c>
    </row>
    <row r="30" spans="4:39" ht="24" customHeight="1" x14ac:dyDescent="0.3">
      <c r="D30" s="76"/>
      <c r="E30" s="165"/>
      <c r="F30" s="220" t="s">
        <v>28</v>
      </c>
      <c r="G30" s="189">
        <f t="shared" si="14"/>
        <v>0</v>
      </c>
      <c r="H30" s="95">
        <f t="shared" si="15"/>
        <v>0</v>
      </c>
      <c r="I30" s="190">
        <f t="shared" si="0"/>
        <v>0</v>
      </c>
      <c r="J30" s="219">
        <f t="shared" si="16"/>
        <v>0</v>
      </c>
      <c r="K30" s="95">
        <f t="shared" si="16"/>
        <v>0</v>
      </c>
      <c r="L30" s="195">
        <f t="shared" si="1"/>
        <v>0</v>
      </c>
      <c r="M30" s="219">
        <f t="shared" si="17"/>
        <v>0</v>
      </c>
      <c r="N30" s="95">
        <f t="shared" si="17"/>
        <v>0</v>
      </c>
      <c r="O30" s="195">
        <f t="shared" si="2"/>
        <v>0</v>
      </c>
      <c r="P30" s="429">
        <f>+IFERROR(HLOOKUP($A$1,[14]손익!$G$5:$AB$252,51,),)</f>
        <v>16473.826106492925</v>
      </c>
      <c r="Q30" s="55">
        <f t="shared" si="18"/>
        <v>0</v>
      </c>
      <c r="R30" s="435">
        <f t="shared" si="3"/>
        <v>-16473.826106492925</v>
      </c>
      <c r="S30" s="189">
        <f t="shared" si="19"/>
        <v>0</v>
      </c>
      <c r="T30" s="95">
        <f t="shared" si="19"/>
        <v>0</v>
      </c>
      <c r="U30" s="190">
        <f t="shared" si="4"/>
        <v>0</v>
      </c>
      <c r="V30" s="219">
        <f t="shared" si="20"/>
        <v>0</v>
      </c>
      <c r="W30" s="95">
        <f t="shared" si="20"/>
        <v>18440.771349862262</v>
      </c>
      <c r="X30" s="195">
        <f t="shared" si="5"/>
        <v>18440.771349862262</v>
      </c>
      <c r="Y30" s="219">
        <f t="shared" si="21"/>
        <v>0</v>
      </c>
      <c r="Z30" s="95">
        <f t="shared" si="21"/>
        <v>0</v>
      </c>
      <c r="AA30" s="195">
        <f t="shared" si="6"/>
        <v>0</v>
      </c>
      <c r="AB30" s="429">
        <f t="shared" si="11"/>
        <v>0</v>
      </c>
      <c r="AC30" s="55">
        <f t="shared" si="12"/>
        <v>18440.771349862262</v>
      </c>
      <c r="AD30" s="435">
        <f t="shared" si="7"/>
        <v>18440.771349862262</v>
      </c>
      <c r="AE30" s="195">
        <f t="shared" si="22"/>
        <v>28782.722513089004</v>
      </c>
      <c r="AF30" s="95">
        <f t="shared" si="22"/>
        <v>0</v>
      </c>
      <c r="AG30" s="195">
        <f t="shared" si="8"/>
        <v>-28782.722513089004</v>
      </c>
      <c r="AH30" s="417">
        <f t="shared" si="23"/>
        <v>28782.722513089004</v>
      </c>
      <c r="AI30" s="95">
        <f t="shared" si="24"/>
        <v>202666.73553719008</v>
      </c>
      <c r="AJ30" s="418">
        <f t="shared" si="9"/>
        <v>173884.01302410106</v>
      </c>
    </row>
    <row r="31" spans="4:39" ht="24" customHeight="1" x14ac:dyDescent="0.3">
      <c r="D31" s="76"/>
      <c r="E31" s="165"/>
      <c r="F31" s="220" t="s">
        <v>29</v>
      </c>
      <c r="G31" s="189">
        <f t="shared" si="14"/>
        <v>0</v>
      </c>
      <c r="H31" s="95">
        <f t="shared" si="15"/>
        <v>0</v>
      </c>
      <c r="I31" s="190">
        <f t="shared" si="0"/>
        <v>0</v>
      </c>
      <c r="J31" s="219">
        <f t="shared" si="16"/>
        <v>15000.000000000002</v>
      </c>
      <c r="K31" s="95">
        <f t="shared" si="16"/>
        <v>9000</v>
      </c>
      <c r="L31" s="195">
        <f t="shared" si="1"/>
        <v>-6000.0000000000018</v>
      </c>
      <c r="M31" s="219">
        <f t="shared" si="17"/>
        <v>0</v>
      </c>
      <c r="N31" s="95">
        <f t="shared" si="17"/>
        <v>0</v>
      </c>
      <c r="O31" s="195">
        <f t="shared" si="2"/>
        <v>0</v>
      </c>
      <c r="P31" s="429">
        <f>+IFERROR(HLOOKUP($A$1,[14]손익!$G$5:$AB$252,52,),)</f>
        <v>10000</v>
      </c>
      <c r="Q31" s="55">
        <f t="shared" si="18"/>
        <v>9000</v>
      </c>
      <c r="R31" s="435">
        <f t="shared" si="3"/>
        <v>-1000</v>
      </c>
      <c r="S31" s="189">
        <f t="shared" si="19"/>
        <v>0</v>
      </c>
      <c r="T31" s="95">
        <f t="shared" si="19"/>
        <v>0</v>
      </c>
      <c r="U31" s="190">
        <f t="shared" si="4"/>
        <v>0</v>
      </c>
      <c r="V31" s="219">
        <f t="shared" si="20"/>
        <v>0</v>
      </c>
      <c r="W31" s="95">
        <f t="shared" si="20"/>
        <v>19000</v>
      </c>
      <c r="X31" s="195">
        <f t="shared" si="5"/>
        <v>19000</v>
      </c>
      <c r="Y31" s="219">
        <f t="shared" si="21"/>
        <v>0</v>
      </c>
      <c r="Z31" s="95">
        <f t="shared" si="21"/>
        <v>0</v>
      </c>
      <c r="AA31" s="195">
        <f t="shared" si="6"/>
        <v>0</v>
      </c>
      <c r="AB31" s="429">
        <f t="shared" si="11"/>
        <v>0</v>
      </c>
      <c r="AC31" s="55">
        <f t="shared" si="12"/>
        <v>19000</v>
      </c>
      <c r="AD31" s="435">
        <f t="shared" si="7"/>
        <v>19000</v>
      </c>
      <c r="AE31" s="195">
        <f t="shared" si="22"/>
        <v>28430.871516294177</v>
      </c>
      <c r="AF31" s="95">
        <f t="shared" si="22"/>
        <v>1521.4608433734941</v>
      </c>
      <c r="AG31" s="195">
        <f t="shared" si="8"/>
        <v>-26909.410672920683</v>
      </c>
      <c r="AH31" s="417">
        <f t="shared" si="23"/>
        <v>25305.548389973785</v>
      </c>
      <c r="AI31" s="95">
        <f t="shared" si="24"/>
        <v>2106.7653276955602</v>
      </c>
      <c r="AJ31" s="418">
        <f t="shared" si="9"/>
        <v>-23198.783062278224</v>
      </c>
    </row>
    <row r="32" spans="4:39" ht="24" customHeight="1" thickBot="1" x14ac:dyDescent="0.35">
      <c r="D32" s="76"/>
      <c r="E32" s="217"/>
      <c r="F32" s="216" t="s">
        <v>30</v>
      </c>
      <c r="G32" s="212">
        <f t="shared" si="14"/>
        <v>9999.9999999999982</v>
      </c>
      <c r="H32" s="386">
        <f t="shared" si="15"/>
        <v>11500</v>
      </c>
      <c r="I32" s="215">
        <f t="shared" si="0"/>
        <v>1500.0000000000018</v>
      </c>
      <c r="J32" s="214">
        <f t="shared" si="16"/>
        <v>14999.999999999998</v>
      </c>
      <c r="K32" s="386">
        <f t="shared" si="16"/>
        <v>9000</v>
      </c>
      <c r="L32" s="213">
        <f t="shared" si="1"/>
        <v>-5999.9999999999982</v>
      </c>
      <c r="M32" s="214">
        <f t="shared" si="17"/>
        <v>0</v>
      </c>
      <c r="N32" s="386">
        <f t="shared" si="17"/>
        <v>0</v>
      </c>
      <c r="O32" s="213">
        <f t="shared" si="2"/>
        <v>0</v>
      </c>
      <c r="P32" s="430">
        <f>+IFERROR(HLOOKUP($A$1,[14]손익!$G$5:$AB$252,53,),)</f>
        <v>0</v>
      </c>
      <c r="Q32" s="426">
        <f t="shared" si="18"/>
        <v>11339.74358974359</v>
      </c>
      <c r="R32" s="436">
        <f t="shared" si="3"/>
        <v>11339.74358974359</v>
      </c>
      <c r="S32" s="212">
        <f t="shared" si="19"/>
        <v>0</v>
      </c>
      <c r="T32" s="386">
        <f t="shared" si="19"/>
        <v>0</v>
      </c>
      <c r="U32" s="215">
        <f t="shared" si="4"/>
        <v>0</v>
      </c>
      <c r="V32" s="214">
        <f t="shared" si="20"/>
        <v>0</v>
      </c>
      <c r="W32" s="386">
        <f t="shared" si="20"/>
        <v>0</v>
      </c>
      <c r="X32" s="213">
        <f t="shared" si="5"/>
        <v>0</v>
      </c>
      <c r="Y32" s="214">
        <f t="shared" si="21"/>
        <v>0</v>
      </c>
      <c r="Z32" s="386">
        <f t="shared" si="21"/>
        <v>0</v>
      </c>
      <c r="AA32" s="213">
        <f t="shared" si="6"/>
        <v>0</v>
      </c>
      <c r="AB32" s="430">
        <f t="shared" si="11"/>
        <v>0</v>
      </c>
      <c r="AC32" s="426">
        <f t="shared" si="12"/>
        <v>0</v>
      </c>
      <c r="AD32" s="436">
        <f t="shared" si="7"/>
        <v>0</v>
      </c>
      <c r="AE32" s="213">
        <f t="shared" si="22"/>
        <v>0</v>
      </c>
      <c r="AF32" s="386">
        <f t="shared" si="22"/>
        <v>0</v>
      </c>
      <c r="AG32" s="213">
        <f t="shared" si="8"/>
        <v>0</v>
      </c>
      <c r="AH32" s="419">
        <f t="shared" si="23"/>
        <v>11832.220395746506</v>
      </c>
      <c r="AI32" s="420">
        <f t="shared" si="24"/>
        <v>11339.74358974359</v>
      </c>
      <c r="AJ32" s="421">
        <f t="shared" si="9"/>
        <v>-492.47680600291642</v>
      </c>
    </row>
    <row r="33" spans="5:36" ht="21.95" customHeight="1" thickTop="1" x14ac:dyDescent="0.3">
      <c r="E33" s="6" t="s">
        <v>130</v>
      </c>
      <c r="G33" s="210"/>
      <c r="H33" s="210"/>
      <c r="I33" s="210"/>
      <c r="J33" s="76"/>
      <c r="M33" s="76"/>
      <c r="S33" s="210"/>
      <c r="T33" s="210"/>
      <c r="U33" s="210"/>
      <c r="V33" s="76"/>
      <c r="AE33" s="76"/>
      <c r="AH33" s="76"/>
    </row>
    <row r="34" spans="5:36" ht="21.95" customHeight="1" x14ac:dyDescent="0.3">
      <c r="J34" s="76"/>
      <c r="M34" s="76"/>
      <c r="V34" s="76"/>
      <c r="AE34" s="76"/>
      <c r="AF34" s="6" t="s">
        <v>164</v>
      </c>
      <c r="AH34" s="76"/>
    </row>
    <row r="35" spans="5:36" ht="21.95" customHeight="1" x14ac:dyDescent="0.3">
      <c r="E35" s="26" t="s">
        <v>132</v>
      </c>
      <c r="F35" s="431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52600</v>
      </c>
      <c r="I35" s="6">
        <f t="shared" ref="I35:I41" si="25">+H35-G35</f>
        <v>52600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76">
        <f>+'골재사업소(당월)'!M35+'[4]골재사업소(누계)'!M35</f>
        <v>0</v>
      </c>
      <c r="N35" s="6">
        <f>+'골재사업소(당월)'!N35+'[4]골재사업소(누계)'!N35</f>
        <v>0</v>
      </c>
      <c r="O35" s="6">
        <f>+N35-M35</f>
        <v>0</v>
      </c>
      <c r="P35" s="6">
        <f>SUM(G35,J35,M35)</f>
        <v>0</v>
      </c>
      <c r="Q35" s="6">
        <f>SUM(H35,K35,N35)</f>
        <v>52600</v>
      </c>
      <c r="R35" s="6">
        <f t="shared" ref="R35:R41" si="26">+Q35-P35</f>
        <v>52600</v>
      </c>
      <c r="S35" s="6">
        <f>+'골재사업소(당월)'!S35+'[4]골재사업소(누계)'!S35</f>
        <v>1960753.5485402278</v>
      </c>
      <c r="T35" s="6">
        <f>+'골재사업소(당월)'!T35+'[4]골재사업소(누계)'!T35</f>
        <v>1845077.5</v>
      </c>
      <c r="U35" s="6">
        <f t="shared" ref="U35:U41" si="27">+T35-S35</f>
        <v>-115676.04854022781</v>
      </c>
      <c r="V35" s="76">
        <f>+'골재사업소(당월)'!V35+'[4]골재사업소(누계)'!V35</f>
        <v>1982463.114142458</v>
      </c>
      <c r="W35" s="6">
        <f>+'골재사업소(당월)'!W35+'[4]골재사업소(누계)'!W35</f>
        <v>1797726.5</v>
      </c>
      <c r="X35" s="6">
        <f>+W35-V35</f>
        <v>-184736.61414245795</v>
      </c>
      <c r="AA35" s="6">
        <f>+Z35-Y35</f>
        <v>0</v>
      </c>
      <c r="AB35" s="6">
        <f>+S35+V35+Y35</f>
        <v>3943216.662682686</v>
      </c>
      <c r="AC35" s="6">
        <f t="shared" ref="AC35:AC41" si="28">+T35+W35+Z35</f>
        <v>3642804</v>
      </c>
      <c r="AD35" s="6">
        <f t="shared" ref="AD35:AD41" si="29">+AC35-AB35</f>
        <v>-300412.662682686</v>
      </c>
      <c r="AE35" s="437">
        <f>+'골재사업소(당월)'!AE35+'[4]골재사업소(누계)'!AE35</f>
        <v>1521919.9812262843</v>
      </c>
      <c r="AF35" s="6">
        <f>+'골재사업소(당월)'!AF35+'[4]골재사업소(누계)'!AF35</f>
        <v>1503626.4</v>
      </c>
      <c r="AH35" s="76">
        <f t="shared" ref="AH35:AI41" si="30">+P35+AB35+AE35</f>
        <v>5465136.6439089701</v>
      </c>
      <c r="AI35" s="76">
        <f t="shared" si="30"/>
        <v>5199030.4000000004</v>
      </c>
      <c r="AJ35" s="6">
        <f t="shared" ref="AJ35:AJ41" si="31">+AI35-AH35</f>
        <v>-266106.24390896969</v>
      </c>
    </row>
    <row r="36" spans="5:36" ht="21.95" customHeight="1" x14ac:dyDescent="0.3">
      <c r="E36" s="26" t="s">
        <v>77</v>
      </c>
      <c r="F36" s="431" t="s">
        <v>26</v>
      </c>
      <c r="G36" s="6">
        <f>+'골재사업소(당월)'!G36+'[4]골재사업소(누계)'!G36</f>
        <v>1870227.2000000002</v>
      </c>
      <c r="H36" s="6">
        <f>+'골재사업소(당월)'!H36+'[4]골재사업소(누계)'!H36</f>
        <v>1433372</v>
      </c>
      <c r="I36" s="6">
        <f t="shared" si="25"/>
        <v>-436855.20000000019</v>
      </c>
      <c r="J36" s="76">
        <f>+'골재사업소(당월)'!J36+'[4]골재사업소(누계)'!J36</f>
        <v>182812.46666666665</v>
      </c>
      <c r="K36" s="6">
        <f>+'골재사업소(당월)'!K36+'[4]골재사업소(누계)'!K36</f>
        <v>6720</v>
      </c>
      <c r="L36" s="6">
        <f t="shared" ref="L36:L41" si="32">+K36-J36</f>
        <v>-176092.46666666665</v>
      </c>
      <c r="M36" s="76">
        <f>+'골재사업소(당월)'!M36+'[4]골재사업소(누계)'!M36</f>
        <v>0</v>
      </c>
      <c r="N36" s="6">
        <f>+'골재사업소(당월)'!N36+'[4]골재사업소(누계)'!N36</f>
        <v>0</v>
      </c>
      <c r="O36" s="6">
        <f t="shared" ref="O36:O41" si="33">+N36-M36</f>
        <v>0</v>
      </c>
      <c r="P36" s="6">
        <f t="shared" ref="P36:Q41" si="34">SUM(G36,J36,M36)</f>
        <v>2053039.6666666667</v>
      </c>
      <c r="Q36" s="6">
        <f t="shared" si="34"/>
        <v>1440092</v>
      </c>
      <c r="R36" s="6">
        <f t="shared" si="26"/>
        <v>-612947.66666666674</v>
      </c>
      <c r="S36" s="6">
        <f>+'골재사업소(당월)'!S36+'[4]골재사업소(누계)'!S36</f>
        <v>0</v>
      </c>
      <c r="T36" s="6">
        <f>+'골재사업소(당월)'!T36+'[4]골재사업소(누계)'!T36</f>
        <v>315456</v>
      </c>
      <c r="U36" s="6">
        <f t="shared" si="27"/>
        <v>315456</v>
      </c>
      <c r="V36" s="76">
        <f>+'골재사업소(당월)'!V36+'[4]골재사업소(누계)'!V36</f>
        <v>462188.79032258072</v>
      </c>
      <c r="W36" s="6">
        <f>+'골재사업소(당월)'!W36+'[4]골재사업소(누계)'!W36</f>
        <v>892192</v>
      </c>
      <c r="X36" s="6">
        <f t="shared" ref="X36:X41" si="35">+W36-V36</f>
        <v>430003.20967741928</v>
      </c>
      <c r="AA36" s="6">
        <f t="shared" ref="AA36:AA41" si="36">+Z36-Y36</f>
        <v>0</v>
      </c>
      <c r="AB36" s="6">
        <f t="shared" ref="AB36:AB41" si="37">+S36+V36+Y36</f>
        <v>462188.79032258072</v>
      </c>
      <c r="AC36" s="6">
        <f t="shared" si="28"/>
        <v>1207648</v>
      </c>
      <c r="AD36" s="6">
        <f>+AC36-AB36</f>
        <v>745459.20967741928</v>
      </c>
      <c r="AE36" s="437">
        <f>+'골재사업소(당월)'!AE36+'[4]골재사업소(누계)'!AE36</f>
        <v>1207280.111888112</v>
      </c>
      <c r="AF36" s="6">
        <f>+'골재사업소(당월)'!AF36+'[4]골재사업소(누계)'!AF36</f>
        <v>722823.34400000004</v>
      </c>
      <c r="AH36" s="6">
        <f t="shared" si="30"/>
        <v>3722508.5688773594</v>
      </c>
      <c r="AI36" s="6">
        <f t="shared" si="30"/>
        <v>3370563.344</v>
      </c>
      <c r="AJ36" s="6">
        <f t="shared" si="31"/>
        <v>-351945.22487735935</v>
      </c>
    </row>
    <row r="37" spans="5:36" ht="21.95" customHeight="1" x14ac:dyDescent="0.3">
      <c r="F37" s="431" t="s">
        <v>27</v>
      </c>
      <c r="G37" s="6">
        <f>+'골재사업소(당월)'!G37+'[4]골재사업소(누계)'!G37</f>
        <v>95173.333333333328</v>
      </c>
      <c r="H37" s="6">
        <f>+'골재사업소(당월)'!H37+'[4]골재사업소(누계)'!H37</f>
        <v>77096</v>
      </c>
      <c r="I37" s="6">
        <f t="shared" si="25"/>
        <v>-18077.333333333328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32"/>
        <v>0</v>
      </c>
      <c r="M37" s="76">
        <f>+'골재사업소(당월)'!M37+'[4]골재사업소(누계)'!M37</f>
        <v>0</v>
      </c>
      <c r="N37" s="6">
        <f>+'골재사업소(당월)'!N37+'[4]골재사업소(누계)'!N37</f>
        <v>0</v>
      </c>
      <c r="O37" s="6">
        <f t="shared" si="33"/>
        <v>0</v>
      </c>
      <c r="P37" s="6">
        <f t="shared" si="34"/>
        <v>95173.333333333328</v>
      </c>
      <c r="Q37" s="6">
        <f t="shared" si="34"/>
        <v>77096</v>
      </c>
      <c r="R37" s="6">
        <f t="shared" si="26"/>
        <v>-18077.333333333328</v>
      </c>
      <c r="S37" s="6">
        <f>+'골재사업소(당월)'!S37+'[4]골재사업소(누계)'!S37</f>
        <v>0</v>
      </c>
      <c r="T37" s="6">
        <f>+'골재사업소(당월)'!T37+'[4]골재사업소(누계)'!T37</f>
        <v>0</v>
      </c>
      <c r="U37" s="6">
        <f t="shared" si="27"/>
        <v>0</v>
      </c>
      <c r="V37" s="76">
        <f>+'골재사업소(당월)'!V37+'[4]골재사업소(누계)'!V37</f>
        <v>0</v>
      </c>
      <c r="W37" s="6">
        <f>+'골재사업소(당월)'!W37+'[4]골재사업소(누계)'!W37</f>
        <v>0</v>
      </c>
      <c r="X37" s="6">
        <f t="shared" si="35"/>
        <v>0</v>
      </c>
      <c r="AA37" s="6">
        <f t="shared" si="36"/>
        <v>0</v>
      </c>
      <c r="AB37" s="6">
        <f t="shared" si="37"/>
        <v>0</v>
      </c>
      <c r="AC37" s="6">
        <f t="shared" si="28"/>
        <v>0</v>
      </c>
      <c r="AD37" s="6">
        <f t="shared" si="29"/>
        <v>0</v>
      </c>
      <c r="AE37" s="437">
        <f>+'골재사업소(당월)'!AE37+'[4]골재사업소(누계)'!AE37</f>
        <v>785576.92307692301</v>
      </c>
      <c r="AF37" s="6">
        <f>+'골재사업소(당월)'!AF37+'[4]골재사업소(누계)'!AF37</f>
        <v>595863.93599999999</v>
      </c>
      <c r="AH37" s="6">
        <f t="shared" si="30"/>
        <v>880750.25641025638</v>
      </c>
      <c r="AI37" s="6">
        <f t="shared" si="30"/>
        <v>672959.93599999999</v>
      </c>
      <c r="AJ37" s="6">
        <f t="shared" si="31"/>
        <v>-207790.32041025639</v>
      </c>
    </row>
    <row r="38" spans="5:36" ht="21.95" customHeight="1" x14ac:dyDescent="0.3">
      <c r="F38" s="431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25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32"/>
        <v>0</v>
      </c>
      <c r="M38" s="76">
        <f>+'골재사업소(당월)'!M38+'[4]골재사업소(누계)'!M38</f>
        <v>0</v>
      </c>
      <c r="N38" s="6">
        <f>+'골재사업소(당월)'!N38+'[4]골재사업소(누계)'!N38</f>
        <v>0</v>
      </c>
      <c r="O38" s="6">
        <f t="shared" si="33"/>
        <v>0</v>
      </c>
      <c r="P38" s="6">
        <f t="shared" si="34"/>
        <v>0</v>
      </c>
      <c r="Q38" s="6">
        <f t="shared" si="34"/>
        <v>0</v>
      </c>
      <c r="R38" s="6">
        <f t="shared" si="26"/>
        <v>0</v>
      </c>
      <c r="S38" s="6">
        <f>+'골재사업소(당월)'!S38+'[4]골재사업소(누계)'!S38</f>
        <v>0</v>
      </c>
      <c r="T38" s="6">
        <f>+'골재사업소(당월)'!T38+'[4]골재사업소(누계)'!T38</f>
        <v>0</v>
      </c>
      <c r="U38" s="6">
        <f t="shared" si="27"/>
        <v>0</v>
      </c>
      <c r="V38" s="76">
        <f>+'골재사업소(당월)'!V38+'[4]골재사업소(누계)'!V38</f>
        <v>0</v>
      </c>
      <c r="W38" s="6">
        <f>+'골재사업소(당월)'!W38+'[4]골재사업소(누계)'!W38</f>
        <v>107104</v>
      </c>
      <c r="X38" s="6">
        <f t="shared" si="35"/>
        <v>107104</v>
      </c>
      <c r="AA38" s="6">
        <f t="shared" si="36"/>
        <v>0</v>
      </c>
      <c r="AB38" s="6">
        <f t="shared" si="37"/>
        <v>0</v>
      </c>
      <c r="AC38" s="6">
        <f t="shared" si="28"/>
        <v>107104</v>
      </c>
      <c r="AD38" s="6">
        <f t="shared" si="29"/>
        <v>107104</v>
      </c>
      <c r="AE38" s="437">
        <f>+'골재사업소(당월)'!AE38+'[4]골재사업소(누계)'!AE38</f>
        <v>1273267.1328671328</v>
      </c>
      <c r="AF38" s="6">
        <f>+'골재사업소(당월)'!AF38+'[4]골재사업소(누계)'!AF38</f>
        <v>1069984.3999999999</v>
      </c>
      <c r="AH38" s="6">
        <f t="shared" si="30"/>
        <v>1273267.1328671328</v>
      </c>
      <c r="AI38" s="6">
        <f t="shared" si="30"/>
        <v>1177088.3999999999</v>
      </c>
      <c r="AJ38" s="6">
        <f t="shared" si="31"/>
        <v>-96178.732867132872</v>
      </c>
    </row>
    <row r="39" spans="5:36" ht="21.95" customHeight="1" x14ac:dyDescent="0.3">
      <c r="F39" s="431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25"/>
        <v>0</v>
      </c>
      <c r="J39" s="76">
        <f>+'골재사업소(당월)'!J39+'[4]골재사업소(누계)'!J39</f>
        <v>60808.303199999995</v>
      </c>
      <c r="K39" s="6">
        <f>+'골재사업소(당월)'!K39+'[4]골재사업소(누계)'!K39</f>
        <v>10944</v>
      </c>
      <c r="L39" s="6">
        <f t="shared" si="32"/>
        <v>-49864.303199999995</v>
      </c>
      <c r="M39" s="76">
        <f>+'골재사업소(당월)'!M39+'[4]골재사업소(누계)'!M39</f>
        <v>0</v>
      </c>
      <c r="N39" s="6">
        <f>+'골재사업소(당월)'!N39+'[4]골재사업소(누계)'!N39</f>
        <v>0</v>
      </c>
      <c r="O39" s="6">
        <f t="shared" si="33"/>
        <v>0</v>
      </c>
      <c r="P39" s="6">
        <f t="shared" si="34"/>
        <v>60808.303199999995</v>
      </c>
      <c r="Q39" s="6">
        <f t="shared" si="34"/>
        <v>10944</v>
      </c>
      <c r="R39" s="6">
        <f t="shared" si="26"/>
        <v>-49864.303199999995</v>
      </c>
      <c r="S39" s="6">
        <f>+'골재사업소(당월)'!S39+'[4]골재사업소(누계)'!S39</f>
        <v>0</v>
      </c>
      <c r="T39" s="6">
        <f>+'골재사업소(당월)'!T39+'[4]골재사업소(누계)'!T39</f>
        <v>0</v>
      </c>
      <c r="U39" s="6">
        <f t="shared" si="27"/>
        <v>0</v>
      </c>
      <c r="V39" s="76">
        <f>+'골재사업소(당월)'!V39+'[4]골재사업소(누계)'!V39</f>
        <v>0</v>
      </c>
      <c r="W39" s="6">
        <f>+'골재사업소(당월)'!W39+'[4]골재사업소(누계)'!W39</f>
        <v>4560</v>
      </c>
      <c r="X39" s="6">
        <f t="shared" si="35"/>
        <v>4560</v>
      </c>
      <c r="AA39" s="6">
        <f t="shared" si="36"/>
        <v>0</v>
      </c>
      <c r="AB39" s="6">
        <f t="shared" si="37"/>
        <v>0</v>
      </c>
      <c r="AC39" s="6">
        <f t="shared" si="28"/>
        <v>4560</v>
      </c>
      <c r="AD39" s="6">
        <f t="shared" si="29"/>
        <v>4560</v>
      </c>
      <c r="AE39" s="437">
        <f>+'골재사업소(당월)'!AE39+'[4]골재사업소(누계)'!AE39</f>
        <v>380047.58741258748</v>
      </c>
      <c r="AF39" s="6">
        <f>+'골재사업소(당월)'!AF39+'[4]골재사업소(누계)'!AF39</f>
        <v>32328</v>
      </c>
      <c r="AH39" s="6">
        <f t="shared" si="30"/>
        <v>440855.89061258745</v>
      </c>
      <c r="AI39" s="6">
        <f t="shared" si="30"/>
        <v>47832</v>
      </c>
      <c r="AJ39" s="6">
        <f t="shared" si="31"/>
        <v>-393023.89061258745</v>
      </c>
    </row>
    <row r="40" spans="5:36" ht="21.95" customHeight="1" x14ac:dyDescent="0.3">
      <c r="F40" s="431" t="s">
        <v>30</v>
      </c>
      <c r="G40" s="6">
        <f>+'골재사업소(당월)'!G40+'[4]골재사업소(누계)'!G40</f>
        <v>61923.333333333328</v>
      </c>
      <c r="H40" s="6">
        <f>+'골재사업소(당월)'!H40+'[4]골재사업소(누계)'!H40</f>
        <v>40296</v>
      </c>
      <c r="I40" s="6">
        <f t="shared" si="25"/>
        <v>-21627.333333333328</v>
      </c>
      <c r="J40" s="76">
        <f>+'골재사업소(당월)'!J40+'[4]골재사업소(누계)'!J40</f>
        <v>53724</v>
      </c>
      <c r="K40" s="6">
        <f>+'골재사업소(당월)'!K40+'[4]골재사업소(누계)'!K40</f>
        <v>2160</v>
      </c>
      <c r="L40" s="6">
        <f t="shared" si="32"/>
        <v>-51564</v>
      </c>
      <c r="M40" s="76">
        <f>+'골재사업소(당월)'!M40+'[4]골재사업소(누계)'!M40</f>
        <v>0</v>
      </c>
      <c r="N40" s="6">
        <f>+'골재사업소(당월)'!N40+'[4]골재사업소(누계)'!N40</f>
        <v>0</v>
      </c>
      <c r="O40" s="6">
        <f t="shared" si="33"/>
        <v>0</v>
      </c>
      <c r="P40" s="6">
        <f t="shared" si="34"/>
        <v>115647.33333333333</v>
      </c>
      <c r="Q40" s="6">
        <f t="shared" si="34"/>
        <v>42456</v>
      </c>
      <c r="R40" s="6">
        <f t="shared" si="26"/>
        <v>-73191.333333333328</v>
      </c>
      <c r="S40" s="6">
        <f>+'골재사업소(당월)'!S40+'[4]골재사업소(누계)'!S40</f>
        <v>0</v>
      </c>
      <c r="T40" s="6">
        <f>+'골재사업소(당월)'!T40+'[4]골재사업소(누계)'!T40</f>
        <v>0</v>
      </c>
      <c r="U40" s="6">
        <f t="shared" si="27"/>
        <v>0</v>
      </c>
      <c r="V40" s="76">
        <f>+'골재사업소(당월)'!V40+'[4]골재사업소(누계)'!V40</f>
        <v>0</v>
      </c>
      <c r="W40" s="6">
        <f>+'골재사업소(당월)'!W40+'[4]골재사업소(누계)'!W40</f>
        <v>0</v>
      </c>
      <c r="X40" s="6">
        <f t="shared" si="35"/>
        <v>0</v>
      </c>
      <c r="AA40" s="6">
        <f t="shared" si="36"/>
        <v>0</v>
      </c>
      <c r="AB40" s="6">
        <f t="shared" si="37"/>
        <v>0</v>
      </c>
      <c r="AC40" s="6">
        <f t="shared" si="28"/>
        <v>0</v>
      </c>
      <c r="AD40" s="6">
        <f t="shared" si="29"/>
        <v>0</v>
      </c>
      <c r="AE40" s="437">
        <f>+'골재사업소(당월)'!AE40+'[4]골재사업소(누계)'!AE40</f>
        <v>0</v>
      </c>
      <c r="AF40" s="6">
        <f>+'골재사업소(당월)'!AF40+'[4]골재사업소(누계)'!AF40</f>
        <v>0</v>
      </c>
      <c r="AH40" s="6">
        <f t="shared" si="30"/>
        <v>115647.33333333333</v>
      </c>
      <c r="AI40" s="6">
        <f t="shared" si="30"/>
        <v>42456</v>
      </c>
      <c r="AJ40" s="6">
        <f t="shared" si="31"/>
        <v>-73191.333333333328</v>
      </c>
    </row>
    <row r="41" spans="5:36" ht="21.95" customHeight="1" x14ac:dyDescent="0.3">
      <c r="F41" s="431" t="s">
        <v>8</v>
      </c>
      <c r="G41" s="6">
        <f>SUM(G35:G40)</f>
        <v>2027323.8666666667</v>
      </c>
      <c r="H41" s="6">
        <f>SUM(H35:H40)</f>
        <v>1603364</v>
      </c>
      <c r="I41" s="6">
        <f t="shared" si="25"/>
        <v>-423959.8666666667</v>
      </c>
      <c r="J41" s="76">
        <f>SUM(J35:J40)</f>
        <v>297344.76986666664</v>
      </c>
      <c r="K41" s="76">
        <f>SUM(K35:K40)</f>
        <v>19824</v>
      </c>
      <c r="L41" s="6">
        <f t="shared" si="32"/>
        <v>-277520.76986666664</v>
      </c>
      <c r="M41" s="76">
        <f>SUM(M35:M40)</f>
        <v>0</v>
      </c>
      <c r="N41" s="76">
        <f>SUM(N35:N40)</f>
        <v>0</v>
      </c>
      <c r="O41" s="6">
        <f t="shared" si="33"/>
        <v>0</v>
      </c>
      <c r="P41" s="6">
        <f t="shared" si="34"/>
        <v>2324668.6365333335</v>
      </c>
      <c r="Q41" s="6">
        <f t="shared" si="34"/>
        <v>1623188</v>
      </c>
      <c r="R41" s="6">
        <f t="shared" si="26"/>
        <v>-701480.63653333345</v>
      </c>
      <c r="S41" s="6">
        <f>SUM(S35:S40)</f>
        <v>1960753.5485402278</v>
      </c>
      <c r="T41" s="6">
        <f>SUM(T35:T40)</f>
        <v>2160533.5</v>
      </c>
      <c r="U41" s="6">
        <f t="shared" si="27"/>
        <v>199779.95145977219</v>
      </c>
      <c r="V41" s="76">
        <f>SUM(V35:V40)</f>
        <v>2444651.9044650388</v>
      </c>
      <c r="W41" s="76">
        <f>SUM(W35:W40)</f>
        <v>2801582.5</v>
      </c>
      <c r="X41" s="6">
        <f t="shared" si="35"/>
        <v>356930.5955349612</v>
      </c>
      <c r="Z41" s="76"/>
      <c r="AA41" s="6">
        <f t="shared" si="36"/>
        <v>0</v>
      </c>
      <c r="AB41" s="6">
        <f t="shared" si="37"/>
        <v>4405405.4530052664</v>
      </c>
      <c r="AC41" s="6">
        <f t="shared" si="28"/>
        <v>4962116</v>
      </c>
      <c r="AD41" s="6">
        <f t="shared" si="29"/>
        <v>556710.54699473362</v>
      </c>
      <c r="AE41" s="6">
        <f>SUM(AE35:AE40)</f>
        <v>5168091.7364710392</v>
      </c>
      <c r="AF41" s="6">
        <f>SUM(AF35:AF40)</f>
        <v>3924626.0799999996</v>
      </c>
      <c r="AH41" s="6">
        <f t="shared" si="30"/>
        <v>11898165.826009639</v>
      </c>
      <c r="AI41" s="6">
        <f t="shared" si="30"/>
        <v>10509930.08</v>
      </c>
      <c r="AJ41" s="6">
        <f t="shared" si="31"/>
        <v>-1388235.7460096385</v>
      </c>
    </row>
    <row r="42" spans="5:36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 x14ac:dyDescent="0.3"/>
    <row r="44" spans="5:36" ht="21.95" customHeight="1" x14ac:dyDescent="0.3"/>
    <row r="45" spans="5:36" ht="21.95" customHeight="1" x14ac:dyDescent="0.3"/>
    <row r="46" spans="5:36" ht="21.95" customHeight="1" x14ac:dyDescent="0.3"/>
    <row r="47" spans="5:36" ht="21.95" customHeight="1" x14ac:dyDescent="0.3"/>
    <row r="48" spans="5:3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12</vt:i4>
      </vt:variant>
    </vt:vector>
  </HeadingPairs>
  <TitlesOfParts>
    <vt:vector size="25" baseType="lpstr">
      <vt:lpstr>표지</vt:lpstr>
      <vt:lpstr>손익총괄</vt:lpstr>
      <vt:lpstr>사업장별(당월)</vt:lpstr>
      <vt:lpstr>사업장별(누계)</vt:lpstr>
      <vt:lpstr>사업장별(당월)_공장 송부용</vt:lpstr>
      <vt:lpstr>사업장별(누계)_공장 송부용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'사업장별(누계)_공장 송부용'!Print_Area</vt:lpstr>
      <vt:lpstr>'사업장별(당월)'!Print_Area</vt:lpstr>
      <vt:lpstr>'사업장별(당월)_공장 송부용'!Print_Area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2024-12-23T03:51:32Z</cp:lastPrinted>
  <dcterms:created xsi:type="dcterms:W3CDTF">2018-12-20T00:38:36Z</dcterms:created>
  <dcterms:modified xsi:type="dcterms:W3CDTF">2025-03-10T10:16:05Z</dcterms:modified>
</cp:coreProperties>
</file>