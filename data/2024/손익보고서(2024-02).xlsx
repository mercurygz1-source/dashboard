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담당 업무\원가손익\202407\00_보고서\"/>
    </mc:Choice>
  </mc:AlternateContent>
  <xr:revisionPtr revIDLastSave="0" documentId="13_ncr:1_{380BA72D-85F7-4F7F-A530-08B0ED5A85EE}" xr6:coauthVersionLast="36" xr6:coauthVersionMax="36" xr10:uidLastSave="{00000000-0000-0000-0000-000000000000}"/>
  <bookViews>
    <workbookView xWindow="480" yWindow="75" windowWidth="27975" windowHeight="12495" activeTab="2" xr2:uid="{00000000-000D-0000-FFFF-FFFF00000000}"/>
  </bookViews>
  <sheets>
    <sheet name="표지" sheetId="24" r:id="rId1"/>
    <sheet name="손익총괄" sheetId="1" r:id="rId2"/>
    <sheet name="사업장별(당월)" sheetId="2" r:id="rId3"/>
    <sheet name="사업장별(누계)" sheetId="42" r:id="rId4"/>
    <sheet name="영업이익" sheetId="33" r:id="rId5"/>
    <sheet name="공헌이익" sheetId="34" r:id="rId6"/>
    <sheet name="재료비단가" sheetId="36" r:id="rId7"/>
    <sheet name="원단위" sheetId="37" r:id="rId8"/>
    <sheet name="건자재" sheetId="29" r:id="rId9"/>
    <sheet name="골재사업소(당월)" sheetId="41" r:id="rId10"/>
    <sheet name="골재사업소(누계)" sheetId="43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ASSUMPTIONS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fdfdf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edsd" localSheetId="10" hidden="1">{"Header",#N/A,TRUE,"Summary";"ProjectInfo",#N/A,TRUE,"Total Value"}</definedName>
    <definedName name="edsd" localSheetId="9" hidden="1">{"Header",#N/A,TRUE,"Summary";"ProjectInfo",#N/A,TRUE,"Total Value"}</definedName>
    <definedName name="edsd" localSheetId="5" hidden="1">{"Header",#N/A,TRUE,"Summary";"ProjectInfo",#N/A,TRUE,"Total Value"}</definedName>
    <definedName name="edsd" localSheetId="4" hidden="1">{"Header",#N/A,TRUE,"Summary";"ProjectInfo",#N/A,TRUE,"Total Value"}</definedName>
    <definedName name="edsd" localSheetId="7" hidden="1">{"Header",#N/A,TRUE,"Summary";"ProjectInfo",#N/A,TRUE,"Total Value"}</definedName>
    <definedName name="edsd" localSheetId="6" hidden="1">{"Header",#N/A,TRUE,"Summary";"ProjectInfo",#N/A,TRUE,"Total Value"}</definedName>
    <definedName name="edsd" hidden="1">{"Header",#N/A,TRUE,"Summary";"ProjectInfo",#N/A,TRUE,"Total Value"}</definedName>
    <definedName name="f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JHS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ijk" localSheetId="10" hidden="1">{"Header",#N/A,TRUE,"Summary";"ProjectInfo",#N/A,TRUE,"Total Value"}</definedName>
    <definedName name="jijk" localSheetId="9" hidden="1">{"Header",#N/A,TRUE,"Summary";"ProjectInfo",#N/A,TRUE,"Total Value"}</definedName>
    <definedName name="jijk" localSheetId="5" hidden="1">{"Header",#N/A,TRUE,"Summary";"ProjectInfo",#N/A,TRUE,"Total Value"}</definedName>
    <definedName name="jijk" localSheetId="4" hidden="1">{"Header",#N/A,TRUE,"Summary";"ProjectInfo",#N/A,TRUE,"Total Value"}</definedName>
    <definedName name="jijk" localSheetId="7" hidden="1">{"Header",#N/A,TRUE,"Summary";"ProjectInfo",#N/A,TRUE,"Total Value"}</definedName>
    <definedName name="jijk" localSheetId="6" hidden="1">{"Header",#N/A,TRUE,"Summary";"ProjectInfo",#N/A,TRUE,"Total Value"}</definedName>
    <definedName name="jijk" hidden="1">{"Header",#N/A,TRUE,"Summary";"ProjectInfo",#N/A,TRUE,"Total Value"}</definedName>
    <definedName name="jjj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csq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_xlnm.Print_Area" localSheetId="8">건자재!$D$6:$O$34</definedName>
    <definedName name="_xlnm.Print_Area" localSheetId="10">'골재사업소(누계)'!$D$4:$AD$33</definedName>
    <definedName name="_xlnm.Print_Area" localSheetId="9">'골재사업소(당월)'!$D$4:$AD$33</definedName>
    <definedName name="_xlnm.Print_Area" localSheetId="5">공헌이익!$D$4:$V$29</definedName>
    <definedName name="_xlnm.Print_Area" localSheetId="3">'사업장별(누계)'!$H$3:$AG$43</definedName>
    <definedName name="_xlnm.Print_Area" localSheetId="2">'사업장별(당월)'!$H$3:$AG$43</definedName>
    <definedName name="_xlnm.Print_Area" localSheetId="1">손익총괄!$C$3:$X$36</definedName>
    <definedName name="_xlnm.Print_Area" localSheetId="4">영업이익!$D$4:$W$29</definedName>
    <definedName name="_xlnm.Print_Area" localSheetId="7">원단위!$D$4:$V$29</definedName>
    <definedName name="_xlnm.Print_Area" localSheetId="6">재료비단가!$D$4:$V$29</definedName>
    <definedName name="sa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" localSheetId="10" hidden="1">{"Header",#N/A,TRUE,"Summary";"ProjectInfo",#N/A,TRUE,"Total Value"}</definedName>
    <definedName name="w" localSheetId="9" hidden="1">{"Header",#N/A,TRUE,"Summary";"ProjectInfo",#N/A,TRUE,"Total Value"}</definedName>
    <definedName name="w" localSheetId="5" hidden="1">{"Header",#N/A,TRUE,"Summary";"ProjectInfo",#N/A,TRUE,"Total Value"}</definedName>
    <definedName name="w" localSheetId="4" hidden="1">{"Header",#N/A,TRUE,"Summary";"ProjectInfo",#N/A,TRUE,"Total Value"}</definedName>
    <definedName name="w" localSheetId="7" hidden="1">{"Header",#N/A,TRUE,"Summary";"ProjectInfo",#N/A,TRUE,"Total Value"}</definedName>
    <definedName name="w" localSheetId="6" hidden="1">{"Header",#N/A,TRUE,"Summary";"ProjectInfo",#N/A,TRUE,"Total Value"}</definedName>
    <definedName name="w" hidden="1">{"Header",#N/A,TRUE,"Summary";"ProjectInfo",#N/A,TRUE,"Total Value"}</definedName>
    <definedName name="wrn.iIMPRESSION._.DOC.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SummaryReport." localSheetId="10" hidden="1">{"Header",#N/A,TRUE,"Summary";"ProjectInfo",#N/A,TRUE,"Total Value"}</definedName>
    <definedName name="wrn.SummaryReport." localSheetId="9" hidden="1">{"Header",#N/A,TRUE,"Summary";"ProjectInfo",#N/A,TRUE,"Total Value"}</definedName>
    <definedName name="wrn.SummaryReport." localSheetId="5" hidden="1">{"Header",#N/A,TRUE,"Summary";"ProjectInfo",#N/A,TRUE,"Total Value"}</definedName>
    <definedName name="wrn.SummaryReport." localSheetId="4" hidden="1">{"Header",#N/A,TRUE,"Summary";"ProjectInfo",#N/A,TRUE,"Total Value"}</definedName>
    <definedName name="wrn.SummaryReport." localSheetId="7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hidden="1">{"Header",#N/A,TRUE,"Summary";"ProjectInfo",#N/A,TRUE,"Total Value"}</definedName>
    <definedName name="ww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ㅁ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로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ㄴㄴㅇ" localSheetId="10" hidden="1">{"Header",#N/A,TRUE,"Summary";"ProjectInfo",#N/A,TRUE,"Total Value"}</definedName>
    <definedName name="ㅁㄴㄴㅇ" localSheetId="9" hidden="1">{"Header",#N/A,TRUE,"Summary";"ProjectInfo",#N/A,TRUE,"Total Value"}</definedName>
    <definedName name="ㅁㄴㄴㅇ" localSheetId="5" hidden="1">{"Header",#N/A,TRUE,"Summary";"ProjectInfo",#N/A,TRUE,"Total Value"}</definedName>
    <definedName name="ㅁㄴㄴㅇ" localSheetId="4" hidden="1">{"Header",#N/A,TRUE,"Summary";"ProjectInfo",#N/A,TRUE,"Total Value"}</definedName>
    <definedName name="ㅁㄴㄴㅇ" localSheetId="7" hidden="1">{"Header",#N/A,TRUE,"Summary";"ProjectInfo",#N/A,TRUE,"Total Value"}</definedName>
    <definedName name="ㅁㄴㄴㅇ" localSheetId="6" hidden="1">{"Header",#N/A,TRUE,"Summary";"ProjectInfo",#N/A,TRUE,"Total Value"}</definedName>
    <definedName name="ㅁㄴㄴㅇ" hidden="1">{"Header",#N/A,TRUE,"Summary";"ProjectInfo",#N/A,TRUE,"Total Value"}</definedName>
    <definedName name="ㅁㅂㅁㅂㅂㅁㅁㅂ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ㅅ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ㅈ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ㅇ" localSheetId="10" hidden="1">{"Header",#N/A,TRUE,"Summary";"ProjectInfo",#N/A,TRUE,"Total Value"}</definedName>
    <definedName name="ㅈㅇ" localSheetId="9" hidden="1">{"Header",#N/A,TRUE,"Summary";"ProjectInfo",#N/A,TRUE,"Total Value"}</definedName>
    <definedName name="ㅈㅇ" localSheetId="5" hidden="1">{"Header",#N/A,TRUE,"Summary";"ProjectInfo",#N/A,TRUE,"Total Value"}</definedName>
    <definedName name="ㅈㅇ" localSheetId="4" hidden="1">{"Header",#N/A,TRUE,"Summary";"ProjectInfo",#N/A,TRUE,"Total Value"}</definedName>
    <definedName name="ㅈㅇ" localSheetId="7" hidden="1">{"Header",#N/A,TRUE,"Summary";"ProjectInfo",#N/A,TRUE,"Total Value"}</definedName>
    <definedName name="ㅈㅇ" localSheetId="6" hidden="1">{"Header",#N/A,TRUE,"Summary";"ProjectInfo",#N/A,TRUE,"Total Value"}</definedName>
    <definedName name="ㅈㅇ" hidden="1">{"Header",#N/A,TRUE,"Summary";"ProjectInfo",#N/A,TRUE,"Total Value"}</definedName>
    <definedName name="차이분서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ㅏㅏ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ㅗ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</definedNames>
  <calcPr calcId="191029"/>
</workbook>
</file>

<file path=xl/calcChain.xml><?xml version="1.0" encoding="utf-8"?>
<calcChain xmlns="http://schemas.openxmlformats.org/spreadsheetml/2006/main">
  <c r="G31" i="2" l="1"/>
  <c r="G30" i="2"/>
  <c r="G29" i="2"/>
  <c r="G39" i="2"/>
  <c r="G38" i="2"/>
  <c r="G37" i="2"/>
  <c r="G36" i="2"/>
  <c r="G35" i="2"/>
  <c r="G34" i="2"/>
  <c r="G33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U37" i="2" l="1"/>
  <c r="AA21" i="1" l="1"/>
  <c r="AA19" i="1"/>
  <c r="AA18" i="1"/>
  <c r="AA17" i="1"/>
  <c r="AA16" i="1"/>
  <c r="AA15" i="1"/>
  <c r="AA13" i="1"/>
  <c r="AA12" i="1"/>
  <c r="AA11" i="1"/>
  <c r="AA10" i="1"/>
  <c r="AA9" i="1"/>
  <c r="AA8" i="1"/>
  <c r="AA7" i="1"/>
  <c r="AG5" i="1"/>
  <c r="AK6" i="1"/>
  <c r="AJ6" i="1"/>
  <c r="AI6" i="1"/>
  <c r="AH6" i="1"/>
  <c r="AG6" i="1"/>
  <c r="AF6" i="1"/>
  <c r="AE6" i="1"/>
  <c r="AD6" i="1"/>
  <c r="AC6" i="1"/>
  <c r="AB6" i="1"/>
  <c r="AB5" i="1"/>
  <c r="Z26" i="43" l="1"/>
  <c r="Z40" i="43"/>
  <c r="Z32" i="43" s="1"/>
  <c r="V32" i="43" l="1"/>
  <c r="M32" i="43"/>
  <c r="V31" i="43"/>
  <c r="M31" i="43"/>
  <c r="V30" i="43"/>
  <c r="M30" i="43"/>
  <c r="V29" i="43"/>
  <c r="M29" i="43"/>
  <c r="V28" i="43"/>
  <c r="M28" i="43"/>
  <c r="V27" i="43"/>
  <c r="M27" i="43"/>
  <c r="Z39" i="41"/>
  <c r="Z39" i="43" s="1"/>
  <c r="Z38" i="41"/>
  <c r="Z38" i="43" s="1"/>
  <c r="Z37" i="41"/>
  <c r="Z37" i="43" s="1"/>
  <c r="Z36" i="41"/>
  <c r="Z36" i="43" s="1"/>
  <c r="Z35" i="41"/>
  <c r="Z35" i="43" s="1"/>
  <c r="Z27" i="43" s="1"/>
  <c r="T26" i="41"/>
  <c r="T26" i="43" s="1"/>
  <c r="Q26" i="41"/>
  <c r="Q26" i="43" s="1"/>
  <c r="W26" i="43" s="1"/>
  <c r="K26" i="41"/>
  <c r="K26" i="43" s="1"/>
  <c r="H26" i="41"/>
  <c r="H26" i="43" s="1"/>
  <c r="Z25" i="41"/>
  <c r="Z25" i="43" s="1"/>
  <c r="T25" i="41"/>
  <c r="T25" i="43" s="1"/>
  <c r="Q25" i="41"/>
  <c r="Q25" i="43" s="1"/>
  <c r="K25" i="41"/>
  <c r="K25" i="43" s="1"/>
  <c r="H25" i="41"/>
  <c r="H25" i="43" s="1"/>
  <c r="Z24" i="41"/>
  <c r="Z24" i="43" s="1"/>
  <c r="T24" i="41"/>
  <c r="T24" i="43" s="1"/>
  <c r="Q24" i="41"/>
  <c r="Q24" i="43" s="1"/>
  <c r="K24" i="41"/>
  <c r="K24" i="43" s="1"/>
  <c r="H24" i="41"/>
  <c r="H24" i="43" s="1"/>
  <c r="Z23" i="41"/>
  <c r="Z23" i="43" s="1"/>
  <c r="T23" i="41"/>
  <c r="T23" i="43" s="1"/>
  <c r="Q23" i="41"/>
  <c r="Q23" i="43" s="1"/>
  <c r="K23" i="41"/>
  <c r="K23" i="43" s="1"/>
  <c r="H23" i="41"/>
  <c r="H23" i="43" s="1"/>
  <c r="N23" i="43" s="1"/>
  <c r="Z22" i="41"/>
  <c r="Z22" i="43" s="1"/>
  <c r="T22" i="41"/>
  <c r="T22" i="43" s="1"/>
  <c r="Q22" i="41"/>
  <c r="Q22" i="43" s="1"/>
  <c r="K22" i="41"/>
  <c r="K22" i="43" s="1"/>
  <c r="H22" i="41"/>
  <c r="H22" i="43" s="1"/>
  <c r="Z21" i="41"/>
  <c r="Z21" i="43" s="1"/>
  <c r="T21" i="41"/>
  <c r="T21" i="43" s="1"/>
  <c r="Q21" i="41"/>
  <c r="Q21" i="43" s="1"/>
  <c r="K21" i="41"/>
  <c r="K21" i="43" s="1"/>
  <c r="H21" i="41"/>
  <c r="H21" i="43" s="1"/>
  <c r="Z19" i="41"/>
  <c r="Z19" i="43" s="1"/>
  <c r="T19" i="41"/>
  <c r="T19" i="43" s="1"/>
  <c r="Q19" i="41"/>
  <c r="Q19" i="43" s="1"/>
  <c r="K19" i="41"/>
  <c r="K19" i="43" s="1"/>
  <c r="H19" i="41"/>
  <c r="H19" i="43" s="1"/>
  <c r="Z18" i="41"/>
  <c r="Z18" i="43" s="1"/>
  <c r="T18" i="41"/>
  <c r="T18" i="43" s="1"/>
  <c r="Q18" i="41"/>
  <c r="Q18" i="43" s="1"/>
  <c r="K18" i="41"/>
  <c r="K18" i="43" s="1"/>
  <c r="H18" i="41"/>
  <c r="H18" i="43" s="1"/>
  <c r="N18" i="43" s="1"/>
  <c r="Z15" i="41"/>
  <c r="Z15" i="43" s="1"/>
  <c r="T15" i="41"/>
  <c r="T15" i="43" s="1"/>
  <c r="Q15" i="41"/>
  <c r="Q15" i="43" s="1"/>
  <c r="K15" i="41"/>
  <c r="K15" i="43" s="1"/>
  <c r="H15" i="41"/>
  <c r="H15" i="43" s="1"/>
  <c r="Z13" i="41"/>
  <c r="Z13" i="43" s="1"/>
  <c r="T13" i="41"/>
  <c r="T13" i="43" s="1"/>
  <c r="Q13" i="41"/>
  <c r="Q13" i="43" s="1"/>
  <c r="K13" i="41"/>
  <c r="K13" i="43" s="1"/>
  <c r="H13" i="41"/>
  <c r="H13" i="43" s="1"/>
  <c r="Z10" i="41"/>
  <c r="Z10" i="43" s="1"/>
  <c r="T10" i="41"/>
  <c r="T10" i="43" s="1"/>
  <c r="Q10" i="41"/>
  <c r="Q10" i="43" s="1"/>
  <c r="K10" i="41"/>
  <c r="K10" i="43" s="1"/>
  <c r="H10" i="41"/>
  <c r="H10" i="43" s="1"/>
  <c r="Z8" i="41"/>
  <c r="Z8" i="43" s="1"/>
  <c r="T8" i="41"/>
  <c r="T8" i="43" s="1"/>
  <c r="Q8" i="41"/>
  <c r="Q8" i="43" s="1"/>
  <c r="K8" i="41"/>
  <c r="K8" i="43" s="1"/>
  <c r="H8" i="41"/>
  <c r="H8" i="43" s="1"/>
  <c r="N8" i="43" s="1"/>
  <c r="AF39" i="29"/>
  <c r="AF38" i="29"/>
  <c r="AF37" i="29"/>
  <c r="L24" i="29"/>
  <c r="G36" i="29"/>
  <c r="L36" i="29" s="1"/>
  <c r="G25" i="29"/>
  <c r="L25" i="29" s="1"/>
  <c r="G24" i="29"/>
  <c r="G16" i="29"/>
  <c r="L16" i="29" s="1"/>
  <c r="G15" i="29"/>
  <c r="L15" i="29" s="1"/>
  <c r="G13" i="29"/>
  <c r="L13" i="29" s="1"/>
  <c r="G12" i="29"/>
  <c r="L12" i="29" s="1"/>
  <c r="G10" i="29"/>
  <c r="L10" i="29" s="1"/>
  <c r="O28" i="34"/>
  <c r="N28" i="34"/>
  <c r="L28" i="34"/>
  <c r="K28" i="34"/>
  <c r="I28" i="34"/>
  <c r="H28" i="34"/>
  <c r="F28" i="34"/>
  <c r="E28" i="34"/>
  <c r="O27" i="34"/>
  <c r="N27" i="34"/>
  <c r="L27" i="34"/>
  <c r="K27" i="34"/>
  <c r="I27" i="34"/>
  <c r="H27" i="34"/>
  <c r="F27" i="34"/>
  <c r="E27" i="34"/>
  <c r="O26" i="34"/>
  <c r="N26" i="34"/>
  <c r="L26" i="34"/>
  <c r="K26" i="34"/>
  <c r="I26" i="34"/>
  <c r="H26" i="34"/>
  <c r="F26" i="34"/>
  <c r="E26" i="34"/>
  <c r="O25" i="34"/>
  <c r="N25" i="34"/>
  <c r="L25" i="34"/>
  <c r="K25" i="34"/>
  <c r="I25" i="34"/>
  <c r="H25" i="34"/>
  <c r="F25" i="34"/>
  <c r="E25" i="34"/>
  <c r="O24" i="34"/>
  <c r="N24" i="34"/>
  <c r="L24" i="34"/>
  <c r="K24" i="34"/>
  <c r="I24" i="34"/>
  <c r="H24" i="34"/>
  <c r="F24" i="34"/>
  <c r="E24" i="34"/>
  <c r="O23" i="34"/>
  <c r="N23" i="34"/>
  <c r="L23" i="34"/>
  <c r="K23" i="34"/>
  <c r="I23" i="34"/>
  <c r="H23" i="34"/>
  <c r="F23" i="34"/>
  <c r="E23" i="34"/>
  <c r="O22" i="34"/>
  <c r="N22" i="34"/>
  <c r="L22" i="34"/>
  <c r="K22" i="34"/>
  <c r="I22" i="34"/>
  <c r="H22" i="34"/>
  <c r="F22" i="34"/>
  <c r="E22" i="34"/>
  <c r="O21" i="34"/>
  <c r="N21" i="34"/>
  <c r="L21" i="34"/>
  <c r="K21" i="34"/>
  <c r="I21" i="34"/>
  <c r="H21" i="34"/>
  <c r="F21" i="34"/>
  <c r="E21" i="34"/>
  <c r="O20" i="34"/>
  <c r="N20" i="34"/>
  <c r="L20" i="34"/>
  <c r="K20" i="34"/>
  <c r="I20" i="34"/>
  <c r="H20" i="34"/>
  <c r="F20" i="34"/>
  <c r="E20" i="34"/>
  <c r="O19" i="34"/>
  <c r="N19" i="34"/>
  <c r="L19" i="34"/>
  <c r="K19" i="34"/>
  <c r="I19" i="34"/>
  <c r="H19" i="34"/>
  <c r="F19" i="34"/>
  <c r="E19" i="34"/>
  <c r="O18" i="34"/>
  <c r="N18" i="34"/>
  <c r="L18" i="34"/>
  <c r="K18" i="34"/>
  <c r="I18" i="34"/>
  <c r="H18" i="34"/>
  <c r="F18" i="34"/>
  <c r="E18" i="34"/>
  <c r="O17" i="34"/>
  <c r="N17" i="34"/>
  <c r="L17" i="34"/>
  <c r="K17" i="34"/>
  <c r="I17" i="34"/>
  <c r="H17" i="34"/>
  <c r="F17" i="34"/>
  <c r="E17" i="34"/>
  <c r="O16" i="34"/>
  <c r="N16" i="34"/>
  <c r="L16" i="34"/>
  <c r="K16" i="34"/>
  <c r="I16" i="34"/>
  <c r="H16" i="34"/>
  <c r="F16" i="34"/>
  <c r="E16" i="34"/>
  <c r="O15" i="34"/>
  <c r="N15" i="34"/>
  <c r="L15" i="34"/>
  <c r="K15" i="34"/>
  <c r="I15" i="34"/>
  <c r="H15" i="34"/>
  <c r="F15" i="34"/>
  <c r="E15" i="34"/>
  <c r="O14" i="34"/>
  <c r="N14" i="34"/>
  <c r="L14" i="34"/>
  <c r="K14" i="34"/>
  <c r="I14" i="34"/>
  <c r="H14" i="34"/>
  <c r="F14" i="34"/>
  <c r="E14" i="34"/>
  <c r="O13" i="34"/>
  <c r="N13" i="34"/>
  <c r="L13" i="34"/>
  <c r="K13" i="34"/>
  <c r="I13" i="34"/>
  <c r="H13" i="34"/>
  <c r="F13" i="34"/>
  <c r="E13" i="34"/>
  <c r="O12" i="34"/>
  <c r="N12" i="34"/>
  <c r="L12" i="34"/>
  <c r="K12" i="34"/>
  <c r="I12" i="34"/>
  <c r="H12" i="34"/>
  <c r="F12" i="34"/>
  <c r="E12" i="34"/>
  <c r="O11" i="34"/>
  <c r="N11" i="34"/>
  <c r="L11" i="34"/>
  <c r="K11" i="34"/>
  <c r="I11" i="34"/>
  <c r="H11" i="34"/>
  <c r="F11" i="34"/>
  <c r="E11" i="34"/>
  <c r="O10" i="34"/>
  <c r="N10" i="34"/>
  <c r="L10" i="34"/>
  <c r="K10" i="34"/>
  <c r="I10" i="34"/>
  <c r="H10" i="34"/>
  <c r="F10" i="34"/>
  <c r="E10" i="34"/>
  <c r="O9" i="34"/>
  <c r="N9" i="34"/>
  <c r="L9" i="34"/>
  <c r="K9" i="34"/>
  <c r="I9" i="34"/>
  <c r="H9" i="34"/>
  <c r="F9" i="34"/>
  <c r="E9" i="34"/>
  <c r="O8" i="34"/>
  <c r="N8" i="34"/>
  <c r="L8" i="34"/>
  <c r="K8" i="34"/>
  <c r="I8" i="34"/>
  <c r="H8" i="34"/>
  <c r="F8" i="34"/>
  <c r="E8" i="34"/>
  <c r="U28" i="36"/>
  <c r="T28" i="36"/>
  <c r="R28" i="36"/>
  <c r="Q28" i="36"/>
  <c r="O28" i="36"/>
  <c r="N28" i="36"/>
  <c r="L28" i="36"/>
  <c r="K28" i="36"/>
  <c r="I28" i="36"/>
  <c r="H28" i="36"/>
  <c r="F28" i="36"/>
  <c r="E28" i="36"/>
  <c r="U27" i="36"/>
  <c r="T27" i="36"/>
  <c r="R27" i="36"/>
  <c r="Q27" i="36"/>
  <c r="O27" i="36"/>
  <c r="N27" i="36"/>
  <c r="L27" i="36"/>
  <c r="K27" i="36"/>
  <c r="I27" i="36"/>
  <c r="H27" i="36"/>
  <c r="F27" i="36"/>
  <c r="E27" i="36"/>
  <c r="U26" i="36"/>
  <c r="T26" i="36"/>
  <c r="R26" i="36"/>
  <c r="Q26" i="36"/>
  <c r="O26" i="36"/>
  <c r="N26" i="36"/>
  <c r="L26" i="36"/>
  <c r="K26" i="36"/>
  <c r="I26" i="36"/>
  <c r="H26" i="36"/>
  <c r="F26" i="36"/>
  <c r="E26" i="36"/>
  <c r="U25" i="36"/>
  <c r="T25" i="36"/>
  <c r="R25" i="36"/>
  <c r="Q25" i="36"/>
  <c r="O25" i="36"/>
  <c r="N25" i="36"/>
  <c r="L25" i="36"/>
  <c r="K25" i="36"/>
  <c r="I25" i="36"/>
  <c r="H25" i="36"/>
  <c r="F25" i="36"/>
  <c r="E25" i="36"/>
  <c r="U24" i="36"/>
  <c r="T24" i="36"/>
  <c r="R24" i="36"/>
  <c r="Q24" i="36"/>
  <c r="O24" i="36"/>
  <c r="N24" i="36"/>
  <c r="L24" i="36"/>
  <c r="K24" i="36"/>
  <c r="I24" i="36"/>
  <c r="H24" i="36"/>
  <c r="F24" i="36"/>
  <c r="E24" i="36"/>
  <c r="U23" i="36"/>
  <c r="T23" i="36"/>
  <c r="R23" i="36"/>
  <c r="Q23" i="36"/>
  <c r="O23" i="36"/>
  <c r="N23" i="36"/>
  <c r="L23" i="36"/>
  <c r="K23" i="36"/>
  <c r="I23" i="36"/>
  <c r="H23" i="36"/>
  <c r="F23" i="36"/>
  <c r="E23" i="36"/>
  <c r="U22" i="36"/>
  <c r="T22" i="36"/>
  <c r="R22" i="36"/>
  <c r="Q22" i="36"/>
  <c r="O22" i="36"/>
  <c r="N22" i="36"/>
  <c r="L22" i="36"/>
  <c r="K22" i="36"/>
  <c r="I22" i="36"/>
  <c r="H22" i="36"/>
  <c r="F22" i="36"/>
  <c r="E22" i="36"/>
  <c r="U21" i="36"/>
  <c r="T21" i="36"/>
  <c r="R21" i="36"/>
  <c r="Q21" i="36"/>
  <c r="O21" i="36"/>
  <c r="N21" i="36"/>
  <c r="L21" i="36"/>
  <c r="K21" i="36"/>
  <c r="I21" i="36"/>
  <c r="H21" i="36"/>
  <c r="F21" i="36"/>
  <c r="E21" i="36"/>
  <c r="U20" i="36"/>
  <c r="T20" i="36"/>
  <c r="R20" i="36"/>
  <c r="Q20" i="36"/>
  <c r="O20" i="36"/>
  <c r="N20" i="36"/>
  <c r="L20" i="36"/>
  <c r="K20" i="36"/>
  <c r="I20" i="36"/>
  <c r="H20" i="36"/>
  <c r="F20" i="36"/>
  <c r="E20" i="36"/>
  <c r="U19" i="36"/>
  <c r="T19" i="36"/>
  <c r="R19" i="36"/>
  <c r="Q19" i="36"/>
  <c r="O19" i="36"/>
  <c r="N19" i="36"/>
  <c r="L19" i="36"/>
  <c r="K19" i="36"/>
  <c r="I19" i="36"/>
  <c r="H19" i="36"/>
  <c r="F19" i="36"/>
  <c r="E19" i="36"/>
  <c r="U18" i="36"/>
  <c r="T18" i="36"/>
  <c r="R18" i="36"/>
  <c r="Q18" i="36"/>
  <c r="O18" i="36"/>
  <c r="N18" i="36"/>
  <c r="L18" i="36"/>
  <c r="K18" i="36"/>
  <c r="I18" i="36"/>
  <c r="H18" i="36"/>
  <c r="F18" i="36"/>
  <c r="E18" i="36"/>
  <c r="U17" i="36"/>
  <c r="T17" i="36"/>
  <c r="R17" i="36"/>
  <c r="Q17" i="36"/>
  <c r="O17" i="36"/>
  <c r="N17" i="36"/>
  <c r="L17" i="36"/>
  <c r="K17" i="36"/>
  <c r="I17" i="36"/>
  <c r="H17" i="36"/>
  <c r="F17" i="36"/>
  <c r="E17" i="36"/>
  <c r="U16" i="36"/>
  <c r="T16" i="36"/>
  <c r="R16" i="36"/>
  <c r="Q16" i="36"/>
  <c r="O16" i="36"/>
  <c r="N16" i="36"/>
  <c r="L16" i="36"/>
  <c r="K16" i="36"/>
  <c r="I16" i="36"/>
  <c r="H16" i="36"/>
  <c r="F16" i="36"/>
  <c r="E16" i="36"/>
  <c r="U15" i="36"/>
  <c r="T15" i="36"/>
  <c r="R15" i="36"/>
  <c r="Q15" i="36"/>
  <c r="O15" i="36"/>
  <c r="N15" i="36"/>
  <c r="L15" i="36"/>
  <c r="K15" i="36"/>
  <c r="I15" i="36"/>
  <c r="H15" i="36"/>
  <c r="F15" i="36"/>
  <c r="E15" i="36"/>
  <c r="U14" i="36"/>
  <c r="T14" i="36"/>
  <c r="R14" i="36"/>
  <c r="Q14" i="36"/>
  <c r="O14" i="36"/>
  <c r="N14" i="36"/>
  <c r="L14" i="36"/>
  <c r="K14" i="36"/>
  <c r="I14" i="36"/>
  <c r="H14" i="36"/>
  <c r="F14" i="36"/>
  <c r="E14" i="36"/>
  <c r="U13" i="36"/>
  <c r="T13" i="36"/>
  <c r="R13" i="36"/>
  <c r="Q13" i="36"/>
  <c r="O13" i="36"/>
  <c r="N13" i="36"/>
  <c r="L13" i="36"/>
  <c r="K13" i="36"/>
  <c r="I13" i="36"/>
  <c r="H13" i="36"/>
  <c r="F13" i="36"/>
  <c r="E13" i="36"/>
  <c r="U12" i="36"/>
  <c r="T12" i="36"/>
  <c r="R12" i="36"/>
  <c r="Q12" i="36"/>
  <c r="O12" i="36"/>
  <c r="N12" i="36"/>
  <c r="L12" i="36"/>
  <c r="K12" i="36"/>
  <c r="I12" i="36"/>
  <c r="H12" i="36"/>
  <c r="F12" i="36"/>
  <c r="E12" i="36"/>
  <c r="U11" i="36"/>
  <c r="T11" i="36"/>
  <c r="R11" i="36"/>
  <c r="Q11" i="36"/>
  <c r="O11" i="36"/>
  <c r="N11" i="36"/>
  <c r="L11" i="36"/>
  <c r="K11" i="36"/>
  <c r="I11" i="36"/>
  <c r="H11" i="36"/>
  <c r="F11" i="36"/>
  <c r="E11" i="36"/>
  <c r="U10" i="36"/>
  <c r="T10" i="36"/>
  <c r="R10" i="36"/>
  <c r="Q10" i="36"/>
  <c r="O10" i="36"/>
  <c r="N10" i="36"/>
  <c r="L10" i="36"/>
  <c r="K10" i="36"/>
  <c r="I10" i="36"/>
  <c r="H10" i="36"/>
  <c r="F10" i="36"/>
  <c r="E10" i="36"/>
  <c r="U9" i="36"/>
  <c r="T9" i="36"/>
  <c r="R9" i="36"/>
  <c r="Q9" i="36"/>
  <c r="O9" i="36"/>
  <c r="N9" i="36"/>
  <c r="L9" i="36"/>
  <c r="K9" i="36"/>
  <c r="I9" i="36"/>
  <c r="H9" i="36"/>
  <c r="F9" i="36"/>
  <c r="E9" i="36"/>
  <c r="U8" i="36"/>
  <c r="T8" i="36"/>
  <c r="R8" i="36"/>
  <c r="Q8" i="36"/>
  <c r="O8" i="36"/>
  <c r="N8" i="36"/>
  <c r="L8" i="36"/>
  <c r="K8" i="36"/>
  <c r="I8" i="36"/>
  <c r="H8" i="36"/>
  <c r="F8" i="36"/>
  <c r="E8" i="36"/>
  <c r="U28" i="37"/>
  <c r="T28" i="37"/>
  <c r="R28" i="37"/>
  <c r="Q28" i="37"/>
  <c r="O28" i="37"/>
  <c r="N28" i="37"/>
  <c r="L28" i="37"/>
  <c r="K28" i="37"/>
  <c r="I28" i="37"/>
  <c r="H28" i="37"/>
  <c r="F28" i="37"/>
  <c r="E28" i="37"/>
  <c r="U27" i="37"/>
  <c r="T27" i="37"/>
  <c r="R27" i="37"/>
  <c r="Q27" i="37"/>
  <c r="O27" i="37"/>
  <c r="N27" i="37"/>
  <c r="L27" i="37"/>
  <c r="K27" i="37"/>
  <c r="I27" i="37"/>
  <c r="H27" i="37"/>
  <c r="F27" i="37"/>
  <c r="E27" i="37"/>
  <c r="U26" i="37"/>
  <c r="T26" i="37"/>
  <c r="R26" i="37"/>
  <c r="Q26" i="37"/>
  <c r="O26" i="37"/>
  <c r="N26" i="37"/>
  <c r="L26" i="37"/>
  <c r="K26" i="37"/>
  <c r="I26" i="37"/>
  <c r="H26" i="37"/>
  <c r="F26" i="37"/>
  <c r="E26" i="37"/>
  <c r="U25" i="37"/>
  <c r="T25" i="37"/>
  <c r="R25" i="37"/>
  <c r="Q25" i="37"/>
  <c r="O25" i="37"/>
  <c r="N25" i="37"/>
  <c r="L25" i="37"/>
  <c r="K25" i="37"/>
  <c r="I25" i="37"/>
  <c r="H25" i="37"/>
  <c r="F25" i="37"/>
  <c r="E25" i="37"/>
  <c r="U24" i="37"/>
  <c r="T24" i="37"/>
  <c r="R24" i="37"/>
  <c r="Q24" i="37"/>
  <c r="O24" i="37"/>
  <c r="N24" i="37"/>
  <c r="L24" i="37"/>
  <c r="K24" i="37"/>
  <c r="I24" i="37"/>
  <c r="H24" i="37"/>
  <c r="F24" i="37"/>
  <c r="E24" i="37"/>
  <c r="U23" i="37"/>
  <c r="T23" i="37"/>
  <c r="R23" i="37"/>
  <c r="Q23" i="37"/>
  <c r="O23" i="37"/>
  <c r="N23" i="37"/>
  <c r="L23" i="37"/>
  <c r="K23" i="37"/>
  <c r="I23" i="37"/>
  <c r="H23" i="37"/>
  <c r="F23" i="37"/>
  <c r="E23" i="37"/>
  <c r="U22" i="37"/>
  <c r="T22" i="37"/>
  <c r="R22" i="37"/>
  <c r="Q22" i="37"/>
  <c r="O22" i="37"/>
  <c r="N22" i="37"/>
  <c r="L22" i="37"/>
  <c r="K22" i="37"/>
  <c r="I22" i="37"/>
  <c r="H22" i="37"/>
  <c r="F22" i="37"/>
  <c r="E22" i="37"/>
  <c r="U21" i="37"/>
  <c r="T21" i="37"/>
  <c r="R21" i="37"/>
  <c r="Q21" i="37"/>
  <c r="O21" i="37"/>
  <c r="N21" i="37"/>
  <c r="L21" i="37"/>
  <c r="K21" i="37"/>
  <c r="I21" i="37"/>
  <c r="H21" i="37"/>
  <c r="F21" i="37"/>
  <c r="E21" i="37"/>
  <c r="U20" i="37"/>
  <c r="T20" i="37"/>
  <c r="R20" i="37"/>
  <c r="Q20" i="37"/>
  <c r="O20" i="37"/>
  <c r="N20" i="37"/>
  <c r="L20" i="37"/>
  <c r="K20" i="37"/>
  <c r="I20" i="37"/>
  <c r="H20" i="37"/>
  <c r="F20" i="37"/>
  <c r="E20" i="37"/>
  <c r="U19" i="37"/>
  <c r="T19" i="37"/>
  <c r="R19" i="37"/>
  <c r="Q19" i="37"/>
  <c r="O19" i="37"/>
  <c r="N19" i="37"/>
  <c r="L19" i="37"/>
  <c r="K19" i="37"/>
  <c r="I19" i="37"/>
  <c r="H19" i="37"/>
  <c r="F19" i="37"/>
  <c r="E19" i="37"/>
  <c r="U18" i="37"/>
  <c r="T18" i="37"/>
  <c r="R18" i="37"/>
  <c r="Q18" i="37"/>
  <c r="O18" i="37"/>
  <c r="N18" i="37"/>
  <c r="L18" i="37"/>
  <c r="K18" i="37"/>
  <c r="I18" i="37"/>
  <c r="H18" i="37"/>
  <c r="F18" i="37"/>
  <c r="E18" i="37"/>
  <c r="U17" i="37"/>
  <c r="T17" i="37"/>
  <c r="R17" i="37"/>
  <c r="Q17" i="37"/>
  <c r="O17" i="37"/>
  <c r="N17" i="37"/>
  <c r="L17" i="37"/>
  <c r="K17" i="37"/>
  <c r="I17" i="37"/>
  <c r="H17" i="37"/>
  <c r="F17" i="37"/>
  <c r="E17" i="37"/>
  <c r="U16" i="37"/>
  <c r="T16" i="37"/>
  <c r="R16" i="37"/>
  <c r="Q16" i="37"/>
  <c r="O16" i="37"/>
  <c r="N16" i="37"/>
  <c r="L16" i="37"/>
  <c r="K16" i="37"/>
  <c r="I16" i="37"/>
  <c r="H16" i="37"/>
  <c r="F16" i="37"/>
  <c r="E16" i="37"/>
  <c r="U15" i="37"/>
  <c r="T15" i="37"/>
  <c r="R15" i="37"/>
  <c r="Q15" i="37"/>
  <c r="O15" i="37"/>
  <c r="N15" i="37"/>
  <c r="L15" i="37"/>
  <c r="K15" i="37"/>
  <c r="I15" i="37"/>
  <c r="H15" i="37"/>
  <c r="F15" i="37"/>
  <c r="E15" i="37"/>
  <c r="U14" i="37"/>
  <c r="T14" i="37"/>
  <c r="R14" i="37"/>
  <c r="Q14" i="37"/>
  <c r="O14" i="37"/>
  <c r="N14" i="37"/>
  <c r="L14" i="37"/>
  <c r="K14" i="37"/>
  <c r="I14" i="37"/>
  <c r="H14" i="37"/>
  <c r="F14" i="37"/>
  <c r="E14" i="37"/>
  <c r="U13" i="37"/>
  <c r="T13" i="37"/>
  <c r="R13" i="37"/>
  <c r="Q13" i="37"/>
  <c r="O13" i="37"/>
  <c r="N13" i="37"/>
  <c r="L13" i="37"/>
  <c r="K13" i="37"/>
  <c r="I13" i="37"/>
  <c r="H13" i="37"/>
  <c r="F13" i="37"/>
  <c r="E13" i="37"/>
  <c r="U12" i="37"/>
  <c r="T12" i="37"/>
  <c r="R12" i="37"/>
  <c r="Q12" i="37"/>
  <c r="O12" i="37"/>
  <c r="N12" i="37"/>
  <c r="L12" i="37"/>
  <c r="K12" i="37"/>
  <c r="I12" i="37"/>
  <c r="H12" i="37"/>
  <c r="F12" i="37"/>
  <c r="E12" i="37"/>
  <c r="U11" i="37"/>
  <c r="T11" i="37"/>
  <c r="R11" i="37"/>
  <c r="Q11" i="37"/>
  <c r="O11" i="37"/>
  <c r="N11" i="37"/>
  <c r="L11" i="37"/>
  <c r="K11" i="37"/>
  <c r="I11" i="37"/>
  <c r="H11" i="37"/>
  <c r="F11" i="37"/>
  <c r="E11" i="37"/>
  <c r="U10" i="37"/>
  <c r="T10" i="37"/>
  <c r="R10" i="37"/>
  <c r="Q10" i="37"/>
  <c r="O10" i="37"/>
  <c r="N10" i="37"/>
  <c r="L10" i="37"/>
  <c r="K10" i="37"/>
  <c r="I10" i="37"/>
  <c r="H10" i="37"/>
  <c r="F10" i="37"/>
  <c r="E10" i="37"/>
  <c r="U9" i="37"/>
  <c r="T9" i="37"/>
  <c r="R9" i="37"/>
  <c r="Q9" i="37"/>
  <c r="O9" i="37"/>
  <c r="N9" i="37"/>
  <c r="L9" i="37"/>
  <c r="K9" i="37"/>
  <c r="I9" i="37"/>
  <c r="H9" i="37"/>
  <c r="F9" i="37"/>
  <c r="E9" i="37"/>
  <c r="U8" i="37"/>
  <c r="T8" i="37"/>
  <c r="R8" i="37"/>
  <c r="Q8" i="37"/>
  <c r="O8" i="37"/>
  <c r="N8" i="37"/>
  <c r="L8" i="37"/>
  <c r="K8" i="37"/>
  <c r="I8" i="37"/>
  <c r="H8" i="37"/>
  <c r="F8" i="37"/>
  <c r="E8" i="37"/>
  <c r="W28" i="33"/>
  <c r="U28" i="33"/>
  <c r="T28" i="33"/>
  <c r="S28" i="33"/>
  <c r="Q28" i="33"/>
  <c r="P28" i="33"/>
  <c r="O28" i="33"/>
  <c r="M28" i="33"/>
  <c r="L28" i="33"/>
  <c r="K28" i="33"/>
  <c r="I28" i="33"/>
  <c r="H28" i="33"/>
  <c r="F28" i="33"/>
  <c r="E28" i="33"/>
  <c r="W27" i="33"/>
  <c r="U27" i="33"/>
  <c r="T27" i="33"/>
  <c r="S27" i="33"/>
  <c r="Q27" i="33"/>
  <c r="P27" i="33"/>
  <c r="O27" i="33"/>
  <c r="M27" i="33"/>
  <c r="L27" i="33"/>
  <c r="K27" i="33"/>
  <c r="I27" i="33"/>
  <c r="H27" i="33"/>
  <c r="F27" i="33"/>
  <c r="E27" i="33"/>
  <c r="W26" i="33"/>
  <c r="U26" i="33"/>
  <c r="T26" i="33"/>
  <c r="S26" i="33"/>
  <c r="Q26" i="33"/>
  <c r="P26" i="33"/>
  <c r="O26" i="33"/>
  <c r="M26" i="33"/>
  <c r="L26" i="33"/>
  <c r="K26" i="33"/>
  <c r="I26" i="33"/>
  <c r="H26" i="33"/>
  <c r="F26" i="33"/>
  <c r="E26" i="33"/>
  <c r="W25" i="33"/>
  <c r="U25" i="33"/>
  <c r="T25" i="33"/>
  <c r="S25" i="33"/>
  <c r="Q25" i="33"/>
  <c r="P25" i="33"/>
  <c r="O25" i="33"/>
  <c r="M25" i="33"/>
  <c r="L25" i="33"/>
  <c r="K25" i="33"/>
  <c r="I25" i="33"/>
  <c r="H25" i="33"/>
  <c r="F25" i="33"/>
  <c r="E25" i="33"/>
  <c r="W24" i="33"/>
  <c r="U24" i="33"/>
  <c r="T24" i="33"/>
  <c r="S24" i="33"/>
  <c r="Q24" i="33"/>
  <c r="P24" i="33"/>
  <c r="O24" i="33"/>
  <c r="M24" i="33"/>
  <c r="L24" i="33"/>
  <c r="K24" i="33"/>
  <c r="I24" i="33"/>
  <c r="H24" i="33"/>
  <c r="F24" i="33"/>
  <c r="E24" i="33"/>
  <c r="W23" i="33"/>
  <c r="U23" i="33"/>
  <c r="T23" i="33"/>
  <c r="S23" i="33"/>
  <c r="Q23" i="33"/>
  <c r="P23" i="33"/>
  <c r="O23" i="33"/>
  <c r="M23" i="33"/>
  <c r="L23" i="33"/>
  <c r="K23" i="33"/>
  <c r="I23" i="33"/>
  <c r="H23" i="33"/>
  <c r="F23" i="33"/>
  <c r="E23" i="33"/>
  <c r="W22" i="33"/>
  <c r="U22" i="33"/>
  <c r="T22" i="33"/>
  <c r="S22" i="33"/>
  <c r="Q22" i="33"/>
  <c r="P22" i="33"/>
  <c r="O22" i="33"/>
  <c r="M22" i="33"/>
  <c r="L22" i="33"/>
  <c r="K22" i="33"/>
  <c r="I22" i="33"/>
  <c r="H22" i="33"/>
  <c r="F22" i="33"/>
  <c r="E22" i="33"/>
  <c r="W21" i="33"/>
  <c r="U21" i="33"/>
  <c r="T21" i="33"/>
  <c r="S21" i="33"/>
  <c r="Q21" i="33"/>
  <c r="P21" i="33"/>
  <c r="O21" i="33"/>
  <c r="M21" i="33"/>
  <c r="L21" i="33"/>
  <c r="K21" i="33"/>
  <c r="I21" i="33"/>
  <c r="H21" i="33"/>
  <c r="F21" i="33"/>
  <c r="E21" i="33"/>
  <c r="W20" i="33"/>
  <c r="U20" i="33"/>
  <c r="T20" i="33"/>
  <c r="S20" i="33"/>
  <c r="Q20" i="33"/>
  <c r="P20" i="33"/>
  <c r="O20" i="33"/>
  <c r="M20" i="33"/>
  <c r="L20" i="33"/>
  <c r="K20" i="33"/>
  <c r="I20" i="33"/>
  <c r="H20" i="33"/>
  <c r="F20" i="33"/>
  <c r="E20" i="33"/>
  <c r="W19" i="33"/>
  <c r="U19" i="33"/>
  <c r="T19" i="33"/>
  <c r="S19" i="33"/>
  <c r="Q19" i="33"/>
  <c r="P19" i="33"/>
  <c r="O19" i="33"/>
  <c r="M19" i="33"/>
  <c r="L19" i="33"/>
  <c r="K19" i="33"/>
  <c r="I19" i="33"/>
  <c r="H19" i="33"/>
  <c r="F19" i="33"/>
  <c r="E19" i="33"/>
  <c r="W18" i="33"/>
  <c r="U18" i="33"/>
  <c r="T18" i="33"/>
  <c r="S18" i="33"/>
  <c r="Q18" i="33"/>
  <c r="P18" i="33"/>
  <c r="O18" i="33"/>
  <c r="M18" i="33"/>
  <c r="L18" i="33"/>
  <c r="K18" i="33"/>
  <c r="I18" i="33"/>
  <c r="H18" i="33"/>
  <c r="F18" i="33"/>
  <c r="E18" i="33"/>
  <c r="W17" i="33"/>
  <c r="U17" i="33"/>
  <c r="T17" i="33"/>
  <c r="S17" i="33"/>
  <c r="Q17" i="33"/>
  <c r="P17" i="33"/>
  <c r="O17" i="33"/>
  <c r="M17" i="33"/>
  <c r="L17" i="33"/>
  <c r="K17" i="33"/>
  <c r="I17" i="33"/>
  <c r="H17" i="33"/>
  <c r="F17" i="33"/>
  <c r="E17" i="33"/>
  <c r="W16" i="33"/>
  <c r="U16" i="33"/>
  <c r="T16" i="33"/>
  <c r="S16" i="33"/>
  <c r="Q16" i="33"/>
  <c r="P16" i="33"/>
  <c r="O16" i="33"/>
  <c r="M16" i="33"/>
  <c r="L16" i="33"/>
  <c r="K16" i="33"/>
  <c r="I16" i="33"/>
  <c r="H16" i="33"/>
  <c r="F16" i="33"/>
  <c r="E16" i="33"/>
  <c r="W15" i="33"/>
  <c r="U15" i="33"/>
  <c r="T15" i="33"/>
  <c r="S15" i="33"/>
  <c r="Q15" i="33"/>
  <c r="P15" i="33"/>
  <c r="O15" i="33"/>
  <c r="M15" i="33"/>
  <c r="L15" i="33"/>
  <c r="K15" i="33"/>
  <c r="I15" i="33"/>
  <c r="H15" i="33"/>
  <c r="F15" i="33"/>
  <c r="E15" i="33"/>
  <c r="W14" i="33"/>
  <c r="U14" i="33"/>
  <c r="T14" i="33"/>
  <c r="S14" i="33"/>
  <c r="Q14" i="33"/>
  <c r="P14" i="33"/>
  <c r="O14" i="33"/>
  <c r="M14" i="33"/>
  <c r="L14" i="33"/>
  <c r="K14" i="33"/>
  <c r="I14" i="33"/>
  <c r="H14" i="33"/>
  <c r="F14" i="33"/>
  <c r="E14" i="33"/>
  <c r="W13" i="33"/>
  <c r="U13" i="33"/>
  <c r="T13" i="33"/>
  <c r="S13" i="33"/>
  <c r="Q13" i="33"/>
  <c r="P13" i="33"/>
  <c r="O13" i="33"/>
  <c r="M13" i="33"/>
  <c r="L13" i="33"/>
  <c r="K13" i="33"/>
  <c r="I13" i="33"/>
  <c r="H13" i="33"/>
  <c r="F13" i="33"/>
  <c r="E13" i="33"/>
  <c r="W12" i="33"/>
  <c r="U12" i="33"/>
  <c r="T12" i="33"/>
  <c r="S12" i="33"/>
  <c r="Q12" i="33"/>
  <c r="P12" i="33"/>
  <c r="O12" i="33"/>
  <c r="M12" i="33"/>
  <c r="L12" i="33"/>
  <c r="K12" i="33"/>
  <c r="I12" i="33"/>
  <c r="H12" i="33"/>
  <c r="F12" i="33"/>
  <c r="E12" i="33"/>
  <c r="W11" i="33"/>
  <c r="U11" i="33"/>
  <c r="T11" i="33"/>
  <c r="S11" i="33"/>
  <c r="Q11" i="33"/>
  <c r="P11" i="33"/>
  <c r="O11" i="33"/>
  <c r="M11" i="33"/>
  <c r="L11" i="33"/>
  <c r="K11" i="33"/>
  <c r="I11" i="33"/>
  <c r="H11" i="33"/>
  <c r="F11" i="33"/>
  <c r="E11" i="33"/>
  <c r="W10" i="33"/>
  <c r="U10" i="33"/>
  <c r="T10" i="33"/>
  <c r="S10" i="33"/>
  <c r="Q10" i="33"/>
  <c r="P10" i="33"/>
  <c r="O10" i="33"/>
  <c r="M10" i="33"/>
  <c r="L10" i="33"/>
  <c r="K10" i="33"/>
  <c r="I10" i="33"/>
  <c r="H10" i="33"/>
  <c r="F10" i="33"/>
  <c r="E10" i="33"/>
  <c r="W9" i="33"/>
  <c r="U9" i="33"/>
  <c r="T9" i="33"/>
  <c r="S9" i="33"/>
  <c r="Q9" i="33"/>
  <c r="P9" i="33"/>
  <c r="O9" i="33"/>
  <c r="M9" i="33"/>
  <c r="L9" i="33"/>
  <c r="K9" i="33"/>
  <c r="I9" i="33"/>
  <c r="H9" i="33"/>
  <c r="F9" i="33"/>
  <c r="E9" i="33"/>
  <c r="W8" i="33"/>
  <c r="U8" i="33"/>
  <c r="T8" i="33"/>
  <c r="S8" i="33"/>
  <c r="Q8" i="33"/>
  <c r="P8" i="33"/>
  <c r="O8" i="33"/>
  <c r="M8" i="33"/>
  <c r="L8" i="33"/>
  <c r="K8" i="33"/>
  <c r="I8" i="33"/>
  <c r="H8" i="33"/>
  <c r="F8" i="33"/>
  <c r="E8" i="33"/>
  <c r="AD27" i="42"/>
  <c r="AC27" i="42"/>
  <c r="AB27" i="42"/>
  <c r="AA27" i="42"/>
  <c r="Z27" i="42"/>
  <c r="Y27" i="42"/>
  <c r="AD26" i="42"/>
  <c r="AG26" i="42" s="1"/>
  <c r="AC26" i="42"/>
  <c r="AB26" i="42"/>
  <c r="AE26" i="42" s="1"/>
  <c r="AA26" i="42"/>
  <c r="Z26" i="42"/>
  <c r="Y26" i="42"/>
  <c r="AD25" i="42"/>
  <c r="AC25" i="42"/>
  <c r="AB25" i="42"/>
  <c r="AA25" i="42"/>
  <c r="AG25" i="42" s="1"/>
  <c r="Z25" i="42"/>
  <c r="AF25" i="42" s="1"/>
  <c r="Y25" i="42"/>
  <c r="AE25" i="42" s="1"/>
  <c r="AD24" i="42"/>
  <c r="AC24" i="42"/>
  <c r="AB24" i="42"/>
  <c r="AA24" i="42"/>
  <c r="Z24" i="42"/>
  <c r="Y24" i="42"/>
  <c r="AD23" i="42"/>
  <c r="AG23" i="42" s="1"/>
  <c r="AC23" i="42"/>
  <c r="AB23" i="42"/>
  <c r="AA23" i="42"/>
  <c r="Z23" i="42"/>
  <c r="Y23" i="42"/>
  <c r="AD22" i="42"/>
  <c r="AC22" i="42"/>
  <c r="AB22" i="42"/>
  <c r="AA22" i="42"/>
  <c r="Z22" i="42"/>
  <c r="AF22" i="42" s="1"/>
  <c r="Y22" i="42"/>
  <c r="AE22" i="42" s="1"/>
  <c r="AD21" i="42"/>
  <c r="AC21" i="42"/>
  <c r="AB21" i="42"/>
  <c r="AA21" i="42"/>
  <c r="AG21" i="42" s="1"/>
  <c r="Z21" i="42"/>
  <c r="Y21" i="42"/>
  <c r="AD20" i="42"/>
  <c r="AG20" i="42" s="1"/>
  <c r="AC20" i="42"/>
  <c r="AF20" i="42" s="1"/>
  <c r="AB20" i="42"/>
  <c r="AE20" i="42" s="1"/>
  <c r="AA20" i="42"/>
  <c r="Z20" i="42"/>
  <c r="Y20" i="42"/>
  <c r="AD19" i="42"/>
  <c r="AC19" i="42"/>
  <c r="AB19" i="42"/>
  <c r="AA19" i="42"/>
  <c r="Z19" i="42"/>
  <c r="Y19" i="42"/>
  <c r="AD18" i="42"/>
  <c r="AC18" i="42"/>
  <c r="AB18" i="42"/>
  <c r="AA18" i="42"/>
  <c r="AG18" i="42" s="1"/>
  <c r="Z18" i="42"/>
  <c r="AF18" i="42" s="1"/>
  <c r="Y18" i="42"/>
  <c r="AD17" i="42"/>
  <c r="AC17" i="42"/>
  <c r="AB17" i="42"/>
  <c r="AA17" i="42"/>
  <c r="Z17" i="42"/>
  <c r="Y17" i="42"/>
  <c r="AD16" i="42"/>
  <c r="AG16" i="42" s="1"/>
  <c r="AC16" i="42"/>
  <c r="AB16" i="42"/>
  <c r="AA16" i="42"/>
  <c r="Z16" i="42"/>
  <c r="Y16" i="42"/>
  <c r="AD15" i="42"/>
  <c r="AC15" i="42"/>
  <c r="AB15" i="42"/>
  <c r="AA15" i="42"/>
  <c r="AG15" i="42" s="1"/>
  <c r="Z15" i="42"/>
  <c r="AF15" i="42" s="1"/>
  <c r="Y15" i="42"/>
  <c r="AE15" i="42" s="1"/>
  <c r="AD14" i="42"/>
  <c r="AC14" i="42"/>
  <c r="AB14" i="42"/>
  <c r="AA14" i="42"/>
  <c r="AG14" i="42" s="1"/>
  <c r="Z14" i="42"/>
  <c r="AF14" i="42" s="1"/>
  <c r="Y14" i="42"/>
  <c r="AD13" i="42"/>
  <c r="AC13" i="42"/>
  <c r="AB13" i="42"/>
  <c r="AA13" i="42"/>
  <c r="Z13" i="42"/>
  <c r="Y13" i="42"/>
  <c r="AD12" i="42"/>
  <c r="AC12" i="42"/>
  <c r="AB12" i="42"/>
  <c r="AA12" i="42"/>
  <c r="Z12" i="42"/>
  <c r="Y12" i="42"/>
  <c r="AE12" i="42" s="1"/>
  <c r="AD11" i="42"/>
  <c r="AC11" i="42"/>
  <c r="AB11" i="42"/>
  <c r="AA11" i="42"/>
  <c r="AG11" i="42" s="1"/>
  <c r="Z11" i="42"/>
  <c r="Y11" i="42"/>
  <c r="AD10" i="42"/>
  <c r="AC10" i="42"/>
  <c r="AB10" i="42"/>
  <c r="AA10" i="42"/>
  <c r="Z10" i="42"/>
  <c r="Y10" i="42"/>
  <c r="AD9" i="42"/>
  <c r="AC9" i="42"/>
  <c r="AB9" i="42"/>
  <c r="AA9" i="42"/>
  <c r="Z9" i="42"/>
  <c r="AF9" i="42" s="1"/>
  <c r="Y9" i="42"/>
  <c r="AD8" i="42"/>
  <c r="AC8" i="42"/>
  <c r="AB8" i="42"/>
  <c r="AA8" i="42"/>
  <c r="AG8" i="42" s="1"/>
  <c r="Z8" i="42"/>
  <c r="AF8" i="42" s="1"/>
  <c r="Y8" i="42"/>
  <c r="AD7" i="42"/>
  <c r="AC7" i="42"/>
  <c r="AB7" i="42"/>
  <c r="AA7" i="42"/>
  <c r="Z7" i="42"/>
  <c r="Y7" i="42"/>
  <c r="W40" i="42"/>
  <c r="U40" i="42"/>
  <c r="T40" i="42"/>
  <c r="T37" i="42"/>
  <c r="R40" i="42"/>
  <c r="R38" i="42"/>
  <c r="R37" i="42"/>
  <c r="R36" i="42"/>
  <c r="R35" i="42"/>
  <c r="P40" i="42"/>
  <c r="O40" i="42"/>
  <c r="P38" i="42"/>
  <c r="O38" i="42"/>
  <c r="P37" i="42"/>
  <c r="O37" i="42"/>
  <c r="P36" i="42"/>
  <c r="O36" i="42"/>
  <c r="P35" i="42"/>
  <c r="O35" i="42"/>
  <c r="K41" i="42"/>
  <c r="J41" i="42"/>
  <c r="N40" i="42"/>
  <c r="N39" i="42"/>
  <c r="L39" i="42"/>
  <c r="M38" i="42"/>
  <c r="N38" i="42" s="1"/>
  <c r="N37" i="42"/>
  <c r="N36" i="42"/>
  <c r="N35" i="42"/>
  <c r="L35" i="42"/>
  <c r="N34" i="42"/>
  <c r="L34" i="42"/>
  <c r="N33" i="42"/>
  <c r="L33" i="42"/>
  <c r="AE23" i="42"/>
  <c r="AE13" i="42"/>
  <c r="AF12" i="42"/>
  <c r="AG9" i="42"/>
  <c r="AD27" i="2"/>
  <c r="AC27" i="2"/>
  <c r="AB27" i="2"/>
  <c r="AA27" i="2"/>
  <c r="Z27" i="2"/>
  <c r="Y27" i="2"/>
  <c r="AD26" i="2"/>
  <c r="AC26" i="2"/>
  <c r="AB26" i="2"/>
  <c r="AA26" i="2"/>
  <c r="Z26" i="2"/>
  <c r="Y26" i="2"/>
  <c r="AD25" i="2"/>
  <c r="AC25" i="2"/>
  <c r="AB25" i="2"/>
  <c r="AA25" i="2"/>
  <c r="Z25" i="2"/>
  <c r="Y25" i="2"/>
  <c r="AD24" i="2"/>
  <c r="AC24" i="2"/>
  <c r="AB24" i="2"/>
  <c r="AA24" i="2"/>
  <c r="Z24" i="2"/>
  <c r="Y24" i="2"/>
  <c r="AD23" i="2"/>
  <c r="AC23" i="2"/>
  <c r="AB23" i="2"/>
  <c r="AA23" i="2"/>
  <c r="Z23" i="2"/>
  <c r="Y23" i="2"/>
  <c r="AD22" i="2"/>
  <c r="AC22" i="2"/>
  <c r="AB22" i="2"/>
  <c r="AA22" i="2"/>
  <c r="Z22" i="2"/>
  <c r="Y22" i="2"/>
  <c r="AD21" i="2"/>
  <c r="AC21" i="2"/>
  <c r="AB21" i="2"/>
  <c r="AA21" i="2"/>
  <c r="Z21" i="2"/>
  <c r="Y21" i="2"/>
  <c r="AD20" i="2"/>
  <c r="AC20" i="2"/>
  <c r="AB20" i="2"/>
  <c r="AA20" i="2"/>
  <c r="Z20" i="2"/>
  <c r="Y20" i="2"/>
  <c r="AD19" i="2"/>
  <c r="AC19" i="2"/>
  <c r="AB19" i="2"/>
  <c r="AA19" i="2"/>
  <c r="Z19" i="2"/>
  <c r="Y19" i="2"/>
  <c r="AD18" i="2"/>
  <c r="AC18" i="2"/>
  <c r="AB18" i="2"/>
  <c r="AA18" i="2"/>
  <c r="Z18" i="2"/>
  <c r="Y18" i="2"/>
  <c r="AD17" i="2"/>
  <c r="AC17" i="2"/>
  <c r="AB17" i="2"/>
  <c r="AA17" i="2"/>
  <c r="Z17" i="2"/>
  <c r="Y17" i="2"/>
  <c r="AD16" i="2"/>
  <c r="AC16" i="2"/>
  <c r="AB16" i="2"/>
  <c r="AA16" i="2"/>
  <c r="Z16" i="2"/>
  <c r="Y16" i="2"/>
  <c r="AD15" i="2"/>
  <c r="AC15" i="2"/>
  <c r="AB15" i="2"/>
  <c r="AA15" i="2"/>
  <c r="Z15" i="2"/>
  <c r="Y15" i="2"/>
  <c r="AD14" i="2"/>
  <c r="AC14" i="2"/>
  <c r="AB14" i="2"/>
  <c r="AA14" i="2"/>
  <c r="Z14" i="2"/>
  <c r="Y14" i="2"/>
  <c r="AD13" i="2"/>
  <c r="AC13" i="2"/>
  <c r="AB13" i="2"/>
  <c r="AA13" i="2"/>
  <c r="Z13" i="2"/>
  <c r="Y13" i="2"/>
  <c r="AD12" i="2"/>
  <c r="AC12" i="2"/>
  <c r="AB12" i="2"/>
  <c r="AA12" i="2"/>
  <c r="Z12" i="2"/>
  <c r="Y12" i="2"/>
  <c r="AD11" i="2"/>
  <c r="AC11" i="2"/>
  <c r="AB11" i="2"/>
  <c r="AA11" i="2"/>
  <c r="Z11" i="2"/>
  <c r="Y11" i="2"/>
  <c r="AD10" i="2"/>
  <c r="AC10" i="2"/>
  <c r="AB10" i="2"/>
  <c r="AA10" i="2"/>
  <c r="Z10" i="2"/>
  <c r="Y10" i="2"/>
  <c r="AD9" i="2"/>
  <c r="AC9" i="2"/>
  <c r="AB9" i="2"/>
  <c r="AA9" i="2"/>
  <c r="Z9" i="2"/>
  <c r="Y9" i="2"/>
  <c r="AD8" i="2"/>
  <c r="AC8" i="2"/>
  <c r="AB8" i="2"/>
  <c r="AA8" i="2"/>
  <c r="Z8" i="2"/>
  <c r="Y8" i="2"/>
  <c r="AD7" i="2"/>
  <c r="AC7" i="2"/>
  <c r="AB7" i="2"/>
  <c r="AA7" i="2"/>
  <c r="Z7" i="2"/>
  <c r="Y7" i="2"/>
  <c r="AE38" i="29"/>
  <c r="W46" i="2"/>
  <c r="T46" i="2"/>
  <c r="R46" i="2"/>
  <c r="O46" i="2"/>
  <c r="J46" i="2"/>
  <c r="W39" i="2"/>
  <c r="T39" i="2"/>
  <c r="R39" i="2"/>
  <c r="O39" i="2"/>
  <c r="W38" i="2"/>
  <c r="T38" i="2"/>
  <c r="W37" i="2"/>
  <c r="W36" i="2"/>
  <c r="T36" i="2"/>
  <c r="W35" i="2"/>
  <c r="T35" i="2"/>
  <c r="W34" i="2"/>
  <c r="T34" i="2"/>
  <c r="R34" i="2"/>
  <c r="O34" i="2"/>
  <c r="W33" i="2"/>
  <c r="T33" i="2"/>
  <c r="R33" i="2"/>
  <c r="O33" i="2"/>
  <c r="W31" i="2"/>
  <c r="T31" i="2"/>
  <c r="R31" i="2"/>
  <c r="O31" i="2"/>
  <c r="J31" i="2"/>
  <c r="W30" i="2"/>
  <c r="T30" i="2"/>
  <c r="R30" i="2"/>
  <c r="O30" i="2"/>
  <c r="J30" i="2"/>
  <c r="W29" i="2"/>
  <c r="T29" i="2"/>
  <c r="R29" i="2"/>
  <c r="O29" i="2"/>
  <c r="J29" i="2"/>
  <c r="W28" i="2"/>
  <c r="T28" i="2"/>
  <c r="R28" i="2"/>
  <c r="O28" i="2"/>
  <c r="J28" i="2"/>
  <c r="W23" i="2"/>
  <c r="T23" i="2"/>
  <c r="R23" i="2"/>
  <c r="O23" i="2"/>
  <c r="J23" i="2"/>
  <c r="W22" i="2"/>
  <c r="T22" i="2"/>
  <c r="R22" i="2"/>
  <c r="O22" i="2"/>
  <c r="J22" i="2"/>
  <c r="W21" i="2"/>
  <c r="T21" i="2"/>
  <c r="R21" i="2"/>
  <c r="O21" i="2"/>
  <c r="J21" i="2"/>
  <c r="W20" i="2"/>
  <c r="T20" i="2"/>
  <c r="R20" i="2"/>
  <c r="O20" i="2"/>
  <c r="J20" i="2"/>
  <c r="W19" i="2"/>
  <c r="T19" i="2"/>
  <c r="R19" i="2"/>
  <c r="O19" i="2"/>
  <c r="J19" i="2"/>
  <c r="W18" i="2"/>
  <c r="T18" i="2"/>
  <c r="R18" i="2"/>
  <c r="O18" i="2"/>
  <c r="J18" i="2"/>
  <c r="W17" i="2"/>
  <c r="T17" i="2"/>
  <c r="R17" i="2"/>
  <c r="O17" i="2"/>
  <c r="J17" i="2"/>
  <c r="W16" i="2"/>
  <c r="T16" i="2"/>
  <c r="R16" i="2"/>
  <c r="O16" i="2"/>
  <c r="J16" i="2"/>
  <c r="W15" i="2"/>
  <c r="T15" i="2"/>
  <c r="R15" i="2"/>
  <c r="O15" i="2"/>
  <c r="J15" i="2"/>
  <c r="W14" i="2"/>
  <c r="T14" i="2"/>
  <c r="R14" i="2"/>
  <c r="O14" i="2"/>
  <c r="J14" i="2"/>
  <c r="W13" i="2"/>
  <c r="T13" i="2"/>
  <c r="R13" i="2"/>
  <c r="O13" i="2"/>
  <c r="J13" i="2"/>
  <c r="W12" i="2"/>
  <c r="T12" i="2"/>
  <c r="R12" i="2"/>
  <c r="O12" i="2"/>
  <c r="J12" i="2"/>
  <c r="W11" i="2"/>
  <c r="T11" i="2"/>
  <c r="R11" i="2"/>
  <c r="O11" i="2"/>
  <c r="J11" i="2"/>
  <c r="W10" i="2"/>
  <c r="T10" i="2"/>
  <c r="R10" i="2"/>
  <c r="O10" i="2"/>
  <c r="J10" i="2"/>
  <c r="W9" i="2"/>
  <c r="T9" i="2"/>
  <c r="R9" i="2"/>
  <c r="O9" i="2"/>
  <c r="J9" i="2"/>
  <c r="W8" i="2"/>
  <c r="T8" i="2"/>
  <c r="R8" i="2"/>
  <c r="O8" i="2"/>
  <c r="J8" i="2"/>
  <c r="W7" i="2"/>
  <c r="T7" i="2"/>
  <c r="R7" i="2"/>
  <c r="O7" i="2"/>
  <c r="J7" i="2"/>
  <c r="V24" i="1"/>
  <c r="T24" i="1"/>
  <c r="S24" i="1"/>
  <c r="V23" i="1"/>
  <c r="T23" i="1"/>
  <c r="S23" i="1"/>
  <c r="V28" i="1"/>
  <c r="V27" i="1"/>
  <c r="T28" i="1"/>
  <c r="S28" i="1"/>
  <c r="T27" i="1"/>
  <c r="S27" i="1"/>
  <c r="V20" i="1"/>
  <c r="T20" i="1"/>
  <c r="S20" i="1"/>
  <c r="V19" i="1"/>
  <c r="T19" i="1"/>
  <c r="S19" i="1"/>
  <c r="V18" i="1"/>
  <c r="T18" i="1"/>
  <c r="S18" i="1"/>
  <c r="V17" i="1"/>
  <c r="T17" i="1"/>
  <c r="S17" i="1"/>
  <c r="V16" i="1"/>
  <c r="T16" i="1"/>
  <c r="S16" i="1"/>
  <c r="V15" i="1"/>
  <c r="T15" i="1"/>
  <c r="S15" i="1"/>
  <c r="V14" i="1"/>
  <c r="T14" i="1"/>
  <c r="S14" i="1"/>
  <c r="V13" i="1"/>
  <c r="T13" i="1"/>
  <c r="S13" i="1"/>
  <c r="V11" i="1"/>
  <c r="T11" i="1"/>
  <c r="S11" i="1"/>
  <c r="V10" i="1"/>
  <c r="T10" i="1"/>
  <c r="S10" i="1"/>
  <c r="V9" i="1"/>
  <c r="T9" i="1"/>
  <c r="S9" i="1"/>
  <c r="V40" i="42" l="1"/>
  <c r="AE7" i="42"/>
  <c r="AE17" i="42"/>
  <c r="AE11" i="42"/>
  <c r="AE8" i="42"/>
  <c r="AE18" i="42"/>
  <c r="T16" i="43"/>
  <c r="Q16" i="43"/>
  <c r="Q35" i="42"/>
  <c r="N10" i="43"/>
  <c r="N12" i="43" s="1"/>
  <c r="N9" i="43" s="1"/>
  <c r="N24" i="43"/>
  <c r="Q40" i="42"/>
  <c r="S38" i="42"/>
  <c r="S40" i="42"/>
  <c r="AE9" i="42"/>
  <c r="Q36" i="42"/>
  <c r="AE27" i="42"/>
  <c r="Q38" i="42"/>
  <c r="AF17" i="42"/>
  <c r="AF27" i="42"/>
  <c r="AG7" i="42"/>
  <c r="AE14" i="42"/>
  <c r="AG17" i="42"/>
  <c r="AE24" i="42"/>
  <c r="AG27" i="42"/>
  <c r="N13" i="43"/>
  <c r="N14" i="43" s="1"/>
  <c r="N25" i="43"/>
  <c r="N15" i="43"/>
  <c r="N22" i="43"/>
  <c r="Q12" i="43"/>
  <c r="Q9" i="43" s="1"/>
  <c r="Q20" i="43"/>
  <c r="Z31" i="43"/>
  <c r="W19" i="43"/>
  <c r="W24" i="43"/>
  <c r="Z20" i="43"/>
  <c r="K14" i="43"/>
  <c r="T17" i="43"/>
  <c r="Q17" i="43"/>
  <c r="Z28" i="43"/>
  <c r="W23" i="43"/>
  <c r="AC23" i="43" s="1"/>
  <c r="T12" i="43"/>
  <c r="T11" i="43" s="1"/>
  <c r="T20" i="43"/>
  <c r="Z14" i="43"/>
  <c r="Z12" i="43"/>
  <c r="Z11" i="43" s="1"/>
  <c r="W15" i="43"/>
  <c r="N19" i="43"/>
  <c r="N21" i="43"/>
  <c r="AF24" i="42"/>
  <c r="AG24" i="42"/>
  <c r="S37" i="42"/>
  <c r="AF11" i="42"/>
  <c r="AF21" i="42"/>
  <c r="S36" i="42"/>
  <c r="H14" i="43"/>
  <c r="AG12" i="42"/>
  <c r="AE19" i="42"/>
  <c r="AG22" i="42"/>
  <c r="Z29" i="43"/>
  <c r="AF19" i="42"/>
  <c r="AE21" i="42"/>
  <c r="AE16" i="42"/>
  <c r="AG19" i="42"/>
  <c r="H16" i="43"/>
  <c r="S35" i="42"/>
  <c r="Z41" i="43"/>
  <c r="Z42" i="43" s="1"/>
  <c r="AF13" i="42"/>
  <c r="AF23" i="42"/>
  <c r="Z30" i="43"/>
  <c r="AE10" i="42"/>
  <c r="AG13" i="42"/>
  <c r="AF16" i="42"/>
  <c r="AF26" i="42"/>
  <c r="AF10" i="42"/>
  <c r="AF7" i="42"/>
  <c r="AG10" i="42"/>
  <c r="N26" i="43"/>
  <c r="H12" i="43"/>
  <c r="H9" i="43" s="1"/>
  <c r="Z16" i="43"/>
  <c r="H20" i="43"/>
  <c r="K12" i="43"/>
  <c r="K11" i="43" s="1"/>
  <c r="K16" i="43"/>
  <c r="K20" i="43"/>
  <c r="W8" i="43"/>
  <c r="AC8" i="43" s="1"/>
  <c r="W25" i="43"/>
  <c r="T14" i="43"/>
  <c r="H17" i="43"/>
  <c r="W13" i="43"/>
  <c r="W21" i="43"/>
  <c r="W18" i="43"/>
  <c r="W10" i="43"/>
  <c r="K17" i="43"/>
  <c r="W22" i="43"/>
  <c r="Q14" i="43"/>
  <c r="Z17" i="43"/>
  <c r="Q37" i="42"/>
  <c r="L41" i="42"/>
  <c r="M41" i="42"/>
  <c r="N41" i="42" s="1"/>
  <c r="AC24" i="43" l="1"/>
  <c r="N17" i="43"/>
  <c r="AC13" i="43"/>
  <c r="Q11" i="43"/>
  <c r="Z9" i="43"/>
  <c r="T9" i="43"/>
  <c r="AC21" i="43"/>
  <c r="AC25" i="43"/>
  <c r="H11" i="43"/>
  <c r="AC14" i="43"/>
  <c r="AC26" i="43"/>
  <c r="K9" i="43"/>
  <c r="W14" i="43"/>
  <c r="W17" i="43"/>
  <c r="AC22" i="43"/>
  <c r="AC15" i="43"/>
  <c r="AC17" i="43" s="1"/>
  <c r="N16" i="43"/>
  <c r="AC19" i="43"/>
  <c r="W12" i="43"/>
  <c r="W9" i="43" s="1"/>
  <c r="W20" i="43"/>
  <c r="N11" i="43"/>
  <c r="AC10" i="43"/>
  <c r="AC18" i="43"/>
  <c r="N20" i="43"/>
  <c r="W16" i="43"/>
  <c r="W11" i="43" l="1"/>
  <c r="AC12" i="43"/>
  <c r="AC11" i="43" s="1"/>
  <c r="AC16" i="43"/>
  <c r="AC20" i="43"/>
  <c r="AC9" i="43" l="1"/>
  <c r="H38" i="1" l="1"/>
  <c r="E38" i="1"/>
  <c r="H27" i="1"/>
  <c r="E27" i="1"/>
  <c r="H26" i="1"/>
  <c r="E26" i="1"/>
  <c r="H25" i="1"/>
  <c r="E25" i="1"/>
  <c r="H17" i="1"/>
  <c r="E17" i="1"/>
  <c r="H16" i="1"/>
  <c r="E16" i="1"/>
  <c r="H15" i="1"/>
  <c r="E15" i="1"/>
  <c r="H12" i="1"/>
  <c r="AE12" i="1" s="1"/>
  <c r="E12" i="1"/>
  <c r="H11" i="1"/>
  <c r="AE11" i="1" s="1"/>
  <c r="E11" i="1"/>
  <c r="H10" i="1"/>
  <c r="AE10" i="1" s="1"/>
  <c r="E10" i="1"/>
  <c r="E9" i="1"/>
  <c r="E8" i="1"/>
  <c r="E7" i="1"/>
  <c r="AB10" i="1" l="1"/>
  <c r="AB11" i="1"/>
  <c r="AB8" i="1"/>
  <c r="AB12" i="1"/>
  <c r="AB7" i="1"/>
  <c r="AB9" i="1"/>
  <c r="E28" i="1"/>
  <c r="E18" i="1"/>
  <c r="H18" i="1"/>
  <c r="E13" i="1"/>
  <c r="H28" i="1"/>
  <c r="H13" i="1"/>
  <c r="AE13" i="1" s="1"/>
  <c r="AE14" i="1" s="1"/>
  <c r="P19" i="41"/>
  <c r="P18" i="41"/>
  <c r="AB13" i="1" l="1"/>
  <c r="AB14" i="1"/>
  <c r="Y40" i="41"/>
  <c r="Y39" i="41"/>
  <c r="Y38" i="41"/>
  <c r="Y37" i="41"/>
  <c r="Y36" i="41"/>
  <c r="Y35" i="41"/>
  <c r="Y19" i="41"/>
  <c r="Y18" i="41"/>
  <c r="Y26" i="41" l="1"/>
  <c r="Y25" i="41"/>
  <c r="Y24" i="41"/>
  <c r="Y23" i="41"/>
  <c r="Y22" i="41"/>
  <c r="Y21" i="41"/>
  <c r="Y15" i="41"/>
  <c r="Y13" i="41"/>
  <c r="Y10" i="41"/>
  <c r="Y8" i="41"/>
  <c r="S19" i="41" l="1"/>
  <c r="S18" i="41" l="1"/>
  <c r="S40" i="41" l="1"/>
  <c r="P40" i="41"/>
  <c r="S39" i="41"/>
  <c r="P39" i="41"/>
  <c r="S38" i="41"/>
  <c r="P38" i="41"/>
  <c r="S37" i="41"/>
  <c r="P37" i="41"/>
  <c r="S36" i="41"/>
  <c r="P36" i="41"/>
  <c r="S35" i="41"/>
  <c r="P35" i="41"/>
  <c r="V32" i="41"/>
  <c r="S32" i="41"/>
  <c r="P32" i="41"/>
  <c r="V31" i="41"/>
  <c r="S31" i="41"/>
  <c r="P31" i="41"/>
  <c r="V30" i="41"/>
  <c r="S30" i="41"/>
  <c r="P30" i="41"/>
  <c r="V29" i="41"/>
  <c r="S29" i="41"/>
  <c r="P29" i="41"/>
  <c r="V28" i="41"/>
  <c r="S28" i="41"/>
  <c r="P28" i="41"/>
  <c r="V27" i="41"/>
  <c r="S27" i="41"/>
  <c r="P27" i="41"/>
  <c r="S26" i="41"/>
  <c r="P26" i="41"/>
  <c r="S25" i="41"/>
  <c r="P25" i="41"/>
  <c r="S24" i="41"/>
  <c r="P24" i="41"/>
  <c r="S23" i="41"/>
  <c r="P23" i="41"/>
  <c r="S22" i="41"/>
  <c r="P22" i="41"/>
  <c r="S21" i="41"/>
  <c r="P21" i="41"/>
  <c r="S15" i="41"/>
  <c r="P15" i="41"/>
  <c r="S13" i="41"/>
  <c r="P13" i="41"/>
  <c r="S10" i="41"/>
  <c r="P10" i="41"/>
  <c r="S8" i="41"/>
  <c r="P8" i="41"/>
  <c r="J40" i="41"/>
  <c r="J39" i="41"/>
  <c r="J38" i="41"/>
  <c r="J37" i="41"/>
  <c r="J36" i="41"/>
  <c r="J35" i="41"/>
  <c r="J32" i="41"/>
  <c r="J31" i="41"/>
  <c r="J30" i="41"/>
  <c r="J29" i="41"/>
  <c r="J28" i="41"/>
  <c r="J27" i="41"/>
  <c r="J19" i="41"/>
  <c r="J18" i="41"/>
  <c r="J15" i="41"/>
  <c r="J13" i="41"/>
  <c r="G40" i="41"/>
  <c r="G39" i="41"/>
  <c r="G38" i="41"/>
  <c r="G37" i="41"/>
  <c r="G36" i="41"/>
  <c r="G35" i="41"/>
  <c r="G32" i="41"/>
  <c r="G31" i="41"/>
  <c r="G30" i="41"/>
  <c r="G29" i="41"/>
  <c r="G28" i="41"/>
  <c r="G27" i="41"/>
  <c r="G19" i="41"/>
  <c r="G18" i="41"/>
  <c r="G15" i="41"/>
  <c r="G13" i="41"/>
  <c r="M32" i="41" l="1"/>
  <c r="M31" i="41"/>
  <c r="M30" i="41"/>
  <c r="M29" i="41"/>
  <c r="M28" i="41"/>
  <c r="M27" i="41"/>
  <c r="J26" i="41"/>
  <c r="G26" i="41"/>
  <c r="J25" i="41"/>
  <c r="G25" i="41"/>
  <c r="J24" i="41"/>
  <c r="G24" i="41"/>
  <c r="J23" i="41"/>
  <c r="G23" i="41"/>
  <c r="J22" i="41"/>
  <c r="G22" i="41"/>
  <c r="J21" i="41"/>
  <c r="G21" i="41"/>
  <c r="J10" i="41"/>
  <c r="G10" i="41"/>
  <c r="J8" i="41"/>
  <c r="G8" i="41"/>
  <c r="V40" i="41" l="1"/>
  <c r="M39" i="41"/>
  <c r="M38" i="41"/>
  <c r="Y29" i="41"/>
  <c r="M37" i="41"/>
  <c r="Y28" i="41"/>
  <c r="M36" i="41"/>
  <c r="V35" i="41"/>
  <c r="Z32" i="41"/>
  <c r="Y30" i="41"/>
  <c r="AA26" i="41"/>
  <c r="M26" i="41"/>
  <c r="Y31" i="41"/>
  <c r="M25" i="41"/>
  <c r="AA24" i="41"/>
  <c r="V24" i="41"/>
  <c r="M24" i="41"/>
  <c r="V23" i="41"/>
  <c r="M23" i="41"/>
  <c r="V22" i="41"/>
  <c r="M22" i="41"/>
  <c r="M21" i="41"/>
  <c r="V19" i="41"/>
  <c r="S20" i="41"/>
  <c r="P20" i="41"/>
  <c r="J20" i="41"/>
  <c r="J17" i="41"/>
  <c r="V15" i="41"/>
  <c r="J14" i="41"/>
  <c r="Y14" i="41"/>
  <c r="S17" i="41"/>
  <c r="V13" i="41"/>
  <c r="G14" i="41"/>
  <c r="G12" i="41"/>
  <c r="G9" i="41" s="1"/>
  <c r="S16" i="41"/>
  <c r="M8" i="41"/>
  <c r="G11" i="41" l="1"/>
  <c r="AB22" i="41"/>
  <c r="V26" i="41"/>
  <c r="AB26" i="41" s="1"/>
  <c r="P14" i="41"/>
  <c r="Y20" i="41"/>
  <c r="Y32" i="41"/>
  <c r="AA32" i="41" s="1"/>
  <c r="V36" i="41"/>
  <c r="AB36" i="41" s="1"/>
  <c r="V39" i="41"/>
  <c r="V25" i="41"/>
  <c r="AB25" i="41" s="1"/>
  <c r="V21" i="41"/>
  <c r="AB21" i="41" s="1"/>
  <c r="V17" i="41"/>
  <c r="AB24" i="41"/>
  <c r="S41" i="41"/>
  <c r="S42" i="41" s="1"/>
  <c r="V37" i="41"/>
  <c r="AB37" i="41" s="1"/>
  <c r="M40" i="41"/>
  <c r="AB40" i="41" s="1"/>
  <c r="J41" i="41"/>
  <c r="J42" i="41" s="1"/>
  <c r="Y17" i="41"/>
  <c r="Y16" i="41"/>
  <c r="M19" i="41"/>
  <c r="AB19" i="41" s="1"/>
  <c r="G20" i="41"/>
  <c r="AB23" i="41"/>
  <c r="M35" i="41"/>
  <c r="AB35" i="41" s="1"/>
  <c r="S12" i="41"/>
  <c r="S11" i="41" s="1"/>
  <c r="M15" i="41"/>
  <c r="G16" i="41"/>
  <c r="M18" i="41"/>
  <c r="Y41" i="41"/>
  <c r="Y42" i="41" s="1"/>
  <c r="Y27" i="41"/>
  <c r="G41" i="41"/>
  <c r="P41" i="41"/>
  <c r="V38" i="41"/>
  <c r="AB38" i="41" s="1"/>
  <c r="J16" i="41"/>
  <c r="M10" i="41"/>
  <c r="S14" i="41"/>
  <c r="P12" i="41"/>
  <c r="P9" i="41" s="1"/>
  <c r="V8" i="41"/>
  <c r="AB8" i="41" s="1"/>
  <c r="P16" i="41"/>
  <c r="V10" i="41"/>
  <c r="P17" i="41"/>
  <c r="AA23" i="41"/>
  <c r="Y12" i="41"/>
  <c r="Y11" i="41" s="1"/>
  <c r="G17" i="41"/>
  <c r="V18" i="41"/>
  <c r="V20" i="41" s="1"/>
  <c r="J12" i="41"/>
  <c r="J9" i="41" s="1"/>
  <c r="M13" i="41"/>
  <c r="AB28" i="41" l="1"/>
  <c r="S9" i="41"/>
  <c r="Y9" i="41"/>
  <c r="AB32" i="41"/>
  <c r="V14" i="41"/>
  <c r="AB39" i="41"/>
  <c r="AB31" i="41" s="1"/>
  <c r="AB27" i="41"/>
  <c r="M17" i="41"/>
  <c r="AB13" i="41"/>
  <c r="M14" i="41"/>
  <c r="AB10" i="41"/>
  <c r="AB12" i="41" s="1"/>
  <c r="J11" i="41"/>
  <c r="AB30" i="41"/>
  <c r="AB18" i="41"/>
  <c r="AB20" i="41" s="1"/>
  <c r="M20" i="41"/>
  <c r="AB29" i="41"/>
  <c r="M16" i="41"/>
  <c r="AB15" i="41"/>
  <c r="P11" i="41"/>
  <c r="M41" i="41"/>
  <c r="G42" i="41"/>
  <c r="V16" i="41"/>
  <c r="V41" i="41"/>
  <c r="V42" i="41" s="1"/>
  <c r="P42" i="41"/>
  <c r="M12" i="41"/>
  <c r="M9" i="41" s="1"/>
  <c r="V12" i="41"/>
  <c r="V11" i="41" s="1"/>
  <c r="AB16" i="41" l="1"/>
  <c r="AB11" i="41"/>
  <c r="M11" i="41"/>
  <c r="V9" i="41"/>
  <c r="AB9" i="41"/>
  <c r="AB17" i="41"/>
  <c r="AB14" i="41"/>
  <c r="M42" i="41"/>
  <c r="AB41" i="41"/>
  <c r="AB42" i="41" s="1"/>
  <c r="AE39" i="29" l="1"/>
  <c r="AE37" i="29"/>
  <c r="I36" i="29"/>
  <c r="I25" i="29" l="1"/>
  <c r="I24" i="29"/>
  <c r="I16" i="29"/>
  <c r="I15" i="29"/>
  <c r="I13" i="29"/>
  <c r="I12" i="29"/>
  <c r="I10" i="29"/>
  <c r="F16" i="29"/>
  <c r="F15" i="29"/>
  <c r="F13" i="29"/>
  <c r="F12" i="29"/>
  <c r="F10" i="29"/>
  <c r="F25" i="29" l="1"/>
  <c r="F24" i="29"/>
  <c r="F36" i="29" l="1"/>
  <c r="K36" i="29" s="1"/>
  <c r="AD39" i="29" l="1"/>
  <c r="AD38" i="29"/>
  <c r="AD37" i="29"/>
  <c r="AC39" i="29"/>
  <c r="AB39" i="29"/>
  <c r="AA39" i="29"/>
  <c r="Z39" i="29"/>
  <c r="Y39" i="29"/>
  <c r="X39" i="29"/>
  <c r="W39" i="29"/>
  <c r="V39" i="29"/>
  <c r="U39" i="29"/>
  <c r="T39" i="29"/>
  <c r="S39" i="29"/>
  <c r="AC38" i="29"/>
  <c r="AB38" i="29"/>
  <c r="AA38" i="29"/>
  <c r="Z38" i="29"/>
  <c r="Y38" i="29"/>
  <c r="X38" i="29"/>
  <c r="W38" i="29"/>
  <c r="V38" i="29"/>
  <c r="U38" i="29"/>
  <c r="T38" i="29"/>
  <c r="S38" i="29"/>
  <c r="AC37" i="29" l="1"/>
  <c r="AB37" i="29" l="1"/>
  <c r="AA37" i="29" l="1"/>
  <c r="Z37" i="29" l="1"/>
  <c r="G11" i="29" l="1"/>
  <c r="V40" i="2" l="1"/>
  <c r="Q40" i="2"/>
  <c r="Q38" i="2"/>
  <c r="Q37" i="2"/>
  <c r="Q36" i="2"/>
  <c r="Q35" i="2"/>
  <c r="S40" i="2"/>
  <c r="S37" i="2"/>
  <c r="S36" i="2"/>
  <c r="S35" i="2"/>
  <c r="K41" i="2"/>
  <c r="J41" i="2"/>
  <c r="N40" i="2"/>
  <c r="N39" i="2"/>
  <c r="N37" i="2"/>
  <c r="N36" i="2"/>
  <c r="N35" i="2"/>
  <c r="N34" i="2"/>
  <c r="M38" i="2"/>
  <c r="N38" i="2" l="1"/>
  <c r="S38" i="2"/>
  <c r="M41" i="2"/>
  <c r="N41" i="2" s="1"/>
  <c r="L41" i="2"/>
  <c r="I11" i="29" l="1"/>
  <c r="J11" i="29" l="1"/>
  <c r="F11" i="29"/>
  <c r="J32" i="2"/>
  <c r="O32" i="2"/>
  <c r="T32" i="2"/>
  <c r="AF20" i="41" l="1"/>
  <c r="AF12" i="41"/>
  <c r="AF17" i="41"/>
  <c r="AF22" i="41"/>
  <c r="AF21" i="41"/>
  <c r="S33" i="1"/>
  <c r="AF13" i="41" l="1"/>
  <c r="AF18" i="41"/>
  <c r="S32" i="1"/>
  <c r="O41" i="2" l="1"/>
  <c r="T41" i="2"/>
  <c r="V29" i="1" l="1"/>
  <c r="W24" i="1" l="1"/>
  <c r="S34" i="1" l="1"/>
  <c r="G18" i="29" l="1"/>
  <c r="G19" i="29" l="1"/>
  <c r="I20" i="29"/>
  <c r="I18" i="29"/>
  <c r="I19" i="29" l="1"/>
  <c r="I21" i="29"/>
  <c r="I22" i="29"/>
  <c r="I26" i="29"/>
  <c r="I17" i="29"/>
  <c r="I14" i="29"/>
  <c r="J18" i="29"/>
  <c r="J15" i="29"/>
  <c r="J12" i="29"/>
  <c r="J10" i="29"/>
  <c r="I27" i="29" l="1"/>
  <c r="I23" i="29"/>
  <c r="F18" i="29"/>
  <c r="F20" i="29"/>
  <c r="H10" i="29"/>
  <c r="H11" i="29"/>
  <c r="F14" i="29"/>
  <c r="H12" i="29"/>
  <c r="F26" i="29"/>
  <c r="J19" i="29"/>
  <c r="H15" i="29"/>
  <c r="F17" i="29"/>
  <c r="I37" i="29" l="1"/>
  <c r="I28" i="29"/>
  <c r="F22" i="29"/>
  <c r="F19" i="29"/>
  <c r="H18" i="29"/>
  <c r="F21" i="29"/>
  <c r="H19" i="29" l="1"/>
  <c r="F23" i="29"/>
  <c r="F27" i="29"/>
  <c r="F37" i="29" l="1"/>
  <c r="F28" i="29"/>
  <c r="L39" i="2" l="1"/>
  <c r="L35" i="2"/>
  <c r="L34" i="2"/>
  <c r="N33" i="2"/>
  <c r="L33" i="2"/>
  <c r="AG27" i="2" l="1"/>
  <c r="AG25" i="2"/>
  <c r="AG23" i="2"/>
  <c r="AG20" i="2"/>
  <c r="AG18" i="2"/>
  <c r="AG17" i="2"/>
  <c r="AG15" i="2"/>
  <c r="AG13" i="2"/>
  <c r="AG11" i="2"/>
  <c r="AG9" i="2"/>
  <c r="AG16" i="2" l="1"/>
  <c r="AG21" i="2"/>
  <c r="AG8" i="2"/>
  <c r="AG10" i="2"/>
  <c r="AG12" i="2"/>
  <c r="AG14" i="2"/>
  <c r="AG19" i="2"/>
  <c r="AG22" i="2"/>
  <c r="AG24" i="2"/>
  <c r="AG26" i="2"/>
  <c r="AG7" i="2"/>
  <c r="O25" i="2" l="1"/>
  <c r="O24" i="2"/>
  <c r="O26" i="2"/>
  <c r="J26" i="2"/>
  <c r="T25" i="2"/>
  <c r="J25" i="2"/>
  <c r="T24" i="2"/>
  <c r="T26" i="2"/>
  <c r="J24" i="2"/>
  <c r="T27" i="2" l="1"/>
  <c r="J27" i="2"/>
  <c r="O27" i="2"/>
  <c r="E21" i="1" l="1"/>
  <c r="E32" i="1" l="1"/>
  <c r="AB17" i="1" s="1"/>
  <c r="E23" i="1"/>
  <c r="O43" i="2" l="1"/>
  <c r="O47" i="2" l="1"/>
  <c r="J47" i="2"/>
  <c r="E14" i="1"/>
  <c r="E22" i="1" l="1"/>
  <c r="E33" i="1" l="1"/>
  <c r="AB18" i="1" s="1"/>
  <c r="S36" i="1"/>
  <c r="S35" i="1" s="1"/>
  <c r="E34" i="1" l="1"/>
  <c r="AB19" i="1" s="1"/>
  <c r="E29" i="1"/>
  <c r="E19" i="1" l="1"/>
  <c r="E20" i="1"/>
  <c r="T43" i="2" l="1"/>
  <c r="T44" i="2" s="1"/>
  <c r="E30" i="1"/>
  <c r="AB15" i="1" s="1"/>
  <c r="AB20" i="1" s="1"/>
  <c r="E24" i="1"/>
  <c r="E35" i="1" l="1"/>
  <c r="E31" i="1"/>
  <c r="AB16" i="1" s="1"/>
  <c r="E40" i="1" l="1"/>
  <c r="E36" i="1"/>
  <c r="AB21" i="1" s="1"/>
  <c r="E39" i="1"/>
  <c r="T47" i="2"/>
  <c r="V12" i="1" l="1"/>
  <c r="G17" i="29" l="1"/>
  <c r="H16" i="29"/>
  <c r="J16" i="29"/>
  <c r="G20" i="29"/>
  <c r="J13" i="29"/>
  <c r="G14" i="29"/>
  <c r="H13" i="29"/>
  <c r="G22" i="29" l="1"/>
  <c r="G21" i="29"/>
  <c r="J20" i="29"/>
  <c r="H20" i="29"/>
  <c r="J14" i="29"/>
  <c r="H14" i="29"/>
  <c r="J17" i="29"/>
  <c r="H17" i="29"/>
  <c r="J21" i="29" l="1"/>
  <c r="H21" i="29"/>
  <c r="J22" i="29"/>
  <c r="G23" i="29"/>
  <c r="H22" i="29"/>
  <c r="J23" i="29" l="1"/>
  <c r="H23" i="29"/>
  <c r="W23" i="1" l="1"/>
  <c r="R15" i="34" l="1"/>
  <c r="U15" i="34" l="1"/>
  <c r="AF10" i="2"/>
  <c r="R26" i="34" l="1"/>
  <c r="R20" i="34"/>
  <c r="R13" i="34"/>
  <c r="R22" i="34"/>
  <c r="R14" i="34"/>
  <c r="R18" i="34"/>
  <c r="R28" i="34"/>
  <c r="R25" i="34"/>
  <c r="R17" i="34"/>
  <c r="R27" i="34"/>
  <c r="R16" i="34"/>
  <c r="R19" i="34"/>
  <c r="R24" i="34"/>
  <c r="R23" i="34"/>
  <c r="R21" i="34"/>
  <c r="R11" i="34" l="1"/>
  <c r="R9" i="34" l="1"/>
  <c r="R12" i="34" l="1"/>
  <c r="R10" i="34" l="1"/>
  <c r="R8" i="34" l="1"/>
  <c r="W11" i="1" l="1"/>
  <c r="T12" i="1"/>
  <c r="W9" i="1"/>
  <c r="W10" i="1"/>
  <c r="W12" i="1" l="1"/>
  <c r="AF8" i="2" l="1"/>
  <c r="AF16" i="2" l="1"/>
  <c r="AF15" i="2"/>
  <c r="W16" i="1"/>
  <c r="AF13" i="2"/>
  <c r="AF17" i="2"/>
  <c r="W13" i="1"/>
  <c r="AF20" i="2"/>
  <c r="U13" i="34"/>
  <c r="AF9" i="2"/>
  <c r="AF21" i="2"/>
  <c r="AF18" i="2"/>
  <c r="W14" i="1"/>
  <c r="AF14" i="2"/>
  <c r="AF7" i="2"/>
  <c r="AF19" i="2"/>
  <c r="AF11" i="2"/>
  <c r="AF23" i="2"/>
  <c r="AF22" i="2"/>
  <c r="W15" i="1"/>
  <c r="AF12" i="2"/>
  <c r="U28" i="34" l="1"/>
  <c r="U12" i="34"/>
  <c r="AF25" i="2"/>
  <c r="U25" i="34"/>
  <c r="U21" i="34"/>
  <c r="U16" i="34"/>
  <c r="U23" i="34"/>
  <c r="U26" i="34"/>
  <c r="U14" i="34"/>
  <c r="U22" i="34"/>
  <c r="U18" i="34"/>
  <c r="U27" i="34"/>
  <c r="U24" i="34"/>
  <c r="U19" i="34"/>
  <c r="U20" i="34"/>
  <c r="AF27" i="2"/>
  <c r="AF24" i="2"/>
  <c r="AF26" i="2"/>
  <c r="U17" i="34"/>
  <c r="W19" i="1" l="1"/>
  <c r="U11" i="34"/>
  <c r="W18" i="1"/>
  <c r="W17" i="1"/>
  <c r="U9" i="34"/>
  <c r="U8" i="34"/>
  <c r="U10" i="34"/>
  <c r="W20" i="1" l="1"/>
  <c r="V15" i="36" l="1"/>
  <c r="S15" i="36"/>
  <c r="P15" i="36"/>
  <c r="M15" i="36"/>
  <c r="J15" i="36"/>
  <c r="G15" i="36"/>
  <c r="G15" i="37" l="1"/>
  <c r="V15" i="37"/>
  <c r="P15" i="34"/>
  <c r="S15" i="37"/>
  <c r="P15" i="37"/>
  <c r="J15" i="33"/>
  <c r="V15" i="33"/>
  <c r="M15" i="34" l="1"/>
  <c r="N15" i="33"/>
  <c r="G15" i="34"/>
  <c r="J15" i="37"/>
  <c r="G15" i="33"/>
  <c r="M15" i="37" l="1"/>
  <c r="Q15" i="34" l="1"/>
  <c r="J15" i="34"/>
  <c r="AE10" i="2"/>
  <c r="R15" i="33"/>
  <c r="T15" i="34" l="1"/>
  <c r="V15" i="34" s="1"/>
  <c r="S15" i="34"/>
  <c r="Y15" i="33" l="1"/>
  <c r="Z15" i="33" s="1"/>
  <c r="S28" i="36" l="1"/>
  <c r="P28" i="36"/>
  <c r="M28" i="36"/>
  <c r="J28" i="36"/>
  <c r="G28" i="36"/>
  <c r="J25" i="36"/>
  <c r="J26" i="36"/>
  <c r="J27" i="36"/>
  <c r="J23" i="36"/>
  <c r="J22" i="36"/>
  <c r="J21" i="36"/>
  <c r="J20" i="36"/>
  <c r="M18" i="36"/>
  <c r="J14" i="36"/>
  <c r="J13" i="36"/>
  <c r="P25" i="34" l="1"/>
  <c r="P22" i="34"/>
  <c r="M16" i="36"/>
  <c r="J24" i="36"/>
  <c r="S19" i="36"/>
  <c r="V28" i="36"/>
  <c r="G17" i="36"/>
  <c r="P18" i="36"/>
  <c r="G25" i="36"/>
  <c r="J17" i="36"/>
  <c r="G18" i="36"/>
  <c r="S18" i="36"/>
  <c r="G24" i="36"/>
  <c r="S14" i="36"/>
  <c r="G20" i="36"/>
  <c r="V22" i="36"/>
  <c r="M27" i="36"/>
  <c r="S25" i="36"/>
  <c r="V13" i="36"/>
  <c r="V19" i="36"/>
  <c r="S22" i="36"/>
  <c r="V18" i="36"/>
  <c r="G23" i="36"/>
  <c r="P23" i="36"/>
  <c r="G19" i="36"/>
  <c r="P20" i="36"/>
  <c r="J16" i="36"/>
  <c r="S20" i="36"/>
  <c r="P16" i="36"/>
  <c r="J19" i="36"/>
  <c r="G21" i="36"/>
  <c r="P13" i="36"/>
  <c r="G14" i="36"/>
  <c r="G22" i="36"/>
  <c r="M22" i="36"/>
  <c r="M26" i="36"/>
  <c r="P25" i="36"/>
  <c r="V27" i="36"/>
  <c r="P24" i="36"/>
  <c r="G16" i="36"/>
  <c r="V21" i="36"/>
  <c r="M17" i="36"/>
  <c r="M20" i="36"/>
  <c r="S16" i="36"/>
  <c r="S21" i="36"/>
  <c r="V20" i="36"/>
  <c r="M23" i="36"/>
  <c r="M25" i="36"/>
  <c r="V26" i="36"/>
  <c r="S26" i="36"/>
  <c r="G26" i="36"/>
  <c r="P26" i="36"/>
  <c r="S27" i="36"/>
  <c r="P27" i="36"/>
  <c r="M24" i="36"/>
  <c r="V24" i="36"/>
  <c r="S23" i="36"/>
  <c r="V23" i="36"/>
  <c r="P22" i="36"/>
  <c r="M21" i="36"/>
  <c r="P21" i="36"/>
  <c r="P19" i="36"/>
  <c r="M19" i="36"/>
  <c r="J18" i="36"/>
  <c r="V17" i="36"/>
  <c r="S17" i="36"/>
  <c r="P17" i="36"/>
  <c r="M14" i="36"/>
  <c r="P14" i="36"/>
  <c r="V14" i="36"/>
  <c r="M13" i="36"/>
  <c r="S13" i="36"/>
  <c r="J28" i="33"/>
  <c r="V25" i="37"/>
  <c r="P25" i="37"/>
  <c r="S25" i="37"/>
  <c r="V25" i="36"/>
  <c r="G25" i="37"/>
  <c r="G27" i="36"/>
  <c r="J27" i="33"/>
  <c r="S24" i="36"/>
  <c r="J23" i="33"/>
  <c r="S22" i="37"/>
  <c r="P22" i="37"/>
  <c r="G22" i="37"/>
  <c r="V22" i="37"/>
  <c r="J19" i="33"/>
  <c r="J17" i="33"/>
  <c r="V16" i="36"/>
  <c r="J14" i="33"/>
  <c r="J13" i="33"/>
  <c r="G13" i="36"/>
  <c r="M25" i="34" l="1"/>
  <c r="M22" i="34"/>
  <c r="S21" i="37"/>
  <c r="P21" i="34"/>
  <c r="P24" i="34"/>
  <c r="P17" i="34"/>
  <c r="P20" i="34"/>
  <c r="P26" i="37"/>
  <c r="P26" i="34"/>
  <c r="P27" i="34"/>
  <c r="P16" i="34"/>
  <c r="P13" i="34"/>
  <c r="P18" i="34"/>
  <c r="P23" i="34"/>
  <c r="P14" i="34"/>
  <c r="P19" i="34"/>
  <c r="P28" i="34"/>
  <c r="V22" i="33"/>
  <c r="V23" i="33"/>
  <c r="V17" i="33"/>
  <c r="V28" i="33"/>
  <c r="V14" i="33"/>
  <c r="V24" i="33"/>
  <c r="V26" i="33"/>
  <c r="V19" i="33"/>
  <c r="V13" i="33"/>
  <c r="V16" i="33"/>
  <c r="V21" i="33"/>
  <c r="V27" i="33"/>
  <c r="V25" i="33"/>
  <c r="V18" i="33"/>
  <c r="J11" i="36"/>
  <c r="J26" i="33"/>
  <c r="P11" i="36"/>
  <c r="G24" i="37"/>
  <c r="P24" i="37"/>
  <c r="V24" i="37"/>
  <c r="S24" i="37"/>
  <c r="G11" i="36"/>
  <c r="V11" i="36"/>
  <c r="M10" i="36"/>
  <c r="G10" i="36"/>
  <c r="M11" i="36"/>
  <c r="S10" i="36"/>
  <c r="V16" i="37"/>
  <c r="S16" i="37"/>
  <c r="J10" i="36"/>
  <c r="P16" i="37"/>
  <c r="G16" i="37"/>
  <c r="V10" i="36"/>
  <c r="S11" i="36"/>
  <c r="P10" i="36"/>
  <c r="P14" i="37"/>
  <c r="G27" i="37"/>
  <c r="G21" i="37"/>
  <c r="P21" i="37"/>
  <c r="P28" i="37"/>
  <c r="V28" i="37"/>
  <c r="G28" i="37"/>
  <c r="S28" i="37"/>
  <c r="S23" i="37"/>
  <c r="S27" i="37"/>
  <c r="G23" i="37"/>
  <c r="P23" i="37"/>
  <c r="P27" i="37"/>
  <c r="V27" i="37"/>
  <c r="V23" i="37"/>
  <c r="S14" i="37"/>
  <c r="V14" i="37"/>
  <c r="G19" i="37"/>
  <c r="P19" i="37"/>
  <c r="G14" i="37"/>
  <c r="V19" i="37"/>
  <c r="S19" i="37"/>
  <c r="V26" i="37"/>
  <c r="S26" i="37"/>
  <c r="G26" i="37"/>
  <c r="V21" i="37"/>
  <c r="S17" i="37"/>
  <c r="V17" i="37"/>
  <c r="G17" i="37"/>
  <c r="P17" i="37"/>
  <c r="J25" i="37"/>
  <c r="J25" i="33"/>
  <c r="J24" i="33"/>
  <c r="J22" i="33"/>
  <c r="J22" i="37"/>
  <c r="J21" i="33"/>
  <c r="J20" i="33"/>
  <c r="V20" i="37"/>
  <c r="G20" i="37"/>
  <c r="P20" i="37"/>
  <c r="S20" i="37"/>
  <c r="V18" i="37"/>
  <c r="P18" i="37"/>
  <c r="G18" i="37"/>
  <c r="S18" i="37"/>
  <c r="J18" i="33"/>
  <c r="J16" i="33"/>
  <c r="S13" i="37"/>
  <c r="V13" i="37"/>
  <c r="G13" i="37"/>
  <c r="P13" i="37"/>
  <c r="G14" i="34" l="1"/>
  <c r="N14" i="33"/>
  <c r="G27" i="34"/>
  <c r="N27" i="33"/>
  <c r="M14" i="34"/>
  <c r="M23" i="34"/>
  <c r="M20" i="34"/>
  <c r="M25" i="37"/>
  <c r="N17" i="33"/>
  <c r="G17" i="34"/>
  <c r="G28" i="34"/>
  <c r="N28" i="33"/>
  <c r="M28" i="34"/>
  <c r="M19" i="34"/>
  <c r="M16" i="34"/>
  <c r="M26" i="34"/>
  <c r="M17" i="34"/>
  <c r="M24" i="34"/>
  <c r="M22" i="37"/>
  <c r="N19" i="33"/>
  <c r="G19" i="34"/>
  <c r="M27" i="34"/>
  <c r="M21" i="34"/>
  <c r="N13" i="33"/>
  <c r="G13" i="34"/>
  <c r="N23" i="33"/>
  <c r="G23" i="34"/>
  <c r="M18" i="34"/>
  <c r="M13" i="34"/>
  <c r="G18" i="33"/>
  <c r="G19" i="33"/>
  <c r="G17" i="33"/>
  <c r="G25" i="33"/>
  <c r="G26" i="33"/>
  <c r="G21" i="33"/>
  <c r="G28" i="33"/>
  <c r="P11" i="34"/>
  <c r="P10" i="34"/>
  <c r="V20" i="33"/>
  <c r="J24" i="37"/>
  <c r="J16" i="37"/>
  <c r="P10" i="37"/>
  <c r="V10" i="37"/>
  <c r="G10" i="37"/>
  <c r="S10" i="37"/>
  <c r="U15" i="1"/>
  <c r="U14" i="1"/>
  <c r="S11" i="37"/>
  <c r="V11" i="37"/>
  <c r="G11" i="37"/>
  <c r="P11" i="37"/>
  <c r="J19" i="37"/>
  <c r="J23" i="37"/>
  <c r="J28" i="37"/>
  <c r="J27" i="37"/>
  <c r="J17" i="37"/>
  <c r="J14" i="37"/>
  <c r="J26" i="37"/>
  <c r="G24" i="33"/>
  <c r="J21" i="37"/>
  <c r="J20" i="37"/>
  <c r="J18" i="37"/>
  <c r="J13" i="37"/>
  <c r="N18" i="33" l="1"/>
  <c r="Q25" i="34"/>
  <c r="S25" i="34" s="1"/>
  <c r="J25" i="34"/>
  <c r="M21" i="37"/>
  <c r="M19" i="37"/>
  <c r="M27" i="37"/>
  <c r="N24" i="33"/>
  <c r="N20" i="33"/>
  <c r="N22" i="33"/>
  <c r="M24" i="37"/>
  <c r="M14" i="37"/>
  <c r="J11" i="33"/>
  <c r="U11" i="1"/>
  <c r="J10" i="33"/>
  <c r="U10" i="1"/>
  <c r="N26" i="33"/>
  <c r="Q22" i="34"/>
  <c r="S22" i="34" s="1"/>
  <c r="J22" i="34"/>
  <c r="M16" i="37"/>
  <c r="M20" i="37"/>
  <c r="M26" i="37"/>
  <c r="N16" i="33"/>
  <c r="N25" i="33"/>
  <c r="N21" i="33"/>
  <c r="M10" i="34"/>
  <c r="M11" i="34"/>
  <c r="M23" i="37"/>
  <c r="M17" i="37"/>
  <c r="M18" i="37"/>
  <c r="M28" i="37"/>
  <c r="M13" i="37"/>
  <c r="G14" i="33"/>
  <c r="G13" i="33"/>
  <c r="G22" i="33"/>
  <c r="G23" i="33"/>
  <c r="G27" i="33"/>
  <c r="V11" i="33"/>
  <c r="V10" i="33"/>
  <c r="G16" i="33"/>
  <c r="J11" i="37"/>
  <c r="J10" i="37"/>
  <c r="N10" i="33" l="1"/>
  <c r="Q26" i="34"/>
  <c r="S26" i="34" s="1"/>
  <c r="J26" i="34"/>
  <c r="Q28" i="34"/>
  <c r="J28" i="34"/>
  <c r="Q23" i="34"/>
  <c r="J23" i="34"/>
  <c r="M11" i="37"/>
  <c r="N11" i="33"/>
  <c r="G11" i="34"/>
  <c r="Q14" i="34"/>
  <c r="J14" i="34"/>
  <c r="Q16" i="34"/>
  <c r="S16" i="34" s="1"/>
  <c r="J16" i="34"/>
  <c r="Q27" i="34"/>
  <c r="J27" i="34"/>
  <c r="T26" i="34"/>
  <c r="V26" i="34" s="1"/>
  <c r="G26" i="34"/>
  <c r="M10" i="37"/>
  <c r="Q17" i="34"/>
  <c r="J17" i="34"/>
  <c r="Q18" i="34"/>
  <c r="S18" i="34" s="1"/>
  <c r="J18" i="34"/>
  <c r="Q21" i="34"/>
  <c r="S21" i="34" s="1"/>
  <c r="J21" i="34"/>
  <c r="Q24" i="34"/>
  <c r="S24" i="34" s="1"/>
  <c r="J24" i="34"/>
  <c r="T25" i="34"/>
  <c r="V25" i="34" s="1"/>
  <c r="G25" i="34"/>
  <c r="T22" i="34"/>
  <c r="V22" i="34" s="1"/>
  <c r="G22" i="34"/>
  <c r="Q13" i="34"/>
  <c r="J13" i="34"/>
  <c r="Q19" i="34"/>
  <c r="J19" i="34"/>
  <c r="Q20" i="34"/>
  <c r="S20" i="34" s="1"/>
  <c r="J20" i="34"/>
  <c r="T21" i="34"/>
  <c r="V21" i="34" s="1"/>
  <c r="G21" i="34"/>
  <c r="AE20" i="2"/>
  <c r="G16" i="34"/>
  <c r="AE17" i="2"/>
  <c r="G20" i="34"/>
  <c r="G24" i="34"/>
  <c r="G18" i="34"/>
  <c r="G20" i="33"/>
  <c r="AE14" i="2"/>
  <c r="AE18" i="2"/>
  <c r="G11" i="33"/>
  <c r="AE9" i="2"/>
  <c r="AE19" i="2"/>
  <c r="AE11" i="2"/>
  <c r="AE23" i="2"/>
  <c r="AE22" i="2"/>
  <c r="AE16" i="2"/>
  <c r="AE21" i="2"/>
  <c r="AE12" i="2"/>
  <c r="R25" i="33"/>
  <c r="R22" i="33"/>
  <c r="T20" i="34" l="1"/>
  <c r="V20" i="34" s="1"/>
  <c r="T24" i="34"/>
  <c r="V24" i="34" s="1"/>
  <c r="T16" i="34"/>
  <c r="V16" i="34" s="1"/>
  <c r="T18" i="34"/>
  <c r="V18" i="34" s="1"/>
  <c r="T19" i="34"/>
  <c r="V19" i="34" s="1"/>
  <c r="S19" i="34"/>
  <c r="T17" i="34"/>
  <c r="V17" i="34" s="1"/>
  <c r="S17" i="34"/>
  <c r="T28" i="34"/>
  <c r="V28" i="34" s="1"/>
  <c r="S28" i="34"/>
  <c r="Q10" i="34"/>
  <c r="S10" i="34" s="1"/>
  <c r="J10" i="34"/>
  <c r="G10" i="34"/>
  <c r="T13" i="34"/>
  <c r="V13" i="34" s="1"/>
  <c r="S13" i="34"/>
  <c r="T23" i="34"/>
  <c r="V23" i="34" s="1"/>
  <c r="S23" i="34"/>
  <c r="Q11" i="34"/>
  <c r="J11" i="34"/>
  <c r="T27" i="34"/>
  <c r="V27" i="34" s="1"/>
  <c r="S27" i="34"/>
  <c r="T14" i="34"/>
  <c r="V14" i="34" s="1"/>
  <c r="S14" i="34"/>
  <c r="G10" i="33"/>
  <c r="R24" i="33"/>
  <c r="R21" i="33"/>
  <c r="R26" i="33"/>
  <c r="R19" i="33"/>
  <c r="R16" i="33"/>
  <c r="R27" i="33"/>
  <c r="R23" i="33"/>
  <c r="R14" i="33"/>
  <c r="AE26" i="2"/>
  <c r="AE25" i="2"/>
  <c r="R17" i="33"/>
  <c r="R28" i="33"/>
  <c r="R20" i="33"/>
  <c r="AE15" i="2"/>
  <c r="AE13" i="2"/>
  <c r="R18" i="33"/>
  <c r="AE8" i="2"/>
  <c r="R13" i="33"/>
  <c r="T10" i="34" l="1"/>
  <c r="V10" i="34" s="1"/>
  <c r="T11" i="34"/>
  <c r="V11" i="34" s="1"/>
  <c r="S11" i="34"/>
  <c r="U19" i="1"/>
  <c r="U18" i="1"/>
  <c r="R11" i="33"/>
  <c r="R10" i="33"/>
  <c r="V12" i="33" l="1"/>
  <c r="J9" i="36" l="1"/>
  <c r="M9" i="36"/>
  <c r="V9" i="36"/>
  <c r="V9" i="33"/>
  <c r="V8" i="33"/>
  <c r="P9" i="36"/>
  <c r="G9" i="36"/>
  <c r="S9" i="36"/>
  <c r="M8" i="36"/>
  <c r="V8" i="36"/>
  <c r="P8" i="36"/>
  <c r="G8" i="36"/>
  <c r="S8" i="36"/>
  <c r="J8" i="36"/>
  <c r="G12" i="34" l="1"/>
  <c r="N12" i="33"/>
  <c r="P8" i="34"/>
  <c r="P9" i="34"/>
  <c r="U13" i="1"/>
  <c r="J8" i="33"/>
  <c r="S9" i="37"/>
  <c r="P9" i="37"/>
  <c r="G9" i="37"/>
  <c r="V9" i="37"/>
  <c r="U16" i="1"/>
  <c r="V8" i="37"/>
  <c r="G8" i="37"/>
  <c r="S8" i="37"/>
  <c r="P8" i="37"/>
  <c r="M8" i="34" l="1"/>
  <c r="J9" i="33"/>
  <c r="M9" i="34"/>
  <c r="J8" i="37"/>
  <c r="J9" i="37"/>
  <c r="N9" i="33" l="1"/>
  <c r="M9" i="37"/>
  <c r="N8" i="33"/>
  <c r="S12" i="1"/>
  <c r="U12" i="1" s="1"/>
  <c r="U9" i="1"/>
  <c r="M8" i="37"/>
  <c r="G9" i="34" l="1"/>
  <c r="Q8" i="34"/>
  <c r="S8" i="34" s="1"/>
  <c r="J8" i="34"/>
  <c r="J9" i="34"/>
  <c r="Q9" i="34"/>
  <c r="S9" i="34" s="1"/>
  <c r="G8" i="34"/>
  <c r="T8" i="34" l="1"/>
  <c r="V8" i="34" s="1"/>
  <c r="T9" i="34"/>
  <c r="V9" i="34" s="1"/>
  <c r="AE27" i="2"/>
  <c r="AE24" i="2"/>
  <c r="U17" i="1" l="1"/>
  <c r="U20" i="1"/>
  <c r="V12" i="36" l="1"/>
  <c r="S12" i="36"/>
  <c r="P12" i="36"/>
  <c r="M12" i="36"/>
  <c r="J12" i="36"/>
  <c r="G12" i="36"/>
  <c r="J12" i="33"/>
  <c r="G8" i="33" l="1"/>
  <c r="G9" i="33"/>
  <c r="P12" i="37"/>
  <c r="S12" i="37"/>
  <c r="V12" i="37"/>
  <c r="P12" i="34"/>
  <c r="G12" i="37"/>
  <c r="M12" i="34" l="1"/>
  <c r="J12" i="37"/>
  <c r="M12" i="37" l="1"/>
  <c r="Q12" i="34" l="1"/>
  <c r="J12" i="34"/>
  <c r="R12" i="33"/>
  <c r="AE7" i="2"/>
  <c r="T12" i="34" l="1"/>
  <c r="V12" i="34" s="1"/>
  <c r="S12" i="34"/>
  <c r="R8" i="33"/>
  <c r="R9" i="33"/>
  <c r="G12" i="33" l="1"/>
  <c r="Y26" i="33" l="1"/>
  <c r="Z26" i="33" s="1"/>
  <c r="Y28" i="33"/>
  <c r="Z28" i="33" s="1"/>
  <c r="Y25" i="33"/>
  <c r="Z25" i="33" s="1"/>
  <c r="Y14" i="33"/>
  <c r="Z14" i="33" s="1"/>
  <c r="Y24" i="33"/>
  <c r="Z24" i="33" s="1"/>
  <c r="Y27" i="33"/>
  <c r="Z27" i="33" s="1"/>
  <c r="Y12" i="33"/>
  <c r="Z12" i="33" s="1"/>
  <c r="Y13" i="33"/>
  <c r="Z13" i="33" s="1"/>
  <c r="Y9" i="33" l="1"/>
  <c r="Z9" i="33" s="1"/>
  <c r="Y11" i="33" l="1"/>
  <c r="Z11" i="33" s="1"/>
  <c r="Y19" i="33" l="1"/>
  <c r="Z19" i="33" s="1"/>
  <c r="Y22" i="33"/>
  <c r="Z22" i="33" s="1"/>
  <c r="Y16" i="33"/>
  <c r="Z16" i="33" s="1"/>
  <c r="Y21" i="33"/>
  <c r="Z21" i="33" s="1"/>
  <c r="Y20" i="33"/>
  <c r="Z20" i="33" s="1"/>
  <c r="Y23" i="33"/>
  <c r="Z23" i="33" s="1"/>
  <c r="Y17" i="33"/>
  <c r="Z17" i="33" s="1"/>
  <c r="Y18" i="33"/>
  <c r="Z18" i="33" s="1"/>
  <c r="Y8" i="33" l="1"/>
  <c r="Z8" i="33" s="1"/>
  <c r="Y10" i="33"/>
  <c r="Z10" i="33" s="1"/>
  <c r="U23" i="1" l="1"/>
  <c r="U24" i="1"/>
  <c r="L18" i="29" l="1"/>
  <c r="L19" i="29" s="1"/>
  <c r="L20" i="29"/>
  <c r="L11" i="29"/>
  <c r="L17" i="29"/>
  <c r="L14" i="29"/>
  <c r="L21" i="29" l="1"/>
  <c r="L22" i="29"/>
  <c r="L23" i="29" l="1"/>
  <c r="H24" i="29" l="1"/>
  <c r="J24" i="29"/>
  <c r="J25" i="29" l="1"/>
  <c r="H25" i="29"/>
  <c r="G26" i="29"/>
  <c r="J26" i="29" l="1"/>
  <c r="H26" i="29"/>
  <c r="G27" i="29"/>
  <c r="L26" i="29"/>
  <c r="L27" i="29" l="1"/>
  <c r="H27" i="29"/>
  <c r="J27" i="29"/>
  <c r="G37" i="29"/>
  <c r="G28" i="29"/>
  <c r="L28" i="29" l="1"/>
  <c r="L38" i="29"/>
  <c r="L37" i="29"/>
  <c r="H28" i="29"/>
  <c r="J28" i="29"/>
  <c r="R26" i="2" l="1"/>
  <c r="W26" i="2" l="1"/>
  <c r="V34" i="1" l="1"/>
  <c r="R24" i="2" l="1"/>
  <c r="R25" i="2"/>
  <c r="R32" i="2"/>
  <c r="R27" i="2" l="1"/>
  <c r="H14" i="1" l="1"/>
  <c r="R41" i="2"/>
  <c r="R43" i="2" l="1"/>
  <c r="R47" i="2" l="1"/>
  <c r="H21" i="1" l="1"/>
  <c r="H20" i="1" l="1"/>
  <c r="H22" i="1"/>
  <c r="H23" i="1" l="1"/>
  <c r="H19" i="1"/>
  <c r="H24" i="1" l="1"/>
  <c r="W24" i="2" l="1"/>
  <c r="W25" i="2" l="1"/>
  <c r="W27" i="2" l="1"/>
  <c r="V32" i="1" l="1"/>
  <c r="V33" i="1" l="1"/>
  <c r="H33" i="1" l="1"/>
  <c r="AE18" i="1" s="1"/>
  <c r="W32" i="2" l="1"/>
  <c r="H32" i="1" l="1"/>
  <c r="AE17" i="1" s="1"/>
  <c r="H30" i="1" l="1"/>
  <c r="AE15" i="1" s="1"/>
  <c r="H31" i="1" l="1"/>
  <c r="AE16" i="1" s="1"/>
  <c r="H34" i="1" l="1"/>
  <c r="AE19" i="1" s="1"/>
  <c r="AE20" i="1" s="1"/>
  <c r="H29" i="1"/>
  <c r="H35" i="1" l="1"/>
  <c r="H36" i="1" l="1"/>
  <c r="AE21" i="1" s="1"/>
  <c r="W41" i="2" l="1"/>
  <c r="H40" i="1"/>
  <c r="H39" i="1"/>
  <c r="V36" i="1" l="1"/>
  <c r="W43" i="2"/>
  <c r="W47" i="2" l="1"/>
  <c r="V35" i="1"/>
  <c r="Z29" i="41" l="1"/>
  <c r="AA29" i="41" s="1"/>
  <c r="Z30" i="41"/>
  <c r="AA30" i="41" s="1"/>
  <c r="AA25" i="41"/>
  <c r="Z31" i="41"/>
  <c r="AA31" i="41" s="1"/>
  <c r="AA18" i="41" l="1"/>
  <c r="U15" i="41" l="1"/>
  <c r="U13" i="41"/>
  <c r="W13" i="41"/>
  <c r="Q17" i="41"/>
  <c r="R17" i="41" s="1"/>
  <c r="AA22" i="41"/>
  <c r="Z28" i="41"/>
  <c r="AA28" i="41" s="1"/>
  <c r="L15" i="41"/>
  <c r="N15" i="41"/>
  <c r="I15" i="41"/>
  <c r="H17" i="41"/>
  <c r="I17" i="41" s="1"/>
  <c r="N13" i="41"/>
  <c r="I13" i="41"/>
  <c r="L13" i="41"/>
  <c r="K17" i="41"/>
  <c r="L17" i="41" s="1"/>
  <c r="T17" i="41"/>
  <c r="U17" i="41" s="1"/>
  <c r="R15" i="41" l="1"/>
  <c r="W15" i="41"/>
  <c r="R13" i="41"/>
  <c r="AA21" i="41"/>
  <c r="Z27" i="41"/>
  <c r="AA27" i="41" s="1"/>
  <c r="Z41" i="41"/>
  <c r="O13" i="41"/>
  <c r="N17" i="41"/>
  <c r="O17" i="41" s="1"/>
  <c r="O15" i="41"/>
  <c r="X15" i="41"/>
  <c r="X13" i="41"/>
  <c r="W17" i="41"/>
  <c r="X17" i="41" s="1"/>
  <c r="S29" i="1" l="1"/>
  <c r="AA15" i="41" l="1"/>
  <c r="AC15" i="41"/>
  <c r="Z14" i="41"/>
  <c r="AA14" i="41" s="1"/>
  <c r="Z42" i="41"/>
  <c r="AA13" i="41"/>
  <c r="Z17" i="41"/>
  <c r="AA17" i="41" s="1"/>
  <c r="AC13" i="41"/>
  <c r="Z12" i="41"/>
  <c r="AA8" i="41"/>
  <c r="Z9" i="41" l="1"/>
  <c r="AA9" i="41" s="1"/>
  <c r="AA12" i="41"/>
  <c r="AD13" i="41"/>
  <c r="AC17" i="41"/>
  <c r="AD17" i="41" s="1"/>
  <c r="AA10" i="41"/>
  <c r="Z11" i="41"/>
  <c r="AA11" i="41" s="1"/>
  <c r="AD15" i="41"/>
  <c r="Z16" i="41"/>
  <c r="AA16" i="41" s="1"/>
  <c r="Z20" i="41" l="1"/>
  <c r="AA20" i="41" s="1"/>
  <c r="AA19" i="41"/>
  <c r="W10" i="41" l="1"/>
  <c r="R10" i="41"/>
  <c r="Q16" i="41"/>
  <c r="R16" i="41" s="1"/>
  <c r="U10" i="41"/>
  <c r="T16" i="41"/>
  <c r="U16" i="41" s="1"/>
  <c r="R23" i="41" l="1"/>
  <c r="W22" i="41"/>
  <c r="R24" i="41"/>
  <c r="R25" i="41"/>
  <c r="R21" i="41"/>
  <c r="W21" i="41"/>
  <c r="W24" i="41"/>
  <c r="W25" i="41"/>
  <c r="R26" i="41"/>
  <c r="W26" i="41"/>
  <c r="U21" i="41"/>
  <c r="R22" i="41"/>
  <c r="X10" i="41"/>
  <c r="W16" i="41"/>
  <c r="X16" i="41" s="1"/>
  <c r="U22" i="41" l="1"/>
  <c r="X24" i="41"/>
  <c r="U23" i="41"/>
  <c r="T12" i="41"/>
  <c r="U8" i="41"/>
  <c r="T9" i="41"/>
  <c r="U9" i="41" s="1"/>
  <c r="T14" i="41"/>
  <c r="U14" i="41" s="1"/>
  <c r="X21" i="41"/>
  <c r="X26" i="41"/>
  <c r="W23" i="41"/>
  <c r="U25" i="41"/>
  <c r="U26" i="41"/>
  <c r="X25" i="41"/>
  <c r="X22" i="41"/>
  <c r="U24" i="41"/>
  <c r="Q12" i="41"/>
  <c r="W8" i="41"/>
  <c r="R8" i="41"/>
  <c r="Q14" i="41"/>
  <c r="R14" i="41" s="1"/>
  <c r="X8" i="41" l="1"/>
  <c r="W12" i="41"/>
  <c r="W14" i="41"/>
  <c r="X14" i="41" s="1"/>
  <c r="U12" i="41"/>
  <c r="T11" i="41"/>
  <c r="U11" i="41" s="1"/>
  <c r="R12" i="41"/>
  <c r="Q11" i="41"/>
  <c r="R11" i="41" s="1"/>
  <c r="Q9" i="41"/>
  <c r="R9" i="41" s="1"/>
  <c r="X23" i="41"/>
  <c r="X12" i="41" l="1"/>
  <c r="W11" i="41"/>
  <c r="X11" i="41" s="1"/>
  <c r="W9" i="41"/>
  <c r="X9" i="41" s="1"/>
  <c r="R18" i="41"/>
  <c r="U19" i="41"/>
  <c r="R19" i="41"/>
  <c r="W19" i="41" l="1"/>
  <c r="Q20" i="41"/>
  <c r="R20" i="41" s="1"/>
  <c r="W18" i="41"/>
  <c r="T20" i="41"/>
  <c r="U20" i="41" s="1"/>
  <c r="U18" i="41"/>
  <c r="X19" i="41"/>
  <c r="W20" i="41" l="1"/>
  <c r="X20" i="41" s="1"/>
  <c r="X18" i="41"/>
  <c r="I25" i="41" l="1"/>
  <c r="I26" i="41"/>
  <c r="N22" i="41"/>
  <c r="I22" i="41"/>
  <c r="L21" i="41"/>
  <c r="I21" i="41"/>
  <c r="N21" i="41"/>
  <c r="N24" i="41"/>
  <c r="I23" i="41"/>
  <c r="I24" i="41"/>
  <c r="L10" i="41"/>
  <c r="K16" i="41"/>
  <c r="L16" i="41" s="1"/>
  <c r="N23" i="41"/>
  <c r="AC23" i="41" l="1"/>
  <c r="O23" i="41"/>
  <c r="L25" i="41"/>
  <c r="L26" i="41"/>
  <c r="O24" i="41"/>
  <c r="AC24" i="41"/>
  <c r="N26" i="41"/>
  <c r="O22" i="41"/>
  <c r="AC22" i="41"/>
  <c r="L22" i="41"/>
  <c r="L8" i="41"/>
  <c r="K12" i="41"/>
  <c r="K14" i="41"/>
  <c r="L14" i="41" s="1"/>
  <c r="I10" i="41"/>
  <c r="N10" i="41"/>
  <c r="H16" i="41"/>
  <c r="I16" i="41" s="1"/>
  <c r="L24" i="41"/>
  <c r="L23" i="41"/>
  <c r="N25" i="41"/>
  <c r="W28" i="1"/>
  <c r="U28" i="1"/>
  <c r="O21" i="41"/>
  <c r="AC21" i="41"/>
  <c r="T29" i="1"/>
  <c r="AD22" i="41" l="1"/>
  <c r="L12" i="41"/>
  <c r="K11" i="41"/>
  <c r="L11" i="41" s="1"/>
  <c r="O25" i="41"/>
  <c r="AC25" i="41"/>
  <c r="AD24" i="41"/>
  <c r="W27" i="1"/>
  <c r="U27" i="1"/>
  <c r="AD21" i="41"/>
  <c r="W29" i="1"/>
  <c r="U29" i="1"/>
  <c r="H12" i="41"/>
  <c r="I8" i="41"/>
  <c r="N8" i="41"/>
  <c r="H14" i="41"/>
  <c r="I14" i="41" s="1"/>
  <c r="AC26" i="41"/>
  <c r="O26" i="41"/>
  <c r="O10" i="41"/>
  <c r="N16" i="41"/>
  <c r="O16" i="41" s="1"/>
  <c r="AC10" i="41"/>
  <c r="K9" i="41"/>
  <c r="L9" i="41" s="1"/>
  <c r="AD23" i="41"/>
  <c r="O8" i="41" l="1"/>
  <c r="N12" i="41"/>
  <c r="N14" i="41"/>
  <c r="O14" i="41" s="1"/>
  <c r="AC8" i="41"/>
  <c r="I12" i="41"/>
  <c r="H11" i="41"/>
  <c r="I11" i="41" s="1"/>
  <c r="H9" i="41"/>
  <c r="I9" i="41" s="1"/>
  <c r="AC12" i="41"/>
  <c r="AD12" i="41" s="1"/>
  <c r="AC16" i="41"/>
  <c r="AD16" i="41" s="1"/>
  <c r="AD10" i="41"/>
  <c r="AC11" i="41"/>
  <c r="AD11" i="41" s="1"/>
  <c r="AD25" i="41"/>
  <c r="AD26" i="41"/>
  <c r="I18" i="41"/>
  <c r="N9" i="41" l="1"/>
  <c r="O9" i="41" s="1"/>
  <c r="O12" i="41"/>
  <c r="N11" i="41"/>
  <c r="O11" i="41" s="1"/>
  <c r="AD8" i="41"/>
  <c r="AC14" i="41"/>
  <c r="AD14" i="41" s="1"/>
  <c r="AC9" i="41"/>
  <c r="AD9" i="41" s="1"/>
  <c r="L19" i="41"/>
  <c r="N19" i="41"/>
  <c r="I19" i="41" l="1"/>
  <c r="H20" i="41"/>
  <c r="I20" i="41" s="1"/>
  <c r="O19" i="41"/>
  <c r="AC19" i="41"/>
  <c r="AD19" i="41" s="1"/>
  <c r="K20" i="41"/>
  <c r="L20" i="41" s="1"/>
  <c r="L18" i="41"/>
  <c r="N18" i="41"/>
  <c r="N20" i="41" l="1"/>
  <c r="O20" i="41" s="1"/>
  <c r="O18" i="41"/>
  <c r="AC18" i="41"/>
  <c r="AD18" i="41" l="1"/>
  <c r="AC20" i="41"/>
  <c r="AD20" i="41" s="1"/>
  <c r="T40" i="41" l="1"/>
  <c r="T39" i="41"/>
  <c r="T38" i="41"/>
  <c r="T37" i="41"/>
  <c r="T36" i="41"/>
  <c r="T35" i="41"/>
  <c r="Q40" i="41"/>
  <c r="Q39" i="41"/>
  <c r="Q38" i="41"/>
  <c r="Q37" i="41"/>
  <c r="Q36" i="41"/>
  <c r="Q35" i="41"/>
  <c r="Q35" i="43" l="1"/>
  <c r="W35" i="41"/>
  <c r="R35" i="41"/>
  <c r="Q41" i="41"/>
  <c r="Q27" i="41"/>
  <c r="R27" i="41" s="1"/>
  <c r="Q36" i="43"/>
  <c r="R36" i="41"/>
  <c r="W36" i="41"/>
  <c r="Q28" i="41"/>
  <c r="R28" i="41" s="1"/>
  <c r="Q37" i="43"/>
  <c r="W37" i="41"/>
  <c r="R37" i="41"/>
  <c r="Q29" i="41"/>
  <c r="R29" i="41" s="1"/>
  <c r="Q38" i="43"/>
  <c r="R38" i="41"/>
  <c r="W38" i="41"/>
  <c r="Q30" i="41"/>
  <c r="R30" i="41" s="1"/>
  <c r="Q39" i="43"/>
  <c r="W39" i="41"/>
  <c r="R39" i="41"/>
  <c r="Q31" i="41"/>
  <c r="R31" i="41" s="1"/>
  <c r="Q40" i="43"/>
  <c r="R40" i="41"/>
  <c r="W40" i="41"/>
  <c r="Q32" i="41"/>
  <c r="R32" i="41" s="1"/>
  <c r="T35" i="43"/>
  <c r="U35" i="41"/>
  <c r="T41" i="41"/>
  <c r="T27" i="41"/>
  <c r="U27" i="41" s="1"/>
  <c r="T36" i="43"/>
  <c r="U36" i="41"/>
  <c r="T28" i="41"/>
  <c r="U28" i="41" s="1"/>
  <c r="T37" i="43"/>
  <c r="U37" i="41"/>
  <c r="T29" i="41"/>
  <c r="U29" i="41" s="1"/>
  <c r="T38" i="43"/>
  <c r="U38" i="41"/>
  <c r="T30" i="41"/>
  <c r="U30" i="41" s="1"/>
  <c r="T39" i="43"/>
  <c r="U39" i="41"/>
  <c r="T31" i="41"/>
  <c r="U31" i="41" s="1"/>
  <c r="T40" i="43"/>
  <c r="U40" i="41"/>
  <c r="T32" i="41"/>
  <c r="U32" i="41" s="1"/>
  <c r="Q31" i="43" l="1"/>
  <c r="W39" i="43"/>
  <c r="X37" i="41"/>
  <c r="W29" i="41"/>
  <c r="X29" i="41" s="1"/>
  <c r="X38" i="41"/>
  <c r="W30" i="41"/>
  <c r="X30" i="41" s="1"/>
  <c r="T28" i="43"/>
  <c r="T31" i="43"/>
  <c r="T30" i="43"/>
  <c r="Q28" i="43"/>
  <c r="W36" i="43"/>
  <c r="X39" i="41"/>
  <c r="W31" i="41"/>
  <c r="X31" i="41" s="1"/>
  <c r="W38" i="43"/>
  <c r="Q30" i="43"/>
  <c r="W37" i="43"/>
  <c r="Q29" i="43"/>
  <c r="U41" i="41"/>
  <c r="T42" i="41"/>
  <c r="X36" i="41"/>
  <c r="W28" i="41"/>
  <c r="X28" i="41" s="1"/>
  <c r="X40" i="41"/>
  <c r="W32" i="41"/>
  <c r="X32" i="41" s="1"/>
  <c r="W41" i="41"/>
  <c r="R41" i="41"/>
  <c r="Q42" i="41"/>
  <c r="T29" i="43"/>
  <c r="T27" i="43"/>
  <c r="T41" i="43"/>
  <c r="T32" i="43"/>
  <c r="Q32" i="43"/>
  <c r="W40" i="43"/>
  <c r="X35" i="41"/>
  <c r="W27" i="41"/>
  <c r="X27" i="41" s="1"/>
  <c r="Q27" i="43"/>
  <c r="Q41" i="43"/>
  <c r="W35" i="43"/>
  <c r="W27" i="43" l="1"/>
  <c r="X27" i="43" s="1"/>
  <c r="W28" i="43"/>
  <c r="X28" i="43" s="1"/>
  <c r="W32" i="43"/>
  <c r="X32" i="43" s="1"/>
  <c r="W41" i="43"/>
  <c r="Q42" i="43"/>
  <c r="W29" i="43"/>
  <c r="X29" i="43" s="1"/>
  <c r="X41" i="41"/>
  <c r="W42" i="41"/>
  <c r="T42" i="43"/>
  <c r="W30" i="43"/>
  <c r="X30" i="43" s="1"/>
  <c r="W31" i="43"/>
  <c r="X31" i="43" s="1"/>
  <c r="W42" i="43" l="1"/>
  <c r="H40" i="41" l="1"/>
  <c r="K40" i="41"/>
  <c r="H39" i="41"/>
  <c r="K39" i="41"/>
  <c r="H38" i="41"/>
  <c r="K38" i="41"/>
  <c r="H37" i="41"/>
  <c r="K37" i="41"/>
  <c r="H36" i="41"/>
  <c r="K36" i="41"/>
  <c r="H35" i="41"/>
  <c r="K35" i="41"/>
  <c r="K35" i="43" l="1"/>
  <c r="L35" i="41"/>
  <c r="K41" i="41"/>
  <c r="K27" i="41"/>
  <c r="L27" i="41" s="1"/>
  <c r="H35" i="43"/>
  <c r="N35" i="41"/>
  <c r="H41" i="41"/>
  <c r="I35" i="41"/>
  <c r="H27" i="41"/>
  <c r="I27" i="41" s="1"/>
  <c r="K36" i="43"/>
  <c r="L36" i="41"/>
  <c r="K28" i="41"/>
  <c r="L28" i="41" s="1"/>
  <c r="H36" i="43"/>
  <c r="N36" i="41"/>
  <c r="I36" i="41"/>
  <c r="H28" i="41"/>
  <c r="I28" i="41" s="1"/>
  <c r="K37" i="43"/>
  <c r="L37" i="41"/>
  <c r="K29" i="41"/>
  <c r="L29" i="41" s="1"/>
  <c r="H37" i="43"/>
  <c r="I37" i="41"/>
  <c r="N37" i="41"/>
  <c r="H29" i="41"/>
  <c r="I29" i="41" s="1"/>
  <c r="K38" i="43"/>
  <c r="L38" i="41"/>
  <c r="K30" i="41"/>
  <c r="L30" i="41" s="1"/>
  <c r="H38" i="43"/>
  <c r="I38" i="41"/>
  <c r="N38" i="41"/>
  <c r="H30" i="41"/>
  <c r="I30" i="41" s="1"/>
  <c r="K39" i="43"/>
  <c r="L39" i="41"/>
  <c r="K31" i="41"/>
  <c r="L31" i="41" s="1"/>
  <c r="H39" i="43"/>
  <c r="N39" i="41"/>
  <c r="I39" i="41"/>
  <c r="H31" i="41"/>
  <c r="I31" i="41" s="1"/>
  <c r="K40" i="43"/>
  <c r="L40" i="41"/>
  <c r="K32" i="41"/>
  <c r="L32" i="41" s="1"/>
  <c r="H40" i="43"/>
  <c r="N40" i="41"/>
  <c r="I40" i="41"/>
  <c r="H32" i="41"/>
  <c r="I32" i="41" s="1"/>
  <c r="N39" i="43" l="1"/>
  <c r="H31" i="43"/>
  <c r="O36" i="41"/>
  <c r="N28" i="41"/>
  <c r="O28" i="41" s="1"/>
  <c r="AC36" i="41"/>
  <c r="K32" i="43"/>
  <c r="K28" i="43"/>
  <c r="H28" i="43"/>
  <c r="N36" i="43"/>
  <c r="H30" i="43"/>
  <c r="N38" i="43"/>
  <c r="N41" i="41"/>
  <c r="I41" i="41"/>
  <c r="H42" i="41"/>
  <c r="O35" i="41"/>
  <c r="N27" i="41"/>
  <c r="O27" i="41" s="1"/>
  <c r="AC35" i="41"/>
  <c r="K29" i="43"/>
  <c r="O38" i="41"/>
  <c r="N30" i="41"/>
  <c r="O30" i="41" s="1"/>
  <c r="AC38" i="41"/>
  <c r="N35" i="43"/>
  <c r="H27" i="43"/>
  <c r="H41" i="43"/>
  <c r="K30" i="43"/>
  <c r="L41" i="41"/>
  <c r="K42" i="41"/>
  <c r="N37" i="43"/>
  <c r="H29" i="43"/>
  <c r="O40" i="41"/>
  <c r="N32" i="41"/>
  <c r="O32" i="41" s="1"/>
  <c r="AC40" i="41"/>
  <c r="O37" i="41"/>
  <c r="N29" i="41"/>
  <c r="O29" i="41" s="1"/>
  <c r="AC37" i="41"/>
  <c r="O39" i="41"/>
  <c r="N31" i="41"/>
  <c r="O31" i="41" s="1"/>
  <c r="AC39" i="41"/>
  <c r="K31" i="43"/>
  <c r="H32" i="43"/>
  <c r="N40" i="43"/>
  <c r="K27" i="43"/>
  <c r="K41" i="43"/>
  <c r="K42" i="43" l="1"/>
  <c r="N41" i="43"/>
  <c r="H42" i="43"/>
  <c r="N28" i="43"/>
  <c r="O28" i="43" s="1"/>
  <c r="AC36" i="43"/>
  <c r="N29" i="43"/>
  <c r="O29" i="43" s="1"/>
  <c r="AC37" i="43"/>
  <c r="AD36" i="41"/>
  <c r="AC28" i="41"/>
  <c r="AD28" i="41" s="1"/>
  <c r="N32" i="43"/>
  <c r="O32" i="43" s="1"/>
  <c r="AC40" i="43"/>
  <c r="AD38" i="41"/>
  <c r="AC30" i="41"/>
  <c r="AD30" i="41" s="1"/>
  <c r="O41" i="41"/>
  <c r="N42" i="41"/>
  <c r="AC41" i="41"/>
  <c r="N27" i="43"/>
  <c r="O27" i="43" s="1"/>
  <c r="AC35" i="43"/>
  <c r="N30" i="43"/>
  <c r="O30" i="43" s="1"/>
  <c r="AC38" i="43"/>
  <c r="AC31" i="41"/>
  <c r="AD31" i="41" s="1"/>
  <c r="AD39" i="41"/>
  <c r="AD37" i="41"/>
  <c r="AC29" i="41"/>
  <c r="AD29" i="41" s="1"/>
  <c r="AC27" i="41"/>
  <c r="AD27" i="41" s="1"/>
  <c r="AD35" i="41"/>
  <c r="AD40" i="41"/>
  <c r="AC32" i="41"/>
  <c r="AD32" i="41" s="1"/>
  <c r="N31" i="43"/>
  <c r="O31" i="43" s="1"/>
  <c r="AC39" i="43"/>
  <c r="AC30" i="43" l="1"/>
  <c r="N42" i="43"/>
  <c r="AC41" i="43"/>
  <c r="AC32" i="43"/>
  <c r="AC29" i="43"/>
  <c r="AC31" i="43"/>
  <c r="AC28" i="43"/>
  <c r="AC27" i="43"/>
  <c r="AD41" i="41"/>
  <c r="AC42" i="41"/>
  <c r="AC42" i="43" l="1"/>
  <c r="K28" i="2" l="1"/>
  <c r="F8" i="1"/>
  <c r="AC8" i="1" s="1"/>
  <c r="AD8" i="1" l="1"/>
  <c r="L28" i="2"/>
  <c r="G8" i="1"/>
  <c r="K31" i="2" l="1"/>
  <c r="K12" i="2"/>
  <c r="K15" i="2"/>
  <c r="K30" i="2"/>
  <c r="K20" i="2"/>
  <c r="K21" i="2"/>
  <c r="K10" i="2"/>
  <c r="K9" i="2"/>
  <c r="K8" i="2"/>
  <c r="K14" i="2"/>
  <c r="K23" i="2"/>
  <c r="K13" i="2"/>
  <c r="K19" i="2"/>
  <c r="K18" i="2"/>
  <c r="K17" i="2"/>
  <c r="K16" i="2"/>
  <c r="P21" i="2"/>
  <c r="Q21" i="2" l="1"/>
  <c r="S21" i="2"/>
  <c r="L17" i="2"/>
  <c r="L8" i="2"/>
  <c r="L16" i="2"/>
  <c r="L18" i="2"/>
  <c r="L9" i="2"/>
  <c r="L19" i="2"/>
  <c r="L10" i="2"/>
  <c r="L13" i="2"/>
  <c r="L21" i="2"/>
  <c r="L20" i="2"/>
  <c r="L23" i="2"/>
  <c r="L30" i="2"/>
  <c r="L15" i="2"/>
  <c r="L12" i="2"/>
  <c r="L14" i="2"/>
  <c r="L31" i="2"/>
  <c r="K29" i="2"/>
  <c r="P11" i="2"/>
  <c r="K11" i="2"/>
  <c r="P12" i="2"/>
  <c r="P7" i="2"/>
  <c r="K22" i="2"/>
  <c r="P22" i="2"/>
  <c r="K7" i="2"/>
  <c r="P29" i="2"/>
  <c r="K26" i="2" l="1"/>
  <c r="F16" i="1"/>
  <c r="Q29" i="2"/>
  <c r="S29" i="2"/>
  <c r="P19" i="2"/>
  <c r="Q12" i="2"/>
  <c r="S12" i="2"/>
  <c r="P28" i="2"/>
  <c r="F11" i="1"/>
  <c r="AC11" i="1" s="1"/>
  <c r="P30" i="2"/>
  <c r="P8" i="2"/>
  <c r="P17" i="2"/>
  <c r="P23" i="2"/>
  <c r="P13" i="2"/>
  <c r="P14" i="2"/>
  <c r="I16" i="1"/>
  <c r="G16" i="1"/>
  <c r="Q22" i="2"/>
  <c r="S22" i="2"/>
  <c r="P31" i="2"/>
  <c r="P15" i="2"/>
  <c r="Q11" i="2"/>
  <c r="S11" i="2"/>
  <c r="Q7" i="2"/>
  <c r="S7" i="2"/>
  <c r="P10" i="2"/>
  <c r="P16" i="2"/>
  <c r="P20" i="2"/>
  <c r="P9" i="2"/>
  <c r="P18" i="2"/>
  <c r="K25" i="2"/>
  <c r="L11" i="2"/>
  <c r="L26" i="2"/>
  <c r="K32" i="2"/>
  <c r="L29" i="2"/>
  <c r="L7" i="2"/>
  <c r="K24" i="2"/>
  <c r="L22" i="2"/>
  <c r="U12" i="2"/>
  <c r="P33" i="2"/>
  <c r="P34" i="2"/>
  <c r="AD11" i="1" l="1"/>
  <c r="AF11" i="1"/>
  <c r="U9" i="2"/>
  <c r="V9" i="2" s="1"/>
  <c r="U13" i="2"/>
  <c r="U19" i="2"/>
  <c r="V19" i="2" s="1"/>
  <c r="F15" i="1"/>
  <c r="G15" i="1" s="1"/>
  <c r="S20" i="2"/>
  <c r="Q20" i="2"/>
  <c r="Q9" i="2"/>
  <c r="S9" i="2"/>
  <c r="F10" i="1"/>
  <c r="AC10" i="1" s="1"/>
  <c r="F17" i="1"/>
  <c r="Q16" i="2"/>
  <c r="S16" i="2"/>
  <c r="Q30" i="2"/>
  <c r="S30" i="2"/>
  <c r="V13" i="2"/>
  <c r="X13" i="2"/>
  <c r="S34" i="2"/>
  <c r="Q34" i="2"/>
  <c r="Q10" i="2"/>
  <c r="S10" i="2"/>
  <c r="Q31" i="2"/>
  <c r="S31" i="2"/>
  <c r="I11" i="1"/>
  <c r="G11" i="1"/>
  <c r="F21" i="1"/>
  <c r="P24" i="2"/>
  <c r="Q28" i="2"/>
  <c r="S28" i="2"/>
  <c r="Q14" i="2"/>
  <c r="S14" i="2"/>
  <c r="S13" i="2"/>
  <c r="Q13" i="2"/>
  <c r="P25" i="2"/>
  <c r="S19" i="2"/>
  <c r="P26" i="2"/>
  <c r="Q19" i="2"/>
  <c r="F12" i="1"/>
  <c r="AC12" i="1" s="1"/>
  <c r="S23" i="2"/>
  <c r="Q23" i="2"/>
  <c r="V12" i="2"/>
  <c r="X12" i="2"/>
  <c r="P32" i="2"/>
  <c r="Q17" i="2"/>
  <c r="S17" i="2"/>
  <c r="Q18" i="2"/>
  <c r="S18" i="2"/>
  <c r="S15" i="2"/>
  <c r="Q15" i="2"/>
  <c r="Q33" i="2"/>
  <c r="S33" i="2"/>
  <c r="S8" i="2"/>
  <c r="Q8" i="2"/>
  <c r="F9" i="1"/>
  <c r="AC9" i="1" s="1"/>
  <c r="AG12" i="41"/>
  <c r="L32" i="2"/>
  <c r="F7" i="1"/>
  <c r="AC7" i="1" s="1"/>
  <c r="L25" i="2"/>
  <c r="K27" i="2"/>
  <c r="G27" i="2" s="1"/>
  <c r="L24" i="2"/>
  <c r="U16" i="2"/>
  <c r="U17" i="2"/>
  <c r="U14" i="2"/>
  <c r="U8" i="2"/>
  <c r="U18" i="2"/>
  <c r="U20" i="2"/>
  <c r="U10" i="2"/>
  <c r="U23" i="2"/>
  <c r="F26" i="1"/>
  <c r="U21" i="2"/>
  <c r="U11" i="2"/>
  <c r="U7" i="2"/>
  <c r="U22" i="2"/>
  <c r="U15" i="2"/>
  <c r="K46" i="2"/>
  <c r="U31" i="2"/>
  <c r="X9" i="2" l="1"/>
  <c r="AD9" i="1"/>
  <c r="AD7" i="1"/>
  <c r="AD10" i="1"/>
  <c r="AF10" i="1"/>
  <c r="AD12" i="1"/>
  <c r="AF12" i="1"/>
  <c r="AG13" i="41"/>
  <c r="X19" i="2"/>
  <c r="I15" i="1"/>
  <c r="V16" i="2"/>
  <c r="X16" i="2"/>
  <c r="V31" i="2"/>
  <c r="X31" i="2"/>
  <c r="U36" i="2"/>
  <c r="S32" i="2"/>
  <c r="Q32" i="2"/>
  <c r="AG17" i="41"/>
  <c r="V7" i="2"/>
  <c r="X7" i="2"/>
  <c r="U24" i="2"/>
  <c r="V10" i="2"/>
  <c r="X10" i="2"/>
  <c r="I17" i="1"/>
  <c r="G17" i="1"/>
  <c r="X20" i="2"/>
  <c r="V20" i="2"/>
  <c r="V15" i="2"/>
  <c r="X15" i="2"/>
  <c r="V11" i="2"/>
  <c r="X11" i="2"/>
  <c r="U25" i="2"/>
  <c r="G12" i="1"/>
  <c r="I12" i="1"/>
  <c r="F22" i="1"/>
  <c r="G10" i="1"/>
  <c r="I10" i="1"/>
  <c r="F20" i="1"/>
  <c r="X21" i="2"/>
  <c r="V21" i="2"/>
  <c r="S24" i="2"/>
  <c r="P27" i="2"/>
  <c r="Q24" i="2"/>
  <c r="V18" i="2"/>
  <c r="X18" i="2"/>
  <c r="U26" i="2"/>
  <c r="G26" i="1"/>
  <c r="I26" i="1"/>
  <c r="Q26" i="2"/>
  <c r="S26" i="2"/>
  <c r="V22" i="2"/>
  <c r="X22" i="2"/>
  <c r="V8" i="2"/>
  <c r="X8" i="2"/>
  <c r="X23" i="2"/>
  <c r="V23" i="2"/>
  <c r="V14" i="2"/>
  <c r="X14" i="2"/>
  <c r="Q25" i="2"/>
  <c r="S25" i="2"/>
  <c r="G21" i="1"/>
  <c r="I21" i="1"/>
  <c r="F32" i="1"/>
  <c r="AC17" i="1" s="1"/>
  <c r="X17" i="2"/>
  <c r="V17" i="2"/>
  <c r="G7" i="1"/>
  <c r="K47" i="2"/>
  <c r="G9" i="1"/>
  <c r="L27" i="2"/>
  <c r="AG18" i="41" l="1"/>
  <c r="AD17" i="1"/>
  <c r="AF17" i="1"/>
  <c r="I20" i="1"/>
  <c r="G20" i="1"/>
  <c r="F25" i="1"/>
  <c r="F18" i="1"/>
  <c r="V26" i="2"/>
  <c r="X26" i="2"/>
  <c r="V36" i="2"/>
  <c r="X36" i="2"/>
  <c r="P39" i="2"/>
  <c r="P46" i="2"/>
  <c r="F13" i="1"/>
  <c r="AC13" i="1" s="1"/>
  <c r="G22" i="1"/>
  <c r="I22" i="1"/>
  <c r="G32" i="1"/>
  <c r="I32" i="1"/>
  <c r="V24" i="2"/>
  <c r="X24" i="2"/>
  <c r="U27" i="2"/>
  <c r="U28" i="2"/>
  <c r="S27" i="2"/>
  <c r="Q27" i="2"/>
  <c r="V25" i="2"/>
  <c r="X25" i="2"/>
  <c r="U33" i="2"/>
  <c r="AD13" i="1" l="1"/>
  <c r="AF13" i="1"/>
  <c r="AC14" i="1"/>
  <c r="V28" i="2"/>
  <c r="X28" i="2"/>
  <c r="G13" i="1"/>
  <c r="I13" i="1"/>
  <c r="F23" i="1"/>
  <c r="F14" i="1"/>
  <c r="G25" i="1"/>
  <c r="I25" i="1"/>
  <c r="S39" i="2"/>
  <c r="Q39" i="2"/>
  <c r="P41" i="2"/>
  <c r="U34" i="2"/>
  <c r="F30" i="1"/>
  <c r="AC15" i="1" s="1"/>
  <c r="V33" i="2"/>
  <c r="T32" i="1"/>
  <c r="X33" i="2"/>
  <c r="V27" i="2"/>
  <c r="X27" i="2"/>
  <c r="G18" i="1"/>
  <c r="I18" i="1"/>
  <c r="F19" i="1"/>
  <c r="AD14" i="1" l="1"/>
  <c r="AF14" i="1"/>
  <c r="AF15" i="1"/>
  <c r="AD15" i="1"/>
  <c r="I14" i="1"/>
  <c r="G14" i="1"/>
  <c r="F31" i="1"/>
  <c r="AC16" i="1" s="1"/>
  <c r="G30" i="1"/>
  <c r="I30" i="1"/>
  <c r="V34" i="2"/>
  <c r="T33" i="1"/>
  <c r="X34" i="2"/>
  <c r="Q41" i="2"/>
  <c r="S41" i="2"/>
  <c r="P43" i="2"/>
  <c r="G43" i="2" s="1"/>
  <c r="G19" i="1"/>
  <c r="I19" i="1"/>
  <c r="I23" i="1"/>
  <c r="G23" i="1"/>
  <c r="F24" i="1"/>
  <c r="U32" i="1"/>
  <c r="W32" i="1"/>
  <c r="AF16" i="1" l="1"/>
  <c r="AD16" i="1"/>
  <c r="U33" i="1"/>
  <c r="W33" i="1"/>
  <c r="Q43" i="2"/>
  <c r="S43" i="2"/>
  <c r="P47" i="2"/>
  <c r="I24" i="1"/>
  <c r="G24" i="1"/>
  <c r="G31" i="1"/>
  <c r="I31" i="1"/>
  <c r="U30" i="2" l="1"/>
  <c r="F27" i="1" l="1"/>
  <c r="V30" i="2"/>
  <c r="X30" i="2"/>
  <c r="U38" i="2"/>
  <c r="U29" i="2"/>
  <c r="V38" i="2" l="1"/>
  <c r="X38" i="2"/>
  <c r="U32" i="2"/>
  <c r="X29" i="2"/>
  <c r="V29" i="2"/>
  <c r="G27" i="1"/>
  <c r="I27" i="1"/>
  <c r="F33" i="1"/>
  <c r="AC18" i="1" s="1"/>
  <c r="AD18" i="1" l="1"/>
  <c r="AF18" i="1"/>
  <c r="AG20" i="41"/>
  <c r="V32" i="2"/>
  <c r="X32" i="2"/>
  <c r="G33" i="1"/>
  <c r="I33" i="1"/>
  <c r="AG22" i="41" l="1"/>
  <c r="AG21" i="41"/>
  <c r="U35" i="2"/>
  <c r="V35" i="2" l="1"/>
  <c r="T34" i="1"/>
  <c r="X35" i="2"/>
  <c r="F28" i="1" l="1"/>
  <c r="W34" i="1"/>
  <c r="U34" i="1"/>
  <c r="F34" i="1" l="1"/>
  <c r="AC19" i="1" s="1"/>
  <c r="AC20" i="1" s="1"/>
  <c r="G28" i="1"/>
  <c r="I28" i="1"/>
  <c r="F29" i="1"/>
  <c r="I29" i="1" s="1"/>
  <c r="V37" i="2"/>
  <c r="X37" i="2"/>
  <c r="G34" i="1"/>
  <c r="I34" i="1"/>
  <c r="F35" i="1"/>
  <c r="U46" i="2"/>
  <c r="F38" i="1"/>
  <c r="AD19" i="1" l="1"/>
  <c r="AF19" i="1"/>
  <c r="U39" i="2"/>
  <c r="X39" i="2" s="1"/>
  <c r="G29" i="1"/>
  <c r="U41" i="2"/>
  <c r="I35" i="1"/>
  <c r="F36" i="1"/>
  <c r="AC21" i="1" s="1"/>
  <c r="F39" i="1"/>
  <c r="G35" i="1"/>
  <c r="F40" i="1"/>
  <c r="V39" i="2" l="1"/>
  <c r="AF20" i="1"/>
  <c r="AD20" i="1"/>
  <c r="I36" i="1"/>
  <c r="AF21" i="1" s="1"/>
  <c r="G36" i="1"/>
  <c r="AD21" i="1" s="1"/>
  <c r="V41" i="2"/>
  <c r="X41" i="2"/>
  <c r="T36" i="1"/>
  <c r="U43" i="2"/>
  <c r="G44" i="2" s="1"/>
  <c r="U36" i="1" l="1"/>
  <c r="T35" i="1"/>
  <c r="W36" i="1"/>
  <c r="X43" i="2"/>
  <c r="U44" i="2"/>
  <c r="V43" i="2"/>
  <c r="U47" i="2"/>
  <c r="U35" i="1" l="1"/>
  <c r="W35" i="1"/>
  <c r="T46" i="42" l="1"/>
  <c r="O46" i="42"/>
  <c r="J46" i="42"/>
  <c r="T39" i="42"/>
  <c r="O39" i="42"/>
  <c r="T38" i="42"/>
  <c r="T36" i="42"/>
  <c r="T35" i="42"/>
  <c r="T34" i="42"/>
  <c r="O34" i="42"/>
  <c r="T33" i="42"/>
  <c r="T31" i="42"/>
  <c r="J31" i="42"/>
  <c r="T30" i="42"/>
  <c r="O30" i="42"/>
  <c r="T28" i="42"/>
  <c r="O28" i="42"/>
  <c r="J28" i="42"/>
  <c r="T23" i="42"/>
  <c r="O23" i="42"/>
  <c r="J23" i="42"/>
  <c r="T22" i="42"/>
  <c r="O22" i="42"/>
  <c r="J22" i="42"/>
  <c r="T21" i="42"/>
  <c r="J21" i="42"/>
  <c r="J20" i="42"/>
  <c r="T19" i="42"/>
  <c r="O19" i="42"/>
  <c r="T18" i="42"/>
  <c r="O18" i="42"/>
  <c r="J18" i="42"/>
  <c r="O17" i="42"/>
  <c r="J17" i="42"/>
  <c r="T16" i="42"/>
  <c r="O16" i="42"/>
  <c r="J16" i="42"/>
  <c r="J15" i="42"/>
  <c r="T14" i="42"/>
  <c r="J14" i="42"/>
  <c r="T13" i="42"/>
  <c r="O13" i="42"/>
  <c r="J13" i="42"/>
  <c r="O12" i="42"/>
  <c r="J12" i="42"/>
  <c r="T11" i="42"/>
  <c r="J11" i="42"/>
  <c r="T10" i="42"/>
  <c r="J10" i="42"/>
  <c r="T9" i="42"/>
  <c r="J9" i="42"/>
  <c r="T8" i="42"/>
  <c r="O8" i="42"/>
  <c r="J8" i="42"/>
  <c r="T41" i="42" l="1"/>
  <c r="O7" i="42"/>
  <c r="T20" i="42"/>
  <c r="T26" i="42" s="1"/>
  <c r="T12" i="42"/>
  <c r="O21" i="42"/>
  <c r="O9" i="42"/>
  <c r="O33" i="42"/>
  <c r="O41" i="42" s="1"/>
  <c r="T7" i="42"/>
  <c r="T24" i="42" s="1"/>
  <c r="J29" i="42"/>
  <c r="O31" i="42"/>
  <c r="O14" i="42"/>
  <c r="O11" i="42"/>
  <c r="T15" i="42"/>
  <c r="J25" i="42"/>
  <c r="O29" i="42"/>
  <c r="J30" i="42"/>
  <c r="J7" i="42"/>
  <c r="J24" i="42" s="1"/>
  <c r="O10" i="42"/>
  <c r="O15" i="42"/>
  <c r="J19" i="42"/>
  <c r="J26" i="42" s="1"/>
  <c r="O20" i="42"/>
  <c r="T17" i="42"/>
  <c r="T29" i="42"/>
  <c r="T32" i="42" s="1"/>
  <c r="T25" i="42" l="1"/>
  <c r="O26" i="42"/>
  <c r="J27" i="42"/>
  <c r="J47" i="42" s="1"/>
  <c r="T27" i="42"/>
  <c r="T43" i="42" s="1"/>
  <c r="O32" i="42"/>
  <c r="J32" i="42"/>
  <c r="O25" i="42"/>
  <c r="O24" i="42"/>
  <c r="O27" i="42" l="1"/>
  <c r="O43" i="42" s="1"/>
  <c r="O47" i="42" s="1"/>
  <c r="T47" i="42"/>
  <c r="T44" i="42" l="1"/>
  <c r="J8" i="1" l="1"/>
  <c r="AG8" i="1" s="1"/>
  <c r="J11" i="1"/>
  <c r="AG11" i="1" l="1"/>
  <c r="J16" i="1" l="1"/>
  <c r="J21" i="1" s="1"/>
  <c r="J9" i="1"/>
  <c r="AG9" i="1" s="1"/>
  <c r="J12" i="1" l="1"/>
  <c r="AG12" i="1" l="1"/>
  <c r="J26" i="1"/>
  <c r="J32" i="1" s="1"/>
  <c r="AG17" i="1" s="1"/>
  <c r="J17" i="1" l="1"/>
  <c r="J22" i="1" s="1"/>
  <c r="J27" i="1"/>
  <c r="J33" i="1" l="1"/>
  <c r="AG18" i="1" s="1"/>
  <c r="J10" i="1"/>
  <c r="AG10" i="1" l="1"/>
  <c r="J7" i="1"/>
  <c r="AG7" i="1" s="1"/>
  <c r="J25" i="1" l="1"/>
  <c r="J15" i="1" l="1"/>
  <c r="J38" i="1"/>
  <c r="J28" i="1"/>
  <c r="J29" i="1" s="1"/>
  <c r="J13" i="1"/>
  <c r="AG13" i="1" l="1"/>
  <c r="AG14" i="1" s="1"/>
  <c r="J14" i="1"/>
  <c r="J20" i="1"/>
  <c r="J30" i="1" s="1"/>
  <c r="AG15" i="1" l="1"/>
  <c r="J31" i="1"/>
  <c r="AG16" i="1" s="1"/>
  <c r="J18" i="1"/>
  <c r="J23" i="1" l="1"/>
  <c r="J19" i="1"/>
  <c r="J24" i="1" l="1"/>
  <c r="J34" i="1"/>
  <c r="AG19" i="1" l="1"/>
  <c r="AG20" i="1" s="1"/>
  <c r="J35" i="1"/>
  <c r="J36" i="1" l="1"/>
  <c r="AG21" i="1" s="1"/>
  <c r="J40" i="1"/>
  <c r="J39" i="1"/>
  <c r="AF12" i="43" l="1"/>
  <c r="AF20" i="43"/>
  <c r="AF17" i="43"/>
  <c r="Y40" i="43" l="1"/>
  <c r="S40" i="43"/>
  <c r="P40" i="43"/>
  <c r="J40" i="43"/>
  <c r="G40" i="43"/>
  <c r="I40" i="43" s="1"/>
  <c r="Y39" i="43"/>
  <c r="S39" i="43"/>
  <c r="P39" i="43"/>
  <c r="J39" i="43"/>
  <c r="G39" i="43"/>
  <c r="Y38" i="43"/>
  <c r="S38" i="43"/>
  <c r="P38" i="43"/>
  <c r="J38" i="43"/>
  <c r="G38" i="43"/>
  <c r="Y37" i="43"/>
  <c r="S37" i="43"/>
  <c r="P37" i="43"/>
  <c r="J37" i="43"/>
  <c r="G37" i="43"/>
  <c r="Y36" i="43"/>
  <c r="S36" i="43"/>
  <c r="P36" i="43"/>
  <c r="J36" i="43"/>
  <c r="G36" i="43"/>
  <c r="Y35" i="43"/>
  <c r="S35" i="43"/>
  <c r="P35" i="43"/>
  <c r="J35" i="43"/>
  <c r="G35" i="43"/>
  <c r="Y26" i="43"/>
  <c r="AA26" i="43" s="1"/>
  <c r="S26" i="43"/>
  <c r="U26" i="43" s="1"/>
  <c r="P26" i="43"/>
  <c r="J26" i="43"/>
  <c r="L26" i="43" s="1"/>
  <c r="G26" i="43"/>
  <c r="Y25" i="43"/>
  <c r="AA25" i="43" s="1"/>
  <c r="S25" i="43"/>
  <c r="U25" i="43" s="1"/>
  <c r="P25" i="43"/>
  <c r="J25" i="43"/>
  <c r="L25" i="43" s="1"/>
  <c r="G25" i="43"/>
  <c r="Y24" i="43"/>
  <c r="AA24" i="43" s="1"/>
  <c r="S24" i="43"/>
  <c r="U24" i="43" s="1"/>
  <c r="P24" i="43"/>
  <c r="J24" i="43"/>
  <c r="L24" i="43" s="1"/>
  <c r="G24" i="43"/>
  <c r="Y23" i="43"/>
  <c r="AA23" i="43" s="1"/>
  <c r="S23" i="43"/>
  <c r="U23" i="43" s="1"/>
  <c r="P23" i="43"/>
  <c r="J23" i="43"/>
  <c r="L23" i="43" s="1"/>
  <c r="G23" i="43"/>
  <c r="Y22" i="43"/>
  <c r="AA22" i="43" s="1"/>
  <c r="S22" i="43"/>
  <c r="U22" i="43" s="1"/>
  <c r="P22" i="43"/>
  <c r="J22" i="43"/>
  <c r="L22" i="43" s="1"/>
  <c r="G22" i="43"/>
  <c r="Y21" i="43"/>
  <c r="AA21" i="43" s="1"/>
  <c r="S21" i="43"/>
  <c r="U21" i="43" s="1"/>
  <c r="P21" i="43"/>
  <c r="J21" i="43"/>
  <c r="L21" i="43" s="1"/>
  <c r="G21" i="43"/>
  <c r="Y19" i="43"/>
  <c r="AA19" i="43" s="1"/>
  <c r="S19" i="43"/>
  <c r="U19" i="43" s="1"/>
  <c r="J19" i="43"/>
  <c r="L19" i="43" s="1"/>
  <c r="G19" i="43"/>
  <c r="Y18" i="43"/>
  <c r="S18" i="43"/>
  <c r="P18" i="43"/>
  <c r="J18" i="43"/>
  <c r="Y15" i="43"/>
  <c r="S15" i="43"/>
  <c r="J15" i="43"/>
  <c r="L15" i="43" s="1"/>
  <c r="G15" i="43"/>
  <c r="Y13" i="43"/>
  <c r="S13" i="43"/>
  <c r="P13" i="43"/>
  <c r="G13" i="43"/>
  <c r="Y10" i="43"/>
  <c r="AA10" i="43" s="1"/>
  <c r="S10" i="43"/>
  <c r="P10" i="43"/>
  <c r="J10" i="43"/>
  <c r="G10" i="43"/>
  <c r="Y8" i="43"/>
  <c r="S8" i="43"/>
  <c r="P8" i="43"/>
  <c r="J8" i="43"/>
  <c r="G8" i="43"/>
  <c r="W46" i="42"/>
  <c r="U46" i="42"/>
  <c r="R46" i="42"/>
  <c r="P46" i="42"/>
  <c r="K46" i="42"/>
  <c r="W39" i="42"/>
  <c r="U39" i="42"/>
  <c r="R39" i="42"/>
  <c r="P39" i="42"/>
  <c r="W38" i="42"/>
  <c r="U38" i="42"/>
  <c r="W37" i="42"/>
  <c r="U37" i="42"/>
  <c r="W36" i="42"/>
  <c r="U36" i="42"/>
  <c r="W35" i="42"/>
  <c r="U35" i="42"/>
  <c r="W34" i="42"/>
  <c r="U34" i="42"/>
  <c r="R34" i="42"/>
  <c r="P34" i="42"/>
  <c r="W33" i="42"/>
  <c r="U33" i="42"/>
  <c r="R33" i="42"/>
  <c r="P33" i="42"/>
  <c r="W31" i="42"/>
  <c r="U31" i="42"/>
  <c r="R31" i="42"/>
  <c r="P31" i="42"/>
  <c r="Q31" i="42" s="1"/>
  <c r="K31" i="42"/>
  <c r="W30" i="42"/>
  <c r="U30" i="42"/>
  <c r="R30" i="42"/>
  <c r="P30" i="42"/>
  <c r="K30" i="42"/>
  <c r="W29" i="42"/>
  <c r="U29" i="42"/>
  <c r="R29" i="42"/>
  <c r="P29" i="42"/>
  <c r="K29" i="42"/>
  <c r="W28" i="42"/>
  <c r="U28" i="42"/>
  <c r="R28" i="42"/>
  <c r="P28" i="42"/>
  <c r="K28" i="42"/>
  <c r="W23" i="42"/>
  <c r="U23" i="42"/>
  <c r="R23" i="42"/>
  <c r="P23" i="42"/>
  <c r="K23" i="42"/>
  <c r="W22" i="42"/>
  <c r="U22" i="42"/>
  <c r="R22" i="42"/>
  <c r="P22" i="42"/>
  <c r="K22" i="42"/>
  <c r="W21" i="42"/>
  <c r="U21" i="42"/>
  <c r="R21" i="42"/>
  <c r="P21" i="42"/>
  <c r="K21" i="42"/>
  <c r="W20" i="42"/>
  <c r="U20" i="42"/>
  <c r="R20" i="42"/>
  <c r="P20" i="42"/>
  <c r="K20" i="42"/>
  <c r="W19" i="42"/>
  <c r="U19" i="42"/>
  <c r="R19" i="42"/>
  <c r="P19" i="42"/>
  <c r="K19" i="42"/>
  <c r="W18" i="42"/>
  <c r="U18" i="42"/>
  <c r="R18" i="42"/>
  <c r="P18" i="42"/>
  <c r="K18" i="42"/>
  <c r="W17" i="42"/>
  <c r="U17" i="42"/>
  <c r="R17" i="42"/>
  <c r="P17" i="42"/>
  <c r="K17" i="42"/>
  <c r="W16" i="42"/>
  <c r="U16" i="42"/>
  <c r="R16" i="42"/>
  <c r="P16" i="42"/>
  <c r="K16" i="42"/>
  <c r="W15" i="42"/>
  <c r="U15" i="42"/>
  <c r="R15" i="42"/>
  <c r="P15" i="42"/>
  <c r="K15" i="42"/>
  <c r="W14" i="42"/>
  <c r="U14" i="42"/>
  <c r="V14" i="42" s="1"/>
  <c r="R14" i="42"/>
  <c r="P14" i="42"/>
  <c r="K14" i="42"/>
  <c r="W13" i="42"/>
  <c r="U13" i="42"/>
  <c r="R13" i="42"/>
  <c r="P13" i="42"/>
  <c r="K13" i="42"/>
  <c r="W12" i="42"/>
  <c r="U12" i="42"/>
  <c r="R12" i="42"/>
  <c r="P12" i="42"/>
  <c r="K12" i="42"/>
  <c r="W11" i="42"/>
  <c r="U11" i="42"/>
  <c r="R11" i="42"/>
  <c r="P11" i="42"/>
  <c r="W10" i="42"/>
  <c r="U10" i="42"/>
  <c r="R10" i="42"/>
  <c r="P10" i="42"/>
  <c r="K10" i="42"/>
  <c r="W9" i="42"/>
  <c r="U9" i="42"/>
  <c r="V9" i="42" s="1"/>
  <c r="R9" i="42"/>
  <c r="P9" i="42"/>
  <c r="K9" i="42"/>
  <c r="W8" i="42"/>
  <c r="U8" i="42"/>
  <c r="R8" i="42"/>
  <c r="P8" i="42"/>
  <c r="K8" i="42"/>
  <c r="W7" i="42"/>
  <c r="U7" i="42"/>
  <c r="R7" i="42"/>
  <c r="P7" i="42"/>
  <c r="K7" i="42"/>
  <c r="R32" i="42" l="1"/>
  <c r="W25" i="42"/>
  <c r="V16" i="42"/>
  <c r="X16" i="42"/>
  <c r="G32" i="43"/>
  <c r="I32" i="43" s="1"/>
  <c r="I26" i="43"/>
  <c r="M26" i="43"/>
  <c r="S30" i="42"/>
  <c r="Q30" i="42"/>
  <c r="X39" i="42"/>
  <c r="V39" i="42"/>
  <c r="L10" i="42"/>
  <c r="S15" i="42"/>
  <c r="Q15" i="42"/>
  <c r="P26" i="42"/>
  <c r="Q19" i="42"/>
  <c r="S19" i="42"/>
  <c r="X36" i="42"/>
  <c r="V36" i="42"/>
  <c r="P12" i="43"/>
  <c r="R12" i="43" s="1"/>
  <c r="R8" i="43"/>
  <c r="V8" i="43"/>
  <c r="P28" i="43"/>
  <c r="R28" i="43" s="1"/>
  <c r="V22" i="43"/>
  <c r="X22" i="43" s="1"/>
  <c r="R22" i="43"/>
  <c r="S29" i="43"/>
  <c r="U29" i="43" s="1"/>
  <c r="U37" i="43"/>
  <c r="R39" i="43"/>
  <c r="P31" i="43"/>
  <c r="R31" i="43" s="1"/>
  <c r="V39" i="43"/>
  <c r="X39" i="43" s="1"/>
  <c r="S16" i="43"/>
  <c r="U16" i="43" s="1"/>
  <c r="U15" i="43"/>
  <c r="P19" i="43"/>
  <c r="L15" i="42"/>
  <c r="S11" i="42"/>
  <c r="P25" i="42"/>
  <c r="Q11" i="42"/>
  <c r="X33" i="42"/>
  <c r="V33" i="42"/>
  <c r="S27" i="43"/>
  <c r="U27" i="43" s="1"/>
  <c r="U35" i="43"/>
  <c r="U24" i="42"/>
  <c r="V7" i="42"/>
  <c r="X7" i="42"/>
  <c r="V11" i="42"/>
  <c r="U25" i="42"/>
  <c r="X11" i="42"/>
  <c r="R26" i="42"/>
  <c r="S23" i="42"/>
  <c r="Q23" i="42"/>
  <c r="Q28" i="42"/>
  <c r="S28" i="42"/>
  <c r="W41" i="42"/>
  <c r="V13" i="43"/>
  <c r="R13" i="43"/>
  <c r="P14" i="43"/>
  <c r="R14" i="43" s="1"/>
  <c r="R24" i="43"/>
  <c r="V24" i="43"/>
  <c r="X24" i="43" s="1"/>
  <c r="S33" i="42"/>
  <c r="P41" i="42"/>
  <c r="Q33" i="42"/>
  <c r="K26" i="42"/>
  <c r="L19" i="42"/>
  <c r="L28" i="42"/>
  <c r="R37" i="43"/>
  <c r="P29" i="43"/>
  <c r="R29" i="43" s="1"/>
  <c r="V37" i="43"/>
  <c r="X37" i="43" s="1"/>
  <c r="V30" i="42"/>
  <c r="X30" i="42"/>
  <c r="G18" i="43"/>
  <c r="R26" i="43"/>
  <c r="V26" i="43"/>
  <c r="X26" i="43" s="1"/>
  <c r="Y27" i="43"/>
  <c r="AA27" i="43" s="1"/>
  <c r="Y41" i="43"/>
  <c r="Y42" i="43" s="1"/>
  <c r="S41" i="43"/>
  <c r="S31" i="43"/>
  <c r="U31" i="43" s="1"/>
  <c r="U39" i="43"/>
  <c r="Q10" i="42"/>
  <c r="S10" i="42"/>
  <c r="X15" i="42"/>
  <c r="V15" i="42"/>
  <c r="V19" i="42"/>
  <c r="X19" i="42"/>
  <c r="L22" i="42"/>
  <c r="U13" i="43"/>
  <c r="S17" i="43"/>
  <c r="U17" i="43" s="1"/>
  <c r="M39" i="43"/>
  <c r="G31" i="43"/>
  <c r="I31" i="43" s="1"/>
  <c r="I39" i="43"/>
  <c r="I8" i="43"/>
  <c r="M8" i="43"/>
  <c r="G12" i="43"/>
  <c r="L8" i="43"/>
  <c r="J12" i="43"/>
  <c r="J9" i="43"/>
  <c r="L9" i="43" s="1"/>
  <c r="S14" i="43"/>
  <c r="U14" i="43" s="1"/>
  <c r="U8" i="43"/>
  <c r="S12" i="43"/>
  <c r="S11" i="43" s="1"/>
  <c r="U11" i="43" s="1"/>
  <c r="Y29" i="43"/>
  <c r="AA29" i="43" s="1"/>
  <c r="R24" i="42"/>
  <c r="W26" i="42"/>
  <c r="V23" i="42"/>
  <c r="X23" i="42"/>
  <c r="V28" i="42"/>
  <c r="X28" i="42"/>
  <c r="Q34" i="42"/>
  <c r="S34" i="42"/>
  <c r="AA8" i="43"/>
  <c r="Y12" i="43"/>
  <c r="Y9" i="43"/>
  <c r="AA9" i="43" s="1"/>
  <c r="L18" i="43"/>
  <c r="J20" i="43"/>
  <c r="L20" i="43" s="1"/>
  <c r="M36" i="43"/>
  <c r="G28" i="43"/>
  <c r="I28" i="43" s="1"/>
  <c r="I36" i="43"/>
  <c r="M38" i="43"/>
  <c r="I38" i="43"/>
  <c r="G30" i="43"/>
  <c r="I30" i="43" s="1"/>
  <c r="Y31" i="43"/>
  <c r="AA31" i="43" s="1"/>
  <c r="L9" i="42"/>
  <c r="S14" i="42"/>
  <c r="Q14" i="42"/>
  <c r="S18" i="42"/>
  <c r="Q18" i="42"/>
  <c r="L31" i="42"/>
  <c r="R41" i="42"/>
  <c r="U41" i="42"/>
  <c r="X37" i="42"/>
  <c r="V37" i="42"/>
  <c r="Y14" i="43"/>
  <c r="AA14" i="43" s="1"/>
  <c r="AA13" i="43"/>
  <c r="Y17" i="43"/>
  <c r="AA17" i="43" s="1"/>
  <c r="M21" i="43"/>
  <c r="I21" i="43"/>
  <c r="V8" i="42"/>
  <c r="X8" i="42"/>
  <c r="L37" i="43"/>
  <c r="J29" i="43"/>
  <c r="L29" i="43" s="1"/>
  <c r="U26" i="42"/>
  <c r="V20" i="42"/>
  <c r="X20" i="42"/>
  <c r="V10" i="42"/>
  <c r="X10" i="42"/>
  <c r="Q22" i="42"/>
  <c r="S22" i="42"/>
  <c r="I10" i="43"/>
  <c r="M10" i="43"/>
  <c r="R18" i="43"/>
  <c r="V18" i="43"/>
  <c r="I23" i="43"/>
  <c r="M23" i="43"/>
  <c r="L36" i="43"/>
  <c r="J28" i="43"/>
  <c r="L28" i="43" s="1"/>
  <c r="J30" i="43"/>
  <c r="L30" i="43" s="1"/>
  <c r="L38" i="43"/>
  <c r="V12" i="42"/>
  <c r="X12" i="42"/>
  <c r="Q7" i="42"/>
  <c r="S7" i="42"/>
  <c r="P24" i="42"/>
  <c r="W24" i="42"/>
  <c r="L13" i="42"/>
  <c r="L17" i="42"/>
  <c r="L21" i="42"/>
  <c r="K32" i="42"/>
  <c r="L29" i="42"/>
  <c r="V34" i="42"/>
  <c r="X34" i="42"/>
  <c r="M25" i="43"/>
  <c r="I25" i="43"/>
  <c r="K24" i="42"/>
  <c r="L7" i="42"/>
  <c r="M24" i="43"/>
  <c r="I24" i="43"/>
  <c r="R25" i="42"/>
  <c r="J16" i="43"/>
  <c r="L16" i="43" s="1"/>
  <c r="L10" i="43"/>
  <c r="U18" i="43"/>
  <c r="S20" i="43"/>
  <c r="U20" i="43" s="1"/>
  <c r="V36" i="43"/>
  <c r="X36" i="43" s="1"/>
  <c r="R36" i="43"/>
  <c r="M40" i="43"/>
  <c r="J32" i="43"/>
  <c r="L32" i="43" s="1"/>
  <c r="L40" i="43"/>
  <c r="I22" i="43"/>
  <c r="M22" i="43"/>
  <c r="L39" i="43"/>
  <c r="J31" i="43"/>
  <c r="L31" i="43" s="1"/>
  <c r="L14" i="42"/>
  <c r="V18" i="42"/>
  <c r="X18" i="42"/>
  <c r="X14" i="42"/>
  <c r="X22" i="42"/>
  <c r="V22" i="42"/>
  <c r="S31" i="42"/>
  <c r="G16" i="43"/>
  <c r="I16" i="43" s="1"/>
  <c r="I15" i="43"/>
  <c r="M15" i="43"/>
  <c r="P41" i="43"/>
  <c r="P30" i="43"/>
  <c r="R30" i="43" s="1"/>
  <c r="V38" i="43"/>
  <c r="X38" i="43" s="1"/>
  <c r="R38" i="43"/>
  <c r="S16" i="42"/>
  <c r="Q16" i="42"/>
  <c r="S39" i="42"/>
  <c r="Q39" i="42"/>
  <c r="L23" i="42"/>
  <c r="S9" i="42"/>
  <c r="Q9" i="42"/>
  <c r="L8" i="42"/>
  <c r="S13" i="42"/>
  <c r="Q13" i="42"/>
  <c r="S17" i="42"/>
  <c r="Q17" i="42"/>
  <c r="S21" i="42"/>
  <c r="Q21" i="42"/>
  <c r="S29" i="42"/>
  <c r="Q29" i="42"/>
  <c r="P32" i="42"/>
  <c r="R10" i="43"/>
  <c r="V10" i="43"/>
  <c r="AA18" i="43"/>
  <c r="Y20" i="43"/>
  <c r="AA20" i="43" s="1"/>
  <c r="P27" i="43"/>
  <c r="R27" i="43" s="1"/>
  <c r="R21" i="43"/>
  <c r="V21" i="43"/>
  <c r="X21" i="43" s="1"/>
  <c r="R23" i="43"/>
  <c r="V23" i="43"/>
  <c r="X23" i="43" s="1"/>
  <c r="S28" i="43"/>
  <c r="U28" i="43" s="1"/>
  <c r="U36" i="43"/>
  <c r="V40" i="43"/>
  <c r="X40" i="43" s="1"/>
  <c r="P32" i="43"/>
  <c r="R32" i="43" s="1"/>
  <c r="R40" i="43"/>
  <c r="K11" i="42"/>
  <c r="G14" i="43"/>
  <c r="I14" i="43" s="1"/>
  <c r="G17" i="43"/>
  <c r="I17" i="43" s="1"/>
  <c r="I13" i="43"/>
  <c r="Y16" i="43"/>
  <c r="AA16" i="43" s="1"/>
  <c r="AA15" i="43"/>
  <c r="V31" i="42"/>
  <c r="X31" i="42"/>
  <c r="V38" i="42"/>
  <c r="X38" i="42"/>
  <c r="U38" i="43"/>
  <c r="S30" i="43"/>
  <c r="U30" i="43" s="1"/>
  <c r="J13" i="43"/>
  <c r="L18" i="42"/>
  <c r="L16" i="42"/>
  <c r="L20" i="42"/>
  <c r="U10" i="43"/>
  <c r="M19" i="43"/>
  <c r="I19" i="43"/>
  <c r="V25" i="43"/>
  <c r="X25" i="43" s="1"/>
  <c r="R25" i="43"/>
  <c r="Y28" i="43"/>
  <c r="AA28" i="43" s="1"/>
  <c r="U40" i="43"/>
  <c r="S32" i="43"/>
  <c r="U32" i="43" s="1"/>
  <c r="J27" i="43"/>
  <c r="L27" i="43" s="1"/>
  <c r="L35" i="43"/>
  <c r="J41" i="43"/>
  <c r="L12" i="42"/>
  <c r="Q8" i="42"/>
  <c r="S8" i="42"/>
  <c r="X17" i="42"/>
  <c r="V17" i="42"/>
  <c r="V21" i="42"/>
  <c r="X21" i="42"/>
  <c r="U32" i="42"/>
  <c r="V29" i="42"/>
  <c r="X29" i="42"/>
  <c r="P15" i="43"/>
  <c r="P17" i="43" s="1"/>
  <c r="R17" i="43" s="1"/>
  <c r="I35" i="43"/>
  <c r="M35" i="43"/>
  <c r="G27" i="43"/>
  <c r="I27" i="43" s="1"/>
  <c r="G41" i="43"/>
  <c r="Y30" i="43"/>
  <c r="AA30" i="43" s="1"/>
  <c r="S20" i="42"/>
  <c r="Q20" i="42"/>
  <c r="L30" i="42"/>
  <c r="R35" i="43"/>
  <c r="V35" i="43"/>
  <c r="X35" i="43" s="1"/>
  <c r="X9" i="42"/>
  <c r="V13" i="42"/>
  <c r="X13" i="42"/>
  <c r="Q12" i="42"/>
  <c r="S12" i="42"/>
  <c r="W32" i="42"/>
  <c r="V35" i="42"/>
  <c r="X35" i="42"/>
  <c r="G29" i="43"/>
  <c r="I29" i="43" s="1"/>
  <c r="M37" i="43"/>
  <c r="I37" i="43"/>
  <c r="Y32" i="43"/>
  <c r="AA32" i="43" s="1"/>
  <c r="W27" i="42" l="1"/>
  <c r="O39" i="43"/>
  <c r="AB39" i="43"/>
  <c r="P20" i="43"/>
  <c r="R20" i="43" s="1"/>
  <c r="V19" i="43"/>
  <c r="X19" i="43" s="1"/>
  <c r="R19" i="43"/>
  <c r="AB10" i="43"/>
  <c r="O10" i="43"/>
  <c r="X13" i="43"/>
  <c r="V14" i="43"/>
  <c r="X14" i="43" s="1"/>
  <c r="Q26" i="42"/>
  <c r="S26" i="42"/>
  <c r="V32" i="42"/>
  <c r="X32" i="42"/>
  <c r="G11" i="43"/>
  <c r="I11" i="43" s="1"/>
  <c r="I12" i="43"/>
  <c r="I18" i="43"/>
  <c r="G20" i="43"/>
  <c r="I20" i="43" s="1"/>
  <c r="M18" i="43"/>
  <c r="J17" i="43"/>
  <c r="L17" i="43" s="1"/>
  <c r="J14" i="43"/>
  <c r="L14" i="43" s="1"/>
  <c r="L13" i="43"/>
  <c r="W43" i="42"/>
  <c r="W47" i="42" s="1"/>
  <c r="L11" i="42"/>
  <c r="K25" i="42"/>
  <c r="L41" i="43"/>
  <c r="J42" i="43"/>
  <c r="S24" i="42"/>
  <c r="P27" i="42"/>
  <c r="Q24" i="42"/>
  <c r="Q25" i="42"/>
  <c r="S25" i="42"/>
  <c r="O24" i="43"/>
  <c r="AB24" i="43"/>
  <c r="AD24" i="43" s="1"/>
  <c r="X26" i="42"/>
  <c r="V26" i="42"/>
  <c r="X18" i="43"/>
  <c r="V20" i="43"/>
  <c r="X20" i="43" s="1"/>
  <c r="R27" i="42"/>
  <c r="R43" i="42" s="1"/>
  <c r="R47" i="42" s="1"/>
  <c r="V25" i="42"/>
  <c r="X25" i="42"/>
  <c r="L32" i="42"/>
  <c r="G42" i="43"/>
  <c r="I41" i="43"/>
  <c r="M41" i="43"/>
  <c r="S9" i="43"/>
  <c r="U9" i="43" s="1"/>
  <c r="U12" i="43"/>
  <c r="X41" i="42"/>
  <c r="V41" i="42"/>
  <c r="O37" i="43"/>
  <c r="AB37" i="43"/>
  <c r="AB35" i="43"/>
  <c r="O35" i="43"/>
  <c r="L24" i="42"/>
  <c r="L26" i="42"/>
  <c r="Y11" i="43"/>
  <c r="AA11" i="43" s="1"/>
  <c r="AA12" i="43"/>
  <c r="O22" i="43"/>
  <c r="AB22" i="43"/>
  <c r="AD22" i="43" s="1"/>
  <c r="AB38" i="43"/>
  <c r="O38" i="43"/>
  <c r="X24" i="42"/>
  <c r="U27" i="42"/>
  <c r="V24" i="42"/>
  <c r="O26" i="43"/>
  <c r="AB26" i="43"/>
  <c r="AD26" i="43" s="1"/>
  <c r="P16" i="43"/>
  <c r="R16" i="43" s="1"/>
  <c r="V15" i="43"/>
  <c r="R15" i="43"/>
  <c r="X10" i="43"/>
  <c r="O25" i="43"/>
  <c r="AB25" i="43"/>
  <c r="AD25" i="43" s="1"/>
  <c r="O21" i="43"/>
  <c r="AB21" i="43"/>
  <c r="AD21" i="43" s="1"/>
  <c r="S41" i="42"/>
  <c r="Q41" i="42"/>
  <c r="M16" i="43"/>
  <c r="O16" i="43" s="1"/>
  <c r="O15" i="43"/>
  <c r="P11" i="43"/>
  <c r="R11" i="43" s="1"/>
  <c r="J11" i="43"/>
  <c r="L11" i="43" s="1"/>
  <c r="L12" i="43"/>
  <c r="R41" i="43"/>
  <c r="P42" i="43"/>
  <c r="V41" i="43"/>
  <c r="AB19" i="43"/>
  <c r="AD19" i="43" s="1"/>
  <c r="O19" i="43"/>
  <c r="M13" i="43"/>
  <c r="O23" i="43"/>
  <c r="AB23" i="43"/>
  <c r="AD23" i="43" s="1"/>
  <c r="AB36" i="43"/>
  <c r="O36" i="43"/>
  <c r="U41" i="43"/>
  <c r="S42" i="43"/>
  <c r="V12" i="43"/>
  <c r="X12" i="43" s="1"/>
  <c r="X8" i="43"/>
  <c r="V9" i="43"/>
  <c r="X9" i="43" s="1"/>
  <c r="O8" i="43"/>
  <c r="AB8" i="43"/>
  <c r="M12" i="43"/>
  <c r="O12" i="43" s="1"/>
  <c r="Q32" i="42"/>
  <c r="S32" i="42"/>
  <c r="AB40" i="43"/>
  <c r="O40" i="43"/>
  <c r="G9" i="43"/>
  <c r="I9" i="43" s="1"/>
  <c r="P9" i="43"/>
  <c r="R9" i="43" s="1"/>
  <c r="AD40" i="43" l="1"/>
  <c r="AB32" i="43"/>
  <c r="AD32" i="43" s="1"/>
  <c r="M9" i="43"/>
  <c r="O9" i="43" s="1"/>
  <c r="X27" i="42"/>
  <c r="V27" i="42"/>
  <c r="U43" i="42"/>
  <c r="Q27" i="42"/>
  <c r="S27" i="42"/>
  <c r="P43" i="42"/>
  <c r="V16" i="43"/>
  <c r="X16" i="43" s="1"/>
  <c r="X15" i="43"/>
  <c r="AB15" i="43"/>
  <c r="AD38" i="43"/>
  <c r="AB30" i="43"/>
  <c r="AD30" i="43" s="1"/>
  <c r="V17" i="43"/>
  <c r="X17" i="43" s="1"/>
  <c r="L25" i="42"/>
  <c r="M11" i="43"/>
  <c r="O11" i="43" s="1"/>
  <c r="AB29" i="43"/>
  <c r="AD29" i="43" s="1"/>
  <c r="AD37" i="43"/>
  <c r="AD10" i="43"/>
  <c r="AD35" i="43"/>
  <c r="AB27" i="43"/>
  <c r="AD27" i="43" s="1"/>
  <c r="X41" i="43"/>
  <c r="V42" i="43"/>
  <c r="AB41" i="43"/>
  <c r="M42" i="43"/>
  <c r="O41" i="43"/>
  <c r="AB28" i="43"/>
  <c r="AD28" i="43" s="1"/>
  <c r="AD36" i="43"/>
  <c r="AD8" i="43"/>
  <c r="AB12" i="43"/>
  <c r="AB9" i="43" s="1"/>
  <c r="AD9" i="43" s="1"/>
  <c r="V11" i="43"/>
  <c r="X11" i="43" s="1"/>
  <c r="K27" i="42"/>
  <c r="O18" i="43"/>
  <c r="AB18" i="43"/>
  <c r="M20" i="43"/>
  <c r="O20" i="43" s="1"/>
  <c r="AB31" i="43"/>
  <c r="AD31" i="43" s="1"/>
  <c r="AD39" i="43"/>
  <c r="M17" i="43"/>
  <c r="O17" i="43" s="1"/>
  <c r="AB13" i="43"/>
  <c r="O13" i="43"/>
  <c r="M14" i="43"/>
  <c r="O14" i="43" s="1"/>
  <c r="AD18" i="43" l="1"/>
  <c r="AB20" i="43"/>
  <c r="AD12" i="43"/>
  <c r="AF13" i="43"/>
  <c r="L27" i="42"/>
  <c r="G27" i="42"/>
  <c r="K47" i="42"/>
  <c r="G43" i="42"/>
  <c r="S43" i="42"/>
  <c r="Q43" i="42"/>
  <c r="P47" i="42"/>
  <c r="AB42" i="43"/>
  <c r="AD41" i="43"/>
  <c r="AD13" i="43"/>
  <c r="AB14" i="43"/>
  <c r="AD14" i="43" s="1"/>
  <c r="AB17" i="43"/>
  <c r="G44" i="42"/>
  <c r="X43" i="42"/>
  <c r="U44" i="42"/>
  <c r="V43" i="42"/>
  <c r="U47" i="42"/>
  <c r="AB11" i="43"/>
  <c r="AD11" i="43" s="1"/>
  <c r="AB16" i="43"/>
  <c r="AD16" i="43" s="1"/>
  <c r="AD15" i="43"/>
  <c r="AD17" i="43" l="1"/>
  <c r="AF18" i="43"/>
  <c r="AD20" i="43"/>
  <c r="AF21" i="43"/>
  <c r="AF22" i="43"/>
  <c r="N36" i="29" l="1"/>
  <c r="N25" i="29" l="1"/>
  <c r="O25" i="29" s="1"/>
  <c r="N24" i="29"/>
  <c r="N16" i="29"/>
  <c r="O16" i="29" s="1"/>
  <c r="N15" i="29"/>
  <c r="N13" i="29"/>
  <c r="N12" i="29"/>
  <c r="N10" i="29"/>
  <c r="O10" i="29" s="1"/>
  <c r="K16" i="29"/>
  <c r="M16" i="29" s="1"/>
  <c r="K15" i="29"/>
  <c r="K13" i="29"/>
  <c r="K12" i="29"/>
  <c r="K10" i="29"/>
  <c r="M10" i="29" s="1"/>
  <c r="K20" i="29" l="1"/>
  <c r="M13" i="29"/>
  <c r="M15" i="29"/>
  <c r="K17" i="29"/>
  <c r="M17" i="29" s="1"/>
  <c r="N11" i="29"/>
  <c r="O11" i="29" s="1"/>
  <c r="N18" i="29"/>
  <c r="N14" i="29"/>
  <c r="O12" i="29"/>
  <c r="O13" i="29"/>
  <c r="N20" i="29"/>
  <c r="O15" i="29"/>
  <c r="N17" i="29"/>
  <c r="O17" i="29" s="1"/>
  <c r="O24" i="29"/>
  <c r="N26" i="29"/>
  <c r="O26" i="29" s="1"/>
  <c r="K14" i="29"/>
  <c r="M12" i="29"/>
  <c r="K11" i="29"/>
  <c r="M11" i="29" s="1"/>
  <c r="K18" i="29"/>
  <c r="K25" i="29"/>
  <c r="M25" i="29" s="1"/>
  <c r="K24" i="29"/>
  <c r="K19" i="29" l="1"/>
  <c r="M19" i="29" s="1"/>
  <c r="M18" i="29"/>
  <c r="K26" i="29"/>
  <c r="M26" i="29" s="1"/>
  <c r="M24" i="29"/>
  <c r="N21" i="29"/>
  <c r="O21" i="29" s="1"/>
  <c r="O20" i="29"/>
  <c r="N22" i="29"/>
  <c r="O14" i="29"/>
  <c r="M14" i="29"/>
  <c r="K22" i="29"/>
  <c r="N19" i="29"/>
  <c r="O19" i="29" s="1"/>
  <c r="O18" i="29"/>
  <c r="K21" i="29"/>
  <c r="M21" i="29" s="1"/>
  <c r="M20" i="29"/>
  <c r="K27" i="29" l="1"/>
  <c r="K23" i="29"/>
  <c r="M23" i="29" s="1"/>
  <c r="M22" i="29"/>
  <c r="N23" i="29"/>
  <c r="O23" i="29" s="1"/>
  <c r="N27" i="29"/>
  <c r="O22" i="29"/>
  <c r="N28" i="29" l="1"/>
  <c r="O28" i="29" s="1"/>
  <c r="N37" i="29"/>
  <c r="N38" i="29"/>
  <c r="O27" i="29"/>
  <c r="K37" i="29"/>
  <c r="K38" i="29"/>
  <c r="K28" i="29"/>
  <c r="M28" i="29" s="1"/>
  <c r="M27" i="29"/>
  <c r="M10" i="1" l="1"/>
  <c r="M12" i="1"/>
  <c r="AJ12" i="1" s="1"/>
  <c r="M11" i="1"/>
  <c r="AJ11" i="1" s="1"/>
  <c r="AJ10" i="1" l="1"/>
  <c r="M13" i="1" l="1"/>
  <c r="AJ13" i="1" l="1"/>
  <c r="AJ14" i="1" s="1"/>
  <c r="M14" i="1"/>
  <c r="M16" i="1" l="1"/>
  <c r="M21" i="1" s="1"/>
  <c r="M15" i="1" l="1"/>
  <c r="M17" i="1"/>
  <c r="M22" i="1" s="1"/>
  <c r="M20" i="1" l="1"/>
  <c r="M18" i="1" l="1"/>
  <c r="M23" i="1" l="1"/>
  <c r="M19" i="1"/>
  <c r="M24" i="1" l="1"/>
  <c r="M27" i="1" l="1"/>
  <c r="M33" i="1" s="1"/>
  <c r="AJ18" i="1" s="1"/>
  <c r="M26" i="1" l="1"/>
  <c r="M32" i="1" s="1"/>
  <c r="AJ17" i="1" s="1"/>
  <c r="M25" i="1" l="1"/>
  <c r="M30" i="1" l="1"/>
  <c r="AJ15" i="1" l="1"/>
  <c r="M31" i="1"/>
  <c r="AJ16" i="1" s="1"/>
  <c r="M28" i="1"/>
  <c r="M34" i="1" l="1"/>
  <c r="M29" i="1"/>
  <c r="AJ19" i="1" l="1"/>
  <c r="AJ20" i="1" s="1"/>
  <c r="M35" i="1"/>
  <c r="M36" i="1" l="1"/>
  <c r="AJ21" i="1" s="1"/>
  <c r="M38" i="1" l="1"/>
  <c r="M40" i="1" l="1"/>
  <c r="M39" i="1"/>
  <c r="AG17" i="43" l="1"/>
  <c r="AG18" i="43" s="1"/>
  <c r="K11" i="1" l="1"/>
  <c r="K12" i="1"/>
  <c r="K10" i="1"/>
  <c r="AH10" i="1" l="1"/>
  <c r="L10" i="1"/>
  <c r="N10" i="1"/>
  <c r="AH11" i="1"/>
  <c r="N11" i="1"/>
  <c r="L11" i="1"/>
  <c r="AH12" i="1"/>
  <c r="N12" i="1"/>
  <c r="L12" i="1"/>
  <c r="AI12" i="1" l="1"/>
  <c r="AK12" i="1"/>
  <c r="AI11" i="1"/>
  <c r="AK11" i="1"/>
  <c r="AI10" i="1"/>
  <c r="AK10" i="1"/>
  <c r="K13" i="1" l="1"/>
  <c r="N13" i="1" l="1"/>
  <c r="AH13" i="1"/>
  <c r="L13" i="1"/>
  <c r="K14" i="1"/>
  <c r="L14" i="1" l="1"/>
  <c r="N14" i="1"/>
  <c r="AI13" i="1"/>
  <c r="AK13" i="1"/>
  <c r="AH14" i="1"/>
  <c r="AI14" i="1" l="1"/>
  <c r="AK14" i="1"/>
  <c r="K16" i="1" l="1"/>
  <c r="N16" i="1" l="1"/>
  <c r="L16" i="1"/>
  <c r="K21" i="1"/>
  <c r="K15" i="1"/>
  <c r="K17" i="1"/>
  <c r="L17" i="1" l="1"/>
  <c r="N17" i="1"/>
  <c r="K22" i="1"/>
  <c r="L15" i="1"/>
  <c r="N15" i="1"/>
  <c r="K20" i="1"/>
  <c r="L21" i="1"/>
  <c r="N21" i="1"/>
  <c r="N20" i="1" l="1"/>
  <c r="L20" i="1"/>
  <c r="N22" i="1"/>
  <c r="L22" i="1"/>
  <c r="K18" i="1"/>
  <c r="L18" i="1" l="1"/>
  <c r="N18" i="1"/>
  <c r="K23" i="1"/>
  <c r="K19" i="1"/>
  <c r="L19" i="1" l="1"/>
  <c r="N19" i="1"/>
  <c r="L23" i="1"/>
  <c r="N23" i="1"/>
  <c r="K24" i="1"/>
  <c r="L24" i="1" l="1"/>
  <c r="N24" i="1"/>
  <c r="K26" i="1" l="1"/>
  <c r="N26" i="1" l="1"/>
  <c r="L26" i="1"/>
  <c r="K32" i="1"/>
  <c r="AH17" i="1" l="1"/>
  <c r="L32" i="1"/>
  <c r="N32" i="1"/>
  <c r="AI17" i="1" l="1"/>
  <c r="AK17" i="1"/>
  <c r="K25" i="1" l="1"/>
  <c r="L25" i="1" l="1"/>
  <c r="N25" i="1"/>
  <c r="K30" i="1"/>
  <c r="AH15" i="1" l="1"/>
  <c r="K31" i="1"/>
  <c r="L30" i="1"/>
  <c r="N30" i="1"/>
  <c r="AH16" i="1" l="1"/>
  <c r="L31" i="1"/>
  <c r="N31" i="1"/>
  <c r="AK15" i="1"/>
  <c r="AI15" i="1"/>
  <c r="AK16" i="1" l="1"/>
  <c r="AI16" i="1"/>
  <c r="K27" i="1" l="1"/>
  <c r="N27" i="1" l="1"/>
  <c r="L27" i="1"/>
  <c r="K33" i="1"/>
  <c r="AG20" i="43"/>
  <c r="AG22" i="43" l="1"/>
  <c r="AG21" i="43"/>
  <c r="AH18" i="1"/>
  <c r="L33" i="1"/>
  <c r="N33" i="1"/>
  <c r="AI18" i="1" l="1"/>
  <c r="AK18" i="1"/>
  <c r="K28" i="1" l="1"/>
  <c r="L28" i="1" l="1"/>
  <c r="N28" i="1"/>
  <c r="K34" i="1"/>
  <c r="K29" i="1"/>
  <c r="K38" i="1"/>
  <c r="N29" i="1" l="1"/>
  <c r="L29" i="1"/>
  <c r="AH19" i="1"/>
  <c r="L34" i="1"/>
  <c r="N34" i="1"/>
  <c r="K35" i="1"/>
  <c r="N35" i="1" l="1"/>
  <c r="K39" i="1"/>
  <c r="K36" i="1"/>
  <c r="L35" i="1"/>
  <c r="K40" i="1"/>
  <c r="AK19" i="1"/>
  <c r="AI19" i="1"/>
  <c r="AH20" i="1"/>
  <c r="N36" i="1" l="1"/>
  <c r="AK21" i="1" s="1"/>
  <c r="L36" i="1"/>
  <c r="AI21" i="1" s="1"/>
  <c r="AH21" i="1"/>
  <c r="AI20" i="1"/>
  <c r="AK20" i="1"/>
  <c r="K8" i="1" l="1"/>
  <c r="AH8" i="1" l="1"/>
  <c r="L8" i="1"/>
  <c r="AI8" i="1" l="1"/>
  <c r="AG12" i="43" l="1"/>
  <c r="AG13" i="43" s="1"/>
  <c r="K7" i="1" l="1"/>
  <c r="K9" i="1"/>
  <c r="AH9" i="1" l="1"/>
  <c r="L9" i="1"/>
  <c r="AH7" i="1"/>
  <c r="L7" i="1"/>
  <c r="AI7" i="1" l="1"/>
  <c r="AI9" i="1"/>
  <c r="M28" i="2" l="1"/>
  <c r="H8" i="1"/>
  <c r="AE8" i="1" l="1"/>
  <c r="AF8" i="1" s="1"/>
  <c r="I8" i="1"/>
  <c r="M8" i="1"/>
  <c r="N28" i="2"/>
  <c r="M28" i="42"/>
  <c r="N28" i="42" s="1"/>
  <c r="AJ8" i="1" l="1"/>
  <c r="AK8" i="1" s="1"/>
  <c r="N8" i="1"/>
  <c r="M31" i="2" l="1"/>
  <c r="M16" i="2"/>
  <c r="M12" i="2"/>
  <c r="M8" i="2"/>
  <c r="M17" i="2"/>
  <c r="M30" i="2"/>
  <c r="M23" i="2"/>
  <c r="M19" i="2"/>
  <c r="M15" i="2"/>
  <c r="M18" i="2"/>
  <c r="M10" i="2"/>
  <c r="M13" i="2"/>
  <c r="M9" i="2"/>
  <c r="M20" i="2"/>
  <c r="M14" i="2"/>
  <c r="M21" i="2"/>
  <c r="N10" i="2" l="1"/>
  <c r="M10" i="42"/>
  <c r="N10" i="42" s="1"/>
  <c r="N18" i="2"/>
  <c r="M18" i="42"/>
  <c r="N18" i="42" s="1"/>
  <c r="N8" i="2"/>
  <c r="M8" i="42"/>
  <c r="N8" i="42" s="1"/>
  <c r="N16" i="2"/>
  <c r="M16" i="42"/>
  <c r="N16" i="42" s="1"/>
  <c r="N31" i="2"/>
  <c r="M31" i="42"/>
  <c r="N31" i="42" s="1"/>
  <c r="N15" i="2"/>
  <c r="M15" i="42"/>
  <c r="N15" i="42" s="1"/>
  <c r="N19" i="2"/>
  <c r="M19" i="42"/>
  <c r="N21" i="2"/>
  <c r="M21" i="42"/>
  <c r="N21" i="42" s="1"/>
  <c r="N23" i="2"/>
  <c r="M23" i="42"/>
  <c r="N23" i="42" s="1"/>
  <c r="N30" i="2"/>
  <c r="M30" i="42"/>
  <c r="N30" i="42" s="1"/>
  <c r="N14" i="2"/>
  <c r="M14" i="42"/>
  <c r="N14" i="42" s="1"/>
  <c r="N20" i="2"/>
  <c r="M20" i="42"/>
  <c r="N20" i="42" s="1"/>
  <c r="N17" i="2"/>
  <c r="M17" i="42"/>
  <c r="N17" i="42" s="1"/>
  <c r="N9" i="2"/>
  <c r="M9" i="42"/>
  <c r="N9" i="42" s="1"/>
  <c r="N12" i="2"/>
  <c r="M12" i="42"/>
  <c r="N12" i="42" s="1"/>
  <c r="N13" i="2"/>
  <c r="M13" i="42"/>
  <c r="N13" i="42" s="1"/>
  <c r="M7" i="2"/>
  <c r="M22" i="2"/>
  <c r="M29" i="2"/>
  <c r="M11" i="2"/>
  <c r="M26" i="2" l="1"/>
  <c r="N26" i="2" s="1"/>
  <c r="N19" i="42"/>
  <c r="M24" i="2"/>
  <c r="N7" i="2"/>
  <c r="M7" i="42"/>
  <c r="N22" i="2"/>
  <c r="M22" i="42"/>
  <c r="N22" i="42" s="1"/>
  <c r="M25" i="2"/>
  <c r="N25" i="2" s="1"/>
  <c r="N11" i="2"/>
  <c r="M11" i="42"/>
  <c r="M32" i="2"/>
  <c r="N32" i="2" s="1"/>
  <c r="N29" i="2"/>
  <c r="M29" i="42"/>
  <c r="H9" i="1"/>
  <c r="AE9" i="1" l="1"/>
  <c r="AF9" i="1" s="1"/>
  <c r="I9" i="1"/>
  <c r="M9" i="1"/>
  <c r="M25" i="42"/>
  <c r="N25" i="42" s="1"/>
  <c r="N11" i="42"/>
  <c r="M46" i="2"/>
  <c r="H7" i="1"/>
  <c r="M24" i="42"/>
  <c r="N7" i="42"/>
  <c r="M27" i="2"/>
  <c r="N27" i="2" s="1"/>
  <c r="N24" i="2"/>
  <c r="M32" i="42"/>
  <c r="N32" i="42" s="1"/>
  <c r="N29" i="42"/>
  <c r="M26" i="42"/>
  <c r="N26" i="42" s="1"/>
  <c r="M27" i="42" l="1"/>
  <c r="N24" i="42"/>
  <c r="AE7" i="1"/>
  <c r="AF7" i="1" s="1"/>
  <c r="I7" i="1"/>
  <c r="M7" i="1"/>
  <c r="M47" i="2"/>
  <c r="M46" i="42"/>
  <c r="AJ9" i="1"/>
  <c r="AK9" i="1" s="1"/>
  <c r="N9" i="1"/>
  <c r="AJ7" i="1" l="1"/>
  <c r="AK7" i="1" s="1"/>
  <c r="N7" i="1"/>
  <c r="M47" i="42"/>
  <c r="N27" i="42"/>
</calcChain>
</file>

<file path=xl/sharedStrings.xml><?xml version="1.0" encoding="utf-8"?>
<sst xmlns="http://schemas.openxmlformats.org/spreadsheetml/2006/main" count="749" uniqueCount="229">
  <si>
    <t>물량</t>
    <phoneticPr fontId="1" type="noConversion"/>
  </si>
  <si>
    <t>골재</t>
    <phoneticPr fontId="1" type="noConversion"/>
  </si>
  <si>
    <t>매출</t>
    <phoneticPr fontId="1" type="noConversion"/>
  </si>
  <si>
    <t>건자재</t>
    <phoneticPr fontId="1" type="noConversion"/>
  </si>
  <si>
    <t>기타</t>
    <phoneticPr fontId="1" type="noConversion"/>
  </si>
  <si>
    <t>매출원가</t>
    <phoneticPr fontId="1" type="noConversion"/>
  </si>
  <si>
    <t>판관비</t>
    <phoneticPr fontId="1" type="noConversion"/>
  </si>
  <si>
    <t>영업이익</t>
    <phoneticPr fontId="1" type="noConversion"/>
  </si>
  <si>
    <t>계</t>
    <phoneticPr fontId="1" type="noConversion"/>
  </si>
  <si>
    <t>%</t>
  </si>
  <si>
    <t>%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</si>
  <si>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</si>
  <si>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</si>
  <si>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</si>
  <si>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전년</t>
    <phoneticPr fontId="1" type="noConversion"/>
  </si>
  <si>
    <t>계획</t>
  </si>
  <si>
    <t>실적</t>
  </si>
  <si>
    <t>전년</t>
  </si>
  <si>
    <t>매출이익</t>
    <phoneticPr fontId="1" type="noConversion"/>
  </si>
  <si>
    <t>수도권</t>
  </si>
  <si>
    <t>영남권</t>
  </si>
  <si>
    <t>판매단가</t>
    <phoneticPr fontId="1" type="noConversion"/>
  </si>
  <si>
    <t>안양</t>
  </si>
  <si>
    <t>인천</t>
  </si>
  <si>
    <t>파주</t>
  </si>
  <si>
    <t>부산</t>
  </si>
  <si>
    <t>서부산</t>
  </si>
  <si>
    <t>김해</t>
  </si>
  <si>
    <t>정관</t>
  </si>
  <si>
    <t>양산</t>
  </si>
  <si>
    <t>창원</t>
  </si>
  <si>
    <t>아산</t>
  </si>
  <si>
    <t>원주</t>
  </si>
  <si>
    <t>군산</t>
  </si>
  <si>
    <t>전주</t>
  </si>
  <si>
    <t>제주</t>
  </si>
  <si>
    <t>차이</t>
  </si>
  <si>
    <t>차이</t>
    <phoneticPr fontId="1" type="noConversion"/>
  </si>
  <si>
    <t>공통비</t>
    <phoneticPr fontId="1" type="noConversion"/>
  </si>
  <si>
    <t>기타 계</t>
  </si>
  <si>
    <t>임대 계</t>
    <phoneticPr fontId="1" type="noConversion"/>
  </si>
  <si>
    <t>합계</t>
    <phoneticPr fontId="1" type="noConversion"/>
  </si>
  <si>
    <t>골재 계</t>
    <phoneticPr fontId="1" type="noConversion"/>
  </si>
  <si>
    <t>(소계)</t>
  </si>
  <si>
    <t>변동비</t>
    <phoneticPr fontId="1" type="noConversion"/>
  </si>
  <si>
    <t>재료비</t>
    <phoneticPr fontId="1" type="noConversion"/>
  </si>
  <si>
    <t>운반비</t>
    <phoneticPr fontId="1" type="noConversion"/>
  </si>
  <si>
    <t>평균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</si>
  <si>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</si>
  <si>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</si>
  <si>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</si>
  <si>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차이</t>
    <phoneticPr fontId="1" type="noConversion"/>
  </si>
  <si>
    <t>전년</t>
    <phoneticPr fontId="1" type="noConversion"/>
  </si>
  <si>
    <t>레미콘</t>
    <phoneticPr fontId="1" type="noConversion"/>
  </si>
  <si>
    <t>직영</t>
    <phoneticPr fontId="1" type="noConversion"/>
  </si>
  <si>
    <t>수도권</t>
    <phoneticPr fontId="1" type="noConversion"/>
  </si>
  <si>
    <t>영남권</t>
    <phoneticPr fontId="1" type="noConversion"/>
  </si>
  <si>
    <t>기타권</t>
    <phoneticPr fontId="1" type="noConversion"/>
  </si>
  <si>
    <t>(소계)</t>
    <phoneticPr fontId="1" type="noConversion"/>
  </si>
  <si>
    <t>임대</t>
    <phoneticPr fontId="1" type="noConversion"/>
  </si>
  <si>
    <t>골재</t>
    <phoneticPr fontId="1" type="noConversion"/>
  </si>
  <si>
    <t>부산골재</t>
    <phoneticPr fontId="1" type="noConversion"/>
  </si>
  <si>
    <t>서부산골재</t>
    <phoneticPr fontId="1" type="noConversion"/>
  </si>
  <si>
    <t>건자재</t>
    <phoneticPr fontId="1" type="noConversion"/>
  </si>
  <si>
    <t>기타</t>
    <phoneticPr fontId="1" type="noConversion"/>
  </si>
  <si>
    <t>공통비</t>
    <phoneticPr fontId="1" type="noConversion"/>
  </si>
  <si>
    <t>물량</t>
    <phoneticPr fontId="1" type="noConversion"/>
  </si>
  <si>
    <t>매출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</si>
  <si>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</si>
  <si>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</si>
  <si>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</si>
  <si>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계획대비</t>
    <phoneticPr fontId="1" type="noConversion"/>
  </si>
  <si>
    <t>전년대비</t>
    <phoneticPr fontId="1" type="noConversion"/>
  </si>
  <si>
    <t>계</t>
    <phoneticPr fontId="1" type="noConversion"/>
  </si>
  <si>
    <t>판매단가</t>
    <phoneticPr fontId="1" type="noConversion"/>
  </si>
  <si>
    <t>공헌이익</t>
    <phoneticPr fontId="1" type="noConversion"/>
  </si>
  <si>
    <t>[단위 : 톤, 천원]</t>
    <phoneticPr fontId="1" type="noConversion"/>
  </si>
  <si>
    <t>매출액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</si>
  <si>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</si>
  <si>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</si>
  <si>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</si>
  <si>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계획대비</t>
    <phoneticPr fontId="1" type="noConversion"/>
  </si>
  <si>
    <t>전년</t>
    <phoneticPr fontId="1" type="noConversion"/>
  </si>
  <si>
    <t>전년대비</t>
    <phoneticPr fontId="1" type="noConversion"/>
  </si>
  <si>
    <t>실적</t>
    <phoneticPr fontId="1" type="noConversion"/>
  </si>
  <si>
    <t>건자재</t>
    <phoneticPr fontId="1" type="noConversion"/>
  </si>
  <si>
    <t>철강재</t>
    <phoneticPr fontId="1" type="noConversion"/>
  </si>
  <si>
    <t>대구</t>
    <phoneticPr fontId="1" type="noConversion"/>
  </si>
  <si>
    <t>울산</t>
    <phoneticPr fontId="1" type="noConversion"/>
  </si>
  <si>
    <t>전주</t>
    <phoneticPr fontId="1" type="noConversion"/>
  </si>
  <si>
    <t>군산</t>
    <phoneticPr fontId="1" type="noConversion"/>
  </si>
  <si>
    <t>원주</t>
    <phoneticPr fontId="1" type="noConversion"/>
  </si>
  <si>
    <t>제주</t>
    <phoneticPr fontId="1" type="noConversion"/>
  </si>
  <si>
    <t>아산</t>
    <phoneticPr fontId="1" type="noConversion"/>
  </si>
  <si>
    <t>[단위 : 천㎥, 톤, 백만원]</t>
  </si>
  <si>
    <t>대구</t>
  </si>
  <si>
    <t>대구</t>
    <phoneticPr fontId="1" type="noConversion"/>
  </si>
  <si>
    <t>울산</t>
  </si>
  <si>
    <t>울산</t>
    <phoneticPr fontId="1" type="noConversion"/>
  </si>
  <si>
    <t>레미콘임대</t>
    <phoneticPr fontId="1" type="noConversion"/>
  </si>
  <si>
    <t>레미콘임대 계</t>
    <phoneticPr fontId="1" type="noConversion"/>
  </si>
  <si>
    <t>확인</t>
    <phoneticPr fontId="1" type="noConversion"/>
  </si>
  <si>
    <t xml:space="preserve"> </t>
    <phoneticPr fontId="1" type="noConversion"/>
  </si>
  <si>
    <t>유류비</t>
    <phoneticPr fontId="1" type="noConversion"/>
  </si>
  <si>
    <t>변동비 계</t>
    <phoneticPr fontId="1" type="noConversion"/>
  </si>
  <si>
    <t>□ 레미콘</t>
    <phoneticPr fontId="1" type="noConversion"/>
  </si>
  <si>
    <t>□ 건자재</t>
    <phoneticPr fontId="1" type="noConversion"/>
  </si>
  <si>
    <t>철강재 판매단가</t>
    <phoneticPr fontId="1" type="noConversion"/>
  </si>
  <si>
    <t>철강재 마진률</t>
    <phoneticPr fontId="1" type="noConversion"/>
  </si>
  <si>
    <t>□ 골재</t>
    <phoneticPr fontId="1" type="noConversion"/>
  </si>
  <si>
    <t>판매량</t>
    <phoneticPr fontId="1" type="noConversion"/>
  </si>
  <si>
    <t>자가</t>
    <phoneticPr fontId="1" type="noConversion"/>
  </si>
  <si>
    <t>외판</t>
    <phoneticPr fontId="1" type="noConversion"/>
  </si>
  <si>
    <t>계획대비</t>
  </si>
  <si>
    <t>전년대비</t>
  </si>
  <si>
    <t>레미콘 계</t>
    <phoneticPr fontId="1" type="noConversion"/>
  </si>
  <si>
    <t>OPC 소급분</t>
    <phoneticPr fontId="1" type="noConversion"/>
  </si>
  <si>
    <t>대손</t>
    <phoneticPr fontId="1" type="noConversion"/>
  </si>
  <si>
    <t>기타 계</t>
    <phoneticPr fontId="1" type="noConversion"/>
  </si>
  <si>
    <t>영업이익(공통비 배부전)</t>
    <phoneticPr fontId="1" type="noConversion"/>
  </si>
  <si>
    <t>건재사업본부</t>
    <phoneticPr fontId="1" type="noConversion"/>
  </si>
  <si>
    <t>구분</t>
  </si>
  <si>
    <t>철강재</t>
  </si>
  <si>
    <t>기타</t>
  </si>
  <si>
    <t>판관비</t>
  </si>
  <si>
    <t>노무비</t>
  </si>
  <si>
    <t>경비</t>
  </si>
  <si>
    <t>판매단가</t>
  </si>
  <si>
    <t>마진률</t>
  </si>
  <si>
    <t>철강재 단가
및
마진률</t>
    <phoneticPr fontId="1" type="noConversion"/>
  </si>
  <si>
    <t xml:space="preserve"> * 자가이송 운반비 : 부산 3,500 / 김해 3,500 / 정관 8,000 / 양산 5,000 / 창원 8,000</t>
    <phoneticPr fontId="1" type="noConversion"/>
  </si>
  <si>
    <t>단가</t>
    <phoneticPr fontId="1" type="noConversion"/>
  </si>
  <si>
    <t>자가이송</t>
    <phoneticPr fontId="1" type="noConversion"/>
  </si>
  <si>
    <t>외부판매</t>
  </si>
  <si>
    <t>자가이송</t>
  </si>
  <si>
    <t>외부판매</t>
    <phoneticPr fontId="1" type="noConversion"/>
  </si>
  <si>
    <t>골재사업소 계</t>
    <phoneticPr fontId="1" type="noConversion"/>
  </si>
  <si>
    <t>부산 모래</t>
    <phoneticPr fontId="1" type="noConversion"/>
  </si>
  <si>
    <t>서부산 소계</t>
    <phoneticPr fontId="1" type="noConversion"/>
  </si>
  <si>
    <t>서부산 쇄사</t>
    <phoneticPr fontId="1" type="noConversion"/>
  </si>
  <si>
    <t>서부산 쇄석</t>
    <phoneticPr fontId="1" type="noConversion"/>
  </si>
  <si>
    <t>합 계</t>
    <phoneticPr fontId="1" type="noConversion"/>
  </si>
  <si>
    <t>[단위 : 천㎥, 톤, 원/㎥, 원/톤, 백만원]</t>
    <phoneticPr fontId="1" type="noConversion"/>
  </si>
  <si>
    <t>영업이익(공통비 미배부)</t>
    <phoneticPr fontId="1" type="noConversion"/>
  </si>
  <si>
    <t>물량 차이</t>
    <phoneticPr fontId="1" type="noConversion"/>
  </si>
  <si>
    <t>판매단가 차이</t>
    <phoneticPr fontId="1" type="noConversion"/>
  </si>
  <si>
    <t>제조원가 차이</t>
    <phoneticPr fontId="1" type="noConversion"/>
  </si>
  <si>
    <t>판관비 등 차이</t>
    <phoneticPr fontId="1" type="noConversion"/>
  </si>
  <si>
    <t>손익</t>
    <phoneticPr fontId="1" type="noConversion"/>
  </si>
  <si>
    <t>[단위 : 백만원, 천㎥]</t>
    <phoneticPr fontId="1" type="noConversion"/>
  </si>
  <si>
    <t>[단위 : 원/㎥]</t>
    <phoneticPr fontId="1" type="noConversion"/>
  </si>
  <si>
    <t>모래 (원/톤)</t>
  </si>
  <si>
    <t>자갈 (원/톤)</t>
  </si>
  <si>
    <t>FA (원/톤)</t>
  </si>
  <si>
    <t>SP (원/톤)</t>
  </si>
  <si>
    <t>SC (원/톤)</t>
    <phoneticPr fontId="1" type="noConversion"/>
  </si>
  <si>
    <t>OPC (원/톤)</t>
    <phoneticPr fontId="1" type="noConversion"/>
  </si>
  <si>
    <t>[단위 : kg/㎥]</t>
    <phoneticPr fontId="1" type="noConversion"/>
  </si>
  <si>
    <t>OPC</t>
    <phoneticPr fontId="1" type="noConversion"/>
  </si>
  <si>
    <t>분체류</t>
    <phoneticPr fontId="1" type="noConversion"/>
  </si>
  <si>
    <t>분체류 치환률</t>
    <phoneticPr fontId="1" type="noConversion"/>
  </si>
  <si>
    <t>자갈</t>
    <phoneticPr fontId="1" type="noConversion"/>
  </si>
  <si>
    <t>모래</t>
    <phoneticPr fontId="1" type="noConversion"/>
  </si>
  <si>
    <t>혼화제</t>
    <phoneticPr fontId="1" type="noConversion"/>
  </si>
  <si>
    <t>* 공통비</t>
    <phoneticPr fontId="1" type="noConversion"/>
  </si>
  <si>
    <t>합계</t>
    <phoneticPr fontId="1" type="noConversion"/>
  </si>
  <si>
    <t>기타</t>
    <phoneticPr fontId="1" type="noConversion"/>
  </si>
  <si>
    <t>[단위 : ㎥, 천원]</t>
    <phoneticPr fontId="1" type="noConversion"/>
  </si>
  <si>
    <t>레미콘임대</t>
    <phoneticPr fontId="1" type="noConversion"/>
  </si>
  <si>
    <t>중부권</t>
  </si>
  <si>
    <t>중부권</t>
    <phoneticPr fontId="1" type="noConversion"/>
  </si>
  <si>
    <t>중부권</t>
    <phoneticPr fontId="1" type="noConversion"/>
  </si>
  <si>
    <t>김포</t>
    <phoneticPr fontId="1" type="noConversion"/>
  </si>
  <si>
    <t>4월</t>
    <phoneticPr fontId="1" type="noConversion"/>
  </si>
  <si>
    <t xml:space="preserve"> ■ 비고</t>
  </si>
  <si>
    <t>김포</t>
  </si>
  <si>
    <t>부산크라샤</t>
    <phoneticPr fontId="1" type="noConversion"/>
  </si>
  <si>
    <t>미운영 공장</t>
    <phoneticPr fontId="1" type="noConversion"/>
  </si>
  <si>
    <t>김포</t>
    <phoneticPr fontId="1" type="noConversion"/>
  </si>
  <si>
    <t>2월</t>
  </si>
  <si>
    <t>1월</t>
    <phoneticPr fontId="1" type="noConversion"/>
  </si>
  <si>
    <t>3월</t>
    <phoneticPr fontId="1" type="noConversion"/>
  </si>
  <si>
    <t>5월</t>
    <phoneticPr fontId="1" type="noConversion"/>
  </si>
  <si>
    <t>6월</t>
  </si>
  <si>
    <t>□ 기타내역(영업이익)</t>
    <phoneticPr fontId="1" type="noConversion"/>
  </si>
  <si>
    <t>7월</t>
    <phoneticPr fontId="1" type="noConversion"/>
  </si>
  <si>
    <t>부산크라샤 쇄석</t>
    <phoneticPr fontId="1" type="noConversion"/>
  </si>
  <si>
    <t>부산크라샤 쇄사</t>
    <phoneticPr fontId="1" type="noConversion"/>
  </si>
  <si>
    <t>부산크라샤 소계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</si>
  <si>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</si>
  <si>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</si>
  <si>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</si>
  <si>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</si>
  <si>
    <t>12월</t>
    <phoneticPr fontId="1" type="noConversion"/>
  </si>
  <si>
    <t>건자재</t>
    <phoneticPr fontId="1" type="noConversion"/>
  </si>
  <si>
    <t>부산모래장</t>
    <phoneticPr fontId="1" type="noConversion"/>
  </si>
  <si>
    <t>서부산크라샤</t>
    <phoneticPr fontId="1" type="noConversion"/>
  </si>
  <si>
    <t>강릉임대</t>
    <phoneticPr fontId="1" type="noConversion"/>
  </si>
  <si>
    <t>속초임대</t>
    <phoneticPr fontId="1" type="noConversion"/>
  </si>
  <si>
    <t>포항임대</t>
    <phoneticPr fontId="1" type="noConversion"/>
  </si>
  <si>
    <t>부동산임대</t>
  </si>
  <si>
    <t>주유소임대</t>
  </si>
  <si>
    <t>공    통    비</t>
  </si>
  <si>
    <t>건자재영업</t>
    <phoneticPr fontId="1" type="noConversion"/>
  </si>
  <si>
    <t>2024년 2월 마감 손익</t>
    <phoneticPr fontId="1" type="noConversion"/>
  </si>
  <si>
    <t>□ 건재사업본부 손익실적(2024-02)</t>
    <phoneticPr fontId="1" type="noConversion"/>
  </si>
  <si>
    <t>2월 주요지표</t>
  </si>
  <si>
    <t>□ 사업장별 손익실적(2024-02)</t>
  </si>
  <si>
    <t>□ 사업장별 손익실적(2024-02누계)</t>
  </si>
  <si>
    <t>□ 레미콘 영업이익 차이분석(2024-02)</t>
  </si>
  <si>
    <t>□ 레미콘 원재료 원단위(2024-02)</t>
  </si>
  <si>
    <t>□ 2024년 레미콘 원재료단가(2024-02)</t>
  </si>
  <si>
    <t>□ 레미콘 단위당 공헌이익(2024-02)</t>
  </si>
  <si>
    <t>□ 건자재 손익실적(2024-02)</t>
  </si>
  <si>
    <t>2월 누계</t>
  </si>
  <si>
    <t>2월</t>
    <phoneticPr fontId="1" type="noConversion"/>
  </si>
  <si>
    <t>□ 2024년 골재사업소 손익(2024-02)</t>
  </si>
  <si>
    <t>□ 2024년 골재사업소 손익(2024-02누계)</t>
    <phoneticPr fontId="1" type="noConversion"/>
  </si>
  <si>
    <t>2월 누계</t>
    <phoneticPr fontId="1" type="noConversion"/>
  </si>
  <si>
    <t>구분</t>
    <phoneticPr fontId="1" type="noConversion"/>
  </si>
  <si>
    <t>물량</t>
    <phoneticPr fontId="1" type="noConversion"/>
  </si>
  <si>
    <t>매출액</t>
    <phoneticPr fontId="1" type="noConversion"/>
  </si>
  <si>
    <t>영업이익</t>
    <phoneticPr fontId="1" type="noConversion"/>
  </si>
  <si>
    <t>계</t>
    <phoneticPr fontId="1" type="noConversion"/>
  </si>
  <si>
    <t>(단위 : 천㎥, 천톤, 억원)</t>
    <phoneticPr fontId="1" type="noConversion"/>
  </si>
  <si>
    <t>□ 건재부문 실적(2월)</t>
    <phoneticPr fontId="1" type="noConversion"/>
  </si>
  <si>
    <t>부산모래장</t>
  </si>
  <si>
    <t>서부산CR</t>
  </si>
  <si>
    <t>부산CR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</si>
</sst>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#,##0_ "/>
    <numFmt numFmtId="177" formatCode="0.0%"/>
    <numFmt numFmtId="178" formatCode="#,##0_);[Red]\(#,##0\)"/>
    <numFmt numFmtId="179" formatCode="#,##0.0_);[Red]\(#,##0.0\)"/>
    <numFmt numFmtId="180" formatCode="0_ "/>
    <numFmt numFmtId="181" formatCode="#,##0.000_);[Red]\(#,##0.000\)"/>
    <numFmt numFmtId="182" formatCode="#,##0.00_);[Red]\(#,##0.00\)"/>
  </numFmts>
  <fonts count="2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b/>
      <sz val="11"/>
      <color rgb="FF000000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8F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14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hair">
        <color auto="1"/>
      </top>
      <bottom/>
      <diagonal/>
    </border>
    <border>
      <left/>
      <right style="thick">
        <color auto="1"/>
      </right>
      <top style="hair">
        <color auto="1"/>
      </top>
      <bottom/>
      <diagonal/>
    </border>
    <border>
      <left style="thick">
        <color auto="1"/>
      </left>
      <right/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3" fillId="0" borderId="0"/>
  </cellStyleXfs>
  <cellXfs count="842">
    <xf numFmtId="0" fontId="0" fillId="0" borderId="0" xfId="0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9" fontId="0" fillId="0" borderId="0" xfId="0" applyNumberFormat="1" applyFont="1">
      <alignment vertical="center"/>
    </xf>
    <xf numFmtId="178" fontId="6" fillId="0" borderId="24" xfId="1" applyNumberFormat="1" applyFont="1" applyFill="1" applyBorder="1" applyAlignment="1">
      <alignment vertical="center"/>
    </xf>
    <xf numFmtId="178" fontId="6" fillId="2" borderId="25" xfId="1" applyNumberFormat="1" applyFont="1" applyFill="1" applyBorder="1" applyAlignment="1">
      <alignment vertical="center"/>
    </xf>
    <xf numFmtId="178" fontId="6" fillId="0" borderId="49" xfId="1" applyNumberFormat="1" applyFont="1" applyFill="1" applyBorder="1">
      <alignment vertical="center"/>
    </xf>
    <xf numFmtId="178" fontId="6" fillId="0" borderId="25" xfId="1" applyNumberFormat="1" applyFont="1" applyFill="1" applyBorder="1">
      <alignment vertical="center"/>
    </xf>
    <xf numFmtId="178" fontId="6" fillId="0" borderId="26" xfId="1" applyNumberFormat="1" applyFont="1" applyFill="1" applyBorder="1">
      <alignment vertical="center"/>
    </xf>
    <xf numFmtId="178" fontId="6" fillId="0" borderId="51" xfId="1" applyNumberFormat="1" applyFont="1" applyFill="1" applyBorder="1" applyAlignment="1">
      <alignment vertical="center"/>
    </xf>
    <xf numFmtId="178" fontId="6" fillId="0" borderId="49" xfId="1" applyNumberFormat="1" applyFont="1" applyFill="1" applyBorder="1" applyAlignment="1">
      <alignment vertical="center"/>
    </xf>
    <xf numFmtId="178" fontId="6" fillId="0" borderId="26" xfId="1" applyNumberFormat="1" applyFont="1" applyFill="1" applyBorder="1" applyAlignment="1">
      <alignment vertical="center"/>
    </xf>
    <xf numFmtId="178" fontId="6" fillId="0" borderId="0" xfId="1" applyNumberFormat="1" applyFont="1">
      <alignment vertical="center"/>
    </xf>
    <xf numFmtId="41" fontId="6" fillId="0" borderId="0" xfId="1" applyFont="1">
      <alignment vertical="center"/>
    </xf>
    <xf numFmtId="178" fontId="6" fillId="2" borderId="43" xfId="1" applyNumberFormat="1" applyFont="1" applyFill="1" applyBorder="1" applyAlignment="1">
      <alignment vertical="center"/>
    </xf>
    <xf numFmtId="178" fontId="6" fillId="0" borderId="42" xfId="1" applyNumberFormat="1" applyFont="1" applyFill="1" applyBorder="1">
      <alignment vertical="center"/>
    </xf>
    <xf numFmtId="178" fontId="6" fillId="0" borderId="44" xfId="1" applyNumberFormat="1" applyFont="1" applyFill="1" applyBorder="1">
      <alignment vertical="center"/>
    </xf>
    <xf numFmtId="178" fontId="6" fillId="0" borderId="41" xfId="1" applyNumberFormat="1" applyFont="1" applyFill="1" applyBorder="1" applyAlignment="1">
      <alignment vertical="center"/>
    </xf>
    <xf numFmtId="178" fontId="6" fillId="0" borderId="52" xfId="1" applyNumberFormat="1" applyFont="1" applyFill="1" applyBorder="1" applyAlignment="1">
      <alignment vertical="center"/>
    </xf>
    <xf numFmtId="178" fontId="6" fillId="0" borderId="43" xfId="1" applyNumberFormat="1" applyFont="1" applyFill="1" applyBorder="1">
      <alignment vertical="center"/>
    </xf>
    <xf numFmtId="178" fontId="2" fillId="0" borderId="0" xfId="0" applyNumberFormat="1" applyFont="1">
      <alignment vertical="center"/>
    </xf>
    <xf numFmtId="178" fontId="2" fillId="0" borderId="0" xfId="1" applyNumberFormat="1" applyFont="1">
      <alignment vertical="center"/>
    </xf>
    <xf numFmtId="41" fontId="2" fillId="0" borderId="0" xfId="1" applyFont="1">
      <alignment vertical="center"/>
    </xf>
    <xf numFmtId="178" fontId="6" fillId="0" borderId="42" xfId="1" applyNumberFormat="1" applyFont="1" applyFill="1" applyBorder="1" applyAlignment="1">
      <alignment vertical="center"/>
    </xf>
    <xf numFmtId="178" fontId="6" fillId="0" borderId="44" xfId="1" applyNumberFormat="1" applyFont="1" applyFill="1" applyBorder="1" applyAlignment="1">
      <alignment vertical="center"/>
    </xf>
    <xf numFmtId="178" fontId="6" fillId="0" borderId="0" xfId="0" applyNumberFormat="1" applyFont="1">
      <alignment vertical="center"/>
    </xf>
    <xf numFmtId="178" fontId="6" fillId="0" borderId="0" xfId="0" applyNumberFormat="1" applyFont="1" applyFill="1">
      <alignment vertical="center"/>
    </xf>
    <xf numFmtId="178" fontId="6" fillId="0" borderId="0" xfId="0" applyNumberFormat="1" applyFont="1" applyFill="1" applyAlignment="1">
      <alignment vertical="center"/>
    </xf>
    <xf numFmtId="178" fontId="0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8" fontId="6" fillId="0" borderId="28" xfId="1" applyNumberFormat="1" applyFont="1" applyFill="1" applyBorder="1" applyAlignment="1">
      <alignment vertical="center"/>
    </xf>
    <xf numFmtId="178" fontId="6" fillId="2" borderId="29" xfId="1" applyNumberFormat="1" applyFont="1" applyFill="1" applyBorder="1" applyAlignment="1">
      <alignment vertical="center"/>
    </xf>
    <xf numFmtId="178" fontId="6" fillId="0" borderId="39" xfId="1" applyNumberFormat="1" applyFont="1" applyFill="1" applyBorder="1">
      <alignment vertical="center"/>
    </xf>
    <xf numFmtId="178" fontId="6" fillId="0" borderId="29" xfId="1" applyNumberFormat="1" applyFont="1" applyFill="1" applyBorder="1">
      <alignment vertical="center"/>
    </xf>
    <xf numFmtId="178" fontId="6" fillId="0" borderId="30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178" fontId="6" fillId="0" borderId="29" xfId="1" applyNumberFormat="1" applyFont="1" applyFill="1" applyBorder="1" applyAlignment="1">
      <alignment horizontal="right" vertical="center"/>
    </xf>
    <xf numFmtId="178" fontId="6" fillId="0" borderId="3" xfId="1" applyNumberFormat="1" applyFont="1" applyFill="1" applyBorder="1" applyAlignment="1">
      <alignment vertical="center"/>
    </xf>
    <xf numFmtId="178" fontId="6" fillId="0" borderId="39" xfId="1" applyNumberFormat="1" applyFont="1" applyFill="1" applyBorder="1" applyAlignment="1">
      <alignment vertical="center"/>
    </xf>
    <xf numFmtId="178" fontId="6" fillId="0" borderId="30" xfId="1" applyNumberFormat="1" applyFont="1" applyFill="1" applyBorder="1" applyAlignment="1">
      <alignment vertical="center"/>
    </xf>
    <xf numFmtId="178" fontId="6" fillId="0" borderId="12" xfId="1" applyNumberFormat="1" applyFont="1" applyFill="1" applyBorder="1" applyAlignment="1">
      <alignment vertical="center"/>
    </xf>
    <xf numFmtId="178" fontId="6" fillId="2" borderId="13" xfId="1" applyNumberFormat="1" applyFont="1" applyFill="1" applyBorder="1" applyAlignment="1">
      <alignment vertical="center"/>
    </xf>
    <xf numFmtId="178" fontId="6" fillId="0" borderId="46" xfId="1" applyNumberFormat="1" applyFont="1" applyFill="1" applyBorder="1">
      <alignment vertical="center"/>
    </xf>
    <xf numFmtId="178" fontId="6" fillId="0" borderId="13" xfId="1" applyNumberFormat="1" applyFont="1" applyFill="1" applyBorder="1">
      <alignment vertical="center"/>
    </xf>
    <xf numFmtId="178" fontId="6" fillId="0" borderId="14" xfId="1" applyNumberFormat="1" applyFont="1" applyFill="1" applyBorder="1">
      <alignment vertical="center"/>
    </xf>
    <xf numFmtId="178" fontId="6" fillId="0" borderId="5" xfId="1" applyNumberFormat="1" applyFont="1" applyFill="1" applyBorder="1" applyAlignment="1">
      <alignment vertical="center"/>
    </xf>
    <xf numFmtId="178" fontId="6" fillId="0" borderId="46" xfId="1" applyNumberFormat="1" applyFont="1" applyFill="1" applyBorder="1" applyAlignment="1">
      <alignment vertical="center"/>
    </xf>
    <xf numFmtId="178" fontId="6" fillId="0" borderId="14" xfId="1" applyNumberFormat="1" applyFont="1" applyFill="1" applyBorder="1" applyAlignment="1">
      <alignment vertical="center"/>
    </xf>
    <xf numFmtId="178" fontId="6" fillId="0" borderId="12" xfId="0" applyNumberFormat="1" applyFont="1" applyFill="1" applyBorder="1" applyAlignment="1">
      <alignment vertical="center"/>
    </xf>
    <xf numFmtId="178" fontId="6" fillId="0" borderId="13" xfId="0" applyNumberFormat="1" applyFont="1" applyFill="1" applyBorder="1">
      <alignment vertical="center"/>
    </xf>
    <xf numFmtId="178" fontId="6" fillId="0" borderId="28" xfId="0" applyNumberFormat="1" applyFont="1" applyFill="1" applyBorder="1" applyAlignment="1">
      <alignment vertical="center"/>
    </xf>
    <xf numFmtId="178" fontId="6" fillId="2" borderId="39" xfId="0" applyNumberFormat="1" applyFont="1" applyFill="1" applyBorder="1" applyAlignment="1">
      <alignment vertical="center"/>
    </xf>
    <xf numFmtId="178" fontId="6" fillId="0" borderId="3" xfId="1" applyNumberFormat="1" applyFont="1" applyFill="1" applyBorder="1">
      <alignment vertical="center"/>
    </xf>
    <xf numFmtId="178" fontId="6" fillId="2" borderId="46" xfId="0" applyNumberFormat="1" applyFont="1" applyFill="1" applyBorder="1" applyAlignment="1">
      <alignment vertical="center"/>
    </xf>
    <xf numFmtId="178" fontId="6" fillId="0" borderId="5" xfId="1" applyNumberFormat="1" applyFont="1" applyFill="1" applyBorder="1">
      <alignment vertical="center"/>
    </xf>
    <xf numFmtId="178" fontId="6" fillId="0" borderId="46" xfId="0" applyNumberFormat="1" applyFont="1" applyFill="1" applyBorder="1">
      <alignment vertical="center"/>
    </xf>
    <xf numFmtId="178" fontId="6" fillId="0" borderId="5" xfId="0" applyNumberFormat="1" applyFont="1" applyFill="1" applyBorder="1">
      <alignment vertical="center"/>
    </xf>
    <xf numFmtId="178" fontId="6" fillId="0" borderId="19" xfId="1" applyNumberFormat="1" applyFont="1" applyFill="1" applyBorder="1" applyAlignment="1">
      <alignment vertical="center"/>
    </xf>
    <xf numFmtId="178" fontId="6" fillId="2" borderId="20" xfId="1" applyNumberFormat="1" applyFont="1" applyFill="1" applyBorder="1" applyAlignment="1">
      <alignment vertical="center"/>
    </xf>
    <xf numFmtId="178" fontId="6" fillId="0" borderId="53" xfId="1" applyNumberFormat="1" applyFont="1" applyFill="1" applyBorder="1">
      <alignment vertical="center"/>
    </xf>
    <xf numFmtId="178" fontId="6" fillId="0" borderId="20" xfId="1" applyNumberFormat="1" applyFont="1" applyFill="1" applyBorder="1">
      <alignment vertical="center"/>
    </xf>
    <xf numFmtId="178" fontId="6" fillId="0" borderId="21" xfId="1" applyNumberFormat="1" applyFont="1" applyFill="1" applyBorder="1">
      <alignment vertical="center"/>
    </xf>
    <xf numFmtId="178" fontId="6" fillId="0" borderId="54" xfId="1" applyNumberFormat="1" applyFont="1" applyFill="1" applyBorder="1" applyAlignment="1">
      <alignment vertical="center"/>
    </xf>
    <xf numFmtId="178" fontId="6" fillId="0" borderId="53" xfId="1" applyNumberFormat="1" applyFont="1" applyFill="1" applyBorder="1" applyAlignment="1">
      <alignment vertical="center"/>
    </xf>
    <xf numFmtId="178" fontId="6" fillId="0" borderId="21" xfId="1" applyNumberFormat="1" applyFont="1" applyFill="1" applyBorder="1" applyAlignment="1">
      <alignment vertical="center"/>
    </xf>
    <xf numFmtId="178" fontId="2" fillId="0" borderId="1" xfId="0" applyNumberFormat="1" applyFont="1" applyBorder="1" applyAlignment="1">
      <alignment horizontal="centerContinuous" vertical="center"/>
    </xf>
    <xf numFmtId="178" fontId="2" fillId="0" borderId="6" xfId="0" applyNumberFormat="1" applyFont="1" applyBorder="1" applyAlignment="1">
      <alignment horizontal="centerContinuous" vertical="center"/>
    </xf>
    <xf numFmtId="178" fontId="0" fillId="0" borderId="10" xfId="0" applyNumberFormat="1" applyBorder="1">
      <alignment vertical="center"/>
    </xf>
    <xf numFmtId="178" fontId="0" fillId="0" borderId="30" xfId="0" applyNumberFormat="1" applyBorder="1">
      <alignment vertical="center"/>
    </xf>
    <xf numFmtId="178" fontId="0" fillId="0" borderId="0" xfId="0" applyNumberFormat="1" applyBorder="1">
      <alignment vertical="center"/>
    </xf>
    <xf numFmtId="178" fontId="0" fillId="0" borderId="0" xfId="0" applyNumberForma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4" fontId="2" fillId="0" borderId="28" xfId="0" applyNumberFormat="1" applyFont="1" applyBorder="1" applyAlignment="1">
      <alignment horizontal="center" vertical="center"/>
    </xf>
    <xf numFmtId="14" fontId="2" fillId="0" borderId="30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Continuous" vertical="center"/>
    </xf>
    <xf numFmtId="178" fontId="2" fillId="0" borderId="31" xfId="0" applyNumberFormat="1" applyFont="1" applyBorder="1" applyAlignment="1">
      <alignment horizontal="centerContinuous" vertical="center"/>
    </xf>
    <xf numFmtId="178" fontId="2" fillId="0" borderId="33" xfId="0" applyNumberFormat="1" applyFont="1" applyBorder="1" applyAlignment="1">
      <alignment horizontal="centerContinuous" vertical="center"/>
    </xf>
    <xf numFmtId="178" fontId="2" fillId="0" borderId="32" xfId="0" applyNumberFormat="1" applyFont="1" applyBorder="1" applyAlignment="1">
      <alignment horizontal="centerContinuous" vertical="center"/>
    </xf>
    <xf numFmtId="178" fontId="2" fillId="0" borderId="68" xfId="0" applyNumberFormat="1" applyFont="1" applyBorder="1" applyAlignment="1">
      <alignment horizontal="centerContinuous" vertical="center"/>
    </xf>
    <xf numFmtId="178" fontId="2" fillId="0" borderId="13" xfId="0" applyNumberFormat="1" applyFont="1" applyBorder="1">
      <alignment vertical="center"/>
    </xf>
    <xf numFmtId="0" fontId="10" fillId="0" borderId="0" xfId="0" applyFont="1">
      <alignment vertical="center"/>
    </xf>
    <xf numFmtId="178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41" fontId="0" fillId="0" borderId="0" xfId="1" applyFont="1">
      <alignment vertical="center"/>
    </xf>
    <xf numFmtId="0" fontId="15" fillId="0" borderId="0" xfId="0" applyFont="1">
      <alignment vertical="center"/>
    </xf>
    <xf numFmtId="0" fontId="7" fillId="0" borderId="4" xfId="0" applyFont="1" applyBorder="1" applyAlignment="1">
      <alignment horizontal="centerContinuous" vertical="center"/>
    </xf>
    <xf numFmtId="0" fontId="7" fillId="0" borderId="27" xfId="0" applyFont="1" applyBorder="1" applyAlignment="1">
      <alignment horizontal="centerContinuous" vertical="center"/>
    </xf>
    <xf numFmtId="0" fontId="15" fillId="0" borderId="4" xfId="0" applyFont="1" applyBorder="1">
      <alignment vertical="center"/>
    </xf>
    <xf numFmtId="0" fontId="7" fillId="0" borderId="0" xfId="0" applyFont="1" applyBorder="1">
      <alignment vertical="center"/>
    </xf>
    <xf numFmtId="0" fontId="15" fillId="0" borderId="5" xfId="0" applyFont="1" applyBorder="1">
      <alignment vertical="center"/>
    </xf>
    <xf numFmtId="0" fontId="7" fillId="0" borderId="31" xfId="0" applyFont="1" applyBorder="1" applyAlignment="1">
      <alignment horizontal="centerContinuous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>
      <alignment vertical="center"/>
    </xf>
    <xf numFmtId="0" fontId="7" fillId="0" borderId="18" xfId="0" applyFont="1" applyBorder="1" applyAlignment="1">
      <alignment horizontal="centerContinuous" vertical="center"/>
    </xf>
    <xf numFmtId="0" fontId="7" fillId="0" borderId="32" xfId="0" applyFont="1" applyBorder="1" applyAlignment="1">
      <alignment horizontal="centerContinuous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>
      <alignment vertical="center"/>
    </xf>
    <xf numFmtId="176" fontId="7" fillId="0" borderId="25" xfId="0" applyNumberFormat="1" applyFont="1" applyBorder="1">
      <alignment vertical="center"/>
    </xf>
    <xf numFmtId="176" fontId="7" fillId="0" borderId="6" xfId="0" applyNumberFormat="1" applyFont="1" applyBorder="1" applyAlignment="1">
      <alignment horizontal="centerContinuous" vertical="center"/>
    </xf>
    <xf numFmtId="176" fontId="7" fillId="0" borderId="16" xfId="0" applyNumberFormat="1" applyFont="1" applyBorder="1">
      <alignment vertical="center"/>
    </xf>
    <xf numFmtId="0" fontId="7" fillId="0" borderId="33" xfId="0" applyFont="1" applyBorder="1" applyAlignment="1">
      <alignment horizontal="centerContinuous" vertical="center"/>
    </xf>
    <xf numFmtId="0" fontId="7" fillId="0" borderId="22" xfId="0" applyFont="1" applyBorder="1" applyAlignment="1">
      <alignment horizontal="centerContinuous" vertical="center"/>
    </xf>
    <xf numFmtId="0" fontId="7" fillId="0" borderId="23" xfId="0" applyFont="1" applyBorder="1" applyAlignment="1">
      <alignment horizontal="centerContinuous" vertical="center"/>
    </xf>
    <xf numFmtId="176" fontId="7" fillId="3" borderId="29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7" fillId="0" borderId="0" xfId="0" applyFont="1" applyBorder="1" applyAlignment="1">
      <alignment horizontal="centerContinuous" vertical="center"/>
    </xf>
    <xf numFmtId="176" fontId="7" fillId="3" borderId="25" xfId="0" applyNumberFormat="1" applyFont="1" applyFill="1" applyBorder="1">
      <alignment vertical="center"/>
    </xf>
    <xf numFmtId="176" fontId="7" fillId="3" borderId="16" xfId="0" applyNumberFormat="1" applyFont="1" applyFill="1" applyBorder="1">
      <alignment vertical="center"/>
    </xf>
    <xf numFmtId="0" fontId="7" fillId="0" borderId="31" xfId="0" applyFont="1" applyBorder="1" applyAlignment="1">
      <alignment horizontal="right" vertical="top"/>
    </xf>
    <xf numFmtId="177" fontId="15" fillId="0" borderId="13" xfId="0" applyNumberFormat="1" applyFont="1" applyBorder="1">
      <alignment vertical="center"/>
    </xf>
    <xf numFmtId="177" fontId="15" fillId="0" borderId="14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 applyAlignment="1">
      <alignment horizontal="right" vertical="center"/>
    </xf>
    <xf numFmtId="177" fontId="15" fillId="0" borderId="16" xfId="0" applyNumberFormat="1" applyFont="1" applyBorder="1">
      <alignment vertical="center"/>
    </xf>
    <xf numFmtId="177" fontId="15" fillId="0" borderId="17" xfId="0" applyNumberFormat="1" applyFont="1" applyBorder="1">
      <alignment vertical="center"/>
    </xf>
    <xf numFmtId="0" fontId="15" fillId="0" borderId="6" xfId="0" applyFont="1" applyBorder="1">
      <alignment vertical="center"/>
    </xf>
    <xf numFmtId="0" fontId="15" fillId="0" borderId="8" xfId="0" applyFont="1" applyBorder="1">
      <alignment vertical="center"/>
    </xf>
    <xf numFmtId="0" fontId="16" fillId="6" borderId="1" xfId="0" applyFont="1" applyFill="1" applyBorder="1" applyAlignment="1">
      <alignment horizontal="centerContinuous" vertical="center"/>
    </xf>
    <xf numFmtId="0" fontId="16" fillId="6" borderId="2" xfId="0" applyFont="1" applyFill="1" applyBorder="1" applyAlignment="1">
      <alignment horizontal="centerContinuous" vertical="center"/>
    </xf>
    <xf numFmtId="0" fontId="16" fillId="6" borderId="3" xfId="0" applyFont="1" applyFill="1" applyBorder="1" applyAlignment="1">
      <alignment horizontal="centerContinuous" vertical="center"/>
    </xf>
    <xf numFmtId="0" fontId="17" fillId="0" borderId="0" xfId="0" applyFont="1">
      <alignment vertical="center"/>
    </xf>
    <xf numFmtId="0" fontId="16" fillId="6" borderId="10" xfId="0" applyFont="1" applyFill="1" applyBorder="1" applyAlignment="1">
      <alignment horizontal="centerContinuous" vertical="center"/>
    </xf>
    <xf numFmtId="0" fontId="16" fillId="6" borderId="11" xfId="0" applyFont="1" applyFill="1" applyBorder="1" applyAlignment="1">
      <alignment horizontal="centerContinuous" vertical="center"/>
    </xf>
    <xf numFmtId="178" fontId="0" fillId="0" borderId="56" xfId="0" applyNumberFormat="1" applyFont="1" applyBorder="1" applyAlignment="1">
      <alignment vertical="center"/>
    </xf>
    <xf numFmtId="178" fontId="0" fillId="0" borderId="57" xfId="0" applyNumberFormat="1" applyFont="1" applyBorder="1" applyAlignment="1">
      <alignment vertical="center"/>
    </xf>
    <xf numFmtId="178" fontId="0" fillId="0" borderId="58" xfId="0" applyNumberFormat="1" applyFont="1" applyBorder="1" applyAlignment="1">
      <alignment vertical="center"/>
    </xf>
    <xf numFmtId="178" fontId="0" fillId="4" borderId="60" xfId="0" applyNumberFormat="1" applyFont="1" applyFill="1" applyBorder="1" applyAlignment="1">
      <alignment vertical="center"/>
    </xf>
    <xf numFmtId="178" fontId="0" fillId="4" borderId="61" xfId="0" applyNumberFormat="1" applyFont="1" applyFill="1" applyBorder="1" applyAlignment="1">
      <alignment vertical="center"/>
    </xf>
    <xf numFmtId="178" fontId="0" fillId="4" borderId="59" xfId="0" applyNumberFormat="1" applyFont="1" applyFill="1" applyBorder="1" applyAlignment="1">
      <alignment vertical="center"/>
    </xf>
    <xf numFmtId="178" fontId="0" fillId="0" borderId="57" xfId="1" applyNumberFormat="1" applyFont="1" applyBorder="1" applyAlignment="1">
      <alignment vertical="center"/>
    </xf>
    <xf numFmtId="178" fontId="0" fillId="4" borderId="60" xfId="1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centerContinuous" vertical="center"/>
    </xf>
    <xf numFmtId="14" fontId="2" fillId="3" borderId="50" xfId="0" applyNumberFormat="1" applyFont="1" applyFill="1" applyBorder="1" applyAlignment="1">
      <alignment horizontal="centerContinuous" vertical="center"/>
    </xf>
    <xf numFmtId="178" fontId="2" fillId="3" borderId="9" xfId="1" applyNumberFormat="1" applyFont="1" applyFill="1" applyBorder="1" applyAlignment="1">
      <alignment vertical="center"/>
    </xf>
    <xf numFmtId="178" fontId="2" fillId="3" borderId="10" xfId="1" applyNumberFormat="1" applyFont="1" applyFill="1" applyBorder="1" applyAlignment="1">
      <alignment vertical="center"/>
    </xf>
    <xf numFmtId="178" fontId="2" fillId="3" borderId="45" xfId="1" applyNumberFormat="1" applyFont="1" applyFill="1" applyBorder="1">
      <alignment vertical="center"/>
    </xf>
    <xf numFmtId="178" fontId="2" fillId="3" borderId="50" xfId="1" applyNumberFormat="1" applyFont="1" applyFill="1" applyBorder="1">
      <alignment vertical="center"/>
    </xf>
    <xf numFmtId="178" fontId="2" fillId="3" borderId="45" xfId="1" applyNumberFormat="1" applyFont="1" applyFill="1" applyBorder="1" applyAlignment="1">
      <alignment vertical="center"/>
    </xf>
    <xf numFmtId="178" fontId="2" fillId="3" borderId="10" xfId="0" applyNumberFormat="1" applyFont="1" applyFill="1" applyBorder="1">
      <alignment vertical="center"/>
    </xf>
    <xf numFmtId="178" fontId="2" fillId="3" borderId="45" xfId="0" applyNumberFormat="1" applyFont="1" applyFill="1" applyBorder="1">
      <alignment vertical="center"/>
    </xf>
    <xf numFmtId="178" fontId="2" fillId="3" borderId="5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8" fontId="0" fillId="0" borderId="2" xfId="0" applyNumberFormat="1" applyBorder="1">
      <alignment vertical="center"/>
    </xf>
    <xf numFmtId="0" fontId="2" fillId="0" borderId="34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Continuous" vertical="center"/>
    </xf>
    <xf numFmtId="0" fontId="2" fillId="0" borderId="74" xfId="0" applyFont="1" applyBorder="1" applyAlignment="1">
      <alignment horizontal="centerContinuous" vertical="center"/>
    </xf>
    <xf numFmtId="176" fontId="2" fillId="0" borderId="66" xfId="0" applyNumberFormat="1" applyFont="1" applyBorder="1" applyAlignment="1">
      <alignment horizontal="centerContinuous" vertical="center"/>
    </xf>
    <xf numFmtId="176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178" fontId="2" fillId="0" borderId="12" xfId="0" applyNumberFormat="1" applyFont="1" applyBorder="1" applyAlignment="1">
      <alignment horizontal="center" vertical="center"/>
    </xf>
    <xf numFmtId="178" fontId="0" fillId="0" borderId="7" xfId="0" applyNumberFormat="1" applyBorder="1">
      <alignment vertical="center"/>
    </xf>
    <xf numFmtId="178" fontId="6" fillId="3" borderId="28" xfId="1" applyNumberFormat="1" applyFont="1" applyFill="1" applyBorder="1" applyAlignment="1">
      <alignment vertical="center"/>
    </xf>
    <xf numFmtId="178" fontId="6" fillId="3" borderId="29" xfId="1" applyNumberFormat="1" applyFont="1" applyFill="1" applyBorder="1" applyAlignment="1">
      <alignment vertical="center"/>
    </xf>
    <xf numFmtId="178" fontId="6" fillId="3" borderId="29" xfId="1" applyNumberFormat="1" applyFont="1" applyFill="1" applyBorder="1">
      <alignment vertical="center"/>
    </xf>
    <xf numFmtId="178" fontId="6" fillId="3" borderId="39" xfId="1" applyNumberFormat="1" applyFont="1" applyFill="1" applyBorder="1">
      <alignment vertical="center"/>
    </xf>
    <xf numFmtId="178" fontId="6" fillId="3" borderId="3" xfId="1" applyNumberFormat="1" applyFont="1" applyFill="1" applyBorder="1">
      <alignment vertical="center"/>
    </xf>
    <xf numFmtId="0" fontId="18" fillId="10" borderId="34" xfId="0" applyFont="1" applyFill="1" applyBorder="1" applyAlignment="1">
      <alignment horizontal="centerContinuous" vertical="center"/>
    </xf>
    <xf numFmtId="0" fontId="18" fillId="10" borderId="35" xfId="0" applyFont="1" applyFill="1" applyBorder="1" applyAlignment="1">
      <alignment horizontal="centerContinuous" vertical="center"/>
    </xf>
    <xf numFmtId="0" fontId="18" fillId="10" borderId="36" xfId="0" applyFont="1" applyFill="1" applyBorder="1" applyAlignment="1">
      <alignment horizontal="centerContinuous" vertical="center"/>
    </xf>
    <xf numFmtId="0" fontId="18" fillId="10" borderId="9" xfId="0" applyFont="1" applyFill="1" applyBorder="1" applyAlignment="1">
      <alignment horizontal="center" vertical="center"/>
    </xf>
    <xf numFmtId="0" fontId="18" fillId="10" borderId="10" xfId="0" applyFont="1" applyFill="1" applyBorder="1" applyAlignment="1">
      <alignment horizontal="center" vertical="center"/>
    </xf>
    <xf numFmtId="0" fontId="18" fillId="10" borderId="45" xfId="0" applyFont="1" applyFill="1" applyBorder="1" applyAlignment="1">
      <alignment horizontal="center" vertical="center"/>
    </xf>
    <xf numFmtId="0" fontId="18" fillId="10" borderId="11" xfId="0" applyFont="1" applyFill="1" applyBorder="1" applyAlignment="1">
      <alignment horizontal="center" vertical="center"/>
    </xf>
    <xf numFmtId="0" fontId="18" fillId="10" borderId="15" xfId="0" applyFont="1" applyFill="1" applyBorder="1" applyAlignment="1">
      <alignment horizontal="center" vertical="center"/>
    </xf>
    <xf numFmtId="0" fontId="18" fillId="10" borderId="16" xfId="0" applyFont="1" applyFill="1" applyBorder="1" applyAlignment="1">
      <alignment horizontal="center" vertical="center"/>
    </xf>
    <xf numFmtId="0" fontId="18" fillId="10" borderId="50" xfId="0" applyFont="1" applyFill="1" applyBorder="1" applyAlignment="1">
      <alignment horizontal="center" vertical="center"/>
    </xf>
    <xf numFmtId="0" fontId="18" fillId="10" borderId="47" xfId="0" applyFont="1" applyFill="1" applyBorder="1" applyAlignment="1">
      <alignment horizontal="center" vertical="center"/>
    </xf>
    <xf numFmtId="178" fontId="9" fillId="0" borderId="0" xfId="0" applyNumberFormat="1" applyFont="1">
      <alignment vertical="center"/>
    </xf>
    <xf numFmtId="178" fontId="19" fillId="0" borderId="0" xfId="0" applyNumberFormat="1" applyFont="1">
      <alignment vertical="center"/>
    </xf>
    <xf numFmtId="178" fontId="0" fillId="0" borderId="0" xfId="0" applyNumberFormat="1" applyAlignment="1">
      <alignment horizontal="right" vertical="center"/>
    </xf>
    <xf numFmtId="178" fontId="18" fillId="0" borderId="0" xfId="0" applyNumberFormat="1" applyFont="1" applyFill="1" applyBorder="1" applyAlignment="1">
      <alignment vertical="center"/>
    </xf>
    <xf numFmtId="178" fontId="2" fillId="0" borderId="4" xfId="0" applyNumberFormat="1" applyFont="1" applyBorder="1" applyAlignment="1">
      <alignment horizontal="centerContinuous" vertical="center"/>
    </xf>
    <xf numFmtId="178" fontId="0" fillId="0" borderId="5" xfId="0" applyNumberFormat="1" applyBorder="1">
      <alignment vertical="center"/>
    </xf>
    <xf numFmtId="178" fontId="6" fillId="0" borderId="4" xfId="0" applyNumberFormat="1" applyFont="1" applyBorder="1">
      <alignment vertical="center"/>
    </xf>
    <xf numFmtId="178" fontId="6" fillId="0" borderId="46" xfId="0" applyNumberFormat="1" applyFont="1" applyBorder="1">
      <alignment vertical="center"/>
    </xf>
    <xf numFmtId="178" fontId="6" fillId="0" borderId="18" xfId="0" applyNumberFormat="1" applyFont="1" applyBorder="1">
      <alignment vertical="center"/>
    </xf>
    <xf numFmtId="178" fontId="6" fillId="0" borderId="53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right" vertical="center"/>
    </xf>
    <xf numFmtId="178" fontId="2" fillId="0" borderId="33" xfId="0" applyNumberFormat="1" applyFont="1" applyBorder="1" applyAlignment="1">
      <alignment horizontal="right" vertical="center"/>
    </xf>
    <xf numFmtId="178" fontId="6" fillId="0" borderId="0" xfId="0" applyNumberFormat="1" applyFont="1" applyBorder="1">
      <alignment vertical="center"/>
    </xf>
    <xf numFmtId="177" fontId="6" fillId="0" borderId="0" xfId="0" applyNumberFormat="1" applyFont="1" applyBorder="1">
      <alignment vertical="center"/>
    </xf>
    <xf numFmtId="178" fontId="0" fillId="0" borderId="8" xfId="0" applyNumberFormat="1" applyBorder="1">
      <alignment vertical="center"/>
    </xf>
    <xf numFmtId="178" fontId="2" fillId="0" borderId="7" xfId="0" applyNumberFormat="1" applyFont="1" applyBorder="1">
      <alignment vertical="center"/>
    </xf>
    <xf numFmtId="178" fontId="0" fillId="0" borderId="55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17" xfId="0" applyNumberFormat="1" applyBorder="1">
      <alignment vertical="center"/>
    </xf>
    <xf numFmtId="178" fontId="6" fillId="0" borderId="2" xfId="0" applyNumberFormat="1" applyFont="1" applyBorder="1">
      <alignment vertical="center"/>
    </xf>
    <xf numFmtId="178" fontId="6" fillId="0" borderId="68" xfId="0" applyNumberFormat="1" applyFont="1" applyBorder="1">
      <alignment vertical="center"/>
    </xf>
    <xf numFmtId="178" fontId="6" fillId="0" borderId="23" xfId="0" applyNumberFormat="1" applyFont="1" applyBorder="1">
      <alignment vertical="center"/>
    </xf>
    <xf numFmtId="177" fontId="6" fillId="0" borderId="23" xfId="0" applyNumberFormat="1" applyFont="1" applyBorder="1">
      <alignment vertical="center"/>
    </xf>
    <xf numFmtId="177" fontId="6" fillId="0" borderId="7" xfId="0" applyNumberFormat="1" applyFont="1" applyBorder="1">
      <alignment vertical="center"/>
    </xf>
    <xf numFmtId="0" fontId="16" fillId="6" borderId="74" xfId="0" applyFont="1" applyFill="1" applyBorder="1" applyAlignment="1">
      <alignment horizontal="centerContinuous" vertical="center"/>
    </xf>
    <xf numFmtId="178" fontId="0" fillId="0" borderId="30" xfId="0" applyNumberFormat="1" applyBorder="1" applyAlignment="1">
      <alignment horizontal="center" vertical="center" wrapText="1"/>
    </xf>
    <xf numFmtId="178" fontId="0" fillId="0" borderId="0" xfId="0" applyNumberFormat="1" applyAlignment="1">
      <alignment vertical="center"/>
    </xf>
    <xf numFmtId="178" fontId="6" fillId="0" borderId="8" xfId="0" applyNumberFormat="1" applyFont="1" applyBorder="1">
      <alignment vertical="center"/>
    </xf>
    <xf numFmtId="178" fontId="6" fillId="0" borderId="6" xfId="0" applyNumberFormat="1" applyFont="1" applyBorder="1">
      <alignment vertical="center"/>
    </xf>
    <xf numFmtId="178" fontId="6" fillId="0" borderId="7" xfId="0" applyNumberFormat="1" applyFont="1" applyBorder="1">
      <alignment vertical="center"/>
    </xf>
    <xf numFmtId="178" fontId="6" fillId="0" borderId="63" xfId="0" applyNumberFormat="1" applyFont="1" applyBorder="1">
      <alignment vertical="center"/>
    </xf>
    <xf numFmtId="178" fontId="6" fillId="0" borderId="47" xfId="0" applyNumberFormat="1" applyFont="1" applyBorder="1">
      <alignment vertical="center"/>
    </xf>
    <xf numFmtId="178" fontId="2" fillId="0" borderId="63" xfId="0" applyNumberFormat="1" applyFont="1" applyBorder="1" applyAlignment="1">
      <alignment horizontal="center" vertical="center"/>
    </xf>
    <xf numFmtId="178" fontId="2" fillId="0" borderId="15" xfId="0" applyNumberFormat="1" applyFont="1" applyBorder="1" applyAlignment="1">
      <alignment horizontal="center" vertical="center"/>
    </xf>
    <xf numFmtId="178" fontId="6" fillId="0" borderId="5" xfId="0" applyNumberFormat="1" applyFont="1" applyBorder="1">
      <alignment vertical="center"/>
    </xf>
    <xf numFmtId="178" fontId="6" fillId="0" borderId="31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center" vertical="center"/>
    </xf>
    <xf numFmtId="178" fontId="6" fillId="0" borderId="54" xfId="0" applyNumberFormat="1" applyFont="1" applyBorder="1">
      <alignment vertical="center"/>
    </xf>
    <xf numFmtId="178" fontId="6" fillId="0" borderId="32" xfId="0" applyNumberFormat="1" applyFont="1" applyBorder="1">
      <alignment vertical="center"/>
    </xf>
    <xf numFmtId="178" fontId="2" fillId="0" borderId="32" xfId="0" applyNumberFormat="1" applyFont="1" applyBorder="1" applyAlignment="1">
      <alignment horizontal="center" vertical="center"/>
    </xf>
    <xf numFmtId="178" fontId="2" fillId="0" borderId="19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vertical="center"/>
    </xf>
    <xf numFmtId="178" fontId="6" fillId="0" borderId="0" xfId="0" applyNumberFormat="1" applyFont="1" applyBorder="1" applyAlignment="1">
      <alignment vertical="center"/>
    </xf>
    <xf numFmtId="178" fontId="6" fillId="0" borderId="31" xfId="0" applyNumberFormat="1" applyFont="1" applyBorder="1" applyAlignment="1">
      <alignment vertical="center"/>
    </xf>
    <xf numFmtId="178" fontId="6" fillId="0" borderId="46" xfId="0" applyNumberFormat="1" applyFont="1" applyBorder="1" applyAlignment="1">
      <alignment vertical="center"/>
    </xf>
    <xf numFmtId="178" fontId="6" fillId="0" borderId="1" xfId="0" applyNumberFormat="1" applyFont="1" applyBorder="1" applyAlignment="1">
      <alignment vertical="center"/>
    </xf>
    <xf numFmtId="178" fontId="6" fillId="0" borderId="2" xfId="0" applyNumberFormat="1" applyFont="1" applyBorder="1" applyAlignment="1">
      <alignment vertical="center"/>
    </xf>
    <xf numFmtId="178" fontId="6" fillId="0" borderId="27" xfId="0" applyNumberFormat="1" applyFont="1" applyBorder="1" applyAlignment="1">
      <alignment vertical="center"/>
    </xf>
    <xf numFmtId="178" fontId="6" fillId="0" borderId="39" xfId="0" applyNumberFormat="1" applyFont="1" applyBorder="1" applyAlignment="1">
      <alignment vertical="center"/>
    </xf>
    <xf numFmtId="178" fontId="2" fillId="0" borderId="30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8" fontId="6" fillId="0" borderId="6" xfId="0" applyNumberFormat="1" applyFont="1" applyBorder="1" applyAlignment="1">
      <alignment vertical="center"/>
    </xf>
    <xf numFmtId="178" fontId="6" fillId="0" borderId="7" xfId="0" applyNumberFormat="1" applyFont="1" applyBorder="1" applyAlignment="1">
      <alignment vertical="center"/>
    </xf>
    <xf numFmtId="178" fontId="6" fillId="0" borderId="63" xfId="0" applyNumberFormat="1" applyFont="1" applyBorder="1" applyAlignment="1">
      <alignment vertical="center"/>
    </xf>
    <xf numFmtId="178" fontId="6" fillId="0" borderId="47" xfId="0" applyNumberFormat="1" applyFont="1" applyBorder="1" applyAlignment="1">
      <alignment vertical="center"/>
    </xf>
    <xf numFmtId="178" fontId="2" fillId="0" borderId="7" xfId="0" applyNumberFormat="1" applyFont="1" applyBorder="1" applyAlignment="1">
      <alignment horizontal="center" vertical="center"/>
    </xf>
    <xf numFmtId="178" fontId="6" fillId="0" borderId="22" xfId="0" applyNumberFormat="1" applyFont="1" applyBorder="1" applyAlignment="1">
      <alignment vertical="center"/>
    </xf>
    <xf numFmtId="178" fontId="6" fillId="0" borderId="23" xfId="0" applyNumberFormat="1" applyFont="1" applyBorder="1" applyAlignment="1">
      <alignment vertical="center"/>
    </xf>
    <xf numFmtId="178" fontId="6" fillId="0" borderId="33" xfId="0" applyNumberFormat="1" applyFont="1" applyBorder="1" applyAlignment="1">
      <alignment vertical="center"/>
    </xf>
    <xf numFmtId="178" fontId="6" fillId="0" borderId="49" xfId="0" applyNumberFormat="1" applyFont="1" applyBorder="1" applyAlignment="1">
      <alignment vertical="center"/>
    </xf>
    <xf numFmtId="178" fontId="2" fillId="0" borderId="33" xfId="0" applyNumberFormat="1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" vertical="center"/>
    </xf>
    <xf numFmtId="178" fontId="2" fillId="0" borderId="28" xfId="0" applyNumberFormat="1" applyFont="1" applyBorder="1" applyAlignment="1">
      <alignment horizontal="center" vertical="center"/>
    </xf>
    <xf numFmtId="178" fontId="6" fillId="0" borderId="18" xfId="0" applyNumberFormat="1" applyFont="1" applyBorder="1" applyAlignment="1">
      <alignment vertical="center"/>
    </xf>
    <xf numFmtId="178" fontId="6" fillId="0" borderId="68" xfId="0" applyNumberFormat="1" applyFont="1" applyBorder="1" applyAlignment="1">
      <alignment vertical="center"/>
    </xf>
    <xf numFmtId="178" fontId="6" fillId="0" borderId="32" xfId="0" applyNumberFormat="1" applyFont="1" applyBorder="1" applyAlignment="1">
      <alignment vertical="center"/>
    </xf>
    <xf numFmtId="178" fontId="6" fillId="0" borderId="53" xfId="0" applyNumberFormat="1" applyFont="1" applyBorder="1" applyAlignment="1">
      <alignment vertical="center"/>
    </xf>
    <xf numFmtId="178" fontId="2" fillId="0" borderId="68" xfId="0" applyNumberFormat="1" applyFont="1" applyBorder="1" applyAlignment="1">
      <alignment horizontal="center" vertical="center"/>
    </xf>
    <xf numFmtId="178" fontId="20" fillId="0" borderId="22" xfId="0" applyNumberFormat="1" applyFont="1" applyBorder="1" applyAlignment="1">
      <alignment vertical="center"/>
    </xf>
    <xf numFmtId="178" fontId="20" fillId="0" borderId="23" xfId="0" applyNumberFormat="1" applyFont="1" applyBorder="1" applyAlignment="1">
      <alignment vertical="center"/>
    </xf>
    <xf numFmtId="178" fontId="20" fillId="0" borderId="33" xfId="0" applyNumberFormat="1" applyFont="1" applyBorder="1" applyAlignment="1">
      <alignment vertical="center"/>
    </xf>
    <xf numFmtId="178" fontId="20" fillId="0" borderId="49" xfId="0" applyNumberFormat="1" applyFont="1" applyBorder="1" applyAlignment="1">
      <alignment vertical="center"/>
    </xf>
    <xf numFmtId="178" fontId="21" fillId="0" borderId="33" xfId="0" applyNumberFormat="1" applyFont="1" applyBorder="1" applyAlignment="1">
      <alignment horizontal="center" vertical="center"/>
    </xf>
    <xf numFmtId="178" fontId="6" fillId="0" borderId="0" xfId="0" applyNumberFormat="1" applyFont="1" applyFill="1" applyBorder="1">
      <alignment vertical="center"/>
    </xf>
    <xf numFmtId="178" fontId="2" fillId="0" borderId="4" xfId="0" applyNumberFormat="1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vertical="center"/>
    </xf>
    <xf numFmtId="178" fontId="6" fillId="0" borderId="2" xfId="0" applyNumberFormat="1" applyFont="1" applyFill="1" applyBorder="1" applyAlignment="1">
      <alignment vertical="center"/>
    </xf>
    <xf numFmtId="178" fontId="6" fillId="0" borderId="27" xfId="0" applyNumberFormat="1" applyFont="1" applyFill="1" applyBorder="1" applyAlignment="1">
      <alignment vertical="center"/>
    </xf>
    <xf numFmtId="178" fontId="6" fillId="0" borderId="39" xfId="0" applyNumberFormat="1" applyFont="1" applyFill="1" applyBorder="1" applyAlignment="1">
      <alignment vertical="center"/>
    </xf>
    <xf numFmtId="178" fontId="2" fillId="0" borderId="27" xfId="0" applyNumberFormat="1" applyFont="1" applyFill="1" applyBorder="1" applyAlignment="1">
      <alignment horizontal="center" vertical="center"/>
    </xf>
    <xf numFmtId="178" fontId="2" fillId="0" borderId="28" xfId="0" applyNumberFormat="1" applyFont="1" applyFill="1" applyBorder="1" applyAlignment="1">
      <alignment horizontal="center" vertical="center"/>
    </xf>
    <xf numFmtId="178" fontId="6" fillId="0" borderId="74" xfId="0" applyNumberFormat="1" applyFont="1" applyFill="1" applyBorder="1" applyAlignment="1">
      <alignment vertical="center"/>
    </xf>
    <xf numFmtId="178" fontId="6" fillId="0" borderId="66" xfId="0" applyNumberFormat="1" applyFont="1" applyFill="1" applyBorder="1" applyAlignment="1">
      <alignment vertical="center"/>
    </xf>
    <xf numFmtId="178" fontId="6" fillId="0" borderId="64" xfId="0" applyNumberFormat="1" applyFont="1" applyFill="1" applyBorder="1" applyAlignment="1">
      <alignment vertical="center"/>
    </xf>
    <xf numFmtId="178" fontId="6" fillId="0" borderId="45" xfId="0" applyNumberFormat="1" applyFont="1" applyFill="1" applyBorder="1" applyAlignment="1">
      <alignment vertical="center"/>
    </xf>
    <xf numFmtId="178" fontId="2" fillId="0" borderId="66" xfId="0" applyNumberFormat="1" applyFont="1" applyFill="1" applyBorder="1" applyAlignment="1">
      <alignment horizontal="center" vertical="center"/>
    </xf>
    <xf numFmtId="178" fontId="2" fillId="0" borderId="6" xfId="0" applyNumberFormat="1" applyFont="1" applyFill="1" applyBorder="1" applyAlignment="1">
      <alignment horizontal="center" vertical="center"/>
    </xf>
    <xf numFmtId="9" fontId="6" fillId="0" borderId="22" xfId="0" applyNumberFormat="1" applyFont="1" applyFill="1" applyBorder="1" applyAlignment="1">
      <alignment vertical="center"/>
    </xf>
    <xf numFmtId="9" fontId="6" fillId="0" borderId="23" xfId="0" applyNumberFormat="1" applyFont="1" applyFill="1" applyBorder="1" applyAlignment="1">
      <alignment vertical="center"/>
    </xf>
    <xf numFmtId="9" fontId="6" fillId="0" borderId="33" xfId="0" applyNumberFormat="1" applyFont="1" applyFill="1" applyBorder="1" applyAlignment="1">
      <alignment vertical="center"/>
    </xf>
    <xf numFmtId="9" fontId="6" fillId="0" borderId="49" xfId="0" applyNumberFormat="1" applyFont="1" applyFill="1" applyBorder="1" applyAlignment="1">
      <alignment vertical="center"/>
    </xf>
    <xf numFmtId="9" fontId="2" fillId="0" borderId="33" xfId="0" applyNumberFormat="1" applyFont="1" applyFill="1" applyBorder="1" applyAlignment="1">
      <alignment horizontal="right" vertical="center"/>
    </xf>
    <xf numFmtId="178" fontId="6" fillId="0" borderId="18" xfId="0" applyNumberFormat="1" applyFont="1" applyFill="1" applyBorder="1" applyAlignment="1">
      <alignment vertical="center"/>
    </xf>
    <xf numFmtId="178" fontId="6" fillId="0" borderId="68" xfId="0" applyNumberFormat="1" applyFont="1" applyFill="1" applyBorder="1" applyAlignment="1">
      <alignment vertical="center"/>
    </xf>
    <xf numFmtId="178" fontId="6" fillId="0" borderId="32" xfId="0" applyNumberFormat="1" applyFont="1" applyFill="1" applyBorder="1" applyAlignment="1">
      <alignment vertical="center"/>
    </xf>
    <xf numFmtId="178" fontId="6" fillId="0" borderId="53" xfId="0" applyNumberFormat="1" applyFont="1" applyFill="1" applyBorder="1" applyAlignment="1">
      <alignment vertical="center"/>
    </xf>
    <xf numFmtId="178" fontId="2" fillId="0" borderId="32" xfId="0" applyNumberFormat="1" applyFont="1" applyFill="1" applyBorder="1" applyAlignment="1">
      <alignment horizontal="center" vertical="center"/>
    </xf>
    <xf numFmtId="178" fontId="2" fillId="0" borderId="12" xfId="0" applyNumberFormat="1" applyFont="1" applyFill="1" applyBorder="1" applyAlignment="1">
      <alignment horizontal="center" vertical="center"/>
    </xf>
    <xf numFmtId="9" fontId="6" fillId="0" borderId="4" xfId="0" applyNumberFormat="1" applyFont="1" applyFill="1" applyBorder="1" applyAlignment="1">
      <alignment vertical="center"/>
    </xf>
    <xf numFmtId="9" fontId="6" fillId="0" borderId="0" xfId="0" applyNumberFormat="1" applyFont="1" applyFill="1" applyBorder="1" applyAlignment="1">
      <alignment vertical="center"/>
    </xf>
    <xf numFmtId="9" fontId="6" fillId="0" borderId="31" xfId="0" applyNumberFormat="1" applyFont="1" applyFill="1" applyBorder="1" applyAlignment="1">
      <alignment vertical="center"/>
    </xf>
    <xf numFmtId="9" fontId="6" fillId="0" borderId="46" xfId="0" applyNumberFormat="1" applyFont="1" applyFill="1" applyBorder="1" applyAlignment="1">
      <alignment vertical="center"/>
    </xf>
    <xf numFmtId="9" fontId="2" fillId="0" borderId="31" xfId="0" applyNumberFormat="1" applyFont="1" applyFill="1" applyBorder="1" applyAlignment="1">
      <alignment horizontal="right" vertical="center"/>
    </xf>
    <xf numFmtId="178" fontId="18" fillId="6" borderId="74" xfId="0" applyNumberFormat="1" applyFont="1" applyFill="1" applyBorder="1" applyAlignment="1">
      <alignment horizontal="center" vertical="center"/>
    </xf>
    <xf numFmtId="178" fontId="18" fillId="6" borderId="66" xfId="0" applyNumberFormat="1" applyFont="1" applyFill="1" applyBorder="1" applyAlignment="1">
      <alignment horizontal="center" vertical="center"/>
    </xf>
    <xf numFmtId="178" fontId="18" fillId="6" borderId="64" xfId="0" applyNumberFormat="1" applyFont="1" applyFill="1" applyBorder="1" applyAlignment="1">
      <alignment horizontal="center" vertical="center"/>
    </xf>
    <xf numFmtId="178" fontId="18" fillId="6" borderId="45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178" fontId="18" fillId="6" borderId="29" xfId="0" applyNumberFormat="1" applyFont="1" applyFill="1" applyBorder="1" applyAlignment="1">
      <alignment horizontal="centerContinuous" vertical="center"/>
    </xf>
    <xf numFmtId="178" fontId="18" fillId="6" borderId="28" xfId="0" applyNumberFormat="1" applyFont="1" applyFill="1" applyBorder="1" applyAlignment="1">
      <alignment horizontal="centerContinuous" vertical="center"/>
    </xf>
    <xf numFmtId="178" fontId="18" fillId="6" borderId="27" xfId="0" applyNumberFormat="1" applyFont="1" applyFill="1" applyBorder="1" applyAlignment="1">
      <alignment horizontal="centerContinuous" vertical="center"/>
    </xf>
    <xf numFmtId="178" fontId="18" fillId="0" borderId="0" xfId="0" applyNumberFormat="1" applyFont="1" applyFill="1" applyBorder="1" applyAlignment="1">
      <alignment horizontal="centerContinuous" vertical="center"/>
    </xf>
    <xf numFmtId="176" fontId="7" fillId="9" borderId="28" xfId="0" applyNumberFormat="1" applyFont="1" applyFill="1" applyBorder="1" applyAlignment="1">
      <alignment horizontal="center" vertical="center"/>
    </xf>
    <xf numFmtId="176" fontId="7" fillId="9" borderId="12" xfId="0" applyNumberFormat="1" applyFont="1" applyFill="1" applyBorder="1" applyAlignment="1">
      <alignment horizontal="center" vertical="center"/>
    </xf>
    <xf numFmtId="176" fontId="7" fillId="9" borderId="6" xfId="0" applyNumberFormat="1" applyFont="1" applyFill="1" applyBorder="1" applyAlignment="1">
      <alignment horizontal="centerContinuous" vertical="center"/>
    </xf>
    <xf numFmtId="0" fontId="2" fillId="0" borderId="75" xfId="0" applyFont="1" applyBorder="1" applyAlignment="1">
      <alignment horizontal="centerContinuous" vertical="center"/>
    </xf>
    <xf numFmtId="176" fontId="2" fillId="0" borderId="76" xfId="0" applyNumberFormat="1" applyFont="1" applyBorder="1" applyAlignment="1">
      <alignment horizontal="centerContinuous" vertical="center"/>
    </xf>
    <xf numFmtId="176" fontId="7" fillId="0" borderId="27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Continuous" vertical="center"/>
    </xf>
    <xf numFmtId="176" fontId="7" fillId="9" borderId="27" xfId="0" applyNumberFormat="1" applyFont="1" applyFill="1" applyBorder="1" applyAlignment="1">
      <alignment horizontal="center" vertical="center"/>
    </xf>
    <xf numFmtId="176" fontId="7" fillId="9" borderId="31" xfId="0" applyNumberFormat="1" applyFont="1" applyFill="1" applyBorder="1" applyAlignment="1">
      <alignment horizontal="center" vertical="center"/>
    </xf>
    <xf numFmtId="176" fontId="7" fillId="9" borderId="33" xfId="0" applyNumberFormat="1" applyFont="1" applyFill="1" applyBorder="1" applyAlignment="1">
      <alignment horizontal="center" vertical="center"/>
    </xf>
    <xf numFmtId="176" fontId="7" fillId="9" borderId="7" xfId="0" applyNumberFormat="1" applyFont="1" applyFill="1" applyBorder="1" applyAlignment="1">
      <alignment horizontal="centerContinuous" vertical="center"/>
    </xf>
    <xf numFmtId="178" fontId="2" fillId="0" borderId="36" xfId="0" applyNumberFormat="1" applyFont="1" applyBorder="1" applyAlignment="1">
      <alignment vertical="center"/>
    </xf>
    <xf numFmtId="177" fontId="0" fillId="0" borderId="50" xfId="0" applyNumberFormat="1" applyBorder="1">
      <alignment vertical="center"/>
    </xf>
    <xf numFmtId="178" fontId="0" fillId="0" borderId="50" xfId="0" applyNumberFormat="1" applyBorder="1">
      <alignment vertical="center"/>
    </xf>
    <xf numFmtId="178" fontId="2" fillId="0" borderId="65" xfId="0" applyNumberFormat="1" applyFont="1" applyBorder="1" applyAlignment="1">
      <alignment vertical="center"/>
    </xf>
    <xf numFmtId="177" fontId="0" fillId="0" borderId="10" xfId="0" applyNumberFormat="1" applyBorder="1">
      <alignment vertical="center"/>
    </xf>
    <xf numFmtId="176" fontId="15" fillId="0" borderId="1" xfId="0" applyNumberFormat="1" applyFont="1" applyBorder="1">
      <alignment vertical="center"/>
    </xf>
    <xf numFmtId="176" fontId="15" fillId="0" borderId="4" xfId="0" applyNumberFormat="1" applyFont="1" applyBorder="1">
      <alignment vertical="center"/>
    </xf>
    <xf numFmtId="176" fontId="15" fillId="0" borderId="22" xfId="0" applyNumberFormat="1" applyFont="1" applyBorder="1">
      <alignment vertical="center"/>
    </xf>
    <xf numFmtId="176" fontId="15" fillId="0" borderId="6" xfId="0" applyNumberFormat="1" applyFont="1" applyBorder="1">
      <alignment vertical="center"/>
    </xf>
    <xf numFmtId="176" fontId="15" fillId="9" borderId="1" xfId="0" applyNumberFormat="1" applyFont="1" applyFill="1" applyBorder="1">
      <alignment vertical="center"/>
    </xf>
    <xf numFmtId="176" fontId="15" fillId="9" borderId="4" xfId="0" applyNumberFormat="1" applyFont="1" applyFill="1" applyBorder="1">
      <alignment vertical="center"/>
    </xf>
    <xf numFmtId="176" fontId="15" fillId="9" borderId="22" xfId="0" applyNumberFormat="1" applyFont="1" applyFill="1" applyBorder="1">
      <alignment vertical="center"/>
    </xf>
    <xf numFmtId="176" fontId="15" fillId="9" borderId="6" xfId="0" applyNumberFormat="1" applyFont="1" applyFill="1" applyBorder="1">
      <alignment vertical="center"/>
    </xf>
    <xf numFmtId="177" fontId="15" fillId="0" borderId="4" xfId="0" applyNumberFormat="1" applyFont="1" applyBorder="1">
      <alignment vertical="center"/>
    </xf>
    <xf numFmtId="177" fontId="15" fillId="0" borderId="6" xfId="0" applyNumberFormat="1" applyFont="1" applyBorder="1">
      <alignment vertical="center"/>
    </xf>
    <xf numFmtId="0" fontId="16" fillId="6" borderId="45" xfId="0" applyFont="1" applyFill="1" applyBorder="1" applyAlignment="1">
      <alignment horizontal="centerContinuous" vertical="center"/>
    </xf>
    <xf numFmtId="177" fontId="15" fillId="0" borderId="46" xfId="0" applyNumberFormat="1" applyFont="1" applyBorder="1">
      <alignment vertical="center"/>
    </xf>
    <xf numFmtId="177" fontId="15" fillId="0" borderId="47" xfId="0" applyNumberFormat="1" applyFont="1" applyBorder="1">
      <alignment vertical="center"/>
    </xf>
    <xf numFmtId="0" fontId="16" fillId="6" borderId="81" xfId="0" applyFont="1" applyFill="1" applyBorder="1" applyAlignment="1">
      <alignment horizontal="centerContinuous" vertical="center"/>
    </xf>
    <xf numFmtId="177" fontId="15" fillId="0" borderId="78" xfId="0" applyNumberFormat="1" applyFont="1" applyBorder="1">
      <alignment vertical="center"/>
    </xf>
    <xf numFmtId="177" fontId="15" fillId="0" borderId="80" xfId="0" applyNumberFormat="1" applyFont="1" applyBorder="1">
      <alignment vertical="center"/>
    </xf>
    <xf numFmtId="178" fontId="2" fillId="0" borderId="34" xfId="0" applyNumberFormat="1" applyFont="1" applyBorder="1" applyAlignment="1">
      <alignment vertical="center"/>
    </xf>
    <xf numFmtId="177" fontId="0" fillId="0" borderId="74" xfId="0" applyNumberFormat="1" applyBorder="1">
      <alignment vertical="center"/>
    </xf>
    <xf numFmtId="178" fontId="0" fillId="0" borderId="74" xfId="0" applyNumberFormat="1" applyBorder="1">
      <alignment vertical="center"/>
    </xf>
    <xf numFmtId="178" fontId="2" fillId="0" borderId="35" xfId="0" applyNumberFormat="1" applyFont="1" applyFill="1" applyBorder="1" applyAlignment="1">
      <alignment vertical="center"/>
    </xf>
    <xf numFmtId="177" fontId="0" fillId="0" borderId="66" xfId="0" applyNumberFormat="1" applyBorder="1">
      <alignment vertical="center"/>
    </xf>
    <xf numFmtId="178" fontId="0" fillId="0" borderId="66" xfId="0" applyNumberFormat="1" applyBorder="1">
      <alignment vertical="center"/>
    </xf>
    <xf numFmtId="178" fontId="2" fillId="3" borderId="65" xfId="0" applyNumberFormat="1" applyFont="1" applyFill="1" applyBorder="1" applyAlignment="1">
      <alignment vertical="center"/>
    </xf>
    <xf numFmtId="177" fontId="2" fillId="3" borderId="10" xfId="0" applyNumberFormat="1" applyFont="1" applyFill="1" applyBorder="1">
      <alignment vertical="center"/>
    </xf>
    <xf numFmtId="0" fontId="7" fillId="12" borderId="48" xfId="0" applyFont="1" applyFill="1" applyBorder="1" applyAlignment="1">
      <alignment horizontal="centerContinuous" vertical="center"/>
    </xf>
    <xf numFmtId="0" fontId="7" fillId="12" borderId="69" xfId="0" applyFont="1" applyFill="1" applyBorder="1" applyAlignment="1">
      <alignment horizontal="centerContinuous" vertical="center"/>
    </xf>
    <xf numFmtId="0" fontId="7" fillId="12" borderId="1" xfId="0" applyFont="1" applyFill="1" applyBorder="1" applyAlignment="1">
      <alignment horizontal="centerContinuous" vertical="center"/>
    </xf>
    <xf numFmtId="0" fontId="7" fillId="12" borderId="29" xfId="0" applyFont="1" applyFill="1" applyBorder="1" applyAlignment="1">
      <alignment horizontal="centerContinuous" vertical="center"/>
    </xf>
    <xf numFmtId="0" fontId="7" fillId="12" borderId="39" xfId="0" applyFont="1" applyFill="1" applyBorder="1" applyAlignment="1">
      <alignment horizontal="centerContinuous" vertical="center"/>
    </xf>
    <xf numFmtId="0" fontId="7" fillId="12" borderId="30" xfId="0" applyFont="1" applyFill="1" applyBorder="1" applyAlignment="1">
      <alignment horizontal="centerContinuous" vertical="center"/>
    </xf>
    <xf numFmtId="0" fontId="2" fillId="12" borderId="48" xfId="0" applyFont="1" applyFill="1" applyBorder="1" applyAlignment="1">
      <alignment horizontal="centerContinuous" vertical="center"/>
    </xf>
    <xf numFmtId="0" fontId="2" fillId="12" borderId="69" xfId="0" applyFont="1" applyFill="1" applyBorder="1" applyAlignment="1">
      <alignment horizontal="centerContinuous" vertical="center"/>
    </xf>
    <xf numFmtId="178" fontId="2" fillId="12" borderId="1" xfId="0" applyNumberFormat="1" applyFont="1" applyFill="1" applyBorder="1" applyAlignment="1">
      <alignment horizontal="centerContinuous" vertical="center"/>
    </xf>
    <xf numFmtId="178" fontId="2" fillId="12" borderId="29" xfId="0" applyNumberFormat="1" applyFont="1" applyFill="1" applyBorder="1" applyAlignment="1">
      <alignment horizontal="centerContinuous" vertical="center"/>
    </xf>
    <xf numFmtId="178" fontId="2" fillId="12" borderId="2" xfId="0" applyNumberFormat="1" applyFont="1" applyFill="1" applyBorder="1" applyAlignment="1">
      <alignment horizontal="centerContinuous" vertical="center"/>
    </xf>
    <xf numFmtId="178" fontId="2" fillId="12" borderId="3" xfId="0" applyNumberFormat="1" applyFont="1" applyFill="1" applyBorder="1" applyAlignment="1">
      <alignment horizontal="centerContinuous" vertical="center"/>
    </xf>
    <xf numFmtId="180" fontId="0" fillId="0" borderId="0" xfId="0" applyNumberFormat="1">
      <alignment vertical="center"/>
    </xf>
    <xf numFmtId="178" fontId="6" fillId="0" borderId="3" xfId="0" applyNumberFormat="1" applyFont="1" applyBorder="1">
      <alignment vertical="center"/>
    </xf>
    <xf numFmtId="178" fontId="6" fillId="0" borderId="51" xfId="0" applyNumberFormat="1" applyFont="1" applyBorder="1">
      <alignment vertical="center"/>
    </xf>
    <xf numFmtId="177" fontId="6" fillId="0" borderId="5" xfId="0" applyNumberFormat="1" applyFont="1" applyBorder="1">
      <alignment vertical="center"/>
    </xf>
    <xf numFmtId="177" fontId="6" fillId="0" borderId="51" xfId="0" applyNumberFormat="1" applyFont="1" applyBorder="1">
      <alignment vertical="center"/>
    </xf>
    <xf numFmtId="177" fontId="6" fillId="0" borderId="8" xfId="0" applyNumberFormat="1" applyFont="1" applyBorder="1">
      <alignment vertical="center"/>
    </xf>
    <xf numFmtId="178" fontId="2" fillId="0" borderId="63" xfId="0" applyNumberFormat="1" applyFont="1" applyBorder="1" applyAlignment="1">
      <alignment horizontal="centerContinuous" vertical="center"/>
    </xf>
    <xf numFmtId="0" fontId="16" fillId="6" borderId="67" xfId="0" applyFont="1" applyFill="1" applyBorder="1" applyAlignment="1">
      <alignment horizontal="centerContinuous" vertical="center"/>
    </xf>
    <xf numFmtId="178" fontId="6" fillId="0" borderId="70" xfId="0" applyNumberFormat="1" applyFont="1" applyBorder="1">
      <alignment vertical="center"/>
    </xf>
    <xf numFmtId="178" fontId="6" fillId="0" borderId="72" xfId="0" applyNumberFormat="1" applyFont="1" applyBorder="1">
      <alignment vertical="center"/>
    </xf>
    <xf numFmtId="178" fontId="6" fillId="0" borderId="71" xfId="0" applyNumberFormat="1" applyFont="1" applyBorder="1">
      <alignment vertical="center"/>
    </xf>
    <xf numFmtId="178" fontId="6" fillId="0" borderId="83" xfId="0" applyNumberFormat="1" applyFont="1" applyBorder="1">
      <alignment vertical="center"/>
    </xf>
    <xf numFmtId="178" fontId="6" fillId="0" borderId="84" xfId="0" applyNumberFormat="1" applyFont="1" applyBorder="1">
      <alignment vertical="center"/>
    </xf>
    <xf numFmtId="177" fontId="6" fillId="0" borderId="71" xfId="0" applyNumberFormat="1" applyFont="1" applyBorder="1">
      <alignment vertical="center"/>
    </xf>
    <xf numFmtId="177" fontId="6" fillId="0" borderId="83" xfId="0" applyNumberFormat="1" applyFont="1" applyBorder="1">
      <alignment vertical="center"/>
    </xf>
    <xf numFmtId="177" fontId="6" fillId="0" borderId="72" xfId="0" applyNumberFormat="1" applyFont="1" applyBorder="1">
      <alignment vertical="center"/>
    </xf>
    <xf numFmtId="0" fontId="16" fillId="6" borderId="69" xfId="0" applyFont="1" applyFill="1" applyBorder="1" applyAlignment="1">
      <alignment horizontal="centerContinuous" vertical="center"/>
    </xf>
    <xf numFmtId="0" fontId="16" fillId="6" borderId="55" xfId="0" applyFont="1" applyFill="1" applyBorder="1" applyAlignment="1">
      <alignment horizontal="centerContinuous" vertical="center"/>
    </xf>
    <xf numFmtId="178" fontId="2" fillId="0" borderId="66" xfId="0" applyNumberFormat="1" applyFont="1" applyBorder="1" applyAlignment="1">
      <alignment horizontal="centerContinuous" vertical="center"/>
    </xf>
    <xf numFmtId="178" fontId="6" fillId="0" borderId="76" xfId="0" applyNumberFormat="1" applyFont="1" applyBorder="1">
      <alignment vertical="center"/>
    </xf>
    <xf numFmtId="178" fontId="6" fillId="0" borderId="66" xfId="0" applyNumberFormat="1" applyFont="1" applyBorder="1">
      <alignment vertical="center"/>
    </xf>
    <xf numFmtId="178" fontId="6" fillId="0" borderId="50" xfId="0" applyNumberFormat="1" applyFont="1" applyBorder="1">
      <alignment vertical="center"/>
    </xf>
    <xf numFmtId="178" fontId="2" fillId="0" borderId="0" xfId="0" applyNumberFormat="1" applyFont="1" applyBorder="1" applyAlignment="1">
      <alignment horizontal="centerContinuous" vertical="center"/>
    </xf>
    <xf numFmtId="178" fontId="18" fillId="6" borderId="10" xfId="0" applyNumberFormat="1" applyFont="1" applyFill="1" applyBorder="1" applyAlignment="1">
      <alignment horizontal="center" vertical="center"/>
    </xf>
    <xf numFmtId="178" fontId="2" fillId="0" borderId="29" xfId="0" applyNumberFormat="1" applyFont="1" applyFill="1" applyBorder="1" applyAlignment="1">
      <alignment vertical="center"/>
    </xf>
    <xf numFmtId="9" fontId="2" fillId="0" borderId="13" xfId="0" applyNumberFormat="1" applyFont="1" applyFill="1" applyBorder="1" applyAlignment="1">
      <alignment vertical="center"/>
    </xf>
    <xf numFmtId="178" fontId="2" fillId="0" borderId="20" xfId="0" applyNumberFormat="1" applyFont="1" applyFill="1" applyBorder="1" applyAlignment="1">
      <alignment vertical="center"/>
    </xf>
    <xf numFmtId="9" fontId="2" fillId="0" borderId="25" xfId="0" applyNumberFormat="1" applyFont="1" applyFill="1" applyBorder="1" applyAlignment="1">
      <alignment vertical="center"/>
    </xf>
    <xf numFmtId="178" fontId="2" fillId="0" borderId="10" xfId="0" applyNumberFormat="1" applyFont="1" applyFill="1" applyBorder="1" applyAlignment="1">
      <alignment vertical="center"/>
    </xf>
    <xf numFmtId="178" fontId="21" fillId="0" borderId="25" xfId="0" applyNumberFormat="1" applyFont="1" applyBorder="1" applyAlignment="1">
      <alignment vertical="center"/>
    </xf>
    <xf numFmtId="178" fontId="2" fillId="0" borderId="20" xfId="0" applyNumberFormat="1" applyFont="1" applyBorder="1" applyAlignment="1">
      <alignment vertical="center"/>
    </xf>
    <xf numFmtId="178" fontId="2" fillId="0" borderId="29" xfId="0" applyNumberFormat="1" applyFont="1" applyBorder="1" applyAlignment="1">
      <alignment vertical="center"/>
    </xf>
    <xf numFmtId="178" fontId="2" fillId="0" borderId="25" xfId="0" applyNumberFormat="1" applyFont="1" applyBorder="1" applyAlignment="1">
      <alignment vertical="center"/>
    </xf>
    <xf numFmtId="178" fontId="2" fillId="0" borderId="16" xfId="0" applyNumberFormat="1" applyFont="1" applyBorder="1" applyAlignment="1">
      <alignment vertical="center"/>
    </xf>
    <xf numFmtId="178" fontId="2" fillId="0" borderId="13" xfId="0" applyNumberFormat="1" applyFont="1" applyBorder="1" applyAlignment="1">
      <alignment vertical="center"/>
    </xf>
    <xf numFmtId="178" fontId="2" fillId="0" borderId="20" xfId="0" applyNumberFormat="1" applyFont="1" applyBorder="1">
      <alignment vertical="center"/>
    </xf>
    <xf numFmtId="178" fontId="2" fillId="0" borderId="16" xfId="0" applyNumberFormat="1" applyFont="1" applyBorder="1">
      <alignment vertical="center"/>
    </xf>
    <xf numFmtId="178" fontId="18" fillId="6" borderId="39" xfId="0" applyNumberFormat="1" applyFont="1" applyFill="1" applyBorder="1" applyAlignment="1">
      <alignment horizontal="centerContinuous" vertical="center"/>
    </xf>
    <xf numFmtId="178" fontId="18" fillId="6" borderId="85" xfId="0" applyNumberFormat="1" applyFont="1" applyFill="1" applyBorder="1" applyAlignment="1">
      <alignment horizontal="centerContinuous" vertical="center"/>
    </xf>
    <xf numFmtId="178" fontId="18" fillId="6" borderId="86" xfId="0" applyNumberFormat="1" applyFont="1" applyFill="1" applyBorder="1" applyAlignment="1">
      <alignment horizontal="centerContinuous" vertical="center"/>
    </xf>
    <xf numFmtId="178" fontId="18" fillId="6" borderId="87" xfId="0" applyNumberFormat="1" applyFont="1" applyFill="1" applyBorder="1" applyAlignment="1">
      <alignment horizontal="centerContinuous" vertical="center"/>
    </xf>
    <xf numFmtId="178" fontId="18" fillId="6" borderId="88" xfId="0" applyNumberFormat="1" applyFont="1" applyFill="1" applyBorder="1" applyAlignment="1">
      <alignment horizontal="center" vertical="center"/>
    </xf>
    <xf numFmtId="178" fontId="18" fillId="6" borderId="89" xfId="0" applyNumberFormat="1" applyFont="1" applyFill="1" applyBorder="1" applyAlignment="1">
      <alignment horizontal="center" vertical="center"/>
    </xf>
    <xf numFmtId="178" fontId="6" fillId="0" borderId="90" xfId="0" applyNumberFormat="1" applyFont="1" applyFill="1" applyBorder="1" applyAlignment="1">
      <alignment vertical="center"/>
    </xf>
    <xf numFmtId="178" fontId="6" fillId="0" borderId="91" xfId="0" applyNumberFormat="1" applyFont="1" applyFill="1" applyBorder="1" applyAlignment="1">
      <alignment vertical="center"/>
    </xf>
    <xf numFmtId="9" fontId="6" fillId="0" borderId="92" xfId="0" applyNumberFormat="1" applyFont="1" applyFill="1" applyBorder="1" applyAlignment="1">
      <alignment vertical="center"/>
    </xf>
    <xf numFmtId="9" fontId="6" fillId="0" borderId="93" xfId="0" applyNumberFormat="1" applyFont="1" applyFill="1" applyBorder="1" applyAlignment="1">
      <alignment vertical="center"/>
    </xf>
    <xf numFmtId="178" fontId="6" fillId="0" borderId="94" xfId="0" applyNumberFormat="1" applyFont="1" applyFill="1" applyBorder="1" applyAlignment="1">
      <alignment vertical="center"/>
    </xf>
    <xf numFmtId="178" fontId="6" fillId="0" borderId="95" xfId="0" applyNumberFormat="1" applyFont="1" applyFill="1" applyBorder="1" applyAlignment="1">
      <alignment vertical="center"/>
    </xf>
    <xf numFmtId="9" fontId="6" fillId="0" borderId="96" xfId="0" applyNumberFormat="1" applyFont="1" applyFill="1" applyBorder="1" applyAlignment="1">
      <alignment vertical="center"/>
    </xf>
    <xf numFmtId="9" fontId="6" fillId="0" borderId="97" xfId="0" applyNumberFormat="1" applyFont="1" applyFill="1" applyBorder="1" applyAlignment="1">
      <alignment vertical="center"/>
    </xf>
    <xf numFmtId="178" fontId="6" fillId="0" borderId="88" xfId="0" applyNumberFormat="1" applyFont="1" applyFill="1" applyBorder="1" applyAlignment="1">
      <alignment vertical="center"/>
    </xf>
    <xf numFmtId="178" fontId="6" fillId="0" borderId="89" xfId="0" applyNumberFormat="1" applyFont="1" applyFill="1" applyBorder="1" applyAlignment="1">
      <alignment vertical="center"/>
    </xf>
    <xf numFmtId="178" fontId="20" fillId="0" borderId="96" xfId="0" applyNumberFormat="1" applyFont="1" applyBorder="1" applyAlignment="1">
      <alignment vertical="center"/>
    </xf>
    <xf numFmtId="178" fontId="20" fillId="0" borderId="97" xfId="0" applyNumberFormat="1" applyFont="1" applyBorder="1" applyAlignment="1">
      <alignment vertical="center"/>
    </xf>
    <xf numFmtId="178" fontId="6" fillId="0" borderId="94" xfId="0" applyNumberFormat="1" applyFont="1" applyBorder="1" applyAlignment="1">
      <alignment vertical="center"/>
    </xf>
    <xf numFmtId="178" fontId="6" fillId="0" borderId="95" xfId="0" applyNumberFormat="1" applyFont="1" applyBorder="1" applyAlignment="1">
      <alignment vertical="center"/>
    </xf>
    <xf numFmtId="178" fontId="6" fillId="0" borderId="90" xfId="0" applyNumberFormat="1" applyFont="1" applyBorder="1" applyAlignment="1">
      <alignment vertical="center"/>
    </xf>
    <xf numFmtId="178" fontId="6" fillId="0" borderId="91" xfId="0" applyNumberFormat="1" applyFont="1" applyBorder="1" applyAlignment="1">
      <alignment vertical="center"/>
    </xf>
    <xf numFmtId="178" fontId="6" fillId="0" borderId="96" xfId="0" applyNumberFormat="1" applyFont="1" applyBorder="1" applyAlignment="1">
      <alignment vertical="center"/>
    </xf>
    <xf numFmtId="178" fontId="6" fillId="0" borderId="97" xfId="0" applyNumberFormat="1" applyFont="1" applyBorder="1" applyAlignment="1">
      <alignment vertical="center"/>
    </xf>
    <xf numFmtId="178" fontId="6" fillId="0" borderId="98" xfId="0" applyNumberFormat="1" applyFont="1" applyBorder="1" applyAlignment="1">
      <alignment vertical="center"/>
    </xf>
    <xf numFmtId="178" fontId="6" fillId="0" borderId="99" xfId="0" applyNumberFormat="1" applyFont="1" applyBorder="1" applyAlignment="1">
      <alignment vertical="center"/>
    </xf>
    <xf numFmtId="178" fontId="6" fillId="0" borderId="92" xfId="0" applyNumberFormat="1" applyFont="1" applyBorder="1" applyAlignment="1">
      <alignment vertical="center"/>
    </xf>
    <xf numFmtId="178" fontId="6" fillId="0" borderId="93" xfId="0" applyNumberFormat="1" applyFont="1" applyBorder="1" applyAlignment="1">
      <alignment vertical="center"/>
    </xf>
    <xf numFmtId="178" fontId="6" fillId="0" borderId="94" xfId="0" applyNumberFormat="1" applyFont="1" applyBorder="1">
      <alignment vertical="center"/>
    </xf>
    <xf numFmtId="178" fontId="6" fillId="0" borderId="95" xfId="0" applyNumberFormat="1" applyFont="1" applyBorder="1">
      <alignment vertical="center"/>
    </xf>
    <xf numFmtId="178" fontId="6" fillId="0" borderId="92" xfId="0" applyNumberFormat="1" applyFont="1" applyBorder="1">
      <alignment vertical="center"/>
    </xf>
    <xf numFmtId="178" fontId="6" fillId="0" borderId="93" xfId="0" applyNumberFormat="1" applyFont="1" applyBorder="1">
      <alignment vertical="center"/>
    </xf>
    <xf numFmtId="178" fontId="6" fillId="0" borderId="100" xfId="0" applyNumberFormat="1" applyFont="1" applyBorder="1">
      <alignment vertical="center"/>
    </xf>
    <xf numFmtId="178" fontId="2" fillId="0" borderId="73" xfId="0" applyNumberFormat="1" applyFont="1" applyBorder="1">
      <alignment vertical="center"/>
    </xf>
    <xf numFmtId="178" fontId="6" fillId="0" borderId="101" xfId="0" applyNumberFormat="1" applyFont="1" applyBorder="1">
      <alignment vertical="center"/>
    </xf>
    <xf numFmtId="178" fontId="2" fillId="4" borderId="0" xfId="0" applyNumberFormat="1" applyFont="1" applyFill="1">
      <alignment vertical="center"/>
    </xf>
    <xf numFmtId="178" fontId="22" fillId="0" borderId="20" xfId="0" applyNumberFormat="1" applyFont="1" applyFill="1" applyBorder="1" applyAlignment="1">
      <alignment vertical="center"/>
    </xf>
    <xf numFmtId="178" fontId="22" fillId="0" borderId="13" xfId="0" applyNumberFormat="1" applyFont="1" applyFill="1" applyBorder="1" applyAlignment="1">
      <alignment vertical="center"/>
    </xf>
    <xf numFmtId="178" fontId="22" fillId="0" borderId="13" xfId="0" applyNumberFormat="1" applyFont="1" applyFill="1" applyBorder="1" applyAlignment="1">
      <alignment horizontal="center" vertical="center"/>
    </xf>
    <xf numFmtId="178" fontId="6" fillId="0" borderId="73" xfId="0" applyNumberFormat="1" applyFont="1" applyFill="1" applyBorder="1">
      <alignment vertical="center"/>
    </xf>
    <xf numFmtId="41" fontId="8" fillId="0" borderId="94" xfId="1" applyFont="1" applyFill="1" applyBorder="1" applyAlignment="1">
      <alignment vertical="center"/>
    </xf>
    <xf numFmtId="41" fontId="8" fillId="0" borderId="92" xfId="1" applyFont="1" applyFill="1" applyBorder="1" applyAlignment="1">
      <alignment vertical="center"/>
    </xf>
    <xf numFmtId="41" fontId="8" fillId="0" borderId="92" xfId="1" applyFont="1" applyFill="1" applyBorder="1" applyAlignment="1">
      <alignment horizontal="center" vertical="center"/>
    </xf>
    <xf numFmtId="41" fontId="8" fillId="0" borderId="100" xfId="1" applyFont="1" applyFill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6" fillId="0" borderId="93" xfId="0" applyNumberFormat="1" applyFont="1" applyBorder="1" applyAlignment="1">
      <alignment horizontal="right" vertical="center"/>
    </xf>
    <xf numFmtId="178" fontId="22" fillId="0" borderId="95" xfId="0" applyNumberFormat="1" applyFont="1" applyFill="1" applyBorder="1" applyAlignment="1">
      <alignment horizontal="right" vertical="center"/>
    </xf>
    <xf numFmtId="178" fontId="22" fillId="0" borderId="93" xfId="0" applyNumberFormat="1" applyFont="1" applyFill="1" applyBorder="1" applyAlignment="1">
      <alignment horizontal="right" vertical="center"/>
    </xf>
    <xf numFmtId="178" fontId="6" fillId="0" borderId="93" xfId="0" applyNumberFormat="1" applyFont="1" applyFill="1" applyBorder="1" applyAlignment="1">
      <alignment horizontal="right" vertical="center"/>
    </xf>
    <xf numFmtId="178" fontId="6" fillId="0" borderId="101" xfId="0" applyNumberFormat="1" applyFont="1" applyFill="1" applyBorder="1" applyAlignment="1">
      <alignment horizontal="right" vertical="center"/>
    </xf>
    <xf numFmtId="41" fontId="0" fillId="0" borderId="0" xfId="1" applyFont="1" applyFill="1" applyBorder="1">
      <alignment vertical="center"/>
    </xf>
    <xf numFmtId="178" fontId="18" fillId="11" borderId="1" xfId="0" applyNumberFormat="1" applyFont="1" applyFill="1" applyBorder="1" applyAlignment="1">
      <alignment horizontal="centerContinuous" vertical="center"/>
    </xf>
    <xf numFmtId="178" fontId="18" fillId="11" borderId="2" xfId="0" applyNumberFormat="1" applyFont="1" applyFill="1" applyBorder="1" applyAlignment="1">
      <alignment horizontal="centerContinuous" vertical="center"/>
    </xf>
    <xf numFmtId="178" fontId="18" fillId="11" borderId="3" xfId="0" applyNumberFormat="1" applyFont="1" applyFill="1" applyBorder="1" applyAlignment="1">
      <alignment horizontal="centerContinuous" vertical="center"/>
    </xf>
    <xf numFmtId="178" fontId="18" fillId="11" borderId="74" xfId="0" applyNumberFormat="1" applyFont="1" applyFill="1" applyBorder="1" applyAlignment="1">
      <alignment horizontal="centerContinuous" vertical="center"/>
    </xf>
    <xf numFmtId="178" fontId="18" fillId="11" borderId="102" xfId="0" applyNumberFormat="1" applyFont="1" applyFill="1" applyBorder="1" applyAlignment="1">
      <alignment horizontal="centerContinuous" vertical="center"/>
    </xf>
    <xf numFmtId="178" fontId="18" fillId="11" borderId="50" xfId="0" applyNumberFormat="1" applyFont="1" applyFill="1" applyBorder="1" applyAlignment="1">
      <alignment horizontal="centerContinuous" vertical="center"/>
    </xf>
    <xf numFmtId="178" fontId="18" fillId="11" borderId="66" xfId="0" applyNumberFormat="1" applyFont="1" applyFill="1" applyBorder="1" applyAlignment="1">
      <alignment horizontal="centerContinuous" vertical="center"/>
    </xf>
    <xf numFmtId="178" fontId="18" fillId="11" borderId="11" xfId="0" applyNumberFormat="1" applyFont="1" applyFill="1" applyBorder="1" applyAlignment="1">
      <alignment horizontal="centerContinuous" vertical="center"/>
    </xf>
    <xf numFmtId="178" fontId="0" fillId="0" borderId="1" xfId="0" applyNumberFormat="1" applyBorder="1">
      <alignment vertical="center"/>
    </xf>
    <xf numFmtId="178" fontId="2" fillId="0" borderId="105" xfId="0" applyNumberFormat="1" applyFont="1" applyBorder="1">
      <alignment vertical="center"/>
    </xf>
    <xf numFmtId="178" fontId="0" fillId="0" borderId="3" xfId="0" applyNumberFormat="1" applyBorder="1">
      <alignment vertical="center"/>
    </xf>
    <xf numFmtId="178" fontId="2" fillId="0" borderId="2" xfId="0" applyNumberFormat="1" applyFont="1" applyBorder="1">
      <alignment vertical="center"/>
    </xf>
    <xf numFmtId="178" fontId="0" fillId="0" borderId="4" xfId="0" applyNumberFormat="1" applyBorder="1" applyAlignment="1">
      <alignment horizontal="center" vertical="center"/>
    </xf>
    <xf numFmtId="178" fontId="0" fillId="0" borderId="4" xfId="0" applyNumberFormat="1" applyBorder="1">
      <alignment vertical="center"/>
    </xf>
    <xf numFmtId="178" fontId="2" fillId="0" borderId="109" xfId="0" applyNumberFormat="1" applyFont="1" applyBorder="1">
      <alignment vertical="center"/>
    </xf>
    <xf numFmtId="178" fontId="0" fillId="0" borderId="14" xfId="0" applyNumberFormat="1" applyBorder="1">
      <alignment vertical="center"/>
    </xf>
    <xf numFmtId="178" fontId="0" fillId="0" borderId="18" xfId="0" applyNumberFormat="1" applyBorder="1">
      <alignment vertical="center"/>
    </xf>
    <xf numFmtId="178" fontId="2" fillId="0" borderId="110" xfId="0" applyNumberFormat="1" applyFont="1" applyBorder="1">
      <alignment vertical="center"/>
    </xf>
    <xf numFmtId="178" fontId="0" fillId="0" borderId="54" xfId="0" applyNumberFormat="1" applyBorder="1">
      <alignment vertical="center"/>
    </xf>
    <xf numFmtId="178" fontId="2" fillId="0" borderId="68" xfId="0" applyNumberFormat="1" applyFont="1" applyBorder="1">
      <alignment vertical="center"/>
    </xf>
    <xf numFmtId="178" fontId="0" fillId="0" borderId="21" xfId="0" applyNumberFormat="1" applyBorder="1">
      <alignment vertical="center"/>
    </xf>
    <xf numFmtId="178" fontId="23" fillId="13" borderId="48" xfId="0" applyNumberFormat="1" applyFont="1" applyFill="1" applyBorder="1" applyAlignment="1">
      <alignment horizontal="right" vertical="center"/>
    </xf>
    <xf numFmtId="178" fontId="23" fillId="13" borderId="69" xfId="0" applyNumberFormat="1" applyFont="1" applyFill="1" applyBorder="1" applyAlignment="1">
      <alignment horizontal="right" vertical="center"/>
    </xf>
    <xf numFmtId="178" fontId="23" fillId="13" borderId="103" xfId="0" applyNumberFormat="1" applyFont="1" applyFill="1" applyBorder="1" applyAlignment="1">
      <alignment horizontal="right" vertical="center"/>
    </xf>
    <xf numFmtId="178" fontId="2" fillId="0" borderId="111" xfId="0" applyNumberFormat="1" applyFont="1" applyBorder="1">
      <alignment vertical="center"/>
    </xf>
    <xf numFmtId="178" fontId="23" fillId="13" borderId="112" xfId="0" applyNumberFormat="1" applyFont="1" applyFill="1" applyBorder="1" applyAlignment="1">
      <alignment horizontal="right" vertical="center"/>
    </xf>
    <xf numFmtId="178" fontId="24" fillId="14" borderId="1" xfId="0" applyNumberFormat="1" applyFont="1" applyFill="1" applyBorder="1" applyAlignment="1">
      <alignment horizontal="right" vertical="center"/>
    </xf>
    <xf numFmtId="178" fontId="24" fillId="14" borderId="2" xfId="0" applyNumberFormat="1" applyFont="1" applyFill="1" applyBorder="1" applyAlignment="1">
      <alignment horizontal="right" vertical="center"/>
    </xf>
    <xf numFmtId="178" fontId="24" fillId="14" borderId="106" xfId="0" applyNumberFormat="1" applyFont="1" applyFill="1" applyBorder="1" applyAlignment="1">
      <alignment horizontal="right" vertical="center"/>
    </xf>
    <xf numFmtId="178" fontId="24" fillId="14" borderId="4" xfId="0" applyNumberFormat="1" applyFont="1" applyFill="1" applyBorder="1" applyAlignment="1">
      <alignment horizontal="right" vertical="center"/>
    </xf>
    <xf numFmtId="178" fontId="23" fillId="13" borderId="104" xfId="0" applyNumberFormat="1" applyFont="1" applyFill="1" applyBorder="1" applyAlignment="1">
      <alignment horizontal="right" vertical="center"/>
    </xf>
    <xf numFmtId="178" fontId="23" fillId="13" borderId="67" xfId="0" applyNumberFormat="1" applyFont="1" applyFill="1" applyBorder="1" applyAlignment="1">
      <alignment horizontal="center" vertical="center"/>
    </xf>
    <xf numFmtId="178" fontId="24" fillId="14" borderId="70" xfId="0" applyNumberFormat="1" applyFont="1" applyFill="1" applyBorder="1" applyAlignment="1">
      <alignment horizontal="center" vertical="center"/>
    </xf>
    <xf numFmtId="178" fontId="24" fillId="14" borderId="113" xfId="0" applyNumberFormat="1" applyFont="1" applyFill="1" applyBorder="1" applyAlignment="1">
      <alignment horizontal="center" vertical="center"/>
    </xf>
    <xf numFmtId="178" fontId="24" fillId="14" borderId="71" xfId="0" applyNumberFormat="1" applyFont="1" applyFill="1" applyBorder="1" applyAlignment="1">
      <alignment horizontal="center" vertical="center"/>
    </xf>
    <xf numFmtId="178" fontId="0" fillId="0" borderId="70" xfId="0" applyNumberFormat="1" applyBorder="1" applyAlignment="1">
      <alignment horizontal="center" vertical="center"/>
    </xf>
    <xf numFmtId="178" fontId="0" fillId="0" borderId="71" xfId="0" applyNumberFormat="1" applyBorder="1" applyAlignment="1">
      <alignment horizontal="center" vertical="center"/>
    </xf>
    <xf numFmtId="178" fontId="0" fillId="0" borderId="84" xfId="0" applyNumberFormat="1" applyBorder="1" applyAlignment="1">
      <alignment horizontal="center" vertical="center"/>
    </xf>
    <xf numFmtId="178" fontId="24" fillId="14" borderId="108" xfId="0" applyNumberFormat="1" applyFont="1" applyFill="1" applyBorder="1" applyAlignment="1">
      <alignment horizontal="right" vertical="center"/>
    </xf>
    <xf numFmtId="178" fontId="24" fillId="14" borderId="0" xfId="0" applyNumberFormat="1" applyFont="1" applyFill="1" applyBorder="1" applyAlignment="1">
      <alignment horizontal="right" vertical="center"/>
    </xf>
    <xf numFmtId="178" fontId="24" fillId="14" borderId="105" xfId="0" applyNumberFormat="1" applyFont="1" applyFill="1" applyBorder="1" applyAlignment="1">
      <alignment horizontal="right" vertical="center"/>
    </xf>
    <xf numFmtId="178" fontId="24" fillId="14" borderId="107" xfId="0" applyNumberFormat="1" applyFont="1" applyFill="1" applyBorder="1" applyAlignment="1">
      <alignment horizontal="right" vertical="center"/>
    </xf>
    <xf numFmtId="178" fontId="24" fillId="14" borderId="109" xfId="0" applyNumberFormat="1" applyFont="1" applyFill="1" applyBorder="1" applyAlignment="1">
      <alignment horizontal="right" vertical="center"/>
    </xf>
    <xf numFmtId="178" fontId="24" fillId="14" borderId="30" xfId="0" applyNumberFormat="1" applyFont="1" applyFill="1" applyBorder="1" applyAlignment="1">
      <alignment horizontal="right" vertical="center"/>
    </xf>
    <xf numFmtId="178" fontId="24" fillId="14" borderId="44" xfId="0" applyNumberFormat="1" applyFont="1" applyFill="1" applyBorder="1" applyAlignment="1">
      <alignment horizontal="right" vertical="center"/>
    </xf>
    <xf numFmtId="178" fontId="24" fillId="14" borderId="17" xfId="0" applyNumberFormat="1" applyFont="1" applyFill="1" applyBorder="1" applyAlignment="1">
      <alignment horizontal="right" vertical="center"/>
    </xf>
    <xf numFmtId="178" fontId="0" fillId="0" borderId="1" xfId="0" applyNumberFormat="1" applyBorder="1" applyAlignment="1">
      <alignment horizontal="center" vertical="center"/>
    </xf>
    <xf numFmtId="178" fontId="0" fillId="0" borderId="18" xfId="0" applyNumberFormat="1" applyBorder="1" applyAlignment="1">
      <alignment horizontal="center" vertical="center"/>
    </xf>
    <xf numFmtId="178" fontId="23" fillId="13" borderId="55" xfId="0" applyNumberFormat="1" applyFont="1" applyFill="1" applyBorder="1" applyAlignment="1">
      <alignment horizontal="right" vertical="center"/>
    </xf>
    <xf numFmtId="178" fontId="24" fillId="14" borderId="3" xfId="0" applyNumberFormat="1" applyFont="1" applyFill="1" applyBorder="1" applyAlignment="1">
      <alignment horizontal="right" vertical="center"/>
    </xf>
    <xf numFmtId="178" fontId="24" fillId="14" borderId="52" xfId="0" applyNumberFormat="1" applyFont="1" applyFill="1" applyBorder="1" applyAlignment="1">
      <alignment horizontal="right" vertical="center"/>
    </xf>
    <xf numFmtId="178" fontId="24" fillId="14" borderId="5" xfId="0" applyNumberFormat="1" applyFont="1" applyFill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2" fillId="0" borderId="105" xfId="0" applyNumberFormat="1" applyFont="1" applyBorder="1" applyAlignment="1">
      <alignment horizontal="right" vertical="center"/>
    </xf>
    <xf numFmtId="178" fontId="0" fillId="0" borderId="3" xfId="0" applyNumberFormat="1" applyBorder="1" applyAlignment="1">
      <alignment horizontal="right" vertical="center"/>
    </xf>
    <xf numFmtId="178" fontId="0" fillId="0" borderId="4" xfId="0" applyNumberFormat="1" applyBorder="1" applyAlignment="1">
      <alignment horizontal="right" vertical="center"/>
    </xf>
    <xf numFmtId="178" fontId="2" fillId="0" borderId="109" xfId="0" applyNumberFormat="1" applyFont="1" applyBorder="1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178" fontId="0" fillId="0" borderId="18" xfId="0" applyNumberFormat="1" applyBorder="1" applyAlignment="1">
      <alignment horizontal="right" vertical="center"/>
    </xf>
    <xf numFmtId="178" fontId="2" fillId="0" borderId="110" xfId="0" applyNumberFormat="1" applyFont="1" applyBorder="1" applyAlignment="1">
      <alignment horizontal="right" vertical="center"/>
    </xf>
    <xf numFmtId="178" fontId="0" fillId="0" borderId="54" xfId="0" applyNumberFormat="1" applyBorder="1" applyAlignment="1">
      <alignment horizontal="right" vertical="center"/>
    </xf>
    <xf numFmtId="178" fontId="0" fillId="0" borderId="6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right" vertical="center"/>
    </xf>
    <xf numFmtId="178" fontId="2" fillId="0" borderId="114" xfId="0" applyNumberFormat="1" applyFont="1" applyBorder="1" applyAlignment="1">
      <alignment horizontal="right" vertical="center"/>
    </xf>
    <xf numFmtId="178" fontId="0" fillId="0" borderId="8" xfId="0" applyNumberFormat="1" applyBorder="1" applyAlignment="1">
      <alignment horizontal="right" vertical="center"/>
    </xf>
    <xf numFmtId="178" fontId="0" fillId="0" borderId="0" xfId="0" applyNumberFormat="1" applyAlignment="1">
      <alignment horizontal="center" vertical="center"/>
    </xf>
    <xf numFmtId="9" fontId="0" fillId="0" borderId="1" xfId="0" applyNumberFormat="1" applyBorder="1">
      <alignment vertical="center"/>
    </xf>
    <xf numFmtId="9" fontId="2" fillId="0" borderId="105" xfId="0" applyNumberFormat="1" applyFont="1" applyBorder="1">
      <alignment vertical="center"/>
    </xf>
    <xf numFmtId="9" fontId="0" fillId="0" borderId="3" xfId="0" applyNumberFormat="1" applyBorder="1">
      <alignment vertical="center"/>
    </xf>
    <xf numFmtId="179" fontId="0" fillId="0" borderId="1" xfId="0" applyNumberFormat="1" applyBorder="1">
      <alignment vertical="center"/>
    </xf>
    <xf numFmtId="179" fontId="2" fillId="0" borderId="105" xfId="0" applyNumberFormat="1" applyFont="1" applyBorder="1">
      <alignment vertical="center"/>
    </xf>
    <xf numFmtId="179" fontId="0" fillId="0" borderId="3" xfId="0" applyNumberFormat="1" applyBorder="1">
      <alignment vertical="center"/>
    </xf>
    <xf numFmtId="9" fontId="0" fillId="0" borderId="4" xfId="0" applyNumberFormat="1" applyBorder="1">
      <alignment vertical="center"/>
    </xf>
    <xf numFmtId="9" fontId="2" fillId="0" borderId="109" xfId="0" applyNumberFormat="1" applyFont="1" applyBorder="1">
      <alignment vertical="center"/>
    </xf>
    <xf numFmtId="9" fontId="0" fillId="0" borderId="5" xfId="0" applyNumberFormat="1" applyBorder="1">
      <alignment vertical="center"/>
    </xf>
    <xf numFmtId="179" fontId="0" fillId="0" borderId="4" xfId="0" applyNumberFormat="1" applyBorder="1">
      <alignment vertical="center"/>
    </xf>
    <xf numFmtId="179" fontId="2" fillId="0" borderId="109" xfId="0" applyNumberFormat="1" applyFont="1" applyBorder="1">
      <alignment vertical="center"/>
    </xf>
    <xf numFmtId="179" fontId="0" fillId="0" borderId="5" xfId="0" applyNumberFormat="1" applyBorder="1">
      <alignment vertical="center"/>
    </xf>
    <xf numFmtId="9" fontId="0" fillId="0" borderId="18" xfId="0" applyNumberFormat="1" applyBorder="1">
      <alignment vertical="center"/>
    </xf>
    <xf numFmtId="9" fontId="2" fillId="0" borderId="110" xfId="0" applyNumberFormat="1" applyFont="1" applyBorder="1">
      <alignment vertical="center"/>
    </xf>
    <xf numFmtId="9" fontId="0" fillId="0" borderId="54" xfId="0" applyNumberFormat="1" applyBorder="1">
      <alignment vertical="center"/>
    </xf>
    <xf numFmtId="179" fontId="0" fillId="0" borderId="18" xfId="0" applyNumberFormat="1" applyBorder="1">
      <alignment vertical="center"/>
    </xf>
    <xf numFmtId="179" fontId="2" fillId="0" borderId="110" xfId="0" applyNumberFormat="1" applyFont="1" applyBorder="1">
      <alignment vertical="center"/>
    </xf>
    <xf numFmtId="179" fontId="0" fillId="0" borderId="54" xfId="0" applyNumberFormat="1" applyBorder="1">
      <alignment vertical="center"/>
    </xf>
    <xf numFmtId="178" fontId="0" fillId="0" borderId="6" xfId="0" applyNumberFormat="1" applyBorder="1">
      <alignment vertical="center"/>
    </xf>
    <xf numFmtId="178" fontId="2" fillId="0" borderId="114" xfId="0" applyNumberFormat="1" applyFont="1" applyBorder="1">
      <alignment vertical="center"/>
    </xf>
    <xf numFmtId="9" fontId="0" fillId="0" borderId="6" xfId="0" applyNumberFormat="1" applyBorder="1">
      <alignment vertical="center"/>
    </xf>
    <xf numFmtId="9" fontId="2" fillId="0" borderId="114" xfId="0" applyNumberFormat="1" applyFont="1" applyBorder="1">
      <alignment vertical="center"/>
    </xf>
    <xf numFmtId="9" fontId="0" fillId="0" borderId="8" xfId="0" applyNumberFormat="1" applyBorder="1">
      <alignment vertical="center"/>
    </xf>
    <xf numFmtId="179" fontId="0" fillId="0" borderId="6" xfId="0" applyNumberFormat="1" applyBorder="1">
      <alignment vertical="center"/>
    </xf>
    <xf numFmtId="179" fontId="2" fillId="0" borderId="114" xfId="0" applyNumberFormat="1" applyFont="1" applyBorder="1">
      <alignment vertical="center"/>
    </xf>
    <xf numFmtId="179" fontId="0" fillId="0" borderId="8" xfId="0" applyNumberFormat="1" applyBorder="1">
      <alignment vertical="center"/>
    </xf>
    <xf numFmtId="9" fontId="23" fillId="13" borderId="48" xfId="0" applyNumberFormat="1" applyFont="1" applyFill="1" applyBorder="1" applyAlignment="1">
      <alignment horizontal="right" vertical="center"/>
    </xf>
    <xf numFmtId="9" fontId="23" fillId="13" borderId="103" xfId="0" applyNumberFormat="1" applyFont="1" applyFill="1" applyBorder="1" applyAlignment="1">
      <alignment horizontal="right" vertical="center"/>
    </xf>
    <xf numFmtId="9" fontId="23" fillId="13" borderId="55" xfId="0" applyNumberFormat="1" applyFont="1" applyFill="1" applyBorder="1" applyAlignment="1">
      <alignment horizontal="right" vertical="center"/>
    </xf>
    <xf numFmtId="9" fontId="24" fillId="14" borderId="3" xfId="0" applyNumberFormat="1" applyFont="1" applyFill="1" applyBorder="1" applyAlignment="1">
      <alignment horizontal="right" vertical="center"/>
    </xf>
    <xf numFmtId="9" fontId="24" fillId="14" borderId="52" xfId="0" applyNumberFormat="1" applyFont="1" applyFill="1" applyBorder="1" applyAlignment="1">
      <alignment horizontal="right" vertical="center"/>
    </xf>
    <xf numFmtId="9" fontId="24" fillId="14" borderId="5" xfId="0" applyNumberFormat="1" applyFont="1" applyFill="1" applyBorder="1" applyAlignment="1">
      <alignment horizontal="right" vertical="center"/>
    </xf>
    <xf numFmtId="9" fontId="24" fillId="14" borderId="1" xfId="0" applyNumberFormat="1" applyFont="1" applyFill="1" applyBorder="1" applyAlignment="1">
      <alignment horizontal="right" vertical="center"/>
    </xf>
    <xf numFmtId="9" fontId="24" fillId="14" borderId="105" xfId="0" applyNumberFormat="1" applyFont="1" applyFill="1" applyBorder="1" applyAlignment="1">
      <alignment horizontal="right" vertical="center"/>
    </xf>
    <xf numFmtId="9" fontId="24" fillId="14" borderId="106" xfId="0" applyNumberFormat="1" applyFont="1" applyFill="1" applyBorder="1" applyAlignment="1">
      <alignment horizontal="right" vertical="center"/>
    </xf>
    <xf numFmtId="9" fontId="24" fillId="14" borderId="107" xfId="0" applyNumberFormat="1" applyFont="1" applyFill="1" applyBorder="1" applyAlignment="1">
      <alignment horizontal="right" vertical="center"/>
    </xf>
    <xf numFmtId="9" fontId="24" fillId="14" borderId="4" xfId="0" applyNumberFormat="1" applyFont="1" applyFill="1" applyBorder="1" applyAlignment="1">
      <alignment horizontal="right" vertical="center"/>
    </xf>
    <xf numFmtId="9" fontId="24" fillId="14" borderId="109" xfId="0" applyNumberFormat="1" applyFont="1" applyFill="1" applyBorder="1" applyAlignment="1">
      <alignment horizontal="right" vertical="center"/>
    </xf>
    <xf numFmtId="178" fontId="0" fillId="0" borderId="0" xfId="0" quotePrefix="1" applyNumberFormat="1">
      <alignment vertical="center"/>
    </xf>
    <xf numFmtId="178" fontId="23" fillId="13" borderId="48" xfId="1" applyNumberFormat="1" applyFont="1" applyFill="1" applyBorder="1" applyAlignment="1">
      <alignment horizontal="right" vertical="center"/>
    </xf>
    <xf numFmtId="178" fontId="23" fillId="13" borderId="103" xfId="1" applyNumberFormat="1" applyFont="1" applyFill="1" applyBorder="1" applyAlignment="1">
      <alignment horizontal="right" vertical="center"/>
    </xf>
    <xf numFmtId="178" fontId="23" fillId="13" borderId="55" xfId="1" applyNumberFormat="1" applyFont="1" applyFill="1" applyBorder="1" applyAlignment="1">
      <alignment horizontal="right" vertical="center"/>
    </xf>
    <xf numFmtId="178" fontId="24" fillId="14" borderId="1" xfId="1" applyNumberFormat="1" applyFont="1" applyFill="1" applyBorder="1" applyAlignment="1">
      <alignment horizontal="right" vertical="center"/>
    </xf>
    <xf numFmtId="178" fontId="24" fillId="14" borderId="105" xfId="1" applyNumberFormat="1" applyFont="1" applyFill="1" applyBorder="1" applyAlignment="1">
      <alignment horizontal="right" vertical="center"/>
    </xf>
    <xf numFmtId="178" fontId="24" fillId="14" borderId="3" xfId="1" applyNumberFormat="1" applyFont="1" applyFill="1" applyBorder="1" applyAlignment="1">
      <alignment horizontal="right" vertical="center"/>
    </xf>
    <xf numFmtId="178" fontId="24" fillId="14" borderId="106" xfId="1" applyNumberFormat="1" applyFont="1" applyFill="1" applyBorder="1" applyAlignment="1">
      <alignment horizontal="right" vertical="center"/>
    </xf>
    <xf numFmtId="178" fontId="24" fillId="14" borderId="107" xfId="1" applyNumberFormat="1" applyFont="1" applyFill="1" applyBorder="1" applyAlignment="1">
      <alignment horizontal="right" vertical="center"/>
    </xf>
    <xf numFmtId="178" fontId="24" fillId="14" borderId="52" xfId="1" applyNumberFormat="1" applyFont="1" applyFill="1" applyBorder="1" applyAlignment="1">
      <alignment horizontal="right" vertical="center"/>
    </xf>
    <xf numFmtId="178" fontId="24" fillId="14" borderId="4" xfId="1" applyNumberFormat="1" applyFont="1" applyFill="1" applyBorder="1" applyAlignment="1">
      <alignment horizontal="right" vertical="center"/>
    </xf>
    <xf numFmtId="178" fontId="24" fillId="14" borderId="109" xfId="1" applyNumberFormat="1" applyFont="1" applyFill="1" applyBorder="1" applyAlignment="1">
      <alignment horizontal="right" vertical="center"/>
    </xf>
    <xf numFmtId="178" fontId="24" fillId="14" borderId="5" xfId="1" applyNumberFormat="1" applyFont="1" applyFill="1" applyBorder="1" applyAlignment="1">
      <alignment horizontal="right" vertical="center"/>
    </xf>
    <xf numFmtId="178" fontId="0" fillId="0" borderId="1" xfId="1" applyNumberFormat="1" applyFont="1" applyBorder="1">
      <alignment vertical="center"/>
    </xf>
    <xf numFmtId="178" fontId="2" fillId="0" borderId="105" xfId="1" applyNumberFormat="1" applyFont="1" applyBorder="1">
      <alignment vertical="center"/>
    </xf>
    <xf numFmtId="178" fontId="0" fillId="0" borderId="3" xfId="1" applyNumberFormat="1" applyFont="1" applyBorder="1">
      <alignment vertical="center"/>
    </xf>
    <xf numFmtId="178" fontId="0" fillId="0" borderId="4" xfId="1" applyNumberFormat="1" applyFont="1" applyBorder="1">
      <alignment vertical="center"/>
    </xf>
    <xf numFmtId="178" fontId="2" fillId="0" borderId="109" xfId="1" applyNumberFormat="1" applyFont="1" applyBorder="1">
      <alignment vertical="center"/>
    </xf>
    <xf numFmtId="178" fontId="0" fillId="0" borderId="5" xfId="1" applyNumberFormat="1" applyFont="1" applyBorder="1">
      <alignment vertical="center"/>
    </xf>
    <xf numFmtId="178" fontId="0" fillId="0" borderId="18" xfId="1" applyNumberFormat="1" applyFont="1" applyBorder="1">
      <alignment vertical="center"/>
    </xf>
    <xf numFmtId="178" fontId="2" fillId="0" borderId="110" xfId="1" applyNumberFormat="1" applyFont="1" applyBorder="1">
      <alignment vertical="center"/>
    </xf>
    <xf numFmtId="178" fontId="0" fillId="0" borderId="54" xfId="1" applyNumberFormat="1" applyFont="1" applyBorder="1">
      <alignment vertical="center"/>
    </xf>
    <xf numFmtId="178" fontId="0" fillId="0" borderId="6" xfId="1" applyNumberFormat="1" applyFont="1" applyBorder="1">
      <alignment vertical="center"/>
    </xf>
    <xf numFmtId="178" fontId="2" fillId="0" borderId="114" xfId="1" applyNumberFormat="1" applyFont="1" applyBorder="1">
      <alignment vertical="center"/>
    </xf>
    <xf numFmtId="178" fontId="0" fillId="0" borderId="8" xfId="1" applyNumberFormat="1" applyFont="1" applyBorder="1">
      <alignment vertical="center"/>
    </xf>
    <xf numFmtId="178" fontId="2" fillId="0" borderId="7" xfId="0" applyNumberFormat="1" applyFont="1" applyBorder="1" applyAlignment="1">
      <alignment horizontal="right" vertical="center"/>
    </xf>
    <xf numFmtId="0" fontId="16" fillId="6" borderId="118" xfId="0" applyFont="1" applyFill="1" applyBorder="1" applyAlignment="1">
      <alignment horizontal="centerContinuous" vertical="center"/>
    </xf>
    <xf numFmtId="0" fontId="16" fillId="6" borderId="119" xfId="0" applyFont="1" applyFill="1" applyBorder="1" applyAlignment="1">
      <alignment horizontal="centerContinuous" vertical="center"/>
    </xf>
    <xf numFmtId="178" fontId="6" fillId="0" borderId="90" xfId="0" applyNumberFormat="1" applyFont="1" applyBorder="1">
      <alignment vertical="center"/>
    </xf>
    <xf numFmtId="178" fontId="6" fillId="0" borderId="91" xfId="0" applyNumberFormat="1" applyFont="1" applyBorder="1">
      <alignment vertical="center"/>
    </xf>
    <xf numFmtId="178" fontId="6" fillId="0" borderId="98" xfId="0" applyNumberFormat="1" applyFont="1" applyBorder="1">
      <alignment vertical="center"/>
    </xf>
    <xf numFmtId="178" fontId="6" fillId="0" borderId="99" xfId="0" applyNumberFormat="1" applyFont="1" applyBorder="1">
      <alignment vertical="center"/>
    </xf>
    <xf numFmtId="178" fontId="6" fillId="0" borderId="96" xfId="0" applyNumberFormat="1" applyFont="1" applyBorder="1">
      <alignment vertical="center"/>
    </xf>
    <xf numFmtId="178" fontId="6" fillId="0" borderId="97" xfId="0" applyNumberFormat="1" applyFont="1" applyBorder="1">
      <alignment vertical="center"/>
    </xf>
    <xf numFmtId="178" fontId="6" fillId="0" borderId="88" xfId="0" applyNumberFormat="1" applyFont="1" applyBorder="1">
      <alignment vertical="center"/>
    </xf>
    <xf numFmtId="178" fontId="6" fillId="0" borderId="89" xfId="0" applyNumberFormat="1" applyFont="1" applyBorder="1">
      <alignment vertical="center"/>
    </xf>
    <xf numFmtId="177" fontId="6" fillId="0" borderId="92" xfId="0" applyNumberFormat="1" applyFont="1" applyBorder="1">
      <alignment vertical="center"/>
    </xf>
    <xf numFmtId="177" fontId="6" fillId="0" borderId="93" xfId="0" applyNumberFormat="1" applyFont="1" applyBorder="1">
      <alignment vertical="center"/>
    </xf>
    <xf numFmtId="177" fontId="6" fillId="0" borderId="96" xfId="0" applyNumberFormat="1" applyFont="1" applyBorder="1">
      <alignment vertical="center"/>
    </xf>
    <xf numFmtId="177" fontId="6" fillId="0" borderId="97" xfId="0" applyNumberFormat="1" applyFont="1" applyBorder="1">
      <alignment vertical="center"/>
    </xf>
    <xf numFmtId="177" fontId="6" fillId="0" borderId="100" xfId="0" applyNumberFormat="1" applyFont="1" applyBorder="1">
      <alignment vertical="center"/>
    </xf>
    <xf numFmtId="177" fontId="6" fillId="0" borderId="120" xfId="0" applyNumberFormat="1" applyFont="1" applyBorder="1">
      <alignment vertical="center"/>
    </xf>
    <xf numFmtId="177" fontId="6" fillId="0" borderId="121" xfId="0" applyNumberFormat="1" applyFont="1" applyBorder="1">
      <alignment vertical="center"/>
    </xf>
    <xf numFmtId="177" fontId="6" fillId="0" borderId="101" xfId="0" applyNumberFormat="1" applyFont="1" applyBorder="1">
      <alignment vertical="center"/>
    </xf>
    <xf numFmtId="178" fontId="6" fillId="0" borderId="4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178" fontId="6" fillId="0" borderId="6" xfId="1" applyNumberFormat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center"/>
    </xf>
    <xf numFmtId="178" fontId="6" fillId="0" borderId="8" xfId="1" applyNumberFormat="1" applyFont="1" applyFill="1" applyBorder="1" applyAlignment="1">
      <alignment vertical="center"/>
    </xf>
    <xf numFmtId="181" fontId="0" fillId="0" borderId="0" xfId="0" applyNumberFormat="1">
      <alignment vertical="center"/>
    </xf>
    <xf numFmtId="178" fontId="0" fillId="0" borderId="0" xfId="0" applyNumberFormat="1" applyAlignment="1">
      <alignment horizontal="center" vertical="center" wrapText="1"/>
    </xf>
    <xf numFmtId="182" fontId="0" fillId="0" borderId="0" xfId="0" applyNumberFormat="1">
      <alignment vertical="center"/>
    </xf>
    <xf numFmtId="178" fontId="0" fillId="4" borderId="0" xfId="0" applyNumberFormat="1" applyFill="1">
      <alignment vertical="center"/>
    </xf>
    <xf numFmtId="178" fontId="2" fillId="0" borderId="4" xfId="1" applyNumberFormat="1" applyFont="1" applyFill="1" applyBorder="1" applyAlignment="1">
      <alignment vertical="center"/>
    </xf>
    <xf numFmtId="41" fontId="0" fillId="0" borderId="0" xfId="0" applyNumberFormat="1" applyFont="1">
      <alignment vertical="center"/>
    </xf>
    <xf numFmtId="9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176" fontId="0" fillId="9" borderId="0" xfId="0" applyNumberFormat="1" applyFill="1">
      <alignment vertical="center"/>
    </xf>
    <xf numFmtId="0" fontId="0" fillId="9" borderId="0" xfId="0" applyFill="1">
      <alignment vertical="center"/>
    </xf>
    <xf numFmtId="178" fontId="0" fillId="4" borderId="0" xfId="1" applyNumberFormat="1" applyFont="1" applyFill="1">
      <alignment vertical="center"/>
    </xf>
    <xf numFmtId="178" fontId="6" fillId="0" borderId="34" xfId="0" applyNumberFormat="1" applyFont="1" applyBorder="1" applyAlignment="1">
      <alignment vertical="center"/>
    </xf>
    <xf numFmtId="178" fontId="6" fillId="3" borderId="65" xfId="0" applyNumberFormat="1" applyFont="1" applyFill="1" applyBorder="1" applyAlignment="1">
      <alignment vertical="center"/>
    </xf>
    <xf numFmtId="178" fontId="6" fillId="0" borderId="35" xfId="0" applyNumberFormat="1" applyFont="1" applyFill="1" applyBorder="1" applyAlignment="1">
      <alignment vertical="center"/>
    </xf>
    <xf numFmtId="178" fontId="6" fillId="0" borderId="65" xfId="0" applyNumberFormat="1" applyFont="1" applyBorder="1" applyAlignment="1">
      <alignment vertical="center"/>
    </xf>
    <xf numFmtId="178" fontId="6" fillId="0" borderId="36" xfId="0" applyNumberFormat="1" applyFont="1" applyBorder="1" applyAlignment="1">
      <alignment vertical="center"/>
    </xf>
    <xf numFmtId="178" fontId="6" fillId="0" borderId="48" xfId="1" applyNumberFormat="1" applyFont="1" applyBorder="1">
      <alignment vertical="center"/>
    </xf>
    <xf numFmtId="178" fontId="6" fillId="3" borderId="38" xfId="1" applyNumberFormat="1" applyFont="1" applyFill="1" applyBorder="1">
      <alignment vertical="center"/>
    </xf>
    <xf numFmtId="178" fontId="6" fillId="0" borderId="69" xfId="0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55" xfId="0" applyNumberFormat="1" applyFont="1" applyBorder="1">
      <alignment vertical="center"/>
    </xf>
    <xf numFmtId="178" fontId="6" fillId="3" borderId="20" xfId="0" applyNumberFormat="1" applyFont="1" applyFill="1" applyBorder="1">
      <alignment vertical="center"/>
    </xf>
    <xf numFmtId="178" fontId="6" fillId="0" borderId="20" xfId="0" applyNumberFormat="1" applyFont="1" applyBorder="1">
      <alignment vertical="center"/>
    </xf>
    <xf numFmtId="178" fontId="6" fillId="0" borderId="6" xfId="1" applyNumberFormat="1" applyFont="1" applyBorder="1">
      <alignment vertical="center"/>
    </xf>
    <xf numFmtId="178" fontId="6" fillId="3" borderId="16" xfId="1" applyNumberFormat="1" applyFont="1" applyFill="1" applyBorder="1">
      <alignment vertical="center"/>
    </xf>
    <xf numFmtId="178" fontId="6" fillId="0" borderId="7" xfId="1" applyNumberFormat="1" applyFont="1" applyBorder="1">
      <alignment vertical="center"/>
    </xf>
    <xf numFmtId="178" fontId="6" fillId="0" borderId="16" xfId="1" applyNumberFormat="1" applyFont="1" applyBorder="1">
      <alignment vertical="center"/>
    </xf>
    <xf numFmtId="178" fontId="6" fillId="0" borderId="8" xfId="1" applyNumberFormat="1" applyFont="1" applyBorder="1">
      <alignment vertical="center"/>
    </xf>
    <xf numFmtId="178" fontId="6" fillId="0" borderId="106" xfId="1" applyNumberFormat="1" applyFont="1" applyBorder="1">
      <alignment vertical="center"/>
    </xf>
    <xf numFmtId="178" fontId="6" fillId="3" borderId="43" xfId="1" applyNumberFormat="1" applyFont="1" applyFill="1" applyBorder="1">
      <alignment vertical="center"/>
    </xf>
    <xf numFmtId="178" fontId="6" fillId="0" borderId="108" xfId="0" applyNumberFormat="1" applyFont="1" applyBorder="1">
      <alignment vertical="center"/>
    </xf>
    <xf numFmtId="178" fontId="6" fillId="0" borderId="43" xfId="1" applyNumberFormat="1" applyFont="1" applyBorder="1">
      <alignment vertical="center"/>
    </xf>
    <xf numFmtId="178" fontId="6" fillId="0" borderId="52" xfId="0" applyNumberFormat="1" applyFont="1" applyBorder="1">
      <alignment vertical="center"/>
    </xf>
    <xf numFmtId="178" fontId="6" fillId="0" borderId="106" xfId="0" applyNumberFormat="1" applyFont="1" applyBorder="1" applyAlignment="1">
      <alignment horizontal="centerContinuous" vertical="center"/>
    </xf>
    <xf numFmtId="178" fontId="6" fillId="0" borderId="108" xfId="0" applyNumberFormat="1" applyFont="1" applyBorder="1" applyAlignment="1">
      <alignment horizontal="centerContinuous" vertical="center"/>
    </xf>
    <xf numFmtId="178" fontId="6" fillId="0" borderId="6" xfId="0" applyNumberFormat="1" applyFont="1" applyBorder="1" applyAlignment="1">
      <alignment horizontal="centerContinuous" vertical="center"/>
    </xf>
    <xf numFmtId="178" fontId="6" fillId="0" borderId="7" xfId="0" applyNumberFormat="1" applyFont="1" applyBorder="1" applyAlignment="1">
      <alignment horizontal="centerContinuous" vertical="center"/>
    </xf>
    <xf numFmtId="178" fontId="6" fillId="9" borderId="4" xfId="1" applyNumberFormat="1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horizontal="centerContinuous" vertical="center"/>
    </xf>
    <xf numFmtId="14" fontId="2" fillId="4" borderId="5" xfId="0" applyNumberFormat="1" applyFont="1" applyFill="1" applyBorder="1" applyAlignment="1">
      <alignment horizontal="centerContinuous" vertical="center"/>
    </xf>
    <xf numFmtId="178" fontId="2" fillId="4" borderId="12" xfId="1" applyNumberFormat="1" applyFont="1" applyFill="1" applyBorder="1" applyAlignment="1">
      <alignment vertical="center"/>
    </xf>
    <xf numFmtId="178" fontId="2" fillId="4" borderId="13" xfId="1" applyNumberFormat="1" applyFont="1" applyFill="1" applyBorder="1" applyAlignment="1">
      <alignment vertical="center"/>
    </xf>
    <xf numFmtId="178" fontId="2" fillId="4" borderId="46" xfId="1" applyNumberFormat="1" applyFont="1" applyFill="1" applyBorder="1">
      <alignment vertical="center"/>
    </xf>
    <xf numFmtId="178" fontId="2" fillId="4" borderId="13" xfId="1" applyNumberFormat="1" applyFont="1" applyFill="1" applyBorder="1">
      <alignment vertical="center"/>
    </xf>
    <xf numFmtId="178" fontId="2" fillId="4" borderId="14" xfId="1" applyNumberFormat="1" applyFont="1" applyFill="1" applyBorder="1">
      <alignment vertical="center"/>
    </xf>
    <xf numFmtId="178" fontId="2" fillId="4" borderId="5" xfId="1" applyNumberFormat="1" applyFont="1" applyFill="1" applyBorder="1" applyAlignment="1">
      <alignment vertical="center"/>
    </xf>
    <xf numFmtId="178" fontId="2" fillId="4" borderId="46" xfId="1" applyNumberFormat="1" applyFont="1" applyFill="1" applyBorder="1" applyAlignment="1">
      <alignment vertical="center"/>
    </xf>
    <xf numFmtId="178" fontId="2" fillId="4" borderId="14" xfId="1" applyNumberFormat="1" applyFont="1" applyFill="1" applyBorder="1" applyAlignment="1">
      <alignment vertical="center"/>
    </xf>
    <xf numFmtId="14" fontId="2" fillId="4" borderId="48" xfId="0" applyNumberFormat="1" applyFont="1" applyFill="1" applyBorder="1" applyAlignment="1">
      <alignment horizontal="centerContinuous" vertical="center"/>
    </xf>
    <xf numFmtId="14" fontId="2" fillId="4" borderId="55" xfId="0" applyNumberFormat="1" applyFont="1" applyFill="1" applyBorder="1" applyAlignment="1">
      <alignment horizontal="centerContinuous" vertical="center"/>
    </xf>
    <xf numFmtId="178" fontId="2" fillId="4" borderId="37" xfId="0" applyNumberFormat="1" applyFont="1" applyFill="1" applyBorder="1" applyAlignment="1">
      <alignment vertical="center"/>
    </xf>
    <xf numFmtId="178" fontId="2" fillId="4" borderId="38" xfId="1" applyNumberFormat="1" applyFont="1" applyFill="1" applyBorder="1" applyAlignment="1">
      <alignment vertical="center"/>
    </xf>
    <xf numFmtId="178" fontId="2" fillId="4" borderId="40" xfId="0" applyNumberFormat="1" applyFont="1" applyFill="1" applyBorder="1">
      <alignment vertical="center"/>
    </xf>
    <xf numFmtId="178" fontId="2" fillId="4" borderId="40" xfId="1" applyNumberFormat="1" applyFont="1" applyFill="1" applyBorder="1">
      <alignment vertical="center"/>
    </xf>
    <xf numFmtId="178" fontId="2" fillId="4" borderId="55" xfId="1" applyNumberFormat="1" applyFont="1" applyFill="1" applyBorder="1">
      <alignment vertical="center"/>
    </xf>
    <xf numFmtId="178" fontId="2" fillId="3" borderId="74" xfId="0" applyNumberFormat="1" applyFont="1" applyFill="1" applyBorder="1" applyAlignment="1">
      <alignment vertical="center"/>
    </xf>
    <xf numFmtId="178" fontId="2" fillId="3" borderId="66" xfId="0" applyNumberFormat="1" applyFont="1" applyFill="1" applyBorder="1" applyAlignment="1">
      <alignment vertical="center"/>
    </xf>
    <xf numFmtId="178" fontId="2" fillId="3" borderId="50" xfId="0" applyNumberFormat="1" applyFont="1" applyFill="1" applyBorder="1" applyAlignment="1">
      <alignment vertical="center"/>
    </xf>
    <xf numFmtId="178" fontId="6" fillId="9" borderId="1" xfId="1" applyNumberFormat="1" applyFont="1" applyFill="1" applyBorder="1" applyAlignment="1">
      <alignment vertical="center"/>
    </xf>
    <xf numFmtId="178" fontId="6" fillId="9" borderId="2" xfId="1" applyNumberFormat="1" applyFont="1" applyFill="1" applyBorder="1" applyAlignment="1">
      <alignment vertical="center"/>
    </xf>
    <xf numFmtId="178" fontId="6" fillId="9" borderId="3" xfId="1" applyNumberFormat="1" applyFont="1" applyFill="1" applyBorder="1" applyAlignment="1">
      <alignment vertical="center"/>
    </xf>
    <xf numFmtId="178" fontId="2" fillId="4" borderId="48" xfId="0" applyNumberFormat="1" applyFont="1" applyFill="1" applyBorder="1" applyAlignment="1">
      <alignment vertical="center"/>
    </xf>
    <xf numFmtId="178" fontId="2" fillId="4" borderId="69" xfId="0" applyNumberFormat="1" applyFont="1" applyFill="1" applyBorder="1" applyAlignment="1">
      <alignment vertical="center"/>
    </xf>
    <xf numFmtId="178" fontId="2" fillId="4" borderId="55" xfId="0" applyNumberFormat="1" applyFont="1" applyFill="1" applyBorder="1" applyAlignment="1">
      <alignment vertical="center"/>
    </xf>
    <xf numFmtId="178" fontId="2" fillId="0" borderId="122" xfId="0" applyNumberFormat="1" applyFont="1" applyBorder="1">
      <alignment vertical="center"/>
    </xf>
    <xf numFmtId="178" fontId="0" fillId="0" borderId="17" xfId="0" applyNumberFormat="1" applyBorder="1">
      <alignment vertical="center"/>
    </xf>
    <xf numFmtId="0" fontId="6" fillId="0" borderId="0" xfId="0" applyFont="1">
      <alignment vertical="center"/>
    </xf>
    <xf numFmtId="179" fontId="0" fillId="0" borderId="0" xfId="1" applyNumberFormat="1" applyFont="1">
      <alignment vertical="center"/>
    </xf>
    <xf numFmtId="179" fontId="0" fillId="0" borderId="0" xfId="0" applyNumberFormat="1">
      <alignment vertical="center"/>
    </xf>
    <xf numFmtId="178" fontId="6" fillId="9" borderId="1" xfId="0" applyNumberFormat="1" applyFont="1" applyFill="1" applyBorder="1" applyAlignment="1">
      <alignment vertical="center"/>
    </xf>
    <xf numFmtId="9" fontId="0" fillId="0" borderId="0" xfId="0" applyNumberFormat="1" applyFont="1" applyAlignment="1">
      <alignment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9" fontId="2" fillId="0" borderId="0" xfId="0" applyNumberFormat="1" applyFont="1">
      <alignment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178" fontId="15" fillId="0" borderId="71" xfId="0" applyNumberFormat="1" applyFont="1" applyBorder="1" applyAlignment="1">
      <alignment horizontal="center" vertical="center"/>
    </xf>
    <xf numFmtId="0" fontId="15" fillId="0" borderId="72" xfId="0" applyFont="1" applyBorder="1" applyAlignment="1">
      <alignment horizontal="center" vertical="center"/>
    </xf>
    <xf numFmtId="178" fontId="15" fillId="0" borderId="71" xfId="1" applyNumberFormat="1" applyFont="1" applyBorder="1" applyAlignment="1">
      <alignment horizontal="right" vertical="center"/>
    </xf>
    <xf numFmtId="178" fontId="15" fillId="0" borderId="72" xfId="1" applyNumberFormat="1" applyFont="1" applyBorder="1" applyAlignment="1">
      <alignment horizontal="right" vertical="center"/>
    </xf>
    <xf numFmtId="179" fontId="15" fillId="0" borderId="71" xfId="0" applyNumberFormat="1" applyFont="1" applyBorder="1" applyAlignment="1">
      <alignment horizontal="right" vertical="center"/>
    </xf>
    <xf numFmtId="0" fontId="12" fillId="0" borderId="0" xfId="0" applyFont="1">
      <alignment vertical="center"/>
    </xf>
    <xf numFmtId="178" fontId="15" fillId="0" borderId="4" xfId="1" applyNumberFormat="1" applyFont="1" applyBorder="1" applyAlignment="1">
      <alignment horizontal="right" vertical="center"/>
    </xf>
    <xf numFmtId="178" fontId="15" fillId="0" borderId="6" xfId="1" applyNumberFormat="1" applyFont="1" applyBorder="1" applyAlignment="1">
      <alignment horizontal="right" vertical="center"/>
    </xf>
    <xf numFmtId="179" fontId="15" fillId="0" borderId="4" xfId="0" applyNumberFormat="1" applyFont="1" applyBorder="1" applyAlignment="1">
      <alignment horizontal="right" vertical="center"/>
    </xf>
    <xf numFmtId="178" fontId="15" fillId="0" borderId="5" xfId="1" applyNumberFormat="1" applyFont="1" applyBorder="1" applyAlignment="1">
      <alignment horizontal="right" vertical="center"/>
    </xf>
    <xf numFmtId="178" fontId="15" fillId="0" borderId="8" xfId="1" applyNumberFormat="1" applyFont="1" applyBorder="1" applyAlignment="1">
      <alignment horizontal="right" vertical="center"/>
    </xf>
    <xf numFmtId="179" fontId="15" fillId="0" borderId="5" xfId="0" applyNumberFormat="1" applyFont="1" applyBorder="1" applyAlignment="1">
      <alignment horizontal="right" vertical="center"/>
    </xf>
    <xf numFmtId="178" fontId="15" fillId="0" borderId="124" xfId="1" applyNumberFormat="1" applyFont="1" applyBorder="1" applyAlignment="1">
      <alignment horizontal="right" vertical="center"/>
    </xf>
    <xf numFmtId="178" fontId="15" fillId="0" borderId="125" xfId="1" applyNumberFormat="1" applyFont="1" applyBorder="1" applyAlignment="1">
      <alignment horizontal="right" vertical="center"/>
    </xf>
    <xf numFmtId="179" fontId="15" fillId="0" borderId="124" xfId="0" applyNumberFormat="1" applyFont="1" applyBorder="1" applyAlignment="1">
      <alignment horizontal="right" vertical="center"/>
    </xf>
    <xf numFmtId="178" fontId="15" fillId="0" borderId="0" xfId="1" applyNumberFormat="1" applyFont="1" applyBorder="1" applyAlignment="1">
      <alignment horizontal="right" vertical="center"/>
    </xf>
    <xf numFmtId="178" fontId="15" fillId="0" borderId="7" xfId="1" applyNumberFormat="1" applyFont="1" applyBorder="1" applyAlignment="1">
      <alignment horizontal="right" vertical="center"/>
    </xf>
    <xf numFmtId="179" fontId="15" fillId="0" borderId="0" xfId="0" applyNumberFormat="1" applyFont="1" applyBorder="1" applyAlignment="1">
      <alignment horizontal="right" vertical="center"/>
    </xf>
    <xf numFmtId="178" fontId="15" fillId="0" borderId="130" xfId="1" applyNumberFormat="1" applyFont="1" applyBorder="1" applyAlignment="1">
      <alignment horizontal="right" vertical="center"/>
    </xf>
    <xf numFmtId="178" fontId="15" fillId="0" borderId="131" xfId="1" applyNumberFormat="1" applyFont="1" applyBorder="1" applyAlignment="1">
      <alignment horizontal="right" vertical="center"/>
    </xf>
    <xf numFmtId="179" fontId="15" fillId="0" borderId="130" xfId="0" applyNumberFormat="1" applyFont="1" applyBorder="1" applyAlignment="1">
      <alignment horizontal="right" vertical="center"/>
    </xf>
    <xf numFmtId="0" fontId="14" fillId="15" borderId="133" xfId="0" applyFont="1" applyFill="1" applyBorder="1" applyAlignment="1">
      <alignment horizontal="center" vertical="center"/>
    </xf>
    <xf numFmtId="0" fontId="14" fillId="15" borderId="134" xfId="0" applyFont="1" applyFill="1" applyBorder="1" applyAlignment="1">
      <alignment horizontal="center" vertical="center"/>
    </xf>
    <xf numFmtId="0" fontId="14" fillId="15" borderId="135" xfId="0" applyFont="1" applyFill="1" applyBorder="1" applyAlignment="1">
      <alignment horizontal="center" vertical="center"/>
    </xf>
    <xf numFmtId="0" fontId="14" fillId="15" borderId="132" xfId="0" applyFont="1" applyFill="1" applyBorder="1" applyAlignment="1">
      <alignment horizontal="center" vertical="center"/>
    </xf>
    <xf numFmtId="0" fontId="14" fillId="15" borderId="136" xfId="0" applyFont="1" applyFill="1" applyBorder="1" applyAlignment="1">
      <alignment horizontal="center" vertical="center"/>
    </xf>
    <xf numFmtId="0" fontId="14" fillId="15" borderId="137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60" xfId="0" applyFont="1" applyBorder="1" applyAlignment="1">
      <alignment horizontal="center" vertical="center"/>
    </xf>
    <xf numFmtId="177" fontId="6" fillId="0" borderId="71" xfId="0" applyNumberFormat="1" applyFont="1" applyBorder="1" applyAlignment="1">
      <alignment horizontal="center" vertical="center"/>
    </xf>
    <xf numFmtId="177" fontId="6" fillId="0" borderId="4" xfId="0" applyNumberFormat="1" applyFont="1" applyBorder="1" applyAlignment="1">
      <alignment horizontal="right" vertical="center"/>
    </xf>
    <xf numFmtId="177" fontId="6" fillId="0" borderId="124" xfId="0" applyNumberFormat="1" applyFont="1" applyBorder="1" applyAlignment="1">
      <alignment horizontal="right" vertical="center"/>
    </xf>
    <xf numFmtId="177" fontId="6" fillId="0" borderId="5" xfId="0" applyNumberFormat="1" applyFont="1" applyBorder="1" applyAlignment="1">
      <alignment horizontal="right" vertical="center"/>
    </xf>
    <xf numFmtId="177" fontId="6" fillId="0" borderId="71" xfId="0" applyNumberFormat="1" applyFont="1" applyBorder="1" applyAlignment="1">
      <alignment horizontal="right" vertical="center"/>
    </xf>
    <xf numFmtId="177" fontId="6" fillId="0" borderId="130" xfId="0" applyNumberFormat="1" applyFont="1" applyBorder="1" applyAlignment="1">
      <alignment horizontal="right" vertical="center"/>
    </xf>
    <xf numFmtId="177" fontId="6" fillId="0" borderId="0" xfId="0" applyNumberFormat="1" applyFont="1" applyBorder="1" applyAlignment="1">
      <alignment horizontal="right" vertical="center"/>
    </xf>
    <xf numFmtId="177" fontId="6" fillId="0" borderId="0" xfId="0" applyNumberFormat="1" applyFont="1">
      <alignment vertical="center"/>
    </xf>
    <xf numFmtId="0" fontId="7" fillId="16" borderId="55" xfId="0" applyFont="1" applyFill="1" applyBorder="1" applyAlignment="1">
      <alignment horizontal="center" vertical="center"/>
    </xf>
    <xf numFmtId="178" fontId="7" fillId="16" borderId="48" xfId="1" applyNumberFormat="1" applyFont="1" applyFill="1" applyBorder="1" applyAlignment="1">
      <alignment horizontal="right" vertical="center"/>
    </xf>
    <xf numFmtId="178" fontId="7" fillId="16" borderId="55" xfId="1" applyNumberFormat="1" applyFont="1" applyFill="1" applyBorder="1" applyAlignment="1">
      <alignment horizontal="right" vertical="center"/>
    </xf>
    <xf numFmtId="178" fontId="7" fillId="16" borderId="67" xfId="1" applyNumberFormat="1" applyFont="1" applyFill="1" applyBorder="1" applyAlignment="1">
      <alignment horizontal="right" vertical="center"/>
    </xf>
    <xf numFmtId="178" fontId="7" fillId="16" borderId="129" xfId="1" applyNumberFormat="1" applyFont="1" applyFill="1" applyBorder="1" applyAlignment="1">
      <alignment horizontal="right" vertical="center"/>
    </xf>
    <xf numFmtId="178" fontId="7" fillId="16" borderId="69" xfId="1" applyNumberFormat="1" applyFont="1" applyFill="1" applyBorder="1" applyAlignment="1">
      <alignment horizontal="right" vertical="center"/>
    </xf>
    <xf numFmtId="178" fontId="7" fillId="16" borderId="3" xfId="0" applyNumberFormat="1" applyFont="1" applyFill="1" applyBorder="1" applyAlignment="1">
      <alignment horizontal="center" vertical="center"/>
    </xf>
    <xf numFmtId="179" fontId="7" fillId="16" borderId="1" xfId="0" applyNumberFormat="1" applyFont="1" applyFill="1" applyBorder="1" applyAlignment="1">
      <alignment horizontal="right" vertical="center"/>
    </xf>
    <xf numFmtId="179" fontId="7" fillId="16" borderId="3" xfId="0" applyNumberFormat="1" applyFont="1" applyFill="1" applyBorder="1" applyAlignment="1">
      <alignment horizontal="right" vertical="center"/>
    </xf>
    <xf numFmtId="179" fontId="7" fillId="16" borderId="70" xfId="0" applyNumberFormat="1" applyFont="1" applyFill="1" applyBorder="1" applyAlignment="1">
      <alignment horizontal="right" vertical="center"/>
    </xf>
    <xf numFmtId="179" fontId="7" fillId="16" borderId="128" xfId="0" applyNumberFormat="1" applyFont="1" applyFill="1" applyBorder="1" applyAlignment="1">
      <alignment horizontal="right" vertical="center"/>
    </xf>
    <xf numFmtId="179" fontId="7" fillId="16" borderId="2" xfId="0" applyNumberFormat="1" applyFont="1" applyFill="1" applyBorder="1" applyAlignment="1">
      <alignment horizontal="right" vertical="center"/>
    </xf>
    <xf numFmtId="177" fontId="6" fillId="9" borderId="138" xfId="0" applyNumberFormat="1" applyFont="1" applyFill="1" applyBorder="1" applyAlignment="1">
      <alignment horizontal="center" vertical="center"/>
    </xf>
    <xf numFmtId="177" fontId="6" fillId="9" borderId="139" xfId="0" applyNumberFormat="1" applyFont="1" applyFill="1" applyBorder="1" applyAlignment="1">
      <alignment horizontal="right" vertical="center"/>
    </xf>
    <xf numFmtId="177" fontId="6" fillId="9" borderId="138" xfId="0" applyNumberFormat="1" applyFont="1" applyFill="1" applyBorder="1" applyAlignment="1">
      <alignment horizontal="right" vertical="center"/>
    </xf>
    <xf numFmtId="177" fontId="6" fillId="9" borderId="140" xfId="0" applyNumberFormat="1" applyFont="1" applyFill="1" applyBorder="1" applyAlignment="1">
      <alignment horizontal="right" vertical="center"/>
    </xf>
    <xf numFmtId="177" fontId="6" fillId="9" borderId="141" xfId="0" applyNumberFormat="1" applyFont="1" applyFill="1" applyBorder="1" applyAlignment="1">
      <alignment horizontal="right" vertical="center"/>
    </xf>
    <xf numFmtId="177" fontId="6" fillId="9" borderId="60" xfId="0" applyNumberFormat="1" applyFont="1" applyFill="1" applyBorder="1" applyAlignment="1">
      <alignment horizontal="right" vertical="center"/>
    </xf>
    <xf numFmtId="178" fontId="14" fillId="7" borderId="126" xfId="1" applyNumberFormat="1" applyFont="1" applyFill="1" applyBorder="1" applyAlignment="1">
      <alignment horizontal="right" vertical="center"/>
    </xf>
    <xf numFmtId="179" fontId="14" fillId="5" borderId="123" xfId="0" applyNumberFormat="1" applyFont="1" applyFill="1" applyBorder="1" applyAlignment="1">
      <alignment horizontal="right" vertical="center"/>
    </xf>
    <xf numFmtId="177" fontId="6" fillId="9" borderId="127" xfId="0" applyNumberFormat="1" applyFont="1" applyFill="1" applyBorder="1" applyAlignment="1">
      <alignment horizontal="right" vertical="center"/>
    </xf>
    <xf numFmtId="179" fontId="15" fillId="0" borderId="4" xfId="1" applyNumberFormat="1" applyFont="1" applyBorder="1" applyAlignment="1">
      <alignment horizontal="right" vertical="center"/>
    </xf>
    <xf numFmtId="179" fontId="15" fillId="0" borderId="124" xfId="1" applyNumberFormat="1" applyFont="1" applyBorder="1" applyAlignment="1">
      <alignment horizontal="right" vertical="center"/>
    </xf>
    <xf numFmtId="179" fontId="15" fillId="0" borderId="5" xfId="1" applyNumberFormat="1" applyFont="1" applyBorder="1" applyAlignment="1">
      <alignment horizontal="right" vertical="center"/>
    </xf>
    <xf numFmtId="179" fontId="15" fillId="0" borderId="71" xfId="1" applyNumberFormat="1" applyFont="1" applyBorder="1" applyAlignment="1">
      <alignment horizontal="right" vertical="center"/>
    </xf>
    <xf numFmtId="179" fontId="15" fillId="0" borderId="130" xfId="1" applyNumberFormat="1" applyFont="1" applyBorder="1" applyAlignment="1">
      <alignment horizontal="right" vertical="center"/>
    </xf>
    <xf numFmtId="179" fontId="15" fillId="0" borderId="0" xfId="1" applyNumberFormat="1" applyFont="1" applyBorder="1" applyAlignment="1">
      <alignment horizontal="right" vertical="center"/>
    </xf>
    <xf numFmtId="0" fontId="15" fillId="12" borderId="71" xfId="0" applyFont="1" applyFill="1" applyBorder="1" applyAlignment="1">
      <alignment horizontal="center" vertical="center"/>
    </xf>
    <xf numFmtId="178" fontId="15" fillId="12" borderId="4" xfId="1" applyNumberFormat="1" applyFont="1" applyFill="1" applyBorder="1" applyAlignment="1">
      <alignment horizontal="right" vertical="center"/>
    </xf>
    <xf numFmtId="178" fontId="15" fillId="12" borderId="124" xfId="1" applyNumberFormat="1" applyFont="1" applyFill="1" applyBorder="1" applyAlignment="1">
      <alignment horizontal="right" vertical="center"/>
    </xf>
    <xf numFmtId="178" fontId="15" fillId="12" borderId="5" xfId="1" applyNumberFormat="1" applyFont="1" applyFill="1" applyBorder="1" applyAlignment="1">
      <alignment horizontal="right" vertical="center"/>
    </xf>
    <xf numFmtId="178" fontId="15" fillId="12" borderId="71" xfId="1" applyNumberFormat="1" applyFont="1" applyFill="1" applyBorder="1" applyAlignment="1">
      <alignment horizontal="right" vertical="center"/>
    </xf>
    <xf numFmtId="178" fontId="15" fillId="12" borderId="130" xfId="1" applyNumberFormat="1" applyFont="1" applyFill="1" applyBorder="1" applyAlignment="1">
      <alignment horizontal="right" vertical="center"/>
    </xf>
    <xf numFmtId="178" fontId="15" fillId="12" borderId="0" xfId="1" applyNumberFormat="1" applyFont="1" applyFill="1" applyBorder="1" applyAlignment="1">
      <alignment horizontal="right" vertical="center"/>
    </xf>
    <xf numFmtId="178" fontId="15" fillId="12" borderId="70" xfId="0" applyNumberFormat="1" applyFont="1" applyFill="1" applyBorder="1" applyAlignment="1">
      <alignment horizontal="center" vertical="center"/>
    </xf>
    <xf numFmtId="179" fontId="15" fillId="12" borderId="1" xfId="0" applyNumberFormat="1" applyFont="1" applyFill="1" applyBorder="1" applyAlignment="1">
      <alignment horizontal="right" vertical="center"/>
    </xf>
    <xf numFmtId="179" fontId="15" fillId="12" borderId="123" xfId="0" applyNumberFormat="1" applyFont="1" applyFill="1" applyBorder="1" applyAlignment="1">
      <alignment horizontal="right" vertical="center"/>
    </xf>
    <xf numFmtId="179" fontId="15" fillId="12" borderId="3" xfId="0" applyNumberFormat="1" applyFont="1" applyFill="1" applyBorder="1" applyAlignment="1">
      <alignment horizontal="right" vertical="center"/>
    </xf>
    <xf numFmtId="179" fontId="15" fillId="12" borderId="70" xfId="0" applyNumberFormat="1" applyFont="1" applyFill="1" applyBorder="1" applyAlignment="1">
      <alignment horizontal="right" vertical="center"/>
    </xf>
    <xf numFmtId="179" fontId="15" fillId="12" borderId="128" xfId="0" applyNumberFormat="1" applyFont="1" applyFill="1" applyBorder="1" applyAlignment="1">
      <alignment horizontal="right" vertical="center"/>
    </xf>
    <xf numFmtId="179" fontId="15" fillId="12" borderId="2" xfId="0" applyNumberFormat="1" applyFont="1" applyFill="1" applyBorder="1" applyAlignment="1">
      <alignment horizontal="right" vertical="center"/>
    </xf>
    <xf numFmtId="178" fontId="15" fillId="0" borderId="39" xfId="0" applyNumberFormat="1" applyFont="1" applyBorder="1">
      <alignment vertical="center"/>
    </xf>
    <xf numFmtId="178" fontId="15" fillId="0" borderId="29" xfId="0" applyNumberFormat="1" applyFont="1" applyBorder="1">
      <alignment vertical="center"/>
    </xf>
    <xf numFmtId="178" fontId="15" fillId="0" borderId="30" xfId="0" applyNumberFormat="1" applyFont="1" applyBorder="1">
      <alignment vertical="center"/>
    </xf>
    <xf numFmtId="178" fontId="15" fillId="0" borderId="46" xfId="0" applyNumberFormat="1" applyFont="1" applyBorder="1">
      <alignment vertical="center"/>
    </xf>
    <xf numFmtId="178" fontId="15" fillId="0" borderId="13" xfId="0" applyNumberFormat="1" applyFont="1" applyBorder="1">
      <alignment vertical="center"/>
    </xf>
    <xf numFmtId="178" fontId="15" fillId="0" borderId="14" xfId="0" applyNumberFormat="1" applyFont="1" applyBorder="1">
      <alignment vertical="center"/>
    </xf>
    <xf numFmtId="178" fontId="15" fillId="0" borderId="49" xfId="0" applyNumberFormat="1" applyFont="1" applyBorder="1">
      <alignment vertical="center"/>
    </xf>
    <xf numFmtId="178" fontId="15" fillId="0" borderId="25" xfId="0" applyNumberFormat="1" applyFont="1" applyBorder="1">
      <alignment vertical="center"/>
    </xf>
    <xf numFmtId="178" fontId="15" fillId="0" borderId="26" xfId="0" applyNumberFormat="1" applyFont="1" applyBorder="1">
      <alignment vertical="center"/>
    </xf>
    <xf numFmtId="178" fontId="15" fillId="0" borderId="47" xfId="0" applyNumberFormat="1" applyFont="1" applyBorder="1">
      <alignment vertical="center"/>
    </xf>
    <xf numFmtId="178" fontId="15" fillId="0" borderId="16" xfId="0" applyNumberFormat="1" applyFont="1" applyBorder="1">
      <alignment vertical="center"/>
    </xf>
    <xf numFmtId="178" fontId="15" fillId="0" borderId="17" xfId="0" applyNumberFormat="1" applyFont="1" applyBorder="1">
      <alignment vertical="center"/>
    </xf>
    <xf numFmtId="178" fontId="15" fillId="9" borderId="39" xfId="0" applyNumberFormat="1" applyFont="1" applyFill="1" applyBorder="1">
      <alignment vertical="center"/>
    </xf>
    <xf numFmtId="178" fontId="15" fillId="9" borderId="29" xfId="0" applyNumberFormat="1" applyFont="1" applyFill="1" applyBorder="1">
      <alignment vertical="center"/>
    </xf>
    <xf numFmtId="178" fontId="15" fillId="9" borderId="30" xfId="0" applyNumberFormat="1" applyFont="1" applyFill="1" applyBorder="1">
      <alignment vertical="center"/>
    </xf>
    <xf numFmtId="178" fontId="15" fillId="9" borderId="46" xfId="0" applyNumberFormat="1" applyFont="1" applyFill="1" applyBorder="1">
      <alignment vertical="center"/>
    </xf>
    <xf numFmtId="178" fontId="15" fillId="9" borderId="13" xfId="0" applyNumberFormat="1" applyFont="1" applyFill="1" applyBorder="1">
      <alignment vertical="center"/>
    </xf>
    <xf numFmtId="178" fontId="15" fillId="9" borderId="14" xfId="0" applyNumberFormat="1" applyFont="1" applyFill="1" applyBorder="1">
      <alignment vertical="center"/>
    </xf>
    <xf numFmtId="178" fontId="15" fillId="9" borderId="49" xfId="0" applyNumberFormat="1" applyFont="1" applyFill="1" applyBorder="1">
      <alignment vertical="center"/>
    </xf>
    <xf numFmtId="178" fontId="15" fillId="9" borderId="25" xfId="0" applyNumberFormat="1" applyFont="1" applyFill="1" applyBorder="1">
      <alignment vertical="center"/>
    </xf>
    <xf numFmtId="178" fontId="15" fillId="9" borderId="26" xfId="0" applyNumberFormat="1" applyFont="1" applyFill="1" applyBorder="1">
      <alignment vertical="center"/>
    </xf>
    <xf numFmtId="178" fontId="15" fillId="9" borderId="47" xfId="0" applyNumberFormat="1" applyFont="1" applyFill="1" applyBorder="1">
      <alignment vertical="center"/>
    </xf>
    <xf numFmtId="178" fontId="15" fillId="9" borderId="16" xfId="0" applyNumberFormat="1" applyFont="1" applyFill="1" applyBorder="1">
      <alignment vertical="center"/>
    </xf>
    <xf numFmtId="178" fontId="15" fillId="9" borderId="17" xfId="0" applyNumberFormat="1" applyFont="1" applyFill="1" applyBorder="1">
      <alignment vertical="center"/>
    </xf>
    <xf numFmtId="178" fontId="15" fillId="0" borderId="1" xfId="0" applyNumberFormat="1" applyFont="1" applyBorder="1">
      <alignment vertical="center"/>
    </xf>
    <xf numFmtId="178" fontId="15" fillId="0" borderId="77" xfId="0" applyNumberFormat="1" applyFont="1" applyBorder="1">
      <alignment vertical="center"/>
    </xf>
    <xf numFmtId="178" fontId="15" fillId="0" borderId="4" xfId="0" applyNumberFormat="1" applyFont="1" applyBorder="1">
      <alignment vertical="center"/>
    </xf>
    <xf numFmtId="178" fontId="15" fillId="0" borderId="78" xfId="0" applyNumberFormat="1" applyFont="1" applyBorder="1">
      <alignment vertical="center"/>
    </xf>
    <xf numFmtId="178" fontId="15" fillId="0" borderId="18" xfId="0" applyNumberFormat="1" applyFont="1" applyBorder="1">
      <alignment vertical="center"/>
    </xf>
    <xf numFmtId="178" fontId="15" fillId="0" borderId="82" xfId="0" applyNumberFormat="1" applyFont="1" applyBorder="1">
      <alignment vertical="center"/>
    </xf>
    <xf numFmtId="178" fontId="15" fillId="0" borderId="53" xfId="0" applyNumberFormat="1" applyFont="1" applyBorder="1">
      <alignment vertical="center"/>
    </xf>
    <xf numFmtId="178" fontId="15" fillId="0" borderId="20" xfId="0" applyNumberFormat="1" applyFont="1" applyBorder="1">
      <alignment vertical="center"/>
    </xf>
    <xf numFmtId="178" fontId="15" fillId="0" borderId="21" xfId="0" applyNumberFormat="1" applyFont="1" applyBorder="1">
      <alignment vertical="center"/>
    </xf>
    <xf numFmtId="178" fontId="15" fillId="0" borderId="22" xfId="0" applyNumberFormat="1" applyFont="1" applyBorder="1">
      <alignment vertical="center"/>
    </xf>
    <xf numFmtId="178" fontId="15" fillId="0" borderId="79" xfId="0" applyNumberFormat="1" applyFont="1" applyBorder="1">
      <alignment vertical="center"/>
    </xf>
    <xf numFmtId="178" fontId="14" fillId="7" borderId="82" xfId="0" applyNumberFormat="1" applyFont="1" applyFill="1" applyBorder="1">
      <alignment vertical="center"/>
    </xf>
    <xf numFmtId="178" fontId="14" fillId="5" borderId="78" xfId="0" applyNumberFormat="1" applyFont="1" applyFill="1" applyBorder="1">
      <alignment vertical="center"/>
    </xf>
    <xf numFmtId="0" fontId="11" fillId="8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4" fillId="15" borderId="67" xfId="0" applyFont="1" applyFill="1" applyBorder="1" applyAlignment="1">
      <alignment horizontal="center" vertical="center"/>
    </xf>
    <xf numFmtId="0" fontId="14" fillId="15" borderId="70" xfId="0" applyFont="1" applyFill="1" applyBorder="1" applyAlignment="1">
      <alignment horizontal="center" vertical="center"/>
    </xf>
    <xf numFmtId="0" fontId="14" fillId="15" borderId="129" xfId="0" applyFont="1" applyFill="1" applyBorder="1" applyAlignment="1">
      <alignment horizontal="center" vertical="center"/>
    </xf>
    <xf numFmtId="0" fontId="14" fillId="15" borderId="55" xfId="0" applyFont="1" applyFill="1" applyBorder="1" applyAlignment="1">
      <alignment horizontal="center" vertical="center"/>
    </xf>
    <xf numFmtId="0" fontId="14" fillId="15" borderId="4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4" fillId="15" borderId="135" xfId="0" applyFont="1" applyFill="1" applyBorder="1" applyAlignment="1">
      <alignment horizontal="center" vertical="center"/>
    </xf>
    <xf numFmtId="0" fontId="14" fillId="15" borderId="132" xfId="0" applyFont="1" applyFill="1" applyBorder="1" applyAlignment="1">
      <alignment horizontal="center" vertical="center"/>
    </xf>
    <xf numFmtId="178" fontId="6" fillId="0" borderId="48" xfId="0" applyNumberFormat="1" applyFont="1" applyBorder="1" applyAlignment="1">
      <alignment horizontal="center" vertical="center"/>
    </xf>
    <xf numFmtId="178" fontId="6" fillId="0" borderId="55" xfId="0" applyNumberFormat="1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 vertical="center"/>
    </xf>
    <xf numFmtId="0" fontId="18" fillId="10" borderId="6" xfId="0" applyFont="1" applyFill="1" applyBorder="1" applyAlignment="1">
      <alignment horizontal="center" vertical="center"/>
    </xf>
    <xf numFmtId="0" fontId="18" fillId="10" borderId="8" xfId="0" applyFont="1" applyFill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178" fontId="2" fillId="4" borderId="48" xfId="1" applyNumberFormat="1" applyFont="1" applyFill="1" applyBorder="1" applyAlignment="1">
      <alignment horizontal="center" vertical="center"/>
    </xf>
    <xf numFmtId="178" fontId="2" fillId="4" borderId="69" xfId="1" applyNumberFormat="1" applyFont="1" applyFill="1" applyBorder="1" applyAlignment="1">
      <alignment horizontal="center" vertical="center"/>
    </xf>
    <xf numFmtId="178" fontId="2" fillId="4" borderId="55" xfId="1" applyNumberFormat="1" applyFont="1" applyFill="1" applyBorder="1" applyAlignment="1">
      <alignment horizontal="center" vertical="center"/>
    </xf>
    <xf numFmtId="178" fontId="18" fillId="11" borderId="70" xfId="0" applyNumberFormat="1" applyFont="1" applyFill="1" applyBorder="1" applyAlignment="1">
      <alignment horizontal="center" vertical="center"/>
    </xf>
    <xf numFmtId="178" fontId="18" fillId="11" borderId="72" xfId="0" applyNumberFormat="1" applyFont="1" applyFill="1" applyBorder="1" applyAlignment="1">
      <alignment horizontal="center" vertical="center"/>
    </xf>
    <xf numFmtId="178" fontId="18" fillId="11" borderId="1" xfId="0" applyNumberFormat="1" applyFont="1" applyFill="1" applyBorder="1" applyAlignment="1">
      <alignment horizontal="center" vertical="center"/>
    </xf>
    <xf numFmtId="178" fontId="18" fillId="11" borderId="2" xfId="0" applyNumberFormat="1" applyFont="1" applyFill="1" applyBorder="1" applyAlignment="1">
      <alignment horizontal="center" vertical="center"/>
    </xf>
    <xf numFmtId="178" fontId="18" fillId="11" borderId="6" xfId="0" applyNumberFormat="1" applyFont="1" applyFill="1" applyBorder="1" applyAlignment="1">
      <alignment horizontal="center" vertical="center"/>
    </xf>
    <xf numFmtId="178" fontId="18" fillId="11" borderId="7" xfId="0" applyNumberFormat="1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0" fontId="16" fillId="6" borderId="115" xfId="0" applyFont="1" applyFill="1" applyBorder="1" applyAlignment="1">
      <alignment horizontal="center" vertical="center"/>
    </xf>
    <xf numFmtId="0" fontId="16" fillId="6" borderId="116" xfId="0" applyFont="1" applyFill="1" applyBorder="1" applyAlignment="1">
      <alignment horizontal="center" vertical="center"/>
    </xf>
    <xf numFmtId="0" fontId="16" fillId="6" borderId="117" xfId="0" applyFont="1" applyFill="1" applyBorder="1" applyAlignment="1">
      <alignment horizontal="center" vertical="center"/>
    </xf>
    <xf numFmtId="178" fontId="18" fillId="6" borderId="1" xfId="0" applyNumberFormat="1" applyFont="1" applyFill="1" applyBorder="1" applyAlignment="1">
      <alignment horizontal="center" vertical="center"/>
    </xf>
    <xf numFmtId="178" fontId="18" fillId="6" borderId="3" xfId="0" applyNumberFormat="1" applyFont="1" applyFill="1" applyBorder="1" applyAlignment="1">
      <alignment horizontal="center" vertical="center"/>
    </xf>
    <xf numFmtId="178" fontId="18" fillId="6" borderId="6" xfId="0" applyNumberFormat="1" applyFont="1" applyFill="1" applyBorder="1" applyAlignment="1">
      <alignment horizontal="center" vertical="center"/>
    </xf>
    <xf numFmtId="178" fontId="18" fillId="6" borderId="8" xfId="0" applyNumberFormat="1" applyFont="1" applyFill="1" applyBorder="1" applyAlignment="1">
      <alignment horizontal="center" vertical="center"/>
    </xf>
    <xf numFmtId="14" fontId="0" fillId="0" borderId="0" xfId="0" applyNumberFormat="1" applyFont="1">
      <alignment vertical="center"/>
    </xf>
  </cellXfs>
  <cellStyles count="5">
    <cellStyle name="백분율 3" xfId="2" xr:uid="{00000000-0005-0000-0000-000001000000}"/>
    <cellStyle name="쉼표 [0]" xfId="1" builtinId="6"/>
    <cellStyle name="쉼표 [0] 2" xfId="3" xr:uid="{00000000-0005-0000-0000-000003000000}"/>
    <cellStyle name="표준" xfId="0" builtinId="0"/>
    <cellStyle name="표준 2 2" xfId="4" xr:uid="{00000000-0005-0000-0000-000005000000}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건자재!$R$38</c:f>
              <c:strCache>
                <c:ptCount val="1"/>
                <c:pt idx="0">
                  <c:v>판매단가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3175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건자재!$T$37:$AF$37</c:f>
              <c:strCache>
                <c:ptCount val="13"/>
                <c:pt idx="0">
                  <c:v>2월</c:v>
                </c:pt>
                <c:pt idx="1">
                  <c:v>3월</c:v>
                </c:pt>
                <c:pt idx="2">
                  <c:v>4월</c:v>
                </c:pt>
                <c:pt idx="3">
                  <c:v>5월</c:v>
                </c:pt>
                <c:pt idx="4">
                  <c:v>6월</c:v>
                </c:pt>
                <c:pt idx="5">
                  <c:v>7월</c:v>
                </c:pt>
                <c:pt idx="6">
                  <c:v>8월</c:v>
                </c:pt>
                <c:pt idx="7">
                  <c:v>9월</c:v>
                </c:pt>
                <c:pt idx="8">
                  <c:v>10월</c:v>
                </c:pt>
                <c:pt idx="9">
                  <c:v>11월</c:v>
                </c:pt>
                <c:pt idx="10">
                  <c:v>12월</c:v>
                </c:pt>
                <c:pt idx="11">
                  <c:v>1월</c:v>
                </c:pt>
                <c:pt idx="12">
                  <c:v>2월</c:v>
                </c:pt>
              </c:strCache>
            </c:strRef>
          </c:cat>
          <c:val>
            <c:numRef>
              <c:f>건자재!$T$38:$AF$38</c:f>
              <c:numCache>
                <c:formatCode>#,##0_);[Red]\(#,##0\)</c:formatCode>
                <c:ptCount val="13"/>
                <c:pt idx="0">
                  <c:v>1027486.9738044508</c:v>
                </c:pt>
                <c:pt idx="1">
                  <c:v>1030973.3939193247</c:v>
                </c:pt>
                <c:pt idx="2">
                  <c:v>1048311.1321207784</c:v>
                </c:pt>
                <c:pt idx="3">
                  <c:v>1064717.6492676102</c:v>
                </c:pt>
                <c:pt idx="4">
                  <c:v>1043902.0889611768</c:v>
                </c:pt>
                <c:pt idx="5">
                  <c:v>1025254.3120930659</c:v>
                </c:pt>
                <c:pt idx="6">
                  <c:v>957693.63511625899</c:v>
                </c:pt>
                <c:pt idx="7">
                  <c:v>1007624.1816933632</c:v>
                </c:pt>
                <c:pt idx="8">
                  <c:v>964243.14311560732</c:v>
                </c:pt>
                <c:pt idx="9">
                  <c:v>985246.58044154115</c:v>
                </c:pt>
                <c:pt idx="10">
                  <c:v>951341.4287927025</c:v>
                </c:pt>
                <c:pt idx="11">
                  <c:v>920730.85338998202</c:v>
                </c:pt>
                <c:pt idx="12">
                  <c:v>886130.8859870329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55-4D75-BE3B-275E751F3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924856"/>
        <c:axId val="725929120"/>
      </c:lineChart>
      <c:lineChart>
        <c:grouping val="standard"/>
        <c:varyColors val="0"/>
        <c:ser>
          <c:idx val="1"/>
          <c:order val="1"/>
          <c:tx>
            <c:strRef>
              <c:f>건자재!$R$39</c:f>
              <c:strCache>
                <c:ptCount val="1"/>
                <c:pt idx="0">
                  <c:v>마진률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건자재!$T$37:$AF$37</c:f>
              <c:strCache>
                <c:ptCount val="13"/>
                <c:pt idx="0">
                  <c:v>2월</c:v>
                </c:pt>
                <c:pt idx="1">
                  <c:v>3월</c:v>
                </c:pt>
                <c:pt idx="2">
                  <c:v>4월</c:v>
                </c:pt>
                <c:pt idx="3">
                  <c:v>5월</c:v>
                </c:pt>
                <c:pt idx="4">
                  <c:v>6월</c:v>
                </c:pt>
                <c:pt idx="5">
                  <c:v>7월</c:v>
                </c:pt>
                <c:pt idx="6">
                  <c:v>8월</c:v>
                </c:pt>
                <c:pt idx="7">
                  <c:v>9월</c:v>
                </c:pt>
                <c:pt idx="8">
                  <c:v>10월</c:v>
                </c:pt>
                <c:pt idx="9">
                  <c:v>11월</c:v>
                </c:pt>
                <c:pt idx="10">
                  <c:v>12월</c:v>
                </c:pt>
                <c:pt idx="11">
                  <c:v>1월</c:v>
                </c:pt>
                <c:pt idx="12">
                  <c:v>2월</c:v>
                </c:pt>
              </c:strCache>
            </c:strRef>
          </c:cat>
          <c:val>
            <c:numRef>
              <c:f>건자재!$T$39:$AF$39</c:f>
              <c:numCache>
                <c:formatCode>0.0%</c:formatCode>
                <c:ptCount val="13"/>
                <c:pt idx="0">
                  <c:v>2.0328430506478493E-2</c:v>
                </c:pt>
                <c:pt idx="1">
                  <c:v>1.815970186077798E-2</c:v>
                </c:pt>
                <c:pt idx="2">
                  <c:v>2.0783119934692784E-2</c:v>
                </c:pt>
                <c:pt idx="3">
                  <c:v>1.8530156032889104E-2</c:v>
                </c:pt>
                <c:pt idx="4">
                  <c:v>2.338088905753952E-2</c:v>
                </c:pt>
                <c:pt idx="5">
                  <c:v>2.4066421287530761E-2</c:v>
                </c:pt>
                <c:pt idx="6">
                  <c:v>2.751551238666371E-2</c:v>
                </c:pt>
                <c:pt idx="7">
                  <c:v>1.6738202604907604E-2</c:v>
                </c:pt>
                <c:pt idx="8">
                  <c:v>1.8118540365804674E-2</c:v>
                </c:pt>
                <c:pt idx="9">
                  <c:v>1.7419708473984639E-2</c:v>
                </c:pt>
                <c:pt idx="10">
                  <c:v>2.0746012557623313E-2</c:v>
                </c:pt>
                <c:pt idx="11">
                  <c:v>1.9263299607757241E-2</c:v>
                </c:pt>
                <c:pt idx="12">
                  <c:v>2.0328430506478493E-2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55-4D75-BE3B-275E751F3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496360"/>
        <c:axId val="622269880"/>
      </c:lineChart>
      <c:catAx>
        <c:axId val="72592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9120"/>
        <c:crosses val="autoZero"/>
        <c:auto val="1"/>
        <c:lblAlgn val="ctr"/>
        <c:lblOffset val="0"/>
        <c:noMultiLvlLbl val="0"/>
      </c:catAx>
      <c:valAx>
        <c:axId val="725929120"/>
        <c:scaling>
          <c:orientation val="minMax"/>
          <c:max val="1400000"/>
          <c:min val="300000"/>
        </c:scaling>
        <c:delete val="0"/>
        <c:axPos val="l"/>
        <c:numFmt formatCode="#,##0_);[Red]\(#,##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4856"/>
        <c:crosses val="autoZero"/>
        <c:crossBetween val="between"/>
      </c:valAx>
      <c:valAx>
        <c:axId val="622269880"/>
        <c:scaling>
          <c:orientation val="minMax"/>
          <c:max val="0.15000000000000002"/>
          <c:min val="1.0000000000000002E-3"/>
        </c:scaling>
        <c:delete val="0"/>
        <c:axPos val="r"/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496360"/>
        <c:crosses val="max"/>
        <c:crossBetween val="between"/>
      </c:valAx>
      <c:catAx>
        <c:axId val="725496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2269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394607</xdr:colOff>
      <xdr:row>27</xdr:row>
      <xdr:rowOff>299358</xdr:rowOff>
    </xdr:from>
    <xdr:to>
      <xdr:col>14</xdr:col>
      <xdr:colOff>830036</xdr:colOff>
      <xdr:row>33</xdr:row>
      <xdr:rowOff>317500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B01E3CC-2C56-45D5-94BE-AA7FCAC4D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1_&#51665;&#44228;/2024&#45380;_&#54637;&#47785;&#48324;&#49552;&#51061;&#50696;&#4932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4&#45380;_&#54637;&#47785;&#48324;&#49552;&#51061;&#49892;&#51201;_&#54620;&#49457;&#54252;&#5463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0_&#48372;&#44256;&#49436;/2023&#45380;_&#54637;&#47785;&#48324;&#49552;&#51061;&#49892;&#51201;_&#54620;&#49457;&#54252;&#5463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552;&#51061;&#48372;&#44256;&#49436;(2024-0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2/01_&#47112;&#48120;&#53080;/&#47112;&#48120;&#53080;&#50896;&#44032;&#49552;&#51061;(2024-02)&#44228;&#54925;&#45824;&#4870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2/01_&#47112;&#48120;&#53080;/&#47112;&#48120;&#53080;&#50896;&#44032;&#49552;&#51061;(2024-02)&#51204;&#45380;&#45824;&#48708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2/02_&#44148;&#51088;&#51116;/&#44148;&#51088;&#51116;&#50689;&#50629;&#49552;&#51061;(2024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2_&#44148;&#51088;&#51116;/&#44148;&#51088;&#51116;&#50689;&#50629;&#49552;&#51061;(2023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2/03_&#44264;&#51116;/&#44264;&#51116;&#50896;&#44032;&#49552;&#51061;(2024-02)&#44228;&#54925;&#45824;&#48708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3_&#44264;&#51116;/&#44264;&#51116;&#50896;&#44032;&#49552;&#51061;(2023-02)&#44228;&#54925;&#45824;&#48708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2/01_&#47112;&#48120;&#53080;/&#47112;&#48120;&#53080;&#50896;&#44032;&#49552;&#51061;(2024-02&#45572;&#44228;)&#44228;&#54925;&#45824;&#48708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2/01_&#47112;&#48120;&#53080;/&#47112;&#48120;&#53080;&#50896;&#44032;&#49552;&#51061;(2024-02&#45572;&#44228;)&#51204;&#45380;&#45824;&#48708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148;&#51088;&#51116;/2024&#45380;_&#50696;&#49328;&#50836;&#44396;&#50504;_&#44148;&#51088;&#51116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9436;&#48512;&#49328;&#53356;&#46972;&#49380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8512;&#49328;&#53356;&#46972;&#49380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8512;&#49328;&#47784;&#47000;&#51109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2/03_&#44264;&#51116;/&#44264;&#51116;&#49892;&#51201;(2024-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월별손익"/>
      <sheetName val="월별손익 (2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월누계"/>
      <sheetName val="3월누계"/>
      <sheetName val="4월누계"/>
      <sheetName val="5월누계"/>
      <sheetName val="6월누계"/>
      <sheetName val="7월누계"/>
      <sheetName val="8월누계"/>
      <sheetName val="9월누계"/>
      <sheetName val="10월누계"/>
      <sheetName val="11월누계"/>
      <sheetName val="12월누계"/>
      <sheetName val="하반기"/>
      <sheetName val="물량"/>
      <sheetName val="매출액"/>
      <sheetName val="매출원가"/>
      <sheetName val="노무비"/>
      <sheetName val="경비"/>
      <sheetName val="운반비"/>
      <sheetName val="감가상각비_제조"/>
      <sheetName val="감가상각비_판매"/>
      <sheetName val="영업공통비"/>
      <sheetName val="부문공통비"/>
      <sheetName val="본사공통비"/>
      <sheetName val="매출이익"/>
      <sheetName val="영업이익1"/>
      <sheetName val="영업이익2"/>
      <sheetName val="Sheet2"/>
      <sheetName val="Sheet2 (2)"/>
    </sheetNames>
    <sheetDataSet>
      <sheetData sheetId="0"/>
      <sheetData sheetId="1"/>
      <sheetData sheetId="2"/>
      <sheetData sheetId="3">
        <row r="6">
          <cell r="D6" t="str">
            <v>구분</v>
          </cell>
        </row>
      </sheetData>
      <sheetData sheetId="4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임금인상</v>
          </cell>
          <cell r="AS6" t="str">
            <v>시멘트소급</v>
          </cell>
          <cell r="AT6" t="str">
            <v>기타</v>
          </cell>
          <cell r="AU6" t="str">
            <v>기타 계</v>
          </cell>
        </row>
        <row r="7">
          <cell r="D7" t="str">
            <v>물     량</v>
          </cell>
          <cell r="F7">
            <v>36000</v>
          </cell>
          <cell r="G7">
            <v>24000</v>
          </cell>
          <cell r="H7">
            <v>21000</v>
          </cell>
          <cell r="I7">
            <v>10000</v>
          </cell>
          <cell r="J7">
            <v>16000</v>
          </cell>
          <cell r="K7">
            <v>19000</v>
          </cell>
          <cell r="L7">
            <v>11000</v>
          </cell>
          <cell r="M7">
            <v>16000</v>
          </cell>
          <cell r="N7">
            <v>9000</v>
          </cell>
          <cell r="O7">
            <v>14000</v>
          </cell>
          <cell r="P7">
            <v>13500</v>
          </cell>
          <cell r="Q7">
            <v>4000</v>
          </cell>
          <cell r="R7">
            <v>14500</v>
          </cell>
          <cell r="S7">
            <v>10000</v>
          </cell>
          <cell r="T7">
            <v>4000</v>
          </cell>
          <cell r="U7">
            <v>3000</v>
          </cell>
          <cell r="V7">
            <v>4000</v>
          </cell>
          <cell r="W7">
            <v>0</v>
          </cell>
          <cell r="X7">
            <v>0</v>
          </cell>
          <cell r="Y7">
            <v>0</v>
          </cell>
          <cell r="Z7">
            <v>229000</v>
          </cell>
          <cell r="AA7">
            <v>6400</v>
          </cell>
          <cell r="AB7">
            <v>11137.8</v>
          </cell>
          <cell r="AC7">
            <v>37656.38338633901</v>
          </cell>
          <cell r="AD7">
            <v>18067.897800162973</v>
          </cell>
          <cell r="AE7">
            <v>66862.081186501979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D8" t="str">
            <v>매 출 액</v>
          </cell>
          <cell r="E8">
            <v>32337647.814351231</v>
          </cell>
          <cell r="F8">
            <v>3479775.65</v>
          </cell>
          <cell r="G8">
            <v>2338906.5300000003</v>
          </cell>
          <cell r="H8">
            <v>2019186.2079293178</v>
          </cell>
          <cell r="I8">
            <v>923864.5</v>
          </cell>
          <cell r="J8">
            <v>1721602.429</v>
          </cell>
          <cell r="K8">
            <v>1976404.4800000002</v>
          </cell>
          <cell r="L8">
            <v>1110995.6000000001</v>
          </cell>
          <cell r="M8">
            <v>1664000</v>
          </cell>
          <cell r="N8">
            <v>864597.79999999981</v>
          </cell>
          <cell r="O8">
            <v>1394204</v>
          </cell>
          <cell r="P8">
            <v>1320300</v>
          </cell>
          <cell r="Q8">
            <v>389683.5</v>
          </cell>
          <cell r="R8">
            <v>1464495.5</v>
          </cell>
          <cell r="S8">
            <v>1008375.808</v>
          </cell>
          <cell r="T8">
            <v>433134.07500000007</v>
          </cell>
          <cell r="U8">
            <v>323700</v>
          </cell>
          <cell r="V8">
            <v>506800</v>
          </cell>
          <cell r="W8">
            <v>0</v>
          </cell>
          <cell r="X8">
            <v>0</v>
          </cell>
          <cell r="Y8">
            <v>0</v>
          </cell>
          <cell r="Z8">
            <v>22940026.079929315</v>
          </cell>
          <cell r="AA8">
            <v>7830197.8947368432</v>
          </cell>
          <cell r="AB8">
            <v>173606.8</v>
          </cell>
          <cell r="AC8">
            <v>671476.89686755487</v>
          </cell>
          <cell r="AD8">
            <v>557432.64248418878</v>
          </cell>
          <cell r="AE8">
            <v>1402516.3393517437</v>
          </cell>
          <cell r="AF8">
            <v>12500</v>
          </cell>
          <cell r="AG8">
            <v>50000</v>
          </cell>
          <cell r="AH8">
            <v>28340</v>
          </cell>
          <cell r="AI8">
            <v>67047.50033333333</v>
          </cell>
          <cell r="AJ8">
            <v>5250</v>
          </cell>
          <cell r="AK8">
            <v>0</v>
          </cell>
          <cell r="AL8">
            <v>163137.50033333333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1770</v>
          </cell>
          <cell r="AU8">
            <v>1770</v>
          </cell>
        </row>
        <row r="9">
          <cell r="D9" t="str">
            <v xml:space="preserve"> - 단  위  당</v>
          </cell>
          <cell r="F9">
            <v>96660.434722222213</v>
          </cell>
          <cell r="G9">
            <v>97454.438750000001</v>
          </cell>
          <cell r="H9">
            <v>96151.724187110376</v>
          </cell>
          <cell r="I9">
            <v>92386.45</v>
          </cell>
          <cell r="J9">
            <v>107600.1518125</v>
          </cell>
          <cell r="K9">
            <v>104021.28842105264</v>
          </cell>
          <cell r="L9">
            <v>100999.60000000002</v>
          </cell>
          <cell r="M9">
            <v>104000</v>
          </cell>
          <cell r="N9">
            <v>96066.422222222202</v>
          </cell>
          <cell r="O9">
            <v>99586</v>
          </cell>
          <cell r="P9">
            <v>97800</v>
          </cell>
          <cell r="Q9">
            <v>97420.875</v>
          </cell>
          <cell r="R9">
            <v>100999.68965517242</v>
          </cell>
          <cell r="S9">
            <v>100837.5808</v>
          </cell>
          <cell r="T9">
            <v>108283.51875000002</v>
          </cell>
          <cell r="U9">
            <v>107900</v>
          </cell>
          <cell r="V9">
            <v>126700</v>
          </cell>
          <cell r="W9">
            <v>0</v>
          </cell>
          <cell r="X9">
            <v>0</v>
          </cell>
          <cell r="Y9">
            <v>0</v>
          </cell>
          <cell r="Z9">
            <v>100174.78637523718</v>
          </cell>
          <cell r="AA9">
            <v>1223468.4210526319</v>
          </cell>
          <cell r="AB9">
            <v>15587.171613783692</v>
          </cell>
          <cell r="AC9">
            <v>17831.688454477371</v>
          </cell>
          <cell r="AD9">
            <v>30852.102920305468</v>
          </cell>
          <cell r="AE9">
            <v>20976.259106258298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D10" t="str">
            <v>매출원가</v>
          </cell>
          <cell r="E10">
            <v>28510529.82653835</v>
          </cell>
          <cell r="F10">
            <v>3085207.3061099346</v>
          </cell>
          <cell r="G10">
            <v>2167917.368972545</v>
          </cell>
          <cell r="H10">
            <v>1778494.8965884829</v>
          </cell>
          <cell r="I10">
            <v>844929.73781556345</v>
          </cell>
          <cell r="J10">
            <v>1420832.7375148311</v>
          </cell>
          <cell r="K10">
            <v>1599264.4881106815</v>
          </cell>
          <cell r="L10">
            <v>943281.63595642103</v>
          </cell>
          <cell r="M10">
            <v>1387695.4018318327</v>
          </cell>
          <cell r="N10">
            <v>727238.4415118841</v>
          </cell>
          <cell r="O10">
            <v>1121903.5206618905</v>
          </cell>
          <cell r="P10">
            <v>1080952.4653897183</v>
          </cell>
          <cell r="Q10">
            <v>409320.42581272387</v>
          </cell>
          <cell r="R10">
            <v>1271310.2066709476</v>
          </cell>
          <cell r="S10">
            <v>842049.78603813623</v>
          </cell>
          <cell r="T10">
            <v>336480.18614062807</v>
          </cell>
          <cell r="U10">
            <v>287397.51414508023</v>
          </cell>
          <cell r="V10">
            <v>424872.95229112118</v>
          </cell>
          <cell r="W10">
            <v>0</v>
          </cell>
          <cell r="X10">
            <v>0</v>
          </cell>
          <cell r="Y10">
            <v>0</v>
          </cell>
          <cell r="Z10">
            <v>19729149.071562424</v>
          </cell>
          <cell r="AA10">
            <v>7629616.4119578954</v>
          </cell>
          <cell r="AB10">
            <v>78486.41</v>
          </cell>
          <cell r="AC10">
            <v>598080.48370437324</v>
          </cell>
          <cell r="AD10">
            <v>473470.46531365416</v>
          </cell>
          <cell r="AE10">
            <v>1150037.3590180273</v>
          </cell>
          <cell r="AF10">
            <v>132.447</v>
          </cell>
          <cell r="AG10">
            <v>730.32500000000005</v>
          </cell>
          <cell r="AH10">
            <v>429.654</v>
          </cell>
          <cell r="AI10">
            <v>255.76900000000001</v>
          </cell>
          <cell r="AJ10">
            <v>178.78899999999999</v>
          </cell>
          <cell r="AK10">
            <v>0</v>
          </cell>
          <cell r="AL10">
            <v>1726.9839999999999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</row>
        <row r="11">
          <cell r="D11" t="str">
            <v xml:space="preserve"> - 단  위  당</v>
          </cell>
          <cell r="F11">
            <v>85700.202947498183</v>
          </cell>
          <cell r="G11">
            <v>90329.890373856048</v>
          </cell>
          <cell r="H11">
            <v>84690.233170880136</v>
          </cell>
          <cell r="I11">
            <v>84492.973781556342</v>
          </cell>
          <cell r="J11">
            <v>88802.046094676945</v>
          </cell>
          <cell r="K11">
            <v>84171.815163720079</v>
          </cell>
          <cell r="L11">
            <v>85752.875996038274</v>
          </cell>
          <cell r="M11">
            <v>86730.962614489545</v>
          </cell>
          <cell r="N11">
            <v>80804.271279098233</v>
          </cell>
          <cell r="O11">
            <v>80135.96576156361</v>
          </cell>
          <cell r="P11">
            <v>80070.552991830977</v>
          </cell>
          <cell r="Q11">
            <v>102330.10645318097</v>
          </cell>
          <cell r="R11">
            <v>87676.565977306731</v>
          </cell>
          <cell r="S11">
            <v>84204.978603813623</v>
          </cell>
          <cell r="T11">
            <v>84120.046535157016</v>
          </cell>
          <cell r="U11">
            <v>95799.171381693406</v>
          </cell>
          <cell r="V11">
            <v>106218.2380727803</v>
          </cell>
          <cell r="W11">
            <v>0</v>
          </cell>
          <cell r="X11">
            <v>0</v>
          </cell>
          <cell r="Y11">
            <v>0</v>
          </cell>
          <cell r="Z11">
            <v>86153.489395469107</v>
          </cell>
          <cell r="AA11">
            <v>1192127.5643684212</v>
          </cell>
          <cell r="AB11">
            <v>7046.8503654222568</v>
          </cell>
          <cell r="AC11">
            <v>15882.578992472894</v>
          </cell>
          <cell r="AD11">
            <v>26205.066607659439</v>
          </cell>
          <cell r="AE11">
            <v>17200.143019930332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D12" t="str">
            <v>매출이익</v>
          </cell>
          <cell r="E12">
            <v>3827117.9878128804</v>
          </cell>
          <cell r="F12">
            <v>394568.34389006533</v>
          </cell>
          <cell r="G12">
            <v>170989.16102745524</v>
          </cell>
          <cell r="H12">
            <v>240691.31134083495</v>
          </cell>
          <cell r="I12">
            <v>78934.762184436549</v>
          </cell>
          <cell r="J12">
            <v>300769.69148516888</v>
          </cell>
          <cell r="K12">
            <v>377139.99188931868</v>
          </cell>
          <cell r="L12">
            <v>167713.96404357906</v>
          </cell>
          <cell r="M12">
            <v>276304.59816816729</v>
          </cell>
          <cell r="N12">
            <v>137359.35848811571</v>
          </cell>
          <cell r="O12">
            <v>272300.47933810949</v>
          </cell>
          <cell r="P12">
            <v>239347.5346102817</v>
          </cell>
          <cell r="Q12">
            <v>-19636.925812723872</v>
          </cell>
          <cell r="R12">
            <v>193185.29332905239</v>
          </cell>
          <cell r="S12">
            <v>166326.02196186373</v>
          </cell>
          <cell r="T12">
            <v>96653.888859372004</v>
          </cell>
          <cell r="U12">
            <v>36302.485854919767</v>
          </cell>
          <cell r="V12">
            <v>81927.047708878818</v>
          </cell>
          <cell r="W12">
            <v>0</v>
          </cell>
          <cell r="X12">
            <v>0</v>
          </cell>
          <cell r="Y12">
            <v>0</v>
          </cell>
          <cell r="Z12">
            <v>3210877.0083668903</v>
          </cell>
          <cell r="AA12">
            <v>200581.4827789478</v>
          </cell>
          <cell r="AB12">
            <v>95120.389999999985</v>
          </cell>
          <cell r="AC12">
            <v>73396.413163181627</v>
          </cell>
          <cell r="AD12">
            <v>83962.177170534618</v>
          </cell>
          <cell r="AE12">
            <v>252478.98033371638</v>
          </cell>
          <cell r="AF12">
            <v>12367.553</v>
          </cell>
          <cell r="AG12">
            <v>49269.675000000003</v>
          </cell>
          <cell r="AH12">
            <v>27910.346000000001</v>
          </cell>
          <cell r="AI12">
            <v>66791.73133333333</v>
          </cell>
          <cell r="AJ12">
            <v>5071.2110000000002</v>
          </cell>
          <cell r="AK12">
            <v>0</v>
          </cell>
          <cell r="AL12">
            <v>161410.51633333333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1770</v>
          </cell>
          <cell r="AU12">
            <v>1770</v>
          </cell>
        </row>
        <row r="13">
          <cell r="D13" t="str">
            <v>판 관 비</v>
          </cell>
          <cell r="E13">
            <v>779445.55499999993</v>
          </cell>
          <cell r="F13">
            <v>69017.709999999992</v>
          </cell>
          <cell r="G13">
            <v>64267.25</v>
          </cell>
          <cell r="H13">
            <v>49195.829999999994</v>
          </cell>
          <cell r="I13">
            <v>33473.08</v>
          </cell>
          <cell r="J13">
            <v>56597.16</v>
          </cell>
          <cell r="K13">
            <v>48449.270000000004</v>
          </cell>
          <cell r="L13">
            <v>34879.760000000002</v>
          </cell>
          <cell r="M13">
            <v>45784.290000000008</v>
          </cell>
          <cell r="N13">
            <v>35012.910000000003</v>
          </cell>
          <cell r="O13">
            <v>40293.869999999995</v>
          </cell>
          <cell r="P13">
            <v>36074.630000000005</v>
          </cell>
          <cell r="Q13">
            <v>26424.48</v>
          </cell>
          <cell r="R13">
            <v>41913.31</v>
          </cell>
          <cell r="S13">
            <v>25971.4</v>
          </cell>
          <cell r="T13">
            <v>10767.95</v>
          </cell>
          <cell r="U13">
            <v>10715.58</v>
          </cell>
          <cell r="V13">
            <v>15781.390000000001</v>
          </cell>
          <cell r="W13">
            <v>0</v>
          </cell>
          <cell r="X13">
            <v>0</v>
          </cell>
          <cell r="Y13">
            <v>0</v>
          </cell>
          <cell r="Z13">
            <v>644619.86999999988</v>
          </cell>
          <cell r="AA13">
            <v>124492.19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406.08</v>
          </cell>
          <cell r="AN13">
            <v>234.60300000000001</v>
          </cell>
          <cell r="AO13">
            <v>144.501</v>
          </cell>
          <cell r="AP13">
            <v>150</v>
          </cell>
          <cell r="AQ13">
            <v>9398.3109999999997</v>
          </cell>
          <cell r="AR13">
            <v>0</v>
          </cell>
          <cell r="AS13">
            <v>0</v>
          </cell>
          <cell r="AT13">
            <v>0</v>
          </cell>
          <cell r="AU13">
            <v>10333.494999999999</v>
          </cell>
        </row>
        <row r="14">
          <cell r="D14" t="str">
            <v xml:space="preserve"> - 노   무   비</v>
          </cell>
          <cell r="E14">
            <v>527290.01</v>
          </cell>
          <cell r="F14">
            <v>47281.5</v>
          </cell>
          <cell r="G14">
            <v>45408.65</v>
          </cell>
          <cell r="H14">
            <v>33985.369999999995</v>
          </cell>
          <cell r="I14">
            <v>23295.969999999998</v>
          </cell>
          <cell r="J14">
            <v>40364</v>
          </cell>
          <cell r="K14">
            <v>32813.11</v>
          </cell>
          <cell r="L14">
            <v>24758.170000000002</v>
          </cell>
          <cell r="M14">
            <v>32742.140000000003</v>
          </cell>
          <cell r="N14">
            <v>24968.21</v>
          </cell>
          <cell r="O14">
            <v>28650.69</v>
          </cell>
          <cell r="P14">
            <v>25026.79</v>
          </cell>
          <cell r="Q14">
            <v>17945.18</v>
          </cell>
          <cell r="R14">
            <v>27716.159999999996</v>
          </cell>
          <cell r="S14">
            <v>17329.97</v>
          </cell>
          <cell r="T14">
            <v>6576.62</v>
          </cell>
          <cell r="U14">
            <v>5656.8899999999994</v>
          </cell>
          <cell r="V14">
            <v>10553.53</v>
          </cell>
          <cell r="W14">
            <v>0</v>
          </cell>
          <cell r="X14">
            <v>0</v>
          </cell>
          <cell r="Y14">
            <v>0</v>
          </cell>
          <cell r="Z14">
            <v>445072.94999999995</v>
          </cell>
          <cell r="AA14">
            <v>82217.06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</row>
        <row r="15">
          <cell r="D15" t="str">
            <v xml:space="preserve"> - 경        비</v>
          </cell>
          <cell r="E15">
            <v>252155.54499999998</v>
          </cell>
          <cell r="F15">
            <v>21736.21</v>
          </cell>
          <cell r="G15">
            <v>18858.599999999999</v>
          </cell>
          <cell r="H15">
            <v>15210.46</v>
          </cell>
          <cell r="I15">
            <v>10177.11</v>
          </cell>
          <cell r="J15">
            <v>16233.16</v>
          </cell>
          <cell r="K15">
            <v>15636.16</v>
          </cell>
          <cell r="L15">
            <v>10121.59</v>
          </cell>
          <cell r="M15">
            <v>13042.150000000001</v>
          </cell>
          <cell r="N15">
            <v>10044.700000000001</v>
          </cell>
          <cell r="O15">
            <v>11643.18</v>
          </cell>
          <cell r="P15">
            <v>11047.84</v>
          </cell>
          <cell r="Q15">
            <v>8479.2999999999993</v>
          </cell>
          <cell r="R15">
            <v>14197.15</v>
          </cell>
          <cell r="S15">
            <v>8641.43</v>
          </cell>
          <cell r="T15">
            <v>4191.33</v>
          </cell>
          <cell r="U15">
            <v>5058.6900000000005</v>
          </cell>
          <cell r="V15">
            <v>5227.8600000000006</v>
          </cell>
          <cell r="W15">
            <v>0</v>
          </cell>
          <cell r="X15">
            <v>0</v>
          </cell>
          <cell r="Y15">
            <v>0</v>
          </cell>
          <cell r="Z15">
            <v>199546.91999999998</v>
          </cell>
          <cell r="AA15">
            <v>42275.130000000005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406.08</v>
          </cell>
          <cell r="AN15">
            <v>234.60300000000001</v>
          </cell>
          <cell r="AO15">
            <v>144.501</v>
          </cell>
          <cell r="AP15">
            <v>150</v>
          </cell>
          <cell r="AQ15">
            <v>9398.3109999999997</v>
          </cell>
          <cell r="AR15">
            <v>0</v>
          </cell>
          <cell r="AS15">
            <v>0</v>
          </cell>
          <cell r="AT15">
            <v>0</v>
          </cell>
          <cell r="AU15">
            <v>10333.494999999999</v>
          </cell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</row>
        <row r="17">
          <cell r="D17" t="str">
            <v>EBITDA</v>
          </cell>
          <cell r="E17">
            <v>3047672.4328128807</v>
          </cell>
          <cell r="F17">
            <v>325550.63389006536</v>
          </cell>
          <cell r="G17">
            <v>106721.91102745524</v>
          </cell>
          <cell r="H17">
            <v>191495.48134083496</v>
          </cell>
          <cell r="I17">
            <v>45461.682184436548</v>
          </cell>
          <cell r="J17">
            <v>244172.53148516887</v>
          </cell>
          <cell r="K17">
            <v>328690.72188931867</v>
          </cell>
          <cell r="L17">
            <v>132834.20404357905</v>
          </cell>
          <cell r="M17">
            <v>230520.30816816728</v>
          </cell>
          <cell r="N17">
            <v>102346.44848811571</v>
          </cell>
          <cell r="O17">
            <v>232006.6093381095</v>
          </cell>
          <cell r="P17">
            <v>203272.90461028169</v>
          </cell>
          <cell r="Q17">
            <v>-46061.405812723868</v>
          </cell>
          <cell r="R17">
            <v>151271.9833290524</v>
          </cell>
          <cell r="S17">
            <v>140354.62196186374</v>
          </cell>
          <cell r="T17">
            <v>85885.938859372007</v>
          </cell>
          <cell r="U17">
            <v>25586.905854919765</v>
          </cell>
          <cell r="V17">
            <v>66145.657708878818</v>
          </cell>
          <cell r="W17">
            <v>0</v>
          </cell>
          <cell r="X17">
            <v>0</v>
          </cell>
          <cell r="Y17">
            <v>0</v>
          </cell>
          <cell r="Z17">
            <v>2566257.1383668901</v>
          </cell>
          <cell r="AA17">
            <v>76089.292778947798</v>
          </cell>
          <cell r="AB17">
            <v>95120.389999999985</v>
          </cell>
          <cell r="AC17">
            <v>73396.413163181627</v>
          </cell>
          <cell r="AD17">
            <v>83962.177170534618</v>
          </cell>
          <cell r="AE17">
            <v>252478.98033371638</v>
          </cell>
          <cell r="AF17">
            <v>12367.553</v>
          </cell>
          <cell r="AG17">
            <v>49269.675000000003</v>
          </cell>
          <cell r="AH17">
            <v>27910.346000000001</v>
          </cell>
          <cell r="AI17">
            <v>66791.73133333333</v>
          </cell>
          <cell r="AJ17">
            <v>5071.2110000000002</v>
          </cell>
          <cell r="AK17">
            <v>0</v>
          </cell>
          <cell r="AL17">
            <v>161410.51633333333</v>
          </cell>
          <cell r="AM17">
            <v>-406.08</v>
          </cell>
          <cell r="AN17">
            <v>-234.60300000000001</v>
          </cell>
          <cell r="AO17">
            <v>-144.501</v>
          </cell>
          <cell r="AP17">
            <v>-150</v>
          </cell>
          <cell r="AQ17">
            <v>-9398.3109999999997</v>
          </cell>
          <cell r="AR17">
            <v>0</v>
          </cell>
          <cell r="AS17">
            <v>0</v>
          </cell>
          <cell r="AT17">
            <v>1770</v>
          </cell>
          <cell r="AU17">
            <v>-8563.494999999999</v>
          </cell>
        </row>
        <row r="18">
          <cell r="D18" t="str">
            <v>감가상각비</v>
          </cell>
          <cell r="E18">
            <v>543537.2667786167</v>
          </cell>
          <cell r="F18">
            <v>29863.993999999995</v>
          </cell>
          <cell r="G18">
            <v>34120.923906133343</v>
          </cell>
          <cell r="H18">
            <v>19365.797555555557</v>
          </cell>
          <cell r="I18">
            <v>18748.156666666666</v>
          </cell>
          <cell r="J18">
            <v>46970.381555555556</v>
          </cell>
          <cell r="K18">
            <v>26407.666777777784</v>
          </cell>
          <cell r="L18">
            <v>12930.500444444444</v>
          </cell>
          <cell r="M18">
            <v>23701.83</v>
          </cell>
          <cell r="N18">
            <v>11343.953666666668</v>
          </cell>
          <cell r="O18">
            <v>32144.325222222222</v>
          </cell>
          <cell r="P18">
            <v>14284.142141342973</v>
          </cell>
          <cell r="Q18">
            <v>12189.649888888889</v>
          </cell>
          <cell r="R18">
            <v>33889.657888888883</v>
          </cell>
          <cell r="S18">
            <v>23330.88488888889</v>
          </cell>
          <cell r="T18">
            <v>10083.869555555555</v>
          </cell>
          <cell r="U18">
            <v>5324.8261111111115</v>
          </cell>
          <cell r="V18">
            <v>9880.4838422363155</v>
          </cell>
          <cell r="W18">
            <v>0</v>
          </cell>
          <cell r="X18">
            <v>0</v>
          </cell>
          <cell r="Y18">
            <v>0</v>
          </cell>
          <cell r="Z18">
            <v>364581.04411193484</v>
          </cell>
          <cell r="AA18">
            <v>4908.0999999999995</v>
          </cell>
          <cell r="AB18">
            <v>12255.822555555556</v>
          </cell>
          <cell r="AC18">
            <v>56856.659666666674</v>
          </cell>
          <cell r="AD18">
            <v>34759.776999999995</v>
          </cell>
          <cell r="AE18">
            <v>103872.25922222222</v>
          </cell>
          <cell r="AF18">
            <v>3388.672</v>
          </cell>
          <cell r="AG18">
            <v>5622.5950000000003</v>
          </cell>
          <cell r="AH18">
            <v>8281.2160000000003</v>
          </cell>
          <cell r="AI18">
            <v>8489.6080000000002</v>
          </cell>
          <cell r="AJ18">
            <v>1312.8920000000001</v>
          </cell>
          <cell r="AK18">
            <v>0</v>
          </cell>
          <cell r="AL18">
            <v>27094.983</v>
          </cell>
          <cell r="AM18">
            <v>5225.2884444596393</v>
          </cell>
          <cell r="AN18">
            <v>1056.4570000000001</v>
          </cell>
          <cell r="AO18">
            <v>353.67200000000003</v>
          </cell>
          <cell r="AP18">
            <v>432.17</v>
          </cell>
          <cell r="AQ18">
            <v>18257.885000000002</v>
          </cell>
          <cell r="AR18">
            <v>0</v>
          </cell>
          <cell r="AS18">
            <v>0</v>
          </cell>
          <cell r="AT18">
            <v>17755.408000000003</v>
          </cell>
          <cell r="AU18">
            <v>43080.880444459646</v>
          </cell>
        </row>
        <row r="19">
          <cell r="D19" t="str">
            <v xml:space="preserve"> - 제        조</v>
          </cell>
          <cell r="E19">
            <v>470181.28633415711</v>
          </cell>
          <cell r="F19">
            <v>27536.371999999996</v>
          </cell>
          <cell r="G19">
            <v>31511.041906133345</v>
          </cell>
          <cell r="H19">
            <v>17300.203555555556</v>
          </cell>
          <cell r="I19">
            <v>17556.168666666665</v>
          </cell>
          <cell r="J19">
            <v>43868.079555555552</v>
          </cell>
          <cell r="K19">
            <v>24843.264777777782</v>
          </cell>
          <cell r="L19">
            <v>11736.901444444444</v>
          </cell>
          <cell r="M19">
            <v>21844.178</v>
          </cell>
          <cell r="N19">
            <v>9856.7016666666677</v>
          </cell>
          <cell r="O19">
            <v>30925.559222222222</v>
          </cell>
          <cell r="P19">
            <v>13078.754141342972</v>
          </cell>
          <cell r="Q19">
            <v>11087.494888888888</v>
          </cell>
          <cell r="R19">
            <v>32301.456888888883</v>
          </cell>
          <cell r="S19">
            <v>22487.72688888889</v>
          </cell>
          <cell r="T19">
            <v>9641.0005555555545</v>
          </cell>
          <cell r="U19">
            <v>4954.4261111111118</v>
          </cell>
          <cell r="V19">
            <v>9055.1138422363147</v>
          </cell>
          <cell r="W19">
            <v>0</v>
          </cell>
          <cell r="X19">
            <v>0</v>
          </cell>
          <cell r="Y19">
            <v>0</v>
          </cell>
          <cell r="Z19">
            <v>339584.44411193486</v>
          </cell>
          <cell r="AA19">
            <v>0</v>
          </cell>
          <cell r="AB19">
            <v>12255.822555555556</v>
          </cell>
          <cell r="AC19">
            <v>56856.659666666674</v>
          </cell>
          <cell r="AD19">
            <v>34389.376999999993</v>
          </cell>
          <cell r="AE19">
            <v>103501.85922222222</v>
          </cell>
          <cell r="AF19">
            <v>3388.672</v>
          </cell>
          <cell r="AG19">
            <v>5622.5950000000003</v>
          </cell>
          <cell r="AH19">
            <v>8281.2160000000003</v>
          </cell>
          <cell r="AI19">
            <v>8489.6080000000002</v>
          </cell>
          <cell r="AJ19">
            <v>1312.8920000000001</v>
          </cell>
          <cell r="AK19">
            <v>0</v>
          </cell>
          <cell r="AL19">
            <v>27094.983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</row>
        <row r="20">
          <cell r="D20" t="str">
            <v xml:space="preserve"> - 판        매</v>
          </cell>
          <cell r="E20">
            <v>73355.980444459652</v>
          </cell>
          <cell r="F20">
            <v>2327.6220000000003</v>
          </cell>
          <cell r="G20">
            <v>2609.8820000000001</v>
          </cell>
          <cell r="H20">
            <v>2065.5940000000001</v>
          </cell>
          <cell r="I20">
            <v>1191.9880000000001</v>
          </cell>
          <cell r="J20">
            <v>3102.3020000000001</v>
          </cell>
          <cell r="K20">
            <v>1564.402</v>
          </cell>
          <cell r="L20">
            <v>1193.5990000000002</v>
          </cell>
          <cell r="M20">
            <v>1857.652</v>
          </cell>
          <cell r="N20">
            <v>1487.2520000000002</v>
          </cell>
          <cell r="O20">
            <v>1218.7660000000001</v>
          </cell>
          <cell r="P20">
            <v>1205.3880000000001</v>
          </cell>
          <cell r="Q20">
            <v>1102.155</v>
          </cell>
          <cell r="R20">
            <v>1588.201</v>
          </cell>
          <cell r="S20">
            <v>843.15800000000002</v>
          </cell>
          <cell r="T20">
            <v>442.86900000000003</v>
          </cell>
          <cell r="U20">
            <v>370.4</v>
          </cell>
          <cell r="V20">
            <v>825.37</v>
          </cell>
          <cell r="W20">
            <v>0</v>
          </cell>
          <cell r="X20">
            <v>0</v>
          </cell>
          <cell r="Y20">
            <v>0</v>
          </cell>
          <cell r="Z20">
            <v>24996.6</v>
          </cell>
          <cell r="AA20">
            <v>4908.0999999999995</v>
          </cell>
          <cell r="AB20">
            <v>0</v>
          </cell>
          <cell r="AC20">
            <v>0</v>
          </cell>
          <cell r="AD20">
            <v>370.4</v>
          </cell>
          <cell r="AE20">
            <v>370.4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5225.2884444596393</v>
          </cell>
          <cell r="AN20">
            <v>1056.4570000000001</v>
          </cell>
          <cell r="AO20">
            <v>353.67200000000003</v>
          </cell>
          <cell r="AP20">
            <v>432.17</v>
          </cell>
          <cell r="AQ20">
            <v>18257.885000000002</v>
          </cell>
          <cell r="AR20">
            <v>0</v>
          </cell>
          <cell r="AS20">
            <v>0</v>
          </cell>
          <cell r="AT20">
            <v>17755.408000000003</v>
          </cell>
          <cell r="AU20">
            <v>43080.880444459646</v>
          </cell>
        </row>
        <row r="21">
          <cell r="D21" t="str">
            <v>영업이익 I</v>
          </cell>
          <cell r="E21">
            <v>2504135.166034264</v>
          </cell>
          <cell r="F21">
            <v>295686.63989006536</v>
          </cell>
          <cell r="G21">
            <v>72600.987121321901</v>
          </cell>
          <cell r="H21">
            <v>172129.6837852794</v>
          </cell>
          <cell r="I21">
            <v>26713.525517769882</v>
          </cell>
          <cell r="J21">
            <v>197202.14992961331</v>
          </cell>
          <cell r="K21">
            <v>302283.05511154089</v>
          </cell>
          <cell r="L21">
            <v>119903.70359913461</v>
          </cell>
          <cell r="M21">
            <v>206818.47816816729</v>
          </cell>
          <cell r="N21">
            <v>91002.494821449043</v>
          </cell>
          <cell r="O21">
            <v>199862.28411588728</v>
          </cell>
          <cell r="P21">
            <v>188988.76246893872</v>
          </cell>
          <cell r="Q21">
            <v>-58251.055701612757</v>
          </cell>
          <cell r="R21">
            <v>117382.32544016352</v>
          </cell>
          <cell r="S21">
            <v>117023.73707297485</v>
          </cell>
          <cell r="T21">
            <v>75802.069303816446</v>
          </cell>
          <cell r="U21">
            <v>20262.079743808652</v>
          </cell>
          <cell r="V21">
            <v>56265.173866642501</v>
          </cell>
          <cell r="W21">
            <v>0</v>
          </cell>
          <cell r="X21">
            <v>0</v>
          </cell>
          <cell r="Y21">
            <v>0</v>
          </cell>
          <cell r="Z21">
            <v>2201676.0942549552</v>
          </cell>
          <cell r="AA21">
            <v>71181.192778947792</v>
          </cell>
          <cell r="AB21">
            <v>82864.56744444443</v>
          </cell>
          <cell r="AC21">
            <v>16539.753496514953</v>
          </cell>
          <cell r="AD21">
            <v>49202.400170534624</v>
          </cell>
          <cell r="AE21">
            <v>148606.72111149417</v>
          </cell>
          <cell r="AF21">
            <v>8978.8809999999994</v>
          </cell>
          <cell r="AG21">
            <v>43647.08</v>
          </cell>
          <cell r="AH21">
            <v>19629.13</v>
          </cell>
          <cell r="AI21">
            <v>58302.123333333329</v>
          </cell>
          <cell r="AJ21">
            <v>3758.3190000000004</v>
          </cell>
          <cell r="AK21">
            <v>0</v>
          </cell>
          <cell r="AL21">
            <v>134315.53333333333</v>
          </cell>
          <cell r="AM21">
            <v>-5631.3684444596392</v>
          </cell>
          <cell r="AN21">
            <v>-1291.0600000000002</v>
          </cell>
          <cell r="AO21">
            <v>-498.173</v>
          </cell>
          <cell r="AP21">
            <v>-582.17000000000007</v>
          </cell>
          <cell r="AQ21">
            <v>-27656.196000000004</v>
          </cell>
          <cell r="AR21">
            <v>0</v>
          </cell>
          <cell r="AS21">
            <v>0</v>
          </cell>
          <cell r="AT21">
            <v>-15985.408000000003</v>
          </cell>
          <cell r="AU21">
            <v>-51644.375444459642</v>
          </cell>
        </row>
        <row r="22">
          <cell r="D22" t="str">
            <v>공    통    비</v>
          </cell>
          <cell r="E22">
            <v>1091339.9267350421</v>
          </cell>
          <cell r="F22">
            <v>161122.93149017973</v>
          </cell>
          <cell r="G22">
            <v>108297.63596831998</v>
          </cell>
          <cell r="H22">
            <v>93493.728840280644</v>
          </cell>
          <cell r="I22">
            <v>42777.400473995833</v>
          </cell>
          <cell r="J22">
            <v>79573.38368623241</v>
          </cell>
          <cell r="K22">
            <v>91350.470559906855</v>
          </cell>
          <cell r="L22">
            <v>51350.809956667406</v>
          </cell>
          <cell r="M22">
            <v>76910.968655406527</v>
          </cell>
          <cell r="N22">
            <v>39962.17205248402</v>
          </cell>
          <cell r="O22">
            <v>64440.853451467774</v>
          </cell>
          <cell r="P22">
            <v>61024.971103205062</v>
          </cell>
          <cell r="Q22">
            <v>18011.379479584801</v>
          </cell>
          <cell r="R22">
            <v>64708.537958606496</v>
          </cell>
          <cell r="S22">
            <v>44554.950321464625</v>
          </cell>
          <cell r="T22">
            <v>19137.971221696083</v>
          </cell>
          <cell r="U22">
            <v>14302.641242121212</v>
          </cell>
          <cell r="V22">
            <v>22392.890273423018</v>
          </cell>
          <cell r="W22">
            <v>0</v>
          </cell>
          <cell r="X22">
            <v>0</v>
          </cell>
          <cell r="Y22">
            <v>0</v>
          </cell>
          <cell r="Z22">
            <v>1053413.6967350421</v>
          </cell>
          <cell r="AA22">
            <v>0</v>
          </cell>
          <cell r="AB22">
            <v>4694.5987305982489</v>
          </cell>
          <cell r="AC22">
            <v>18157.782918989778</v>
          </cell>
          <cell r="AD22">
            <v>15073.848350411967</v>
          </cell>
          <cell r="AE22">
            <v>37926.229999999996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</row>
        <row r="23">
          <cell r="D23" t="str">
            <v xml:space="preserve"> - 영업공통비</v>
          </cell>
          <cell r="E23">
            <v>234598.90333333338</v>
          </cell>
          <cell r="F23">
            <v>31163.770101182174</v>
          </cell>
          <cell r="G23">
            <v>20946.507108604474</v>
          </cell>
          <cell r="H23">
            <v>18083.193028661801</v>
          </cell>
          <cell r="I23">
            <v>8273.8382523722794</v>
          </cell>
          <cell r="J23">
            <v>15276.707572040612</v>
          </cell>
          <cell r="K23">
            <v>17537.703697693254</v>
          </cell>
          <cell r="L23">
            <v>9858.4636087451781</v>
          </cell>
          <cell r="M23">
            <v>14765.570129127402</v>
          </cell>
          <cell r="N23">
            <v>7672.0429383348937</v>
          </cell>
          <cell r="O23">
            <v>12371.524601147799</v>
          </cell>
          <cell r="P23">
            <v>11715.734520124342</v>
          </cell>
          <cell r="Q23">
            <v>3457.8720236861886</v>
          </cell>
          <cell r="R23">
            <v>10014.032857980063</v>
          </cell>
          <cell r="S23">
            <v>6895.1447611168451</v>
          </cell>
          <cell r="T23">
            <v>2961.7153886514511</v>
          </cell>
          <cell r="U23">
            <v>2213.4191850559778</v>
          </cell>
          <cell r="V23">
            <v>3465.4335588086792</v>
          </cell>
          <cell r="W23">
            <v>0</v>
          </cell>
          <cell r="X23">
            <v>0</v>
          </cell>
          <cell r="Y23">
            <v>0</v>
          </cell>
          <cell r="Z23">
            <v>196672.67333333337</v>
          </cell>
          <cell r="AA23">
            <v>0</v>
          </cell>
          <cell r="AB23">
            <v>4694.5987305982489</v>
          </cell>
          <cell r="AC23">
            <v>18157.782918989778</v>
          </cell>
          <cell r="AD23">
            <v>15073.848350411967</v>
          </cell>
          <cell r="AE23">
            <v>37926.229999999996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</row>
        <row r="24">
          <cell r="D24" t="str">
            <v xml:space="preserve"> - 부문공통비</v>
          </cell>
          <cell r="E24">
            <v>374694.5083333333</v>
          </cell>
          <cell r="F24">
            <v>56837.460504363684</v>
          </cell>
          <cell r="G24">
            <v>38202.896075289602</v>
          </cell>
          <cell r="H24">
            <v>32980.694127260329</v>
          </cell>
          <cell r="I24">
            <v>15090.085485865649</v>
          </cell>
          <cell r="J24">
            <v>28120.062873163704</v>
          </cell>
          <cell r="K24">
            <v>32281.912074603846</v>
          </cell>
          <cell r="L24">
            <v>18146.620612027629</v>
          </cell>
          <cell r="M24">
            <v>27179.204578680576</v>
          </cell>
          <cell r="N24">
            <v>14122.043560382899</v>
          </cell>
          <cell r="O24">
            <v>22772.449363230029</v>
          </cell>
          <cell r="P24">
            <v>21565.326806028825</v>
          </cell>
          <cell r="Q24">
            <v>6364.9564708150674</v>
          </cell>
          <cell r="R24">
            <v>23920.56658597181</v>
          </cell>
          <cell r="S24">
            <v>16470.464169365579</v>
          </cell>
          <cell r="T24">
            <v>7074.6632418404906</v>
          </cell>
          <cell r="U24">
            <v>5287.2046406964555</v>
          </cell>
          <cell r="V24">
            <v>8277.8971637471859</v>
          </cell>
          <cell r="W24">
            <v>0</v>
          </cell>
          <cell r="X24">
            <v>0</v>
          </cell>
          <cell r="Y24">
            <v>0</v>
          </cell>
          <cell r="Z24">
            <v>374694.5083333333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</row>
        <row r="25">
          <cell r="D25" t="str">
            <v xml:space="preserve"> - 본사공통비</v>
          </cell>
          <cell r="E25">
            <v>482046.51506837562</v>
          </cell>
          <cell r="F25">
            <v>73121.700884633872</v>
          </cell>
          <cell r="G25">
            <v>49148.232784425905</v>
          </cell>
          <cell r="H25">
            <v>42429.841684358507</v>
          </cell>
          <cell r="I25">
            <v>19413.476735757904</v>
          </cell>
          <cell r="J25">
            <v>36176.613241028092</v>
          </cell>
          <cell r="K25">
            <v>41530.854787609758</v>
          </cell>
          <cell r="L25">
            <v>23345.725735894597</v>
          </cell>
          <cell r="M25">
            <v>34966.193947598542</v>
          </cell>
          <cell r="N25">
            <v>18168.085553766228</v>
          </cell>
          <cell r="O25">
            <v>29296.879487089947</v>
          </cell>
          <cell r="P25">
            <v>27743.909777051893</v>
          </cell>
          <cell r="Q25">
            <v>8188.5509850835433</v>
          </cell>
          <cell r="R25">
            <v>30773.938514654623</v>
          </cell>
          <cell r="S25">
            <v>21189.341390982205</v>
          </cell>
          <cell r="T25">
            <v>9101.5925912041421</v>
          </cell>
          <cell r="U25">
            <v>6802.0174163687789</v>
          </cell>
          <cell r="V25">
            <v>10649.559550867152</v>
          </cell>
          <cell r="W25">
            <v>0</v>
          </cell>
          <cell r="X25">
            <v>0</v>
          </cell>
          <cell r="Y25">
            <v>0</v>
          </cell>
          <cell r="Z25">
            <v>482046.51506837562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</row>
        <row r="26">
          <cell r="D26" t="str">
            <v>영업이익 II</v>
          </cell>
          <cell r="E26">
            <v>1412795.2392992219</v>
          </cell>
          <cell r="F26">
            <v>134563.70839988563</v>
          </cell>
          <cell r="G26">
            <v>-35696.648846998083</v>
          </cell>
          <cell r="H26">
            <v>78635.954944998753</v>
          </cell>
          <cell r="I26">
            <v>-16063.874956225951</v>
          </cell>
          <cell r="J26">
            <v>117628.7662433809</v>
          </cell>
          <cell r="K26">
            <v>210932.58455163403</v>
          </cell>
          <cell r="L26">
            <v>68552.893642467199</v>
          </cell>
          <cell r="M26">
            <v>129907.50951276076</v>
          </cell>
          <cell r="N26">
            <v>51040.322768965023</v>
          </cell>
          <cell r="O26">
            <v>135421.43066441949</v>
          </cell>
          <cell r="P26">
            <v>127963.79136573366</v>
          </cell>
          <cell r="Q26">
            <v>-76262.435181197565</v>
          </cell>
          <cell r="R26">
            <v>52673.787481557025</v>
          </cell>
          <cell r="S26">
            <v>72468.786751510226</v>
          </cell>
          <cell r="T26">
            <v>56664.098082120363</v>
          </cell>
          <cell r="U26">
            <v>5959.4385016874403</v>
          </cell>
          <cell r="V26">
            <v>33872.283593219487</v>
          </cell>
          <cell r="W26">
            <v>0</v>
          </cell>
          <cell r="X26">
            <v>0</v>
          </cell>
          <cell r="Y26">
            <v>0</v>
          </cell>
          <cell r="Z26">
            <v>1148262.397519913</v>
          </cell>
          <cell r="AA26">
            <v>71181.192778947792</v>
          </cell>
          <cell r="AB26">
            <v>78169.968713846174</v>
          </cell>
          <cell r="AC26">
            <v>-1618.029422474825</v>
          </cell>
          <cell r="AD26">
            <v>34128.551820122659</v>
          </cell>
          <cell r="AE26">
            <v>110680.49111149418</v>
          </cell>
          <cell r="AF26">
            <v>8978.8809999999994</v>
          </cell>
          <cell r="AG26">
            <v>43647.08</v>
          </cell>
          <cell r="AH26">
            <v>19629.13</v>
          </cell>
          <cell r="AI26">
            <v>58302.123333333329</v>
          </cell>
          <cell r="AJ26">
            <v>3758.3190000000004</v>
          </cell>
          <cell r="AK26">
            <v>0</v>
          </cell>
          <cell r="AL26">
            <v>134315.53333333333</v>
          </cell>
          <cell r="AM26">
            <v>-5631.3684444596392</v>
          </cell>
          <cell r="AN26">
            <v>-1291.0600000000002</v>
          </cell>
          <cell r="AO26">
            <v>-498.173</v>
          </cell>
          <cell r="AP26">
            <v>-582.17000000000007</v>
          </cell>
          <cell r="AQ26">
            <v>-27656.196000000004</v>
          </cell>
          <cell r="AR26">
            <v>0</v>
          </cell>
          <cell r="AS26">
            <v>0</v>
          </cell>
          <cell r="AT26">
            <v>-15985.408000000003</v>
          </cell>
          <cell r="AU26">
            <v>-51644.375444459642</v>
          </cell>
        </row>
        <row r="27">
          <cell r="E27">
            <v>1441531.7782992336</v>
          </cell>
          <cell r="F27">
            <v>134563.70839988557</v>
          </cell>
          <cell r="G27">
            <v>-35696.648846998098</v>
          </cell>
          <cell r="H27">
            <v>78635.954944998753</v>
          </cell>
          <cell r="I27">
            <v>-16063.874956225947</v>
          </cell>
          <cell r="J27">
            <v>117628.76624338093</v>
          </cell>
          <cell r="K27">
            <v>210932.58455163403</v>
          </cell>
          <cell r="L27">
            <v>68552.893642467214</v>
          </cell>
          <cell r="M27">
            <v>129907.50951276076</v>
          </cell>
          <cell r="N27">
            <v>51040.322768965023</v>
          </cell>
          <cell r="O27">
            <v>135421.43066441949</v>
          </cell>
          <cell r="P27">
            <v>127963.79136573366</v>
          </cell>
          <cell r="Q27">
            <v>-76262.435181197565</v>
          </cell>
          <cell r="R27">
            <v>52673.787481557025</v>
          </cell>
          <cell r="S27">
            <v>72468.786751510226</v>
          </cell>
          <cell r="T27">
            <v>56664.098082120363</v>
          </cell>
          <cell r="U27">
            <v>5959.4385016874439</v>
          </cell>
          <cell r="V27">
            <v>33872.283593219487</v>
          </cell>
          <cell r="W27">
            <v>0</v>
          </cell>
          <cell r="X27">
            <v>0</v>
          </cell>
          <cell r="Y27">
            <v>0</v>
          </cell>
          <cell r="Z27">
            <v>1148262.3975199184</v>
          </cell>
          <cell r="AA27">
            <v>71181.192778947792</v>
          </cell>
          <cell r="AB27">
            <v>78169.968713846174</v>
          </cell>
          <cell r="AC27">
            <v>-1618.029422474825</v>
          </cell>
          <cell r="AD27">
            <v>34128.551820122659</v>
          </cell>
          <cell r="AE27">
            <v>110680.49111149402</v>
          </cell>
          <cell r="AF27">
            <v>8978.8809999999994</v>
          </cell>
          <cell r="AG27">
            <v>43647.08</v>
          </cell>
          <cell r="AH27">
            <v>19629.13</v>
          </cell>
          <cell r="AI27">
            <v>58302.123333333329</v>
          </cell>
          <cell r="AJ27">
            <v>3758.3190000000004</v>
          </cell>
          <cell r="AK27">
            <v>0</v>
          </cell>
          <cell r="AL27">
            <v>134315.53333333333</v>
          </cell>
          <cell r="AM27">
            <v>-5631.3684444596392</v>
          </cell>
          <cell r="AN27">
            <v>-1291.0600000000002</v>
          </cell>
          <cell r="AO27">
            <v>0</v>
          </cell>
          <cell r="AP27">
            <v>0</v>
          </cell>
          <cell r="AQ27">
            <v>-17755.408000000003</v>
          </cell>
          <cell r="AR27">
            <v>0</v>
          </cell>
          <cell r="AS27">
            <v>0</v>
          </cell>
          <cell r="AT27">
            <v>1770</v>
          </cell>
          <cell r="AU27">
            <v>-22907.836444459645</v>
          </cell>
        </row>
        <row r="28">
          <cell r="E28">
            <v>-28736.539000011748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-5.3551048040390015E-9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-498.173</v>
          </cell>
          <cell r="AP28">
            <v>-582.17000000000007</v>
          </cell>
          <cell r="AQ28">
            <v>-9900.7880000000005</v>
          </cell>
          <cell r="AR28">
            <v>0</v>
          </cell>
          <cell r="AS28">
            <v>0</v>
          </cell>
          <cell r="AT28">
            <v>-17755.408000000003</v>
          </cell>
          <cell r="AU28">
            <v>-28736.538999999997</v>
          </cell>
        </row>
        <row r="30">
          <cell r="E30">
            <v>302262.08118650201</v>
          </cell>
          <cell r="F30">
            <v>36000</v>
          </cell>
          <cell r="G30">
            <v>24000</v>
          </cell>
          <cell r="H30">
            <v>21000</v>
          </cell>
          <cell r="I30">
            <v>10000</v>
          </cell>
          <cell r="J30">
            <v>16000</v>
          </cell>
          <cell r="K30">
            <v>19000</v>
          </cell>
          <cell r="L30">
            <v>11000</v>
          </cell>
          <cell r="M30">
            <v>16000</v>
          </cell>
          <cell r="N30">
            <v>9000</v>
          </cell>
          <cell r="O30">
            <v>14000</v>
          </cell>
          <cell r="P30">
            <v>13500</v>
          </cell>
          <cell r="Q30">
            <v>4000</v>
          </cell>
          <cell r="R30">
            <v>14500</v>
          </cell>
          <cell r="S30">
            <v>10000</v>
          </cell>
          <cell r="T30">
            <v>4000</v>
          </cell>
          <cell r="U30">
            <v>3000</v>
          </cell>
          <cell r="V30">
            <v>4000</v>
          </cell>
          <cell r="W30">
            <v>0</v>
          </cell>
          <cell r="X30">
            <v>0</v>
          </cell>
          <cell r="Y30">
            <v>0</v>
          </cell>
          <cell r="Z30">
            <v>229000</v>
          </cell>
          <cell r="AA30">
            <v>6400</v>
          </cell>
          <cell r="AB30">
            <v>11137.8</v>
          </cell>
          <cell r="AC30">
            <v>37656.38338633901</v>
          </cell>
          <cell r="AD30">
            <v>18067.897800162973</v>
          </cell>
          <cell r="AE30">
            <v>66862.081186501979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32337647.814351231</v>
          </cell>
          <cell r="F31">
            <v>3479775.65</v>
          </cell>
          <cell r="G31">
            <v>2338906.5300000003</v>
          </cell>
          <cell r="H31">
            <v>2019186.2079293178</v>
          </cell>
          <cell r="I31">
            <v>923864.5</v>
          </cell>
          <cell r="J31">
            <v>1721602.429</v>
          </cell>
          <cell r="K31">
            <v>1976404.4800000002</v>
          </cell>
          <cell r="L31">
            <v>1110995.6000000001</v>
          </cell>
          <cell r="M31">
            <v>1664000</v>
          </cell>
          <cell r="N31">
            <v>864597.79999999981</v>
          </cell>
          <cell r="O31">
            <v>1394204</v>
          </cell>
          <cell r="P31">
            <v>1320300</v>
          </cell>
          <cell r="Q31">
            <v>389683.5</v>
          </cell>
          <cell r="R31">
            <v>1464495.5</v>
          </cell>
          <cell r="S31">
            <v>1008375.808</v>
          </cell>
          <cell r="T31">
            <v>433134.07500000007</v>
          </cell>
          <cell r="U31">
            <v>323700</v>
          </cell>
          <cell r="V31">
            <v>506800</v>
          </cell>
          <cell r="W31">
            <v>0</v>
          </cell>
          <cell r="X31">
            <v>0</v>
          </cell>
          <cell r="Y31">
            <v>0</v>
          </cell>
          <cell r="Z31">
            <v>22940026.079929315</v>
          </cell>
          <cell r="AA31">
            <v>7830197.8947368432</v>
          </cell>
          <cell r="AB31">
            <v>173606.8</v>
          </cell>
          <cell r="AC31">
            <v>671476.89686755487</v>
          </cell>
          <cell r="AD31">
            <v>557432.64248418878</v>
          </cell>
          <cell r="AE31">
            <v>1402516.3393517437</v>
          </cell>
          <cell r="AF31">
            <v>12500</v>
          </cell>
          <cell r="AG31">
            <v>50000</v>
          </cell>
          <cell r="AH31">
            <v>28340</v>
          </cell>
          <cell r="AI31">
            <v>67047.50033333333</v>
          </cell>
          <cell r="AJ31">
            <v>5250</v>
          </cell>
          <cell r="AK31">
            <v>0</v>
          </cell>
          <cell r="AL31">
            <v>163137.50033333333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1770</v>
          </cell>
          <cell r="AU31">
            <v>1770</v>
          </cell>
        </row>
        <row r="32">
          <cell r="D32" t="str">
            <v>매출원가</v>
          </cell>
          <cell r="E32">
            <v>28980711.112872507</v>
          </cell>
          <cell r="F32">
            <v>3112743.6781099346</v>
          </cell>
          <cell r="G32">
            <v>2199428.4108786783</v>
          </cell>
          <cell r="H32">
            <v>1795795.1001440384</v>
          </cell>
          <cell r="I32">
            <v>862485.90648223017</v>
          </cell>
          <cell r="J32">
            <v>1464700.8170703866</v>
          </cell>
          <cell r="K32">
            <v>1624107.7528884592</v>
          </cell>
          <cell r="L32">
            <v>955018.53740086546</v>
          </cell>
          <cell r="M32">
            <v>1409539.5798318328</v>
          </cell>
          <cell r="N32">
            <v>737095.14317855076</v>
          </cell>
          <cell r="O32">
            <v>1152829.0798841128</v>
          </cell>
          <cell r="P32">
            <v>1094031.2195310614</v>
          </cell>
          <cell r="Q32">
            <v>420407.92070161278</v>
          </cell>
          <cell r="R32">
            <v>1303611.6635598366</v>
          </cell>
          <cell r="S32">
            <v>864537.51292702509</v>
          </cell>
          <cell r="T32">
            <v>346121.18669618363</v>
          </cell>
          <cell r="U32">
            <v>292351.94025619136</v>
          </cell>
          <cell r="V32">
            <v>433928.06613335747</v>
          </cell>
          <cell r="W32">
            <v>0</v>
          </cell>
          <cell r="X32">
            <v>0</v>
          </cell>
          <cell r="Y32">
            <v>0</v>
          </cell>
          <cell r="Z32">
            <v>20068733.51567436</v>
          </cell>
          <cell r="AA32">
            <v>7629616.4119578954</v>
          </cell>
          <cell r="AB32">
            <v>90742.232555555558</v>
          </cell>
          <cell r="AC32">
            <v>654937.14337103989</v>
          </cell>
          <cell r="AD32">
            <v>507859.84231365414</v>
          </cell>
          <cell r="AE32">
            <v>1253539.2182402494</v>
          </cell>
          <cell r="AF32">
            <v>3521.1190000000001</v>
          </cell>
          <cell r="AG32">
            <v>6352.92</v>
          </cell>
          <cell r="AH32">
            <v>8710.8700000000008</v>
          </cell>
          <cell r="AI32">
            <v>8745.3770000000004</v>
          </cell>
          <cell r="AJ32">
            <v>1491.681</v>
          </cell>
          <cell r="AK32">
            <v>0</v>
          </cell>
          <cell r="AL32">
            <v>28821.967000000001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</row>
        <row r="33">
          <cell r="D33" t="str">
            <v>매출이익</v>
          </cell>
          <cell r="E33">
            <v>3356936.70147873</v>
          </cell>
          <cell r="F33">
            <v>367031.97189006535</v>
          </cell>
          <cell r="G33">
            <v>139478.11912132194</v>
          </cell>
          <cell r="H33">
            <v>223391.1077852794</v>
          </cell>
          <cell r="I33">
            <v>61378.593517769827</v>
          </cell>
          <cell r="J33">
            <v>256901.6119296134</v>
          </cell>
          <cell r="K33">
            <v>352296.72711154097</v>
          </cell>
          <cell r="L33">
            <v>155977.06259913463</v>
          </cell>
          <cell r="M33">
            <v>254460.42016816721</v>
          </cell>
          <cell r="N33">
            <v>127502.65682144905</v>
          </cell>
          <cell r="O33">
            <v>241374.92011588719</v>
          </cell>
          <cell r="P33">
            <v>226268.78046893864</v>
          </cell>
          <cell r="Q33">
            <v>-30724.420701612777</v>
          </cell>
          <cell r="R33">
            <v>160883.83644016343</v>
          </cell>
          <cell r="S33">
            <v>143838.29507297487</v>
          </cell>
          <cell r="T33">
            <v>87012.888303816435</v>
          </cell>
          <cell r="U33">
            <v>31348.059743808641</v>
          </cell>
          <cell r="V33">
            <v>72871.933866642532</v>
          </cell>
          <cell r="W33">
            <v>0</v>
          </cell>
          <cell r="X33">
            <v>0</v>
          </cell>
          <cell r="Y33">
            <v>0</v>
          </cell>
          <cell r="Z33">
            <v>2871292.5642549545</v>
          </cell>
          <cell r="AA33">
            <v>200581.4827789478</v>
          </cell>
          <cell r="AB33">
            <v>82864.56744444443</v>
          </cell>
          <cell r="AC33">
            <v>16539.753496514983</v>
          </cell>
          <cell r="AD33">
            <v>49572.80017053464</v>
          </cell>
          <cell r="AE33">
            <v>148977.12111149426</v>
          </cell>
          <cell r="AF33">
            <v>8978.8809999999994</v>
          </cell>
          <cell r="AG33">
            <v>43647.08</v>
          </cell>
          <cell r="AH33">
            <v>19629.129999999997</v>
          </cell>
          <cell r="AI33">
            <v>58302.123333333329</v>
          </cell>
          <cell r="AJ33">
            <v>3758.319</v>
          </cell>
          <cell r="AK33">
            <v>0</v>
          </cell>
          <cell r="AL33">
            <v>134315.53333333333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1770</v>
          </cell>
          <cell r="AU33">
            <v>1770</v>
          </cell>
        </row>
        <row r="34">
          <cell r="D34" t="str">
            <v>판관비</v>
          </cell>
          <cell r="E34">
            <v>1944141.4621795018</v>
          </cell>
          <cell r="F34">
            <v>232468.26349017973</v>
          </cell>
          <cell r="G34">
            <v>175174.76796832</v>
          </cell>
          <cell r="H34">
            <v>144755.15284028064</v>
          </cell>
          <cell r="I34">
            <v>77442.468473995832</v>
          </cell>
          <cell r="J34">
            <v>139272.84568623241</v>
          </cell>
          <cell r="K34">
            <v>141364.14255990688</v>
          </cell>
          <cell r="L34">
            <v>87424.168956667403</v>
          </cell>
          <cell r="M34">
            <v>124552.91065540654</v>
          </cell>
          <cell r="N34">
            <v>76462.334052484017</v>
          </cell>
          <cell r="O34">
            <v>105953.48945146777</v>
          </cell>
          <cell r="P34">
            <v>98304.989103205065</v>
          </cell>
          <cell r="Q34">
            <v>45538.014479584803</v>
          </cell>
          <cell r="R34">
            <v>108210.04895860649</v>
          </cell>
          <cell r="S34">
            <v>71369.508321464615</v>
          </cell>
          <cell r="T34">
            <v>30348.790221696083</v>
          </cell>
          <cell r="U34">
            <v>25388.621242121211</v>
          </cell>
          <cell r="V34">
            <v>38999.650273423023</v>
          </cell>
          <cell r="W34">
            <v>0</v>
          </cell>
          <cell r="X34">
            <v>0</v>
          </cell>
          <cell r="Y34">
            <v>0</v>
          </cell>
          <cell r="Z34">
            <v>1723030.1667350421</v>
          </cell>
          <cell r="AA34">
            <v>129400.29000000001</v>
          </cell>
          <cell r="AB34">
            <v>4694.5987305982489</v>
          </cell>
          <cell r="AC34">
            <v>18157.782918989778</v>
          </cell>
          <cell r="AD34">
            <v>15444.248350411966</v>
          </cell>
          <cell r="AE34">
            <v>38296.629999999997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5631.3684444596392</v>
          </cell>
          <cell r="AN34">
            <v>1291.0600000000002</v>
          </cell>
          <cell r="AO34">
            <v>498.173</v>
          </cell>
          <cell r="AP34">
            <v>582.17000000000007</v>
          </cell>
          <cell r="AQ34">
            <v>27656.196000000004</v>
          </cell>
          <cell r="AR34">
            <v>0</v>
          </cell>
          <cell r="AS34">
            <v>0</v>
          </cell>
          <cell r="AT34">
            <v>17755.408000000003</v>
          </cell>
          <cell r="AU34">
            <v>53414.375444459642</v>
          </cell>
        </row>
        <row r="35">
          <cell r="D35" t="str">
            <v>영업이익</v>
          </cell>
          <cell r="E35">
            <v>1412795.2392992279</v>
          </cell>
          <cell r="F35">
            <v>134563.70839988563</v>
          </cell>
          <cell r="G35">
            <v>-35696.648846998054</v>
          </cell>
          <cell r="H35">
            <v>78635.954944998753</v>
          </cell>
          <cell r="I35">
            <v>-16063.874956226005</v>
          </cell>
          <cell r="J35">
            <v>117628.76624338099</v>
          </cell>
          <cell r="K35">
            <v>210932.58455163409</v>
          </cell>
          <cell r="L35">
            <v>68552.893642467228</v>
          </cell>
          <cell r="M35">
            <v>129907.50951276068</v>
          </cell>
          <cell r="N35">
            <v>51040.322768965038</v>
          </cell>
          <cell r="O35">
            <v>135421.43066441943</v>
          </cell>
          <cell r="P35">
            <v>127963.79136573357</v>
          </cell>
          <cell r="Q35">
            <v>-76262.435181197579</v>
          </cell>
          <cell r="R35">
            <v>52673.787481556938</v>
          </cell>
          <cell r="S35">
            <v>72468.786751510255</v>
          </cell>
          <cell r="T35">
            <v>56664.098082120356</v>
          </cell>
          <cell r="U35">
            <v>5959.4385016874294</v>
          </cell>
          <cell r="V35">
            <v>33872.283593219508</v>
          </cell>
          <cell r="W35">
            <v>0</v>
          </cell>
          <cell r="X35">
            <v>0</v>
          </cell>
          <cell r="Y35">
            <v>0</v>
          </cell>
          <cell r="Z35">
            <v>1148262.3975199123</v>
          </cell>
          <cell r="AA35">
            <v>71181.192778947792</v>
          </cell>
          <cell r="AB35">
            <v>78169.968713846174</v>
          </cell>
          <cell r="AC35">
            <v>-1618.0294224747959</v>
          </cell>
          <cell r="AD35">
            <v>34128.551820122673</v>
          </cell>
          <cell r="AE35">
            <v>110680.49111149425</v>
          </cell>
          <cell r="AF35">
            <v>8978.8809999999994</v>
          </cell>
          <cell r="AG35">
            <v>43647.08</v>
          </cell>
          <cell r="AH35">
            <v>19629.129999999997</v>
          </cell>
          <cell r="AI35">
            <v>58302.123333333329</v>
          </cell>
          <cell r="AJ35">
            <v>3758.319</v>
          </cell>
          <cell r="AK35">
            <v>0</v>
          </cell>
          <cell r="AL35">
            <v>134315.53333333333</v>
          </cell>
          <cell r="AM35">
            <v>-5631.3684444596392</v>
          </cell>
          <cell r="AN35">
            <v>-1291.0600000000002</v>
          </cell>
          <cell r="AO35">
            <v>-498.173</v>
          </cell>
          <cell r="AP35">
            <v>-582.17000000000007</v>
          </cell>
          <cell r="AQ35">
            <v>-27656.196000000004</v>
          </cell>
          <cell r="AR35">
            <v>0</v>
          </cell>
          <cell r="AS35">
            <v>0</v>
          </cell>
          <cell r="AT35">
            <v>-15985.408000000003</v>
          </cell>
          <cell r="AU35">
            <v>-51644.375444459642</v>
          </cell>
        </row>
      </sheetData>
      <sheetData sheetId="5">
        <row r="6">
          <cell r="D6" t="str">
            <v>구분</v>
          </cell>
        </row>
      </sheetData>
      <sheetData sheetId="6">
        <row r="6">
          <cell r="D6" t="str">
            <v>구분</v>
          </cell>
        </row>
      </sheetData>
      <sheetData sheetId="7">
        <row r="6">
          <cell r="D6" t="str">
            <v>구분</v>
          </cell>
        </row>
      </sheetData>
      <sheetData sheetId="8">
        <row r="6">
          <cell r="D6" t="str">
            <v>구분</v>
          </cell>
        </row>
      </sheetData>
      <sheetData sheetId="9">
        <row r="6">
          <cell r="D6" t="str">
            <v>구분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D6" t="str">
            <v>구분</v>
          </cell>
        </row>
      </sheetData>
      <sheetData sheetId="18">
        <row r="6">
          <cell r="D6" t="str">
            <v>구분</v>
          </cell>
        </row>
      </sheetData>
      <sheetData sheetId="19">
        <row r="6">
          <cell r="D6" t="str">
            <v>구분</v>
          </cell>
        </row>
      </sheetData>
      <sheetData sheetId="20">
        <row r="6">
          <cell r="D6" t="str">
            <v>구분</v>
          </cell>
        </row>
      </sheetData>
      <sheetData sheetId="21"/>
      <sheetData sheetId="22"/>
      <sheetData sheetId="23"/>
      <sheetData sheetId="24"/>
      <sheetData sheetId="25">
        <row r="6">
          <cell r="D6" t="str">
            <v>구분</v>
          </cell>
        </row>
      </sheetData>
      <sheetData sheetId="26">
        <row r="6">
          <cell r="D6" t="str">
            <v>구분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>
        <row r="6">
          <cell r="F6" t="str">
            <v>합계</v>
          </cell>
        </row>
      </sheetData>
      <sheetData sheetId="5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J6" t="str">
            <v>기타 계</v>
          </cell>
        </row>
        <row r="7">
          <cell r="G7">
            <v>37712</v>
          </cell>
          <cell r="H7">
            <v>23500</v>
          </cell>
          <cell r="I7">
            <v>18470</v>
          </cell>
          <cell r="J7">
            <v>5877</v>
          </cell>
          <cell r="K7">
            <v>16650</v>
          </cell>
          <cell r="L7">
            <v>16841</v>
          </cell>
          <cell r="M7">
            <v>8639</v>
          </cell>
          <cell r="N7">
            <v>14978</v>
          </cell>
          <cell r="O7">
            <v>9558</v>
          </cell>
          <cell r="P7">
            <v>15453</v>
          </cell>
          <cell r="Q7">
            <v>13997</v>
          </cell>
          <cell r="R7">
            <v>4788.5</v>
          </cell>
          <cell r="S7">
            <v>17471</v>
          </cell>
          <cell r="T7">
            <v>3406.5</v>
          </cell>
          <cell r="U7">
            <v>5554</v>
          </cell>
          <cell r="V7">
            <v>2263</v>
          </cell>
          <cell r="W7">
            <v>2398.5</v>
          </cell>
          <cell r="Z7">
            <v>217556.5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217556.5</v>
          </cell>
          <cell r="AJ7">
            <v>18623</v>
          </cell>
          <cell r="AK7">
            <v>23046</v>
          </cell>
          <cell r="AL7">
            <v>23603</v>
          </cell>
          <cell r="AN7">
            <v>65272</v>
          </cell>
          <cell r="AO7">
            <v>6645.402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J7">
            <v>0</v>
          </cell>
        </row>
        <row r="8">
          <cell r="F8">
            <v>30448812.223999996</v>
          </cell>
          <cell r="G8">
            <v>3774208</v>
          </cell>
          <cell r="H8">
            <v>2356758.5210000002</v>
          </cell>
          <cell r="I8">
            <v>1919294.9169999999</v>
          </cell>
          <cell r="J8">
            <v>570041.39099999995</v>
          </cell>
          <cell r="K8">
            <v>1875643.9</v>
          </cell>
          <cell r="L8">
            <v>1729334.32</v>
          </cell>
          <cell r="M8">
            <v>890185.7</v>
          </cell>
          <cell r="N8">
            <v>1493437.4</v>
          </cell>
          <cell r="O8">
            <v>924586.43</v>
          </cell>
          <cell r="P8">
            <v>1538533.2</v>
          </cell>
          <cell r="Q8">
            <v>1431989.7</v>
          </cell>
          <cell r="R8">
            <v>487720.15</v>
          </cell>
          <cell r="S8">
            <v>1754061.155</v>
          </cell>
          <cell r="T8">
            <v>364364.7</v>
          </cell>
          <cell r="U8">
            <v>576858.68000000005</v>
          </cell>
          <cell r="V8">
            <v>226082</v>
          </cell>
          <cell r="W8">
            <v>308442.42599999998</v>
          </cell>
          <cell r="Z8">
            <v>22221542.589999996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H8">
            <v>90840</v>
          </cell>
          <cell r="AI8">
            <v>22312382.589999996</v>
          </cell>
          <cell r="AJ8">
            <v>535572</v>
          </cell>
          <cell r="AK8">
            <v>318718</v>
          </cell>
          <cell r="AL8">
            <v>442796.5</v>
          </cell>
          <cell r="AN8">
            <v>1297086.5</v>
          </cell>
          <cell r="AO8">
            <v>6765657.9749999996</v>
          </cell>
          <cell r="AP8">
            <v>0</v>
          </cell>
          <cell r="AS8">
            <v>6765657.9749999996</v>
          </cell>
          <cell r="AT8">
            <v>5250</v>
          </cell>
          <cell r="AU8">
            <v>5450</v>
          </cell>
          <cell r="AV8">
            <v>61282.758999999998</v>
          </cell>
          <cell r="BA8">
            <v>71982.758999999991</v>
          </cell>
          <cell r="BB8">
            <v>0</v>
          </cell>
          <cell r="BC8">
            <v>1702.4</v>
          </cell>
          <cell r="BD8">
            <v>0</v>
          </cell>
          <cell r="BE8">
            <v>0</v>
          </cell>
          <cell r="BF8">
            <v>0</v>
          </cell>
          <cell r="BJ8">
            <v>1702.4</v>
          </cell>
        </row>
        <row r="9">
          <cell r="G9">
            <v>100079.76240984302</v>
          </cell>
          <cell r="H9">
            <v>100287.59663829788</v>
          </cell>
          <cell r="I9">
            <v>103914.18067135895</v>
          </cell>
          <cell r="J9">
            <v>96995.302194997435</v>
          </cell>
          <cell r="K9">
            <v>112651.28528528528</v>
          </cell>
          <cell r="L9">
            <v>102685.96401638858</v>
          </cell>
          <cell r="M9">
            <v>103042.67855075818</v>
          </cell>
          <cell r="N9">
            <v>99708.73280811857</v>
          </cell>
          <cell r="O9">
            <v>96734.299016530655</v>
          </cell>
          <cell r="P9">
            <v>99562.104445738689</v>
          </cell>
          <cell r="Q9">
            <v>102306.90147888834</v>
          </cell>
          <cell r="R9">
            <v>101852.38592461105</v>
          </cell>
          <cell r="S9">
            <v>100398.44055864004</v>
          </cell>
          <cell r="T9">
            <v>106961.60281814178</v>
          </cell>
          <cell r="U9">
            <v>103863.64422038171</v>
          </cell>
          <cell r="V9">
            <v>99903.66769774635</v>
          </cell>
          <cell r="W9">
            <v>128598.05128205127</v>
          </cell>
          <cell r="Z9">
            <v>102141.47860440849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102559.02531066642</v>
          </cell>
          <cell r="AJ9">
            <v>28758.631799387855</v>
          </cell>
          <cell r="AK9">
            <v>13829.645057710666</v>
          </cell>
          <cell r="AL9">
            <v>18760.178790831673</v>
          </cell>
          <cell r="AO9">
            <v>1018096.1174357849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J9">
            <v>0</v>
          </cell>
        </row>
        <row r="10">
          <cell r="F10">
            <v>27156435.784520004</v>
          </cell>
          <cell r="G10">
            <v>3224009.4117700001</v>
          </cell>
          <cell r="H10">
            <v>2125008.26853</v>
          </cell>
          <cell r="I10">
            <v>1726460.6037099999</v>
          </cell>
          <cell r="J10">
            <v>568368.15691000002</v>
          </cell>
          <cell r="K10">
            <v>1550110.5554599999</v>
          </cell>
          <cell r="L10">
            <v>1516989.73682</v>
          </cell>
          <cell r="M10">
            <v>816585.71221000003</v>
          </cell>
          <cell r="N10">
            <v>1383222.9256700003</v>
          </cell>
          <cell r="O10">
            <v>789255.23151999991</v>
          </cell>
          <cell r="P10">
            <v>1243233.66105</v>
          </cell>
          <cell r="Q10">
            <v>1160412.93294</v>
          </cell>
          <cell r="R10">
            <v>512858.27837999997</v>
          </cell>
          <cell r="S10">
            <v>1557584.9283199999</v>
          </cell>
          <cell r="T10">
            <v>311613.29123000003</v>
          </cell>
          <cell r="U10">
            <v>450626.07020999998</v>
          </cell>
          <cell r="V10">
            <v>260174.28799000001</v>
          </cell>
          <cell r="W10">
            <v>268747.34667</v>
          </cell>
          <cell r="Z10">
            <v>19465261.399390001</v>
          </cell>
          <cell r="AA10">
            <v>481.589</v>
          </cell>
          <cell r="AB10">
            <v>0</v>
          </cell>
          <cell r="AC10">
            <v>3465.1660000000002</v>
          </cell>
          <cell r="AD10">
            <v>8719.8960000000006</v>
          </cell>
          <cell r="AH10">
            <v>12666.651000000002</v>
          </cell>
          <cell r="AI10">
            <v>19477928.050390001</v>
          </cell>
          <cell r="AJ10">
            <v>449063.26029000001</v>
          </cell>
          <cell r="AK10">
            <v>260329.14069999999</v>
          </cell>
          <cell r="AL10">
            <v>376251.48214000004</v>
          </cell>
          <cell r="AN10">
            <v>1085643.88313</v>
          </cell>
          <cell r="AO10">
            <v>6592577.2970000003</v>
          </cell>
          <cell r="AP10">
            <v>0</v>
          </cell>
          <cell r="AS10">
            <v>6592577.2970000003</v>
          </cell>
          <cell r="AT10">
            <v>117.896</v>
          </cell>
          <cell r="AU10">
            <v>168.65799999999999</v>
          </cell>
          <cell r="AV10">
            <v>0</v>
          </cell>
          <cell r="BA10">
            <v>286.55399999999997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J10">
            <v>0</v>
          </cell>
        </row>
        <row r="11">
          <cell r="G11">
            <v>85490.279268402635</v>
          </cell>
          <cell r="H11">
            <v>90425.883767234045</v>
          </cell>
          <cell r="I11">
            <v>93473.773887926363</v>
          </cell>
          <cell r="J11">
            <v>96710.593314616301</v>
          </cell>
          <cell r="K11">
            <v>93099.733060660656</v>
          </cell>
          <cell r="L11">
            <v>90077.176938424091</v>
          </cell>
          <cell r="M11">
            <v>94523.175391827768</v>
          </cell>
          <cell r="N11">
            <v>92350.308830952068</v>
          </cell>
          <cell r="O11">
            <v>82575.353789495712</v>
          </cell>
          <cell r="P11">
            <v>80452.57626674432</v>
          </cell>
          <cell r="Q11">
            <v>82904.403296420656</v>
          </cell>
          <cell r="R11">
            <v>107102.07337997285</v>
          </cell>
          <cell r="S11">
            <v>89152.591627268033</v>
          </cell>
          <cell r="T11">
            <v>91476.087253779551</v>
          </cell>
          <cell r="U11">
            <v>81135.410552754765</v>
          </cell>
          <cell r="V11">
            <v>114968.75297834733</v>
          </cell>
          <cell r="W11">
            <v>112048.09116948093</v>
          </cell>
          <cell r="Z11">
            <v>89472.21250291304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89530.43485434819</v>
          </cell>
          <cell r="AJ11">
            <v>24113.368430972452</v>
          </cell>
          <cell r="AK11">
            <v>11296.066158986374</v>
          </cell>
          <cell r="AL11">
            <v>15940.833035631065</v>
          </cell>
          <cell r="AO11">
            <v>992050.9394315047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J11">
            <v>0</v>
          </cell>
        </row>
        <row r="12">
          <cell r="F12">
            <v>3292376.4394799918</v>
          </cell>
          <cell r="G12">
            <v>550198.58822999988</v>
          </cell>
          <cell r="H12">
            <v>231750.25247000018</v>
          </cell>
          <cell r="I12">
            <v>192834.31328999996</v>
          </cell>
          <cell r="J12">
            <v>1673.2340899999253</v>
          </cell>
          <cell r="K12">
            <v>325533.34453999996</v>
          </cell>
          <cell r="L12">
            <v>212344.58318000007</v>
          </cell>
          <cell r="M12">
            <v>73599.987789999926</v>
          </cell>
          <cell r="N12">
            <v>110214.47432999965</v>
          </cell>
          <cell r="O12">
            <v>135331.19848000014</v>
          </cell>
          <cell r="P12">
            <v>295299.53894999996</v>
          </cell>
          <cell r="Q12">
            <v>271576.76705999998</v>
          </cell>
          <cell r="R12">
            <v>-25138.128379999951</v>
          </cell>
          <cell r="S12">
            <v>196476.22668000008</v>
          </cell>
          <cell r="T12">
            <v>52751.40876999998</v>
          </cell>
          <cell r="U12">
            <v>126232.60979000008</v>
          </cell>
          <cell r="V12">
            <v>-34092.287990000012</v>
          </cell>
          <cell r="W12">
            <v>39695.079329999979</v>
          </cell>
          <cell r="Z12">
            <v>2756281.1906099995</v>
          </cell>
          <cell r="AA12">
            <v>49518.411</v>
          </cell>
          <cell r="AB12">
            <v>0</v>
          </cell>
          <cell r="AC12">
            <v>9034.8339999999989</v>
          </cell>
          <cell r="AD12">
            <v>19620.103999999999</v>
          </cell>
          <cell r="AH12">
            <v>78173.349000000002</v>
          </cell>
          <cell r="AI12">
            <v>2834454.5396099947</v>
          </cell>
          <cell r="AJ12">
            <v>86508.739709999994</v>
          </cell>
          <cell r="AK12">
            <v>58388.859300000011</v>
          </cell>
          <cell r="AL12">
            <v>66545.017859999964</v>
          </cell>
          <cell r="AN12">
            <v>211442.61687000003</v>
          </cell>
          <cell r="AO12">
            <v>173080.67799999937</v>
          </cell>
          <cell r="AP12">
            <v>0</v>
          </cell>
          <cell r="AS12">
            <v>173080.67799999937</v>
          </cell>
          <cell r="AT12">
            <v>5132.1040000000003</v>
          </cell>
          <cell r="AU12">
            <v>5281.3419999999996</v>
          </cell>
          <cell r="AV12">
            <v>61282.758999999998</v>
          </cell>
          <cell r="BA12">
            <v>71696.205000000002</v>
          </cell>
          <cell r="BB12">
            <v>0</v>
          </cell>
          <cell r="BC12">
            <v>1702.4</v>
          </cell>
          <cell r="BD12">
            <v>0</v>
          </cell>
          <cell r="BE12">
            <v>0</v>
          </cell>
          <cell r="BF12">
            <v>0</v>
          </cell>
          <cell r="BJ12">
            <v>1702.4</v>
          </cell>
        </row>
        <row r="13">
          <cell r="F13">
            <v>777716.70400000003</v>
          </cell>
          <cell r="G13">
            <v>69404.165999999997</v>
          </cell>
          <cell r="H13">
            <v>60364.035000000003</v>
          </cell>
          <cell r="I13">
            <v>48475.173000000003</v>
          </cell>
          <cell r="J13">
            <v>33639.072</v>
          </cell>
          <cell r="K13">
            <v>45125.733999999997</v>
          </cell>
          <cell r="L13">
            <v>50204.634999999995</v>
          </cell>
          <cell r="M13">
            <v>40772.25</v>
          </cell>
          <cell r="N13">
            <v>46581.540999999997</v>
          </cell>
          <cell r="O13">
            <v>26026.021999999997</v>
          </cell>
          <cell r="P13">
            <v>43473.695999999996</v>
          </cell>
          <cell r="Q13">
            <v>40569.436000000002</v>
          </cell>
          <cell r="R13">
            <v>27338.503000000001</v>
          </cell>
          <cell r="S13">
            <v>44454.539999999994</v>
          </cell>
          <cell r="T13">
            <v>10827.094999999999</v>
          </cell>
          <cell r="U13">
            <v>11546.019</v>
          </cell>
          <cell r="V13">
            <v>26587.575000000001</v>
          </cell>
          <cell r="W13">
            <v>14525.569</v>
          </cell>
          <cell r="Z13">
            <v>639915.06099999999</v>
          </cell>
          <cell r="AA13">
            <v>0</v>
          </cell>
          <cell r="AB13">
            <v>181.733</v>
          </cell>
          <cell r="AC13">
            <v>0</v>
          </cell>
          <cell r="AD13">
            <v>0</v>
          </cell>
          <cell r="AH13">
            <v>181.733</v>
          </cell>
          <cell r="AI13">
            <v>640096.79399999999</v>
          </cell>
          <cell r="AJ13">
            <v>460</v>
          </cell>
          <cell r="AK13">
            <v>0</v>
          </cell>
          <cell r="AL13">
            <v>0</v>
          </cell>
          <cell r="AN13">
            <v>460</v>
          </cell>
          <cell r="AO13">
            <v>125685.614</v>
          </cell>
          <cell r="AP13">
            <v>0</v>
          </cell>
          <cell r="AS13">
            <v>125685.614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11474.296</v>
          </cell>
          <cell r="BJ13">
            <v>11474.296</v>
          </cell>
        </row>
        <row r="14">
          <cell r="F14">
            <v>519014.7</v>
          </cell>
          <cell r="G14">
            <v>45765.475999999995</v>
          </cell>
          <cell r="H14">
            <v>40781.061000000002</v>
          </cell>
          <cell r="I14">
            <v>34289.834000000003</v>
          </cell>
          <cell r="J14">
            <v>22514.784</v>
          </cell>
          <cell r="K14">
            <v>30886.002</v>
          </cell>
          <cell r="L14">
            <v>33662.964999999997</v>
          </cell>
          <cell r="M14">
            <v>25713.41</v>
          </cell>
          <cell r="N14">
            <v>31858.461999999996</v>
          </cell>
          <cell r="O14">
            <v>17444.573</v>
          </cell>
          <cell r="P14">
            <v>31156.613000000001</v>
          </cell>
          <cell r="Q14">
            <v>24894.996999999999</v>
          </cell>
          <cell r="R14">
            <v>18018.038</v>
          </cell>
          <cell r="S14">
            <v>29262.780999999999</v>
          </cell>
          <cell r="T14">
            <v>6855.6719999999996</v>
          </cell>
          <cell r="U14">
            <v>6915.8850000000002</v>
          </cell>
          <cell r="V14">
            <v>20163.453000000001</v>
          </cell>
          <cell r="W14">
            <v>10360.079</v>
          </cell>
          <cell r="Z14">
            <v>430544.08500000002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430544.08500000002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88470.614999999991</v>
          </cell>
          <cell r="AP14">
            <v>0</v>
          </cell>
          <cell r="AS14">
            <v>88470.614999999991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J14">
            <v>0</v>
          </cell>
        </row>
        <row r="15">
          <cell r="F15">
            <v>258702.00399999999</v>
          </cell>
          <cell r="G15">
            <v>23638.690000000002</v>
          </cell>
          <cell r="H15">
            <v>19582.974000000002</v>
          </cell>
          <cell r="I15">
            <v>14185.339</v>
          </cell>
          <cell r="J15">
            <v>11124.288</v>
          </cell>
          <cell r="K15">
            <v>14239.732</v>
          </cell>
          <cell r="L15">
            <v>16541.669999999998</v>
          </cell>
          <cell r="M15">
            <v>15058.839999999998</v>
          </cell>
          <cell r="N15">
            <v>14723.079000000002</v>
          </cell>
          <cell r="O15">
            <v>8581.4489999999987</v>
          </cell>
          <cell r="P15">
            <v>12317.082999999999</v>
          </cell>
          <cell r="Q15">
            <v>15674.439000000002</v>
          </cell>
          <cell r="R15">
            <v>9320.4650000000001</v>
          </cell>
          <cell r="S15">
            <v>15191.758999999998</v>
          </cell>
          <cell r="T15">
            <v>3971.4230000000002</v>
          </cell>
          <cell r="U15">
            <v>4630.134</v>
          </cell>
          <cell r="V15">
            <v>6424.1219999999994</v>
          </cell>
          <cell r="W15">
            <v>4165.49</v>
          </cell>
          <cell r="Z15">
            <v>209370.97599999997</v>
          </cell>
          <cell r="AA15">
            <v>0</v>
          </cell>
          <cell r="AB15">
            <v>181.733</v>
          </cell>
          <cell r="AC15">
            <v>0</v>
          </cell>
          <cell r="AD15">
            <v>0</v>
          </cell>
          <cell r="AH15">
            <v>181.733</v>
          </cell>
          <cell r="AI15">
            <v>209552.70899999997</v>
          </cell>
          <cell r="AJ15">
            <v>460</v>
          </cell>
          <cell r="AK15">
            <v>0</v>
          </cell>
          <cell r="AL15">
            <v>0</v>
          </cell>
          <cell r="AN15">
            <v>460</v>
          </cell>
          <cell r="AO15">
            <v>37214.999000000003</v>
          </cell>
          <cell r="AP15">
            <v>0</v>
          </cell>
          <cell r="AS15">
            <v>37214.999000000003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11474.296</v>
          </cell>
          <cell r="BJ15">
            <v>11474.296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J16">
            <v>0</v>
          </cell>
        </row>
        <row r="17">
          <cell r="F17">
            <v>2514659.7354799919</v>
          </cell>
          <cell r="G17">
            <v>480794.42222999991</v>
          </cell>
          <cell r="H17">
            <v>171386.21747000018</v>
          </cell>
          <cell r="I17">
            <v>144359.14028999995</v>
          </cell>
          <cell r="J17">
            <v>-31965.837910000075</v>
          </cell>
          <cell r="K17">
            <v>280407.61053999997</v>
          </cell>
          <cell r="L17">
            <v>162139.94818000006</v>
          </cell>
          <cell r="M17">
            <v>32827.737789999926</v>
          </cell>
          <cell r="N17">
            <v>63632.933329999651</v>
          </cell>
          <cell r="O17">
            <v>109305.17648000014</v>
          </cell>
          <cell r="P17">
            <v>251825.84294999996</v>
          </cell>
          <cell r="Q17">
            <v>231007.33106</v>
          </cell>
          <cell r="R17">
            <v>-52476.631379999948</v>
          </cell>
          <cell r="S17">
            <v>152021.6866800001</v>
          </cell>
          <cell r="T17">
            <v>41924.313769999979</v>
          </cell>
          <cell r="U17">
            <v>114686.59079000007</v>
          </cell>
          <cell r="V17">
            <v>-60679.862990000009</v>
          </cell>
          <cell r="W17">
            <v>25169.510329999979</v>
          </cell>
          <cell r="Z17">
            <v>2116366.1296099992</v>
          </cell>
          <cell r="AA17">
            <v>49518.411</v>
          </cell>
          <cell r="AB17">
            <v>-181.733</v>
          </cell>
          <cell r="AC17">
            <v>9034.8339999999989</v>
          </cell>
          <cell r="AD17">
            <v>19620.103999999999</v>
          </cell>
          <cell r="AH17">
            <v>77991.616000000009</v>
          </cell>
          <cell r="AI17">
            <v>2194357.745609995</v>
          </cell>
          <cell r="AJ17">
            <v>86048.739709999994</v>
          </cell>
          <cell r="AK17">
            <v>58388.859300000011</v>
          </cell>
          <cell r="AL17">
            <v>66545.017859999964</v>
          </cell>
          <cell r="AN17">
            <v>210982.61687000003</v>
          </cell>
          <cell r="AO17">
            <v>47395.063999999373</v>
          </cell>
          <cell r="AP17">
            <v>0</v>
          </cell>
          <cell r="AS17">
            <v>47395.063999999373</v>
          </cell>
          <cell r="AT17">
            <v>5132.1040000000003</v>
          </cell>
          <cell r="AU17">
            <v>5281.3419999999996</v>
          </cell>
          <cell r="AV17">
            <v>61282.758999999998</v>
          </cell>
          <cell r="BA17">
            <v>71696.205000000002</v>
          </cell>
          <cell r="BB17">
            <v>0</v>
          </cell>
          <cell r="BC17">
            <v>1702.4</v>
          </cell>
          <cell r="BD17">
            <v>0</v>
          </cell>
          <cell r="BE17">
            <v>0</v>
          </cell>
          <cell r="BF17">
            <v>-11474.296</v>
          </cell>
          <cell r="BJ17">
            <v>-9771.8960000000006</v>
          </cell>
        </row>
        <row r="18">
          <cell r="F18">
            <v>566941.70347999991</v>
          </cell>
          <cell r="G18">
            <v>29488.772229999999</v>
          </cell>
          <cell r="H18">
            <v>33428.135470000001</v>
          </cell>
          <cell r="I18">
            <v>18771.260289999998</v>
          </cell>
          <cell r="J18">
            <v>18655.162090000002</v>
          </cell>
          <cell r="K18">
            <v>78959.386540000007</v>
          </cell>
          <cell r="L18">
            <v>43332.349180000005</v>
          </cell>
          <cell r="M18">
            <v>16015.851789999999</v>
          </cell>
          <cell r="N18">
            <v>28764.586329999998</v>
          </cell>
          <cell r="O18">
            <v>10770.938480000001</v>
          </cell>
          <cell r="P18">
            <v>31368.18895</v>
          </cell>
          <cell r="Q18">
            <v>14565.444060000002</v>
          </cell>
          <cell r="R18">
            <v>13574.36562</v>
          </cell>
          <cell r="S18">
            <v>34862.448680000001</v>
          </cell>
          <cell r="T18">
            <v>5631.6017699999993</v>
          </cell>
          <cell r="U18">
            <v>10233.583790000001</v>
          </cell>
          <cell r="V18">
            <v>20742.273010000004</v>
          </cell>
          <cell r="W18">
            <v>10302.074330000001</v>
          </cell>
          <cell r="Z18">
            <v>419466.42261000001</v>
          </cell>
          <cell r="AA18">
            <v>5672.5910000000003</v>
          </cell>
          <cell r="AB18">
            <v>353.67200000000003</v>
          </cell>
          <cell r="AC18">
            <v>0</v>
          </cell>
          <cell r="AD18">
            <v>0</v>
          </cell>
          <cell r="AH18">
            <v>6026.2630000000008</v>
          </cell>
          <cell r="AI18">
            <v>425492.68560999999</v>
          </cell>
          <cell r="AJ18">
            <v>33414.343699999998</v>
          </cell>
          <cell r="AK18">
            <v>9866.8463100000008</v>
          </cell>
          <cell r="AL18">
            <v>42650.888859999999</v>
          </cell>
          <cell r="AN18">
            <v>85932.078869999998</v>
          </cell>
          <cell r="AO18">
            <v>5550.3850000000002</v>
          </cell>
          <cell r="AP18">
            <v>855.83600000000001</v>
          </cell>
          <cell r="AS18">
            <v>6406.2210000000005</v>
          </cell>
          <cell r="AT18">
            <v>1312.8920000000001</v>
          </cell>
          <cell r="AU18">
            <v>8489.6080000000002</v>
          </cell>
          <cell r="AV18">
            <v>0</v>
          </cell>
          <cell r="BA18">
            <v>9802.5</v>
          </cell>
          <cell r="BB18">
            <v>0</v>
          </cell>
          <cell r="BC18">
            <v>15330.277</v>
          </cell>
          <cell r="BD18">
            <v>0</v>
          </cell>
          <cell r="BE18">
            <v>0</v>
          </cell>
          <cell r="BF18">
            <v>23977.940999999999</v>
          </cell>
          <cell r="BJ18">
            <v>39308.218000000001</v>
          </cell>
        </row>
        <row r="19">
          <cell r="F19">
            <v>498810.17947999993</v>
          </cell>
          <cell r="G19">
            <v>27161.150229999999</v>
          </cell>
          <cell r="H19">
            <v>31483.000469999999</v>
          </cell>
          <cell r="I19">
            <v>17000.013289999999</v>
          </cell>
          <cell r="J19">
            <v>17463.17409</v>
          </cell>
          <cell r="K19">
            <v>77083.320540000001</v>
          </cell>
          <cell r="L19">
            <v>41767.947180000003</v>
          </cell>
          <cell r="M19">
            <v>14822.252789999999</v>
          </cell>
          <cell r="N19">
            <v>27201.281329999998</v>
          </cell>
          <cell r="O19">
            <v>10020.902480000001</v>
          </cell>
          <cell r="P19">
            <v>30149.42295</v>
          </cell>
          <cell r="Q19">
            <v>13360.056060000001</v>
          </cell>
          <cell r="R19">
            <v>12472.21062</v>
          </cell>
          <cell r="S19">
            <v>33274.24768</v>
          </cell>
          <cell r="T19">
            <v>5261.2017699999997</v>
          </cell>
          <cell r="U19">
            <v>9790.71479</v>
          </cell>
          <cell r="V19">
            <v>19615.409010000003</v>
          </cell>
          <cell r="W19">
            <v>9476.7043300000005</v>
          </cell>
          <cell r="Z19">
            <v>397403.00960999995</v>
          </cell>
          <cell r="AA19">
            <v>5672.5910000000003</v>
          </cell>
          <cell r="AB19">
            <v>0</v>
          </cell>
          <cell r="AC19">
            <v>0</v>
          </cell>
          <cell r="AD19">
            <v>0</v>
          </cell>
          <cell r="AH19">
            <v>5672.5910000000003</v>
          </cell>
          <cell r="AI19">
            <v>403075.60060999996</v>
          </cell>
          <cell r="AJ19">
            <v>33414.343699999998</v>
          </cell>
          <cell r="AK19">
            <v>9866.8463100000008</v>
          </cell>
          <cell r="AL19">
            <v>42650.888859999999</v>
          </cell>
          <cell r="AN19">
            <v>85932.078869999998</v>
          </cell>
          <cell r="AO19">
            <v>0</v>
          </cell>
          <cell r="AP19">
            <v>0</v>
          </cell>
          <cell r="AS19">
            <v>0</v>
          </cell>
          <cell r="AT19">
            <v>1312.8920000000001</v>
          </cell>
          <cell r="AU19">
            <v>8489.6080000000002</v>
          </cell>
          <cell r="AV19">
            <v>0</v>
          </cell>
          <cell r="BA19">
            <v>9802.5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J19">
            <v>0</v>
          </cell>
        </row>
        <row r="20">
          <cell r="F20">
            <v>68131.524000000005</v>
          </cell>
          <cell r="G20">
            <v>2327.6219999999998</v>
          </cell>
          <cell r="H20">
            <v>1945.135</v>
          </cell>
          <cell r="I20">
            <v>1771.2470000000001</v>
          </cell>
          <cell r="J20">
            <v>1191.9880000000001</v>
          </cell>
          <cell r="K20">
            <v>1876.066</v>
          </cell>
          <cell r="L20">
            <v>1564.402</v>
          </cell>
          <cell r="M20">
            <v>1193.5989999999999</v>
          </cell>
          <cell r="N20">
            <v>1563.3050000000001</v>
          </cell>
          <cell r="O20">
            <v>750.03599999999994</v>
          </cell>
          <cell r="P20">
            <v>1218.7660000000001</v>
          </cell>
          <cell r="Q20">
            <v>1205.3879999999999</v>
          </cell>
          <cell r="R20">
            <v>1102.155</v>
          </cell>
          <cell r="S20">
            <v>1588.201</v>
          </cell>
          <cell r="T20">
            <v>370.4</v>
          </cell>
          <cell r="U20">
            <v>442.86900000000003</v>
          </cell>
          <cell r="V20">
            <v>1126.864</v>
          </cell>
          <cell r="W20">
            <v>825.37</v>
          </cell>
          <cell r="Z20">
            <v>22063.413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H20">
            <v>353.67200000000003</v>
          </cell>
          <cell r="AI20">
            <v>22417.084999999999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5550.3850000000002</v>
          </cell>
          <cell r="AP20">
            <v>855.83600000000001</v>
          </cell>
          <cell r="AS20">
            <v>6406.2210000000005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15330.277</v>
          </cell>
          <cell r="BD20">
            <v>0</v>
          </cell>
          <cell r="BE20">
            <v>0</v>
          </cell>
          <cell r="BF20">
            <v>23977.940999999999</v>
          </cell>
          <cell r="BJ20">
            <v>39308.218000000001</v>
          </cell>
        </row>
        <row r="21">
          <cell r="F21">
            <v>1947718.031999992</v>
          </cell>
          <cell r="G21">
            <v>451305.64999999991</v>
          </cell>
          <cell r="H21">
            <v>137958.08200000017</v>
          </cell>
          <cell r="I21">
            <v>125587.87999999995</v>
          </cell>
          <cell r="J21">
            <v>-50621.000000000073</v>
          </cell>
          <cell r="K21">
            <v>201448.22399999996</v>
          </cell>
          <cell r="L21">
            <v>118807.59900000006</v>
          </cell>
          <cell r="M21">
            <v>16811.885999999926</v>
          </cell>
          <cell r="N21">
            <v>34868.346999999652</v>
          </cell>
          <cell r="O21">
            <v>98534.238000000143</v>
          </cell>
          <cell r="P21">
            <v>220457.65399999995</v>
          </cell>
          <cell r="Q21">
            <v>216441.88699999999</v>
          </cell>
          <cell r="R21">
            <v>-66050.996999999945</v>
          </cell>
          <cell r="S21">
            <v>117159.2380000001</v>
          </cell>
          <cell r="T21">
            <v>36292.711999999978</v>
          </cell>
          <cell r="U21">
            <v>104453.00700000007</v>
          </cell>
          <cell r="V21">
            <v>-81422.136000000013</v>
          </cell>
          <cell r="W21">
            <v>14867.435999999978</v>
          </cell>
          <cell r="Z21">
            <v>1696899.7069999992</v>
          </cell>
          <cell r="AA21">
            <v>43845.82</v>
          </cell>
          <cell r="AB21">
            <v>-535.40499999999997</v>
          </cell>
          <cell r="AC21">
            <v>9034.8339999999989</v>
          </cell>
          <cell r="AD21">
            <v>19620.103999999999</v>
          </cell>
          <cell r="AH21">
            <v>71965.353000000003</v>
          </cell>
          <cell r="AI21">
            <v>1768865.0599999949</v>
          </cell>
          <cell r="AJ21">
            <v>52634.396009999997</v>
          </cell>
          <cell r="AK21">
            <v>48522.01299000001</v>
          </cell>
          <cell r="AL21">
            <v>23894.128999999964</v>
          </cell>
          <cell r="AN21">
            <v>125050.53800000003</v>
          </cell>
          <cell r="AO21">
            <v>41844.678999999371</v>
          </cell>
          <cell r="AP21">
            <v>-855.83600000000001</v>
          </cell>
          <cell r="AS21">
            <v>40988.842999999375</v>
          </cell>
          <cell r="AT21">
            <v>3819.2120000000004</v>
          </cell>
          <cell r="AU21">
            <v>-3208.2660000000005</v>
          </cell>
          <cell r="AV21">
            <v>61282.758999999998</v>
          </cell>
          <cell r="BA21">
            <v>61893.705000000002</v>
          </cell>
          <cell r="BB21">
            <v>0</v>
          </cell>
          <cell r="BC21">
            <v>-13627.877</v>
          </cell>
          <cell r="BD21">
            <v>0</v>
          </cell>
          <cell r="BE21">
            <v>0</v>
          </cell>
          <cell r="BF21">
            <v>-35452.237000000001</v>
          </cell>
          <cell r="BJ21">
            <v>-49080.114000000001</v>
          </cell>
        </row>
        <row r="22">
          <cell r="F22">
            <v>788461.615998958</v>
          </cell>
          <cell r="G22">
            <v>177843.38610572024</v>
          </cell>
          <cell r="H22">
            <v>111052.15070503511</v>
          </cell>
          <cell r="I22">
            <v>90438.552134587517</v>
          </cell>
          <cell r="J22">
            <v>26860.758918388921</v>
          </cell>
          <cell r="K22">
            <v>90708.772309219174</v>
          </cell>
          <cell r="L22">
            <v>83633.035609477025</v>
          </cell>
          <cell r="M22">
            <v>43050.63022582425</v>
          </cell>
          <cell r="N22">
            <v>72224.729371429334</v>
          </cell>
          <cell r="O22">
            <v>44714.297825436806</v>
          </cell>
          <cell r="P22">
            <v>74405.625571556709</v>
          </cell>
          <cell r="Q22">
            <v>69253.032330095855</v>
          </cell>
          <cell r="R22">
            <v>23586.831187395554</v>
          </cell>
          <cell r="S22">
            <v>79043.413587909963</v>
          </cell>
          <cell r="T22">
            <v>16419.398831584491</v>
          </cell>
          <cell r="U22">
            <v>25995.03392173109</v>
          </cell>
          <cell r="V22">
            <v>10187.953242019012</v>
          </cell>
          <cell r="W22">
            <v>13899.368432440038</v>
          </cell>
          <cell r="Z22">
            <v>1053316.970309851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1053316.970309851</v>
          </cell>
          <cell r="AJ22">
            <v>18940.383467107669</v>
          </cell>
          <cell r="AK22">
            <v>11271.390471999326</v>
          </cell>
          <cell r="AL22">
            <v>15659.39875</v>
          </cell>
          <cell r="AN22">
            <v>45871.172689106999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-310726.527</v>
          </cell>
          <cell r="BF22">
            <v>0</v>
          </cell>
          <cell r="BJ22">
            <v>-310726.527</v>
          </cell>
        </row>
        <row r="23">
          <cell r="F23">
            <v>213440.81499895791</v>
          </cell>
          <cell r="G23">
            <v>27404.025841837454</v>
          </cell>
          <cell r="H23">
            <v>17112.112372305561</v>
          </cell>
          <cell r="I23">
            <v>13935.74691791636</v>
          </cell>
          <cell r="J23">
            <v>4138.995256721666</v>
          </cell>
          <cell r="K23">
            <v>15945.890030644667</v>
          </cell>
          <cell r="L23">
            <v>14702.031069404846</v>
          </cell>
          <cell r="M23">
            <v>7567.9628094930176</v>
          </cell>
          <cell r="N23">
            <v>12696.54039770123</v>
          </cell>
          <cell r="O23">
            <v>7860.4225122936941</v>
          </cell>
          <cell r="P23">
            <v>13079.924827786252</v>
          </cell>
          <cell r="Q23">
            <v>12174.13938819402</v>
          </cell>
          <cell r="R23">
            <v>4146.3797459792459</v>
          </cell>
          <cell r="S23">
            <v>9126.8011431461091</v>
          </cell>
          <cell r="T23">
            <v>1895.8769772665594</v>
          </cell>
          <cell r="U23">
            <v>3001.5341512182094</v>
          </cell>
          <cell r="V23">
            <v>1176.3589029738014</v>
          </cell>
          <cell r="W23">
            <v>1604.899964968188</v>
          </cell>
          <cell r="Z23">
            <v>167569.6423098509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167569.6423098509</v>
          </cell>
          <cell r="AJ23">
            <v>18940.383467107669</v>
          </cell>
          <cell r="AK23">
            <v>11271.390471999326</v>
          </cell>
          <cell r="AL23">
            <v>15659.39875</v>
          </cell>
          <cell r="AN23">
            <v>45871.172689106999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J23">
            <v>0</v>
          </cell>
        </row>
        <row r="24">
          <cell r="F24">
            <v>377509.51500000001</v>
          </cell>
          <cell r="G24">
            <v>64117.935369180879</v>
          </cell>
          <cell r="H24">
            <v>40037.668970614315</v>
          </cell>
          <cell r="I24">
            <v>32605.841395758627</v>
          </cell>
          <cell r="J24">
            <v>9684.1183808353871</v>
          </cell>
          <cell r="K24">
            <v>31864.278374641348</v>
          </cell>
          <cell r="L24">
            <v>29378.705720899954</v>
          </cell>
          <cell r="M24">
            <v>15122.873243649803</v>
          </cell>
          <cell r="N24">
            <v>25371.1832233723</v>
          </cell>
          <cell r="O24">
            <v>15707.288247484423</v>
          </cell>
          <cell r="P24">
            <v>26137.290864981216</v>
          </cell>
          <cell r="Q24">
            <v>24327.282183158088</v>
          </cell>
          <cell r="R24">
            <v>8285.6082801867851</v>
          </cell>
          <cell r="S24">
            <v>29798.776265081509</v>
          </cell>
          <cell r="T24">
            <v>6189.9906643754084</v>
          </cell>
          <cell r="U24">
            <v>9799.9335387426981</v>
          </cell>
          <cell r="V24">
            <v>3840.7822420320108</v>
          </cell>
          <cell r="W24">
            <v>5239.9580350053193</v>
          </cell>
          <cell r="Z24">
            <v>377509.51500000001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377509.51500000001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J24">
            <v>0</v>
          </cell>
        </row>
        <row r="25">
          <cell r="F25">
            <v>197511.28600000008</v>
          </cell>
          <cell r="G25">
            <v>86321.424894701893</v>
          </cell>
          <cell r="H25">
            <v>53902.369362115234</v>
          </cell>
          <cell r="I25">
            <v>43896.963820912519</v>
          </cell>
          <cell r="J25">
            <v>13037.64528083187</v>
          </cell>
          <cell r="K25">
            <v>42898.603903933159</v>
          </cell>
          <cell r="L25">
            <v>39552.298819172232</v>
          </cell>
          <cell r="M25">
            <v>20359.794172681428</v>
          </cell>
          <cell r="N25">
            <v>34157.005750355798</v>
          </cell>
          <cell r="O25">
            <v>21146.587065658692</v>
          </cell>
          <cell r="P25">
            <v>35188.409878789236</v>
          </cell>
          <cell r="Q25">
            <v>32751.610758743744</v>
          </cell>
          <cell r="R25">
            <v>11154.843161229521</v>
          </cell>
          <cell r="S25">
            <v>40117.836179682345</v>
          </cell>
          <cell r="T25">
            <v>8333.5311899425233</v>
          </cell>
          <cell r="U25">
            <v>13193.566231770184</v>
          </cell>
          <cell r="V25">
            <v>5170.8120970131995</v>
          </cell>
          <cell r="W25">
            <v>7054.5104324665317</v>
          </cell>
          <cell r="Z25">
            <v>508237.81300000008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508237.81300000008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-310726.527</v>
          </cell>
          <cell r="BF25">
            <v>0</v>
          </cell>
          <cell r="BJ25">
            <v>-310726.527</v>
          </cell>
        </row>
        <row r="26">
          <cell r="F26">
            <v>1159256.416001034</v>
          </cell>
          <cell r="G26">
            <v>273462.26389427966</v>
          </cell>
          <cell r="H26">
            <v>26905.931294965063</v>
          </cell>
          <cell r="I26">
            <v>35149.32786541243</v>
          </cell>
          <cell r="J26">
            <v>-77481.758918388994</v>
          </cell>
          <cell r="K26">
            <v>110739.45169078078</v>
          </cell>
          <cell r="L26">
            <v>35174.563390523035</v>
          </cell>
          <cell r="M26">
            <v>-26238.744225824325</v>
          </cell>
          <cell r="N26">
            <v>-37356.382371429681</v>
          </cell>
          <cell r="O26">
            <v>53819.940174563337</v>
          </cell>
          <cell r="P26">
            <v>146052.02842844324</v>
          </cell>
          <cell r="Q26">
            <v>147188.85466990413</v>
          </cell>
          <cell r="R26">
            <v>-89637.828187395498</v>
          </cell>
          <cell r="S26">
            <v>38115.824412090136</v>
          </cell>
          <cell r="T26">
            <v>19873.313168415487</v>
          </cell>
          <cell r="U26">
            <v>78457.973078268988</v>
          </cell>
          <cell r="V26">
            <v>-91610.089242019021</v>
          </cell>
          <cell r="W26">
            <v>968.06756755993956</v>
          </cell>
          <cell r="Z26">
            <v>643582.73669014825</v>
          </cell>
          <cell r="AA26">
            <v>43845.82</v>
          </cell>
          <cell r="AB26">
            <v>-535.40499999999997</v>
          </cell>
          <cell r="AC26">
            <v>9034.8339999999989</v>
          </cell>
          <cell r="AD26">
            <v>19620.103999999999</v>
          </cell>
          <cell r="AH26">
            <v>71965.353000000003</v>
          </cell>
          <cell r="AI26">
            <v>715548.08969014394</v>
          </cell>
          <cell r="AJ26">
            <v>33694.012542892327</v>
          </cell>
          <cell r="AK26">
            <v>37250.622518000688</v>
          </cell>
          <cell r="AL26">
            <v>8234.7302499999641</v>
          </cell>
          <cell r="AN26">
            <v>79179.36531089303</v>
          </cell>
          <cell r="AO26">
            <v>41844.678999999371</v>
          </cell>
          <cell r="AP26">
            <v>-855.83600000000001</v>
          </cell>
          <cell r="AS26">
            <v>40988.842999999375</v>
          </cell>
          <cell r="AT26">
            <v>3819.2120000000004</v>
          </cell>
          <cell r="AU26">
            <v>-3208.2660000000005</v>
          </cell>
          <cell r="AV26">
            <v>61282.758999999998</v>
          </cell>
          <cell r="BA26">
            <v>61893.705000000002</v>
          </cell>
          <cell r="BB26">
            <v>0</v>
          </cell>
          <cell r="BC26">
            <v>-13627.877</v>
          </cell>
          <cell r="BD26">
            <v>0</v>
          </cell>
          <cell r="BE26">
            <v>310726.527</v>
          </cell>
          <cell r="BF26">
            <v>-35452.237000000001</v>
          </cell>
          <cell r="BJ26">
            <v>261646.413</v>
          </cell>
        </row>
        <row r="27">
          <cell r="F27">
            <v>1159256.4160010412</v>
          </cell>
          <cell r="G27">
            <v>273462.2638942796</v>
          </cell>
          <cell r="H27">
            <v>26905.931294965088</v>
          </cell>
          <cell r="I27">
            <v>35149.327865412444</v>
          </cell>
          <cell r="J27">
            <v>-77481.758918388994</v>
          </cell>
          <cell r="K27">
            <v>110739.45169078078</v>
          </cell>
          <cell r="L27">
            <v>35174.563390523035</v>
          </cell>
          <cell r="M27">
            <v>-26238.744225824317</v>
          </cell>
          <cell r="N27">
            <v>-37356.382371429681</v>
          </cell>
          <cell r="O27">
            <v>53819.940174563329</v>
          </cell>
          <cell r="P27">
            <v>146052.02842844324</v>
          </cell>
          <cell r="Q27">
            <v>147188.8546699041</v>
          </cell>
          <cell r="R27">
            <v>-89637.828187395498</v>
          </cell>
          <cell r="S27">
            <v>38115.824412090122</v>
          </cell>
          <cell r="T27">
            <v>19873.313168415487</v>
          </cell>
          <cell r="U27">
            <v>78457.973078268988</v>
          </cell>
          <cell r="V27">
            <v>-91610.089242019021</v>
          </cell>
          <cell r="W27">
            <v>968.06756755994581</v>
          </cell>
          <cell r="Z27">
            <v>643582.73669014871</v>
          </cell>
          <cell r="AA27">
            <v>43845.82</v>
          </cell>
          <cell r="AB27">
            <v>-535.40499999999997</v>
          </cell>
          <cell r="AC27">
            <v>9034.8339999999989</v>
          </cell>
          <cell r="AD27">
            <v>19620.103999999999</v>
          </cell>
          <cell r="AH27">
            <v>71965.353000000003</v>
          </cell>
          <cell r="AI27">
            <v>715548.08969014871</v>
          </cell>
          <cell r="AJ27">
            <v>33694.012542892335</v>
          </cell>
          <cell r="AK27">
            <v>37250.62251800068</v>
          </cell>
          <cell r="AL27">
            <v>8234.7302499999641</v>
          </cell>
          <cell r="AN27">
            <v>79179.365310892987</v>
          </cell>
          <cell r="AO27">
            <v>41844.678999999378</v>
          </cell>
          <cell r="AP27">
            <v>-855.83600000000001</v>
          </cell>
          <cell r="AS27">
            <v>40988.842999999375</v>
          </cell>
          <cell r="AT27">
            <v>3819.2120000000004</v>
          </cell>
          <cell r="AU27">
            <v>-3208.2660000000005</v>
          </cell>
          <cell r="AV27">
            <v>61282.758999999998</v>
          </cell>
          <cell r="BA27">
            <v>61893.705000000002</v>
          </cell>
          <cell r="BB27">
            <v>0</v>
          </cell>
          <cell r="BC27">
            <v>-13627.877</v>
          </cell>
          <cell r="BD27">
            <v>0</v>
          </cell>
          <cell r="BE27">
            <v>310726.527</v>
          </cell>
          <cell r="BF27">
            <v>-35452.237000000001</v>
          </cell>
          <cell r="BJ27">
            <v>261646.41300000003</v>
          </cell>
        </row>
        <row r="28">
          <cell r="F28">
            <v>-7.2177499532699585E-9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-6.2527760746888816E-12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-4.7730281949043274E-9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0</v>
          </cell>
          <cell r="AP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J28">
            <v>0</v>
          </cell>
        </row>
        <row r="31">
          <cell r="G31">
            <v>37712</v>
          </cell>
          <cell r="H31">
            <v>23500</v>
          </cell>
          <cell r="I31">
            <v>18470</v>
          </cell>
          <cell r="J31">
            <v>5877</v>
          </cell>
          <cell r="K31">
            <v>16650</v>
          </cell>
          <cell r="L31">
            <v>16841</v>
          </cell>
          <cell r="M31">
            <v>8639</v>
          </cell>
          <cell r="N31">
            <v>14978</v>
          </cell>
          <cell r="O31">
            <v>9558</v>
          </cell>
          <cell r="P31">
            <v>15453</v>
          </cell>
          <cell r="Q31">
            <v>13997</v>
          </cell>
          <cell r="R31">
            <v>4788.5</v>
          </cell>
          <cell r="S31">
            <v>17471</v>
          </cell>
          <cell r="T31">
            <v>3406.5</v>
          </cell>
          <cell r="U31">
            <v>5554</v>
          </cell>
          <cell r="V31">
            <v>2263</v>
          </cell>
          <cell r="W31">
            <v>2398.5</v>
          </cell>
          <cell r="X31">
            <v>0</v>
          </cell>
          <cell r="Y31">
            <v>0</v>
          </cell>
          <cell r="Z31">
            <v>217556.5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217556.5</v>
          </cell>
          <cell r="AJ31">
            <v>18623</v>
          </cell>
          <cell r="AK31">
            <v>23046</v>
          </cell>
          <cell r="AL31">
            <v>23603</v>
          </cell>
          <cell r="AN31">
            <v>65272</v>
          </cell>
          <cell r="AO31">
            <v>6645.402</v>
          </cell>
          <cell r="AP31">
            <v>0</v>
          </cell>
          <cell r="AS31">
            <v>6645.402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J31">
            <v>0</v>
          </cell>
        </row>
        <row r="32">
          <cell r="F32">
            <v>30448812.223999996</v>
          </cell>
          <cell r="G32">
            <v>3774208</v>
          </cell>
          <cell r="H32">
            <v>2356758.5210000002</v>
          </cell>
          <cell r="I32">
            <v>1919294.9169999999</v>
          </cell>
          <cell r="J32">
            <v>570041.39099999995</v>
          </cell>
          <cell r="K32">
            <v>1875643.9</v>
          </cell>
          <cell r="L32">
            <v>1729334.32</v>
          </cell>
          <cell r="M32">
            <v>890185.7</v>
          </cell>
          <cell r="N32">
            <v>1493437.4</v>
          </cell>
          <cell r="O32">
            <v>924586.43</v>
          </cell>
          <cell r="P32">
            <v>1538533.2</v>
          </cell>
          <cell r="Q32">
            <v>1431989.7</v>
          </cell>
          <cell r="R32">
            <v>487720.15</v>
          </cell>
          <cell r="S32">
            <v>1754061.155</v>
          </cell>
          <cell r="T32">
            <v>364364.7</v>
          </cell>
          <cell r="U32">
            <v>576858.68000000005</v>
          </cell>
          <cell r="V32">
            <v>226082</v>
          </cell>
          <cell r="W32">
            <v>308442.42599999998</v>
          </cell>
          <cell r="X32">
            <v>0</v>
          </cell>
          <cell r="Y32">
            <v>0</v>
          </cell>
          <cell r="Z32">
            <v>22221542.589999996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H32">
            <v>90840</v>
          </cell>
          <cell r="AI32">
            <v>22312382.589999996</v>
          </cell>
          <cell r="AJ32">
            <v>535572</v>
          </cell>
          <cell r="AK32">
            <v>318718</v>
          </cell>
          <cell r="AL32">
            <v>442796.5</v>
          </cell>
          <cell r="AN32">
            <v>1297086.5</v>
          </cell>
          <cell r="AO32">
            <v>6765657.9749999996</v>
          </cell>
          <cell r="AP32">
            <v>0</v>
          </cell>
          <cell r="AS32">
            <v>6765657.9749999996</v>
          </cell>
          <cell r="AT32">
            <v>5250</v>
          </cell>
          <cell r="AU32">
            <v>5450</v>
          </cell>
          <cell r="AV32">
            <v>61282.758999999998</v>
          </cell>
          <cell r="BA32">
            <v>71982.758999999991</v>
          </cell>
          <cell r="BB32">
            <v>0</v>
          </cell>
          <cell r="BC32">
            <v>1702.4</v>
          </cell>
          <cell r="BD32">
            <v>0</v>
          </cell>
          <cell r="BE32">
            <v>0</v>
          </cell>
          <cell r="BF32">
            <v>0</v>
          </cell>
          <cell r="BJ32">
            <v>1702.4</v>
          </cell>
        </row>
        <row r="33">
          <cell r="F33">
            <v>27655245.963999998</v>
          </cell>
          <cell r="G33">
            <v>3251170.5619999999</v>
          </cell>
          <cell r="H33">
            <v>2156491.2689999999</v>
          </cell>
          <cell r="I33">
            <v>1743460.6169999999</v>
          </cell>
          <cell r="J33">
            <v>585831.33100000001</v>
          </cell>
          <cell r="K33">
            <v>1627193.8759999999</v>
          </cell>
          <cell r="L33">
            <v>1558757.6839999999</v>
          </cell>
          <cell r="M33">
            <v>831407.96500000008</v>
          </cell>
          <cell r="N33">
            <v>1410424.2070000002</v>
          </cell>
          <cell r="O33">
            <v>799276.13399999996</v>
          </cell>
          <cell r="P33">
            <v>1273383.084</v>
          </cell>
          <cell r="Q33">
            <v>1173772.9890000001</v>
          </cell>
          <cell r="R33">
            <v>525330.48899999994</v>
          </cell>
          <cell r="S33">
            <v>1590859.176</v>
          </cell>
          <cell r="T33">
            <v>316874.49300000002</v>
          </cell>
          <cell r="U33">
            <v>460416.78499999997</v>
          </cell>
          <cell r="V33">
            <v>279789.69700000004</v>
          </cell>
          <cell r="W33">
            <v>278224.05099999998</v>
          </cell>
          <cell r="X33">
            <v>0</v>
          </cell>
          <cell r="Y33">
            <v>0</v>
          </cell>
          <cell r="Z33">
            <v>19862664.408999998</v>
          </cell>
          <cell r="AA33">
            <v>6154.18</v>
          </cell>
          <cell r="AB33">
            <v>0</v>
          </cell>
          <cell r="AC33">
            <v>3465.1660000000002</v>
          </cell>
          <cell r="AD33">
            <v>8719.8960000000006</v>
          </cell>
          <cell r="AH33">
            <v>18339.242000000002</v>
          </cell>
          <cell r="AI33">
            <v>19881003.650999997</v>
          </cell>
          <cell r="AJ33">
            <v>482477.60398999997</v>
          </cell>
          <cell r="AK33">
            <v>270195.98700999998</v>
          </cell>
          <cell r="AL33">
            <v>418902.37100000004</v>
          </cell>
          <cell r="AN33">
            <v>1171575.9620000001</v>
          </cell>
          <cell r="AO33">
            <v>6592577.2970000003</v>
          </cell>
          <cell r="AP33">
            <v>0</v>
          </cell>
          <cell r="AS33">
            <v>6592577.2970000003</v>
          </cell>
          <cell r="AT33">
            <v>1430.788</v>
          </cell>
          <cell r="AU33">
            <v>8658.2659999999996</v>
          </cell>
          <cell r="AV33">
            <v>0</v>
          </cell>
          <cell r="BA33">
            <v>10089.054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J33">
            <v>0</v>
          </cell>
        </row>
        <row r="34">
          <cell r="F34">
            <v>2793566.2599999979</v>
          </cell>
          <cell r="G34">
            <v>523037.43800000008</v>
          </cell>
          <cell r="H34">
            <v>200267.25200000033</v>
          </cell>
          <cell r="I34">
            <v>175834.30000000005</v>
          </cell>
          <cell r="J34">
            <v>-15789.940000000061</v>
          </cell>
          <cell r="K34">
            <v>248450.02399999998</v>
          </cell>
          <cell r="L34">
            <v>170576.63600000017</v>
          </cell>
          <cell r="M34">
            <v>58777.73499999987</v>
          </cell>
          <cell r="N34">
            <v>83013.192999999737</v>
          </cell>
          <cell r="O34">
            <v>125310.29600000009</v>
          </cell>
          <cell r="P34">
            <v>265150.11599999992</v>
          </cell>
          <cell r="Q34">
            <v>258216.71099999989</v>
          </cell>
          <cell r="R34">
            <v>-37610.33899999992</v>
          </cell>
          <cell r="S34">
            <v>163201.97900000005</v>
          </cell>
          <cell r="T34">
            <v>47490.206999999995</v>
          </cell>
          <cell r="U34">
            <v>116441.89500000008</v>
          </cell>
          <cell r="V34">
            <v>-53707.697000000044</v>
          </cell>
          <cell r="W34">
            <v>30218.375</v>
          </cell>
          <cell r="X34">
            <v>0</v>
          </cell>
          <cell r="Y34">
            <v>0</v>
          </cell>
          <cell r="Z34">
            <v>2358878.180999998</v>
          </cell>
          <cell r="AA34">
            <v>43845.82</v>
          </cell>
          <cell r="AB34">
            <v>0</v>
          </cell>
          <cell r="AC34">
            <v>9034.8339999999989</v>
          </cell>
          <cell r="AD34">
            <v>19620.103999999999</v>
          </cell>
          <cell r="AH34">
            <v>72500.758000000002</v>
          </cell>
          <cell r="AI34">
            <v>2431378.9389999993</v>
          </cell>
          <cell r="AJ34">
            <v>53094.396010000026</v>
          </cell>
          <cell r="AK34">
            <v>48522.012990000017</v>
          </cell>
          <cell r="AL34">
            <v>23894.128999999957</v>
          </cell>
          <cell r="AN34">
            <v>125510.53799999994</v>
          </cell>
          <cell r="AO34">
            <v>173080.67799999937</v>
          </cell>
          <cell r="AP34">
            <v>0</v>
          </cell>
          <cell r="AS34">
            <v>173080.67799999937</v>
          </cell>
          <cell r="AT34">
            <v>3819.212</v>
          </cell>
          <cell r="AU34">
            <v>-3208.2659999999996</v>
          </cell>
          <cell r="AV34">
            <v>61282.758999999998</v>
          </cell>
          <cell r="BA34">
            <v>61893.704999999987</v>
          </cell>
          <cell r="BB34">
            <v>0</v>
          </cell>
          <cell r="BC34">
            <v>1702.4</v>
          </cell>
          <cell r="BD34">
            <v>0</v>
          </cell>
          <cell r="BE34">
            <v>0</v>
          </cell>
          <cell r="BF34">
            <v>0</v>
          </cell>
          <cell r="BJ34">
            <v>1702.4</v>
          </cell>
        </row>
        <row r="35">
          <cell r="F35">
            <v>1634309.8439989581</v>
          </cell>
          <cell r="G35">
            <v>249575.17410572025</v>
          </cell>
          <cell r="H35">
            <v>173361.32070503512</v>
          </cell>
          <cell r="I35">
            <v>140684.97213458753</v>
          </cell>
          <cell r="J35">
            <v>61691.818918388919</v>
          </cell>
          <cell r="K35">
            <v>137710.57230921916</v>
          </cell>
          <cell r="L35">
            <v>135402.07260947704</v>
          </cell>
          <cell r="M35">
            <v>85016.479225824252</v>
          </cell>
          <cell r="N35">
            <v>120369.57537142932</v>
          </cell>
          <cell r="O35">
            <v>71490.355825436796</v>
          </cell>
          <cell r="P35">
            <v>119098.08757155671</v>
          </cell>
          <cell r="Q35">
            <v>111027.85633009586</v>
          </cell>
          <cell r="R35">
            <v>52027.489187395549</v>
          </cell>
          <cell r="S35">
            <v>125086.15458790996</v>
          </cell>
          <cell r="T35">
            <v>27616.893831584493</v>
          </cell>
          <cell r="U35">
            <v>37983.921921731089</v>
          </cell>
          <cell r="V35">
            <v>37902.392242019014</v>
          </cell>
          <cell r="W35">
            <v>29250.307432440037</v>
          </cell>
          <cell r="X35">
            <v>0</v>
          </cell>
          <cell r="Y35">
            <v>0</v>
          </cell>
          <cell r="Z35">
            <v>1715295.4443098512</v>
          </cell>
          <cell r="AA35">
            <v>0</v>
          </cell>
          <cell r="AB35">
            <v>535.40499999999997</v>
          </cell>
          <cell r="AC35">
            <v>0</v>
          </cell>
          <cell r="AD35">
            <v>0</v>
          </cell>
          <cell r="AH35">
            <v>535.40499999999997</v>
          </cell>
          <cell r="AI35">
            <v>1715830.8493098512</v>
          </cell>
          <cell r="AJ35">
            <v>19400.383467107669</v>
          </cell>
          <cell r="AK35">
            <v>11271.390471999326</v>
          </cell>
          <cell r="AL35">
            <v>15659.39875</v>
          </cell>
          <cell r="AN35">
            <v>46331.172689106999</v>
          </cell>
          <cell r="AO35">
            <v>131235.99900000001</v>
          </cell>
          <cell r="AP35">
            <v>855.83600000000001</v>
          </cell>
          <cell r="AS35">
            <v>132091.83500000002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15330.277</v>
          </cell>
          <cell r="BD35">
            <v>0</v>
          </cell>
          <cell r="BE35">
            <v>-310726.527</v>
          </cell>
          <cell r="BF35">
            <v>35452.237000000001</v>
          </cell>
          <cell r="BJ35">
            <v>-259944.01300000001</v>
          </cell>
        </row>
        <row r="36">
          <cell r="F36">
            <v>1159256.4160010398</v>
          </cell>
          <cell r="G36">
            <v>273462.26389427984</v>
          </cell>
          <cell r="H36">
            <v>26905.931294965209</v>
          </cell>
          <cell r="I36">
            <v>35149.327865412517</v>
          </cell>
          <cell r="J36">
            <v>-77481.75891838898</v>
          </cell>
          <cell r="K36">
            <v>110739.45169078081</v>
          </cell>
          <cell r="L36">
            <v>35174.563390523137</v>
          </cell>
          <cell r="M36">
            <v>-26238.744225824383</v>
          </cell>
          <cell r="N36">
            <v>-37356.382371429587</v>
          </cell>
          <cell r="O36">
            <v>53819.940174563293</v>
          </cell>
          <cell r="P36">
            <v>146052.02842844321</v>
          </cell>
          <cell r="Q36">
            <v>147188.85466990405</v>
          </cell>
          <cell r="R36">
            <v>-89637.828187395469</v>
          </cell>
          <cell r="S36">
            <v>38115.824412090093</v>
          </cell>
          <cell r="T36">
            <v>19873.313168415501</v>
          </cell>
          <cell r="U36">
            <v>78457.973078268988</v>
          </cell>
          <cell r="V36">
            <v>-91610.08924201905</v>
          </cell>
          <cell r="W36">
            <v>968.06756755996321</v>
          </cell>
          <cell r="X36">
            <v>0</v>
          </cell>
          <cell r="Y36">
            <v>0</v>
          </cell>
          <cell r="Z36">
            <v>643582.73669014685</v>
          </cell>
          <cell r="AA36">
            <v>43845.82</v>
          </cell>
          <cell r="AB36">
            <v>-535.40499999999997</v>
          </cell>
          <cell r="AC36">
            <v>9034.8339999999989</v>
          </cell>
          <cell r="AD36">
            <v>19620.103999999999</v>
          </cell>
          <cell r="AH36">
            <v>71965.353000000003</v>
          </cell>
          <cell r="AI36">
            <v>715548.08969014813</v>
          </cell>
          <cell r="AJ36">
            <v>33694.012542892357</v>
          </cell>
          <cell r="AK36">
            <v>37250.622518000688</v>
          </cell>
          <cell r="AL36">
            <v>8234.7302499999569</v>
          </cell>
          <cell r="AN36">
            <v>79179.365310892943</v>
          </cell>
          <cell r="AO36">
            <v>41844.678999999363</v>
          </cell>
          <cell r="AP36">
            <v>-855.83600000000001</v>
          </cell>
          <cell r="AS36">
            <v>40988.842999999353</v>
          </cell>
          <cell r="AT36">
            <v>3819.212</v>
          </cell>
          <cell r="AU36">
            <v>-3208.2659999999996</v>
          </cell>
          <cell r="AV36">
            <v>61282.758999999998</v>
          </cell>
          <cell r="BA36">
            <v>61893.704999999987</v>
          </cell>
          <cell r="BB36">
            <v>0</v>
          </cell>
          <cell r="BC36">
            <v>-13627.877</v>
          </cell>
          <cell r="BD36">
            <v>0</v>
          </cell>
          <cell r="BE36">
            <v>310726.527</v>
          </cell>
          <cell r="BF36">
            <v>-35452.237000000001</v>
          </cell>
          <cell r="BJ36">
            <v>261646.413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-11761</v>
          </cell>
          <cell r="AK38">
            <v>-12262</v>
          </cell>
          <cell r="AL38">
            <v>-17699</v>
          </cell>
          <cell r="AN38">
            <v>-41722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-891722.5</v>
          </cell>
          <cell r="Z39">
            <v>0</v>
          </cell>
          <cell r="AH39">
            <v>0</v>
          </cell>
          <cell r="AI39">
            <v>0</v>
          </cell>
          <cell r="AJ39">
            <v>-341512</v>
          </cell>
          <cell r="AK39">
            <v>-196742</v>
          </cell>
          <cell r="AL39">
            <v>-353468.5</v>
          </cell>
          <cell r="AN39">
            <v>-891722.5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-891722.5</v>
          </cell>
          <cell r="K40">
            <v>-54081.855000000003</v>
          </cell>
          <cell r="L40">
            <v>-61166.57</v>
          </cell>
          <cell r="M40">
            <v>-1704.7660000000001</v>
          </cell>
          <cell r="N40">
            <v>-4677.9549999999999</v>
          </cell>
          <cell r="O40">
            <v>-1935.239</v>
          </cell>
          <cell r="P40">
            <v>0</v>
          </cell>
          <cell r="Z40">
            <v>-123566.38500000001</v>
          </cell>
          <cell r="AH40">
            <v>0</v>
          </cell>
          <cell r="AI40">
            <v>-123566.38500000001</v>
          </cell>
          <cell r="AJ40">
            <v>-304695.875</v>
          </cell>
          <cell r="AK40">
            <v>-149421.46599999999</v>
          </cell>
          <cell r="AL40">
            <v>-314038.77399999998</v>
          </cell>
          <cell r="AN40">
            <v>-768156.11499999999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54081.855000000003</v>
          </cell>
          <cell r="L41">
            <v>61166.57</v>
          </cell>
          <cell r="M41">
            <v>1704.7660000000001</v>
          </cell>
          <cell r="N41">
            <v>4677.9549999999999</v>
          </cell>
          <cell r="O41">
            <v>1935.239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123566.38500000001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123566.38500000001</v>
          </cell>
          <cell r="AJ41">
            <v>-36816.125</v>
          </cell>
          <cell r="AK41">
            <v>-47320.534000000014</v>
          </cell>
          <cell r="AL41">
            <v>-39429.726000000024</v>
          </cell>
          <cell r="AN41">
            <v>-123566.38500000001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54081.855000000003</v>
          </cell>
          <cell r="L43">
            <v>61166.57</v>
          </cell>
          <cell r="M43">
            <v>1704.7660000000001</v>
          </cell>
          <cell r="N43">
            <v>4677.9549999999999</v>
          </cell>
          <cell r="O43">
            <v>1935.239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123566.38500000001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123566.38500000001</v>
          </cell>
          <cell r="AJ43">
            <v>-36816.125</v>
          </cell>
          <cell r="AK43">
            <v>-47320.534000000014</v>
          </cell>
          <cell r="AL43">
            <v>-39429.726000000024</v>
          </cell>
          <cell r="AN43">
            <v>-123566.38500000001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J43">
            <v>0</v>
          </cell>
        </row>
        <row r="45">
          <cell r="G45">
            <v>37712</v>
          </cell>
          <cell r="H45">
            <v>23500</v>
          </cell>
          <cell r="I45">
            <v>18470</v>
          </cell>
          <cell r="J45">
            <v>5877</v>
          </cell>
          <cell r="K45">
            <v>16650</v>
          </cell>
          <cell r="L45">
            <v>16841</v>
          </cell>
          <cell r="M45">
            <v>8639</v>
          </cell>
          <cell r="N45">
            <v>14978</v>
          </cell>
          <cell r="O45">
            <v>9558</v>
          </cell>
          <cell r="P45">
            <v>15453</v>
          </cell>
          <cell r="Q45">
            <v>13997</v>
          </cell>
          <cell r="R45">
            <v>4788.5</v>
          </cell>
          <cell r="S45">
            <v>17471</v>
          </cell>
          <cell r="T45">
            <v>3406.5</v>
          </cell>
          <cell r="U45">
            <v>5554</v>
          </cell>
          <cell r="V45">
            <v>2263</v>
          </cell>
          <cell r="W45">
            <v>2398.5</v>
          </cell>
          <cell r="X45">
            <v>0</v>
          </cell>
          <cell r="Y45">
            <v>0</v>
          </cell>
          <cell r="Z45">
            <v>217556.5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217556.5</v>
          </cell>
          <cell r="AJ45">
            <v>6862</v>
          </cell>
          <cell r="AK45">
            <v>10784</v>
          </cell>
          <cell r="AL45">
            <v>5904</v>
          </cell>
          <cell r="AN45">
            <v>23550</v>
          </cell>
          <cell r="AO45">
            <v>6645.402</v>
          </cell>
          <cell r="AP45">
            <v>0</v>
          </cell>
          <cell r="AS45">
            <v>6645.402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J45">
            <v>0</v>
          </cell>
        </row>
        <row r="46">
          <cell r="F46">
            <v>29557089.723999996</v>
          </cell>
          <cell r="G46">
            <v>3774208</v>
          </cell>
          <cell r="H46">
            <v>2356758.5210000002</v>
          </cell>
          <cell r="I46">
            <v>1919294.9169999999</v>
          </cell>
          <cell r="J46">
            <v>570041.39099999995</v>
          </cell>
          <cell r="K46">
            <v>1875643.9</v>
          </cell>
          <cell r="L46">
            <v>1729334.32</v>
          </cell>
          <cell r="M46">
            <v>890185.7</v>
          </cell>
          <cell r="N46">
            <v>1493437.4</v>
          </cell>
          <cell r="O46">
            <v>924586.43</v>
          </cell>
          <cell r="P46">
            <v>1538533.2</v>
          </cell>
          <cell r="Q46">
            <v>1431989.7</v>
          </cell>
          <cell r="R46">
            <v>487720.15</v>
          </cell>
          <cell r="S46">
            <v>1754061.155</v>
          </cell>
          <cell r="T46">
            <v>364364.7</v>
          </cell>
          <cell r="U46">
            <v>576858.68000000005</v>
          </cell>
          <cell r="V46">
            <v>226082</v>
          </cell>
          <cell r="W46">
            <v>308442.42599999998</v>
          </cell>
          <cell r="X46">
            <v>0</v>
          </cell>
          <cell r="Y46">
            <v>0</v>
          </cell>
          <cell r="Z46">
            <v>22221542.589999996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H46">
            <v>90840</v>
          </cell>
          <cell r="AI46">
            <v>22312382.589999996</v>
          </cell>
          <cell r="AJ46">
            <v>194060</v>
          </cell>
          <cell r="AK46">
            <v>121976</v>
          </cell>
          <cell r="AL46">
            <v>89328</v>
          </cell>
          <cell r="AN46">
            <v>405364</v>
          </cell>
          <cell r="AO46">
            <v>6765657.9749999996</v>
          </cell>
          <cell r="AP46">
            <v>0</v>
          </cell>
          <cell r="AS46">
            <v>6765657.9749999996</v>
          </cell>
          <cell r="AT46">
            <v>5250</v>
          </cell>
          <cell r="AU46">
            <v>5450</v>
          </cell>
          <cell r="AV46">
            <v>61282.758999999998</v>
          </cell>
          <cell r="BA46">
            <v>71982.758999999991</v>
          </cell>
          <cell r="BB46">
            <v>0</v>
          </cell>
          <cell r="BC46">
            <v>1702.4</v>
          </cell>
          <cell r="BD46">
            <v>0</v>
          </cell>
          <cell r="BE46">
            <v>0</v>
          </cell>
          <cell r="BF46">
            <v>0</v>
          </cell>
          <cell r="BJ46">
            <v>1702.4</v>
          </cell>
        </row>
        <row r="47">
          <cell r="F47">
            <v>26763523.463999998</v>
          </cell>
          <cell r="G47">
            <v>3251170.5619999999</v>
          </cell>
          <cell r="H47">
            <v>2156491.2689999999</v>
          </cell>
          <cell r="I47">
            <v>1743460.6169999999</v>
          </cell>
          <cell r="J47">
            <v>585831.33100000001</v>
          </cell>
          <cell r="K47">
            <v>1573112.0209999999</v>
          </cell>
          <cell r="L47">
            <v>1497591.1139999998</v>
          </cell>
          <cell r="M47">
            <v>829703.19900000014</v>
          </cell>
          <cell r="N47">
            <v>1405746.2520000001</v>
          </cell>
          <cell r="O47">
            <v>797340.89500000002</v>
          </cell>
          <cell r="P47">
            <v>1273383.084</v>
          </cell>
          <cell r="Q47">
            <v>1173772.9890000001</v>
          </cell>
          <cell r="R47">
            <v>525330.48899999994</v>
          </cell>
          <cell r="S47">
            <v>1590859.176</v>
          </cell>
          <cell r="T47">
            <v>316874.49300000002</v>
          </cell>
          <cell r="U47">
            <v>460416.78499999997</v>
          </cell>
          <cell r="V47">
            <v>279789.69700000004</v>
          </cell>
          <cell r="W47">
            <v>278224.05099999998</v>
          </cell>
          <cell r="X47">
            <v>0</v>
          </cell>
          <cell r="Y47">
            <v>0</v>
          </cell>
          <cell r="Z47">
            <v>19739098.024</v>
          </cell>
          <cell r="AA47">
            <v>6154.18</v>
          </cell>
          <cell r="AB47">
            <v>0</v>
          </cell>
          <cell r="AC47">
            <v>3465.1660000000002</v>
          </cell>
          <cell r="AD47">
            <v>8719.8960000000006</v>
          </cell>
          <cell r="AH47">
            <v>18339.242000000002</v>
          </cell>
          <cell r="AI47">
            <v>19757437.265999999</v>
          </cell>
          <cell r="AJ47">
            <v>177781.72898999997</v>
          </cell>
          <cell r="AK47">
            <v>120774.52101</v>
          </cell>
          <cell r="AL47">
            <v>104863.59700000007</v>
          </cell>
          <cell r="AN47">
            <v>403419.84700000007</v>
          </cell>
          <cell r="AO47">
            <v>6592577.2970000003</v>
          </cell>
          <cell r="AP47">
            <v>0</v>
          </cell>
          <cell r="AS47">
            <v>6592577.2970000003</v>
          </cell>
          <cell r="AT47">
            <v>1430.788</v>
          </cell>
          <cell r="AU47">
            <v>8658.2659999999996</v>
          </cell>
          <cell r="AV47">
            <v>0</v>
          </cell>
          <cell r="BA47">
            <v>10089.054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J47">
            <v>0</v>
          </cell>
        </row>
        <row r="48">
          <cell r="F48">
            <v>2793566.2599999979</v>
          </cell>
          <cell r="G48">
            <v>523037.43800000008</v>
          </cell>
          <cell r="H48">
            <v>200267.25200000033</v>
          </cell>
          <cell r="I48">
            <v>175834.30000000005</v>
          </cell>
          <cell r="J48">
            <v>-15789.940000000061</v>
          </cell>
          <cell r="K48">
            <v>302531.87899999996</v>
          </cell>
          <cell r="L48">
            <v>231743.20600000024</v>
          </cell>
          <cell r="M48">
            <v>60482.500999999815</v>
          </cell>
          <cell r="N48">
            <v>87691.147999999812</v>
          </cell>
          <cell r="O48">
            <v>127245.53500000003</v>
          </cell>
          <cell r="P48">
            <v>265150.11599999992</v>
          </cell>
          <cell r="Q48">
            <v>258216.71099999989</v>
          </cell>
          <cell r="R48">
            <v>-37610.33899999992</v>
          </cell>
          <cell r="S48">
            <v>163201.97900000005</v>
          </cell>
          <cell r="T48">
            <v>47490.206999999995</v>
          </cell>
          <cell r="U48">
            <v>116441.89500000008</v>
          </cell>
          <cell r="V48">
            <v>-53707.697000000044</v>
          </cell>
          <cell r="W48">
            <v>30218.375</v>
          </cell>
          <cell r="X48">
            <v>0</v>
          </cell>
          <cell r="Y48">
            <v>0</v>
          </cell>
          <cell r="Z48">
            <v>2482444.5659999959</v>
          </cell>
          <cell r="AA48">
            <v>43845.82</v>
          </cell>
          <cell r="AB48">
            <v>0</v>
          </cell>
          <cell r="AC48">
            <v>9034.8339999999989</v>
          </cell>
          <cell r="AD48">
            <v>19620.103999999999</v>
          </cell>
          <cell r="AH48">
            <v>72500.758000000002</v>
          </cell>
          <cell r="AI48">
            <v>2554945.3239999972</v>
          </cell>
          <cell r="AJ48">
            <v>16278.271010000026</v>
          </cell>
          <cell r="AK48">
            <v>1201.4789900000033</v>
          </cell>
          <cell r="AL48">
            <v>-15535.597000000067</v>
          </cell>
          <cell r="AN48">
            <v>1944.1529999999329</v>
          </cell>
          <cell r="AO48">
            <v>173080.67799999937</v>
          </cell>
          <cell r="AP48">
            <v>0</v>
          </cell>
          <cell r="AS48">
            <v>173080.67799999937</v>
          </cell>
          <cell r="AT48">
            <v>3819.212</v>
          </cell>
          <cell r="AU48">
            <v>-3208.2659999999996</v>
          </cell>
          <cell r="AV48">
            <v>61282.758999999998</v>
          </cell>
          <cell r="BA48">
            <v>61893.704999999987</v>
          </cell>
          <cell r="BB48">
            <v>0</v>
          </cell>
          <cell r="BC48">
            <v>1702.4</v>
          </cell>
          <cell r="BD48">
            <v>0</v>
          </cell>
          <cell r="BE48">
            <v>0</v>
          </cell>
          <cell r="BF48">
            <v>0</v>
          </cell>
          <cell r="BJ48">
            <v>1702.4</v>
          </cell>
        </row>
        <row r="49">
          <cell r="F49">
            <v>1634309.8439989581</v>
          </cell>
          <cell r="G49">
            <v>249575.17410572025</v>
          </cell>
          <cell r="H49">
            <v>173361.32070503512</v>
          </cell>
          <cell r="I49">
            <v>140684.97213458753</v>
          </cell>
          <cell r="J49">
            <v>61691.818918388919</v>
          </cell>
          <cell r="K49">
            <v>137710.57230921916</v>
          </cell>
          <cell r="L49">
            <v>135402.07260947704</v>
          </cell>
          <cell r="M49">
            <v>85016.479225824252</v>
          </cell>
          <cell r="N49">
            <v>120369.57537142932</v>
          </cell>
          <cell r="O49">
            <v>71490.355825436796</v>
          </cell>
          <cell r="P49">
            <v>119098.08757155671</v>
          </cell>
          <cell r="Q49">
            <v>111027.85633009586</v>
          </cell>
          <cell r="R49">
            <v>52027.489187395549</v>
          </cell>
          <cell r="S49">
            <v>125086.15458790996</v>
          </cell>
          <cell r="T49">
            <v>27616.893831584493</v>
          </cell>
          <cell r="U49">
            <v>37983.921921731089</v>
          </cell>
          <cell r="V49">
            <v>37902.392242019014</v>
          </cell>
          <cell r="W49">
            <v>29250.307432440037</v>
          </cell>
          <cell r="X49">
            <v>0</v>
          </cell>
          <cell r="Y49">
            <v>0</v>
          </cell>
          <cell r="Z49">
            <v>1715295.4443098512</v>
          </cell>
          <cell r="AA49">
            <v>0</v>
          </cell>
          <cell r="AB49">
            <v>535.40499999999997</v>
          </cell>
          <cell r="AC49">
            <v>0</v>
          </cell>
          <cell r="AD49">
            <v>0</v>
          </cell>
          <cell r="AH49">
            <v>535.40499999999997</v>
          </cell>
          <cell r="AI49">
            <v>1715830.8493098512</v>
          </cell>
          <cell r="AJ49">
            <v>19400.383467107669</v>
          </cell>
          <cell r="AK49">
            <v>11271.390471999326</v>
          </cell>
          <cell r="AL49">
            <v>15659.39875</v>
          </cell>
          <cell r="AN49">
            <v>46331.172689106999</v>
          </cell>
          <cell r="AO49">
            <v>131235.99900000001</v>
          </cell>
          <cell r="AP49">
            <v>855.83600000000001</v>
          </cell>
          <cell r="AS49">
            <v>132091.83500000002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15330.277</v>
          </cell>
          <cell r="BD49">
            <v>0</v>
          </cell>
          <cell r="BE49">
            <v>-310726.527</v>
          </cell>
          <cell r="BF49">
            <v>35452.237000000001</v>
          </cell>
          <cell r="BJ49">
            <v>-259944.01300000001</v>
          </cell>
        </row>
        <row r="50">
          <cell r="F50">
            <v>1159256.4160010398</v>
          </cell>
          <cell r="G50">
            <v>273462.26389427984</v>
          </cell>
          <cell r="H50">
            <v>26905.931294965209</v>
          </cell>
          <cell r="I50">
            <v>35149.327865412517</v>
          </cell>
          <cell r="J50">
            <v>-77481.75891838898</v>
          </cell>
          <cell r="K50">
            <v>164821.3066907808</v>
          </cell>
          <cell r="L50">
            <v>96341.133390523202</v>
          </cell>
          <cell r="M50">
            <v>-24533.978225824438</v>
          </cell>
          <cell r="N50">
            <v>-32678.427371429512</v>
          </cell>
          <cell r="O50">
            <v>55755.179174563236</v>
          </cell>
          <cell r="P50">
            <v>146052.02842844321</v>
          </cell>
          <cell r="Q50">
            <v>147188.85466990405</v>
          </cell>
          <cell r="R50">
            <v>-89637.828187395469</v>
          </cell>
          <cell r="S50">
            <v>38115.824412090093</v>
          </cell>
          <cell r="T50">
            <v>19873.313168415501</v>
          </cell>
          <cell r="U50">
            <v>78457.973078268988</v>
          </cell>
          <cell r="V50">
            <v>-91610.08924201905</v>
          </cell>
          <cell r="W50">
            <v>968.06756755996321</v>
          </cell>
          <cell r="X50">
            <v>0</v>
          </cell>
          <cell r="Y50">
            <v>0</v>
          </cell>
          <cell r="Z50">
            <v>767149.12169014476</v>
          </cell>
          <cell r="AA50">
            <v>43845.82</v>
          </cell>
          <cell r="AB50">
            <v>-535.40499999999997</v>
          </cell>
          <cell r="AC50">
            <v>9034.8339999999989</v>
          </cell>
          <cell r="AD50">
            <v>19620.103999999999</v>
          </cell>
          <cell r="AH50">
            <v>71965.353000000003</v>
          </cell>
          <cell r="AI50">
            <v>839114.47469014605</v>
          </cell>
          <cell r="AJ50">
            <v>-3122.1124571076434</v>
          </cell>
          <cell r="AK50">
            <v>-10069.911481999323</v>
          </cell>
          <cell r="AL50">
            <v>-31194.995750000067</v>
          </cell>
          <cell r="AN50">
            <v>-44387.019689107066</v>
          </cell>
          <cell r="AO50">
            <v>41844.678999999363</v>
          </cell>
          <cell r="AP50">
            <v>-855.83600000000001</v>
          </cell>
          <cell r="AS50">
            <v>40988.842999999353</v>
          </cell>
          <cell r="AT50">
            <v>3819.212</v>
          </cell>
          <cell r="AU50">
            <v>-3208.2659999999996</v>
          </cell>
          <cell r="AV50">
            <v>61282.758999999998</v>
          </cell>
          <cell r="BA50">
            <v>61893.704999999987</v>
          </cell>
          <cell r="BB50">
            <v>0</v>
          </cell>
          <cell r="BC50">
            <v>-13627.877</v>
          </cell>
          <cell r="BD50">
            <v>0</v>
          </cell>
          <cell r="BE50">
            <v>310726.527</v>
          </cell>
          <cell r="BF50">
            <v>-35452.237000000001</v>
          </cell>
          <cell r="BJ50">
            <v>261646.413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6"/>
      <sheetData sheetId="7">
        <row r="6">
          <cell r="F6" t="str">
            <v>합계</v>
          </cell>
        </row>
      </sheetData>
      <sheetData sheetId="8" refreshError="1"/>
      <sheetData sheetId="9">
        <row r="6">
          <cell r="F6" t="str">
            <v>합계</v>
          </cell>
        </row>
      </sheetData>
      <sheetData sheetId="10"/>
      <sheetData sheetId="11">
        <row r="6">
          <cell r="F6" t="str">
            <v>합계</v>
          </cell>
        </row>
      </sheetData>
      <sheetData sheetId="12"/>
      <sheetData sheetId="13">
        <row r="6">
          <cell r="F6" t="str">
            <v>합계</v>
          </cell>
        </row>
      </sheetData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하반기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  <sheetName val="2023년_항목별손익실적_한성포함"/>
    </sheetNames>
    <sheetDataSet>
      <sheetData sheetId="0"/>
      <sheetData sheetId="1"/>
      <sheetData sheetId="2"/>
      <sheetData sheetId="3"/>
      <sheetData sheetId="4">
        <row r="6">
          <cell r="F6" t="str">
            <v>합계</v>
          </cell>
        </row>
      </sheetData>
      <sheetData sheetId="5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 t="str">
            <v>포항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경포임대</v>
          </cell>
          <cell r="AW6" t="str">
            <v>기타임대</v>
          </cell>
          <cell r="AX6" t="str">
            <v>한스타워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J6" t="str">
            <v>기타 계</v>
          </cell>
        </row>
        <row r="7">
          <cell r="G7">
            <v>49587</v>
          </cell>
          <cell r="H7">
            <v>37843</v>
          </cell>
          <cell r="I7">
            <v>23424</v>
          </cell>
          <cell r="J7">
            <v>12281.5</v>
          </cell>
          <cell r="K7">
            <v>25490</v>
          </cell>
          <cell r="L7">
            <v>25042</v>
          </cell>
          <cell r="M7">
            <v>11597</v>
          </cell>
          <cell r="N7">
            <v>20163</v>
          </cell>
          <cell r="O7">
            <v>12890</v>
          </cell>
          <cell r="P7">
            <v>20134</v>
          </cell>
          <cell r="Q7">
            <v>22593.5</v>
          </cell>
          <cell r="R7">
            <v>10440</v>
          </cell>
          <cell r="S7">
            <v>27673</v>
          </cell>
          <cell r="T7">
            <v>2892</v>
          </cell>
          <cell r="U7">
            <v>6604</v>
          </cell>
          <cell r="V7">
            <v>8036.5</v>
          </cell>
          <cell r="W7">
            <v>7311</v>
          </cell>
          <cell r="Z7">
            <v>324001.5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H7">
            <v>0</v>
          </cell>
          <cell r="AI7">
            <v>324001.5</v>
          </cell>
          <cell r="AJ7">
            <v>25752</v>
          </cell>
          <cell r="AK7">
            <v>38996</v>
          </cell>
          <cell r="AL7">
            <v>0</v>
          </cell>
          <cell r="AN7">
            <v>64748</v>
          </cell>
          <cell r="AO7">
            <v>8382.34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J7">
            <v>0</v>
          </cell>
        </row>
        <row r="8">
          <cell r="F8">
            <v>41429474.701000005</v>
          </cell>
          <cell r="G8">
            <v>4494725.5559999999</v>
          </cell>
          <cell r="H8">
            <v>3426134.4019999998</v>
          </cell>
          <cell r="I8">
            <v>2064884.0850000002</v>
          </cell>
          <cell r="J8">
            <v>1048446.799</v>
          </cell>
          <cell r="K8">
            <v>2632810.5</v>
          </cell>
          <cell r="L8">
            <v>2370272.9</v>
          </cell>
          <cell r="M8">
            <v>1082233.8999999999</v>
          </cell>
          <cell r="N8">
            <v>2028122.92</v>
          </cell>
          <cell r="O8">
            <v>1213857.932</v>
          </cell>
          <cell r="P8">
            <v>1861437.9</v>
          </cell>
          <cell r="Q8">
            <v>1982200</v>
          </cell>
          <cell r="R8">
            <v>977441.6</v>
          </cell>
          <cell r="S8">
            <v>2590923.7919999999</v>
          </cell>
          <cell r="T8">
            <v>301501.09999999998</v>
          </cell>
          <cell r="U8">
            <v>605031.61300000001</v>
          </cell>
          <cell r="V8">
            <v>706973.94099999999</v>
          </cell>
          <cell r="W8">
            <v>864901.38</v>
          </cell>
          <cell r="Z8">
            <v>30251900.32</v>
          </cell>
          <cell r="AA8">
            <v>50000</v>
          </cell>
          <cell r="AB8">
            <v>0</v>
          </cell>
          <cell r="AC8">
            <v>0</v>
          </cell>
          <cell r="AD8">
            <v>28340</v>
          </cell>
          <cell r="AE8">
            <v>0</v>
          </cell>
          <cell r="AH8">
            <v>78340</v>
          </cell>
          <cell r="AI8">
            <v>30330240.32</v>
          </cell>
          <cell r="AJ8">
            <v>753905.2</v>
          </cell>
          <cell r="AK8">
            <v>460110</v>
          </cell>
          <cell r="AL8">
            <v>0</v>
          </cell>
          <cell r="AN8">
            <v>1214015.2</v>
          </cell>
          <cell r="AO8">
            <v>9789471.0040000007</v>
          </cell>
          <cell r="AP8">
            <v>0</v>
          </cell>
          <cell r="AS8">
            <v>9789471.0040000007</v>
          </cell>
          <cell r="AT8">
            <v>5000</v>
          </cell>
          <cell r="AU8">
            <v>8498</v>
          </cell>
          <cell r="AV8">
            <v>0</v>
          </cell>
          <cell r="AW8">
            <v>80563.277000000002</v>
          </cell>
          <cell r="AX8">
            <v>0</v>
          </cell>
          <cell r="BA8">
            <v>94061.277000000002</v>
          </cell>
          <cell r="BB8">
            <v>0</v>
          </cell>
          <cell r="BC8">
            <v>1686.9</v>
          </cell>
          <cell r="BD8">
            <v>0</v>
          </cell>
          <cell r="BE8">
            <v>0</v>
          </cell>
          <cell r="BF8">
            <v>0</v>
          </cell>
          <cell r="BJ8">
            <v>1686.9</v>
          </cell>
        </row>
        <row r="9">
          <cell r="G9">
            <v>90643.224151491304</v>
          </cell>
          <cell r="H9">
            <v>90535.48614010516</v>
          </cell>
          <cell r="I9">
            <v>88152.496798155757</v>
          </cell>
          <cell r="J9">
            <v>85367.976142979271</v>
          </cell>
          <cell r="K9">
            <v>103287.97567673596</v>
          </cell>
          <cell r="L9">
            <v>94651.90080664483</v>
          </cell>
          <cell r="M9">
            <v>93320.160386306801</v>
          </cell>
          <cell r="N9">
            <v>100586.36710806923</v>
          </cell>
          <cell r="O9">
            <v>94170.514507370055</v>
          </cell>
          <cell r="P9">
            <v>92452.463494586264</v>
          </cell>
          <cell r="Q9">
            <v>87733.197601079955</v>
          </cell>
          <cell r="R9">
            <v>93624.674329501911</v>
          </cell>
          <cell r="S9">
            <v>93626.415350702839</v>
          </cell>
          <cell r="T9">
            <v>104253.49239280775</v>
          </cell>
          <cell r="U9">
            <v>91615.931708055723</v>
          </cell>
          <cell r="V9">
            <v>87970.377776395195</v>
          </cell>
          <cell r="W9">
            <v>118301.37874435782</v>
          </cell>
          <cell r="Z9">
            <v>93369.630449241755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H9">
            <v>0</v>
          </cell>
          <cell r="AI9">
            <v>93611.419453305003</v>
          </cell>
          <cell r="AJ9">
            <v>29275.598011804905</v>
          </cell>
          <cell r="AK9">
            <v>11798.902451533491</v>
          </cell>
          <cell r="AL9">
            <v>0</v>
          </cell>
          <cell r="AO9">
            <v>1167868.5192917492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J9">
            <v>0</v>
          </cell>
        </row>
        <row r="10">
          <cell r="F10">
            <v>35576274.781500004</v>
          </cell>
          <cell r="G10">
            <v>3767716.5867199996</v>
          </cell>
          <cell r="H10">
            <v>2953369.0591799999</v>
          </cell>
          <cell r="I10">
            <v>1833277.0024299999</v>
          </cell>
          <cell r="J10">
            <v>920382.66371999995</v>
          </cell>
          <cell r="K10">
            <v>1998378.8916300002</v>
          </cell>
          <cell r="L10">
            <v>1899860.8840899998</v>
          </cell>
          <cell r="M10">
            <v>917476.03968000005</v>
          </cell>
          <cell r="N10">
            <v>1569825.85543</v>
          </cell>
          <cell r="O10">
            <v>981004.74167000002</v>
          </cell>
          <cell r="P10">
            <v>1454283.93414</v>
          </cell>
          <cell r="Q10">
            <v>1614894.40757</v>
          </cell>
          <cell r="R10">
            <v>877964.04769000004</v>
          </cell>
          <cell r="S10">
            <v>2151010.85959</v>
          </cell>
          <cell r="T10">
            <v>252078.87321000002</v>
          </cell>
          <cell r="U10">
            <v>471802.79441000003</v>
          </cell>
          <cell r="V10">
            <v>641432.65041999996</v>
          </cell>
          <cell r="W10">
            <v>658375.67397</v>
          </cell>
          <cell r="Z10">
            <v>24963134.965550005</v>
          </cell>
          <cell r="AA10">
            <v>297.24200000000002</v>
          </cell>
          <cell r="AB10">
            <v>0</v>
          </cell>
          <cell r="AC10">
            <v>0</v>
          </cell>
          <cell r="AD10">
            <v>8915.2579999999998</v>
          </cell>
          <cell r="AE10">
            <v>0</v>
          </cell>
          <cell r="AH10">
            <v>9212.5</v>
          </cell>
          <cell r="AI10">
            <v>24972347.465550005</v>
          </cell>
          <cell r="AJ10">
            <v>683691.93007</v>
          </cell>
          <cell r="AK10">
            <v>329531.20788</v>
          </cell>
          <cell r="AL10">
            <v>0</v>
          </cell>
          <cell r="AN10">
            <v>1013223.13795</v>
          </cell>
          <cell r="AO10">
            <v>9590466.4230000004</v>
          </cell>
          <cell r="AP10">
            <v>0</v>
          </cell>
          <cell r="AS10">
            <v>9590466.4230000004</v>
          </cell>
          <cell r="AT10">
            <v>88.873000000000005</v>
          </cell>
          <cell r="AU10">
            <v>148.88200000000001</v>
          </cell>
          <cell r="AV10">
            <v>0</v>
          </cell>
          <cell r="AW10">
            <v>0</v>
          </cell>
          <cell r="AX10">
            <v>0</v>
          </cell>
          <cell r="BA10">
            <v>237.755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J10">
            <v>0</v>
          </cell>
        </row>
        <row r="11">
          <cell r="G11">
            <v>75981.942580111718</v>
          </cell>
          <cell r="H11">
            <v>78042.677884417193</v>
          </cell>
          <cell r="I11">
            <v>78264.899352373628</v>
          </cell>
          <cell r="J11">
            <v>74940.574337010941</v>
          </cell>
          <cell r="K11">
            <v>78398.544198901538</v>
          </cell>
          <cell r="L11">
            <v>75866.978839150222</v>
          </cell>
          <cell r="M11">
            <v>79113.222357506253</v>
          </cell>
          <cell r="N11">
            <v>77856.760176065072</v>
          </cell>
          <cell r="O11">
            <v>76105.876002327394</v>
          </cell>
          <cell r="P11">
            <v>72230.254005165392</v>
          </cell>
          <cell r="Q11">
            <v>71476.062034213392</v>
          </cell>
          <cell r="R11">
            <v>84096.173150383154</v>
          </cell>
          <cell r="S11">
            <v>77729.586947204851</v>
          </cell>
          <cell r="T11">
            <v>87164.202354771784</v>
          </cell>
          <cell r="U11">
            <v>71441.973714415508</v>
          </cell>
          <cell r="V11">
            <v>79814.925703975605</v>
          </cell>
          <cell r="W11">
            <v>90052.75256052523</v>
          </cell>
          <cell r="Z11">
            <v>77046.356160542491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H11">
            <v>0</v>
          </cell>
          <cell r="AI11">
            <v>77074.789670881175</v>
          </cell>
          <cell r="AJ11">
            <v>26549.080850807706</v>
          </cell>
          <cell r="AK11">
            <v>8450.3848569084021</v>
          </cell>
          <cell r="AL11">
            <v>0</v>
          </cell>
          <cell r="AO11">
            <v>1144127.5852566229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J11">
            <v>0</v>
          </cell>
        </row>
        <row r="12">
          <cell r="F12">
            <v>5853199.9195000008</v>
          </cell>
          <cell r="G12">
            <v>727008.96928000031</v>
          </cell>
          <cell r="H12">
            <v>472765.3428199999</v>
          </cell>
          <cell r="I12">
            <v>231607.08257000032</v>
          </cell>
          <cell r="J12">
            <v>128064.13528000005</v>
          </cell>
          <cell r="K12">
            <v>634431.6083699998</v>
          </cell>
          <cell r="L12">
            <v>470412.01591000007</v>
          </cell>
          <cell r="M12">
            <v>164757.86031999986</v>
          </cell>
          <cell r="N12">
            <v>458297.06456999993</v>
          </cell>
          <cell r="O12">
            <v>232853.19033000001</v>
          </cell>
          <cell r="P12">
            <v>407153.96585999988</v>
          </cell>
          <cell r="Q12">
            <v>367305.59242999996</v>
          </cell>
          <cell r="R12">
            <v>99477.552309999941</v>
          </cell>
          <cell r="S12">
            <v>439912.93240999989</v>
          </cell>
          <cell r="T12">
            <v>49422.226789999957</v>
          </cell>
          <cell r="U12">
            <v>133228.81858999998</v>
          </cell>
          <cell r="V12">
            <v>65541.29058000003</v>
          </cell>
          <cell r="W12">
            <v>206525.70603</v>
          </cell>
          <cell r="Z12">
            <v>5288765.3544500005</v>
          </cell>
          <cell r="AA12">
            <v>49702.758000000002</v>
          </cell>
          <cell r="AB12">
            <v>0</v>
          </cell>
          <cell r="AC12">
            <v>0</v>
          </cell>
          <cell r="AD12">
            <v>19424.741999999998</v>
          </cell>
          <cell r="AE12">
            <v>0</v>
          </cell>
          <cell r="AH12">
            <v>69127.5</v>
          </cell>
          <cell r="AI12">
            <v>5357892.8544499949</v>
          </cell>
          <cell r="AJ12">
            <v>70213.269929999951</v>
          </cell>
          <cell r="AK12">
            <v>130578.79212</v>
          </cell>
          <cell r="AL12">
            <v>0</v>
          </cell>
          <cell r="AN12">
            <v>200792.06204999995</v>
          </cell>
          <cell r="AO12">
            <v>199004.58100000024</v>
          </cell>
          <cell r="AP12">
            <v>0</v>
          </cell>
          <cell r="AS12">
            <v>199004.58100000024</v>
          </cell>
          <cell r="AT12">
            <v>4911.1270000000004</v>
          </cell>
          <cell r="AU12">
            <v>8349.1180000000004</v>
          </cell>
          <cell r="AV12">
            <v>0</v>
          </cell>
          <cell r="AW12">
            <v>80563.277000000002</v>
          </cell>
          <cell r="AX12">
            <v>0</v>
          </cell>
          <cell r="BA12">
            <v>93823.521999999997</v>
          </cell>
          <cell r="BB12">
            <v>0</v>
          </cell>
          <cell r="BC12">
            <v>1686.9</v>
          </cell>
          <cell r="BD12">
            <v>0</v>
          </cell>
          <cell r="BE12">
            <v>0</v>
          </cell>
          <cell r="BF12">
            <v>0</v>
          </cell>
          <cell r="BJ12">
            <v>1686.9</v>
          </cell>
        </row>
        <row r="13">
          <cell r="F13">
            <v>788847.10200000007</v>
          </cell>
          <cell r="G13">
            <v>69514.159</v>
          </cell>
          <cell r="H13">
            <v>67558.608999999997</v>
          </cell>
          <cell r="I13">
            <v>46300.343999999997</v>
          </cell>
          <cell r="J13">
            <v>24540.917000000001</v>
          </cell>
          <cell r="K13">
            <v>54021.578999999998</v>
          </cell>
          <cell r="L13">
            <v>46866.668000000005</v>
          </cell>
          <cell r="M13">
            <v>34448.731</v>
          </cell>
          <cell r="N13">
            <v>43184.101000000002</v>
          </cell>
          <cell r="O13">
            <v>31999.726000000002</v>
          </cell>
          <cell r="P13">
            <v>32287.089</v>
          </cell>
          <cell r="Q13">
            <v>32924.550999999999</v>
          </cell>
          <cell r="R13">
            <v>24493.876999999997</v>
          </cell>
          <cell r="S13">
            <v>41225.701000000001</v>
          </cell>
          <cell r="T13">
            <v>8256.41</v>
          </cell>
          <cell r="U13">
            <v>10054.459999999999</v>
          </cell>
          <cell r="V13">
            <v>31525.953000000001</v>
          </cell>
          <cell r="W13">
            <v>8498.5590000000011</v>
          </cell>
          <cell r="Z13">
            <v>607701.43400000012</v>
          </cell>
          <cell r="AA13">
            <v>0</v>
          </cell>
          <cell r="AB13">
            <v>241.482</v>
          </cell>
          <cell r="AC13">
            <v>72.394000000000005</v>
          </cell>
          <cell r="AD13">
            <v>0</v>
          </cell>
          <cell r="AE13">
            <v>-276.80200000000002</v>
          </cell>
          <cell r="AH13">
            <v>37.073999999999955</v>
          </cell>
          <cell r="AI13">
            <v>607738.50800000015</v>
          </cell>
          <cell r="AJ13">
            <v>8440.375</v>
          </cell>
          <cell r="AK13">
            <v>0</v>
          </cell>
          <cell r="AL13">
            <v>9372.6929999999993</v>
          </cell>
          <cell r="AN13">
            <v>17813.067999999999</v>
          </cell>
          <cell r="AO13">
            <v>118899.611</v>
          </cell>
          <cell r="AP13">
            <v>0</v>
          </cell>
          <cell r="AS13">
            <v>118899.611</v>
          </cell>
          <cell r="AT13">
            <v>0</v>
          </cell>
          <cell r="AU13">
            <v>0</v>
          </cell>
          <cell r="AV13">
            <v>32190.949000000001</v>
          </cell>
          <cell r="AW13">
            <v>0</v>
          </cell>
          <cell r="AX13">
            <v>8976.6839999999993</v>
          </cell>
          <cell r="BA13">
            <v>41167.633000000002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3228.2820000000002</v>
          </cell>
          <cell r="BJ13">
            <v>3228.2820000000002</v>
          </cell>
        </row>
        <row r="14">
          <cell r="F14">
            <v>524459.04100000008</v>
          </cell>
          <cell r="G14">
            <v>45429.984000000004</v>
          </cell>
          <cell r="H14">
            <v>44024.415999999997</v>
          </cell>
          <cell r="I14">
            <v>31681.562999999998</v>
          </cell>
          <cell r="J14">
            <v>18313.402000000002</v>
          </cell>
          <cell r="K14">
            <v>38355.851999999999</v>
          </cell>
          <cell r="L14">
            <v>32203.862000000001</v>
          </cell>
          <cell r="M14">
            <v>25745.760000000002</v>
          </cell>
          <cell r="N14">
            <v>32941.019</v>
          </cell>
          <cell r="O14">
            <v>24840.932000000001</v>
          </cell>
          <cell r="P14">
            <v>24304.624</v>
          </cell>
          <cell r="Q14">
            <v>24444.442999999999</v>
          </cell>
          <cell r="R14">
            <v>17424.503999999997</v>
          </cell>
          <cell r="S14">
            <v>27958.762999999999</v>
          </cell>
          <cell r="T14">
            <v>5498.52</v>
          </cell>
          <cell r="U14">
            <v>6608.0889999999999</v>
          </cell>
          <cell r="V14">
            <v>23542.489000000001</v>
          </cell>
          <cell r="W14">
            <v>5665.509</v>
          </cell>
          <cell r="Z14">
            <v>428983.73100000009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H14">
            <v>0</v>
          </cell>
          <cell r="AI14">
            <v>428983.73100000009</v>
          </cell>
          <cell r="AJ14">
            <v>7160.87</v>
          </cell>
          <cell r="AK14">
            <v>0</v>
          </cell>
          <cell r="AL14">
            <v>7214.7430000000004</v>
          </cell>
          <cell r="AN14">
            <v>14375.613000000001</v>
          </cell>
          <cell r="AO14">
            <v>81099.697</v>
          </cell>
          <cell r="AP14">
            <v>0</v>
          </cell>
          <cell r="AS14">
            <v>81099.697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J14">
            <v>0</v>
          </cell>
        </row>
        <row r="15">
          <cell r="F15">
            <v>264268.06099999999</v>
          </cell>
          <cell r="G15">
            <v>24084.174999999999</v>
          </cell>
          <cell r="H15">
            <v>23534.192999999999</v>
          </cell>
          <cell r="I15">
            <v>14618.780999999999</v>
          </cell>
          <cell r="J15">
            <v>6227.5149999999994</v>
          </cell>
          <cell r="K15">
            <v>15665.727000000001</v>
          </cell>
          <cell r="L15">
            <v>14662.806</v>
          </cell>
          <cell r="M15">
            <v>8702.9709999999995</v>
          </cell>
          <cell r="N15">
            <v>10243.082</v>
          </cell>
          <cell r="O15">
            <v>7158.7939999999999</v>
          </cell>
          <cell r="P15">
            <v>7982.4650000000001</v>
          </cell>
          <cell r="Q15">
            <v>8480.1080000000002</v>
          </cell>
          <cell r="R15">
            <v>7069.3729999999996</v>
          </cell>
          <cell r="S15">
            <v>13266.938</v>
          </cell>
          <cell r="T15">
            <v>2757.89</v>
          </cell>
          <cell r="U15">
            <v>3446.3710000000001</v>
          </cell>
          <cell r="V15">
            <v>7983.463999999999</v>
          </cell>
          <cell r="W15">
            <v>2833.05</v>
          </cell>
          <cell r="Z15">
            <v>178717.70300000001</v>
          </cell>
          <cell r="AA15">
            <v>0</v>
          </cell>
          <cell r="AB15">
            <v>241.482</v>
          </cell>
          <cell r="AC15">
            <v>72.394000000000005</v>
          </cell>
          <cell r="AD15">
            <v>0</v>
          </cell>
          <cell r="AE15">
            <v>-276.80200000000002</v>
          </cell>
          <cell r="AH15">
            <v>37.073999999999955</v>
          </cell>
          <cell r="AI15">
            <v>178754.777</v>
          </cell>
          <cell r="AJ15">
            <v>1279.5050000000001</v>
          </cell>
          <cell r="AK15">
            <v>0</v>
          </cell>
          <cell r="AL15">
            <v>2157.9499999999998</v>
          </cell>
          <cell r="AN15">
            <v>3437.4549999999999</v>
          </cell>
          <cell r="AO15">
            <v>37799.913999999997</v>
          </cell>
          <cell r="AP15">
            <v>0</v>
          </cell>
          <cell r="AS15">
            <v>37799.913999999997</v>
          </cell>
          <cell r="AT15">
            <v>0</v>
          </cell>
          <cell r="AU15">
            <v>0</v>
          </cell>
          <cell r="AV15">
            <v>32190.949000000001</v>
          </cell>
          <cell r="AW15">
            <v>0</v>
          </cell>
          <cell r="AX15">
            <v>8976.6839999999993</v>
          </cell>
          <cell r="BA15">
            <v>41167.633000000002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3108.2820000000002</v>
          </cell>
          <cell r="BJ15">
            <v>3108.2820000000002</v>
          </cell>
        </row>
        <row r="16">
          <cell r="F16">
            <v>120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120</v>
          </cell>
          <cell r="BJ16">
            <v>120</v>
          </cell>
        </row>
        <row r="17">
          <cell r="F17">
            <v>5064352.8175000008</v>
          </cell>
          <cell r="G17">
            <v>657494.81028000033</v>
          </cell>
          <cell r="H17">
            <v>405206.73381999991</v>
          </cell>
          <cell r="I17">
            <v>185306.73857000034</v>
          </cell>
          <cell r="J17">
            <v>103523.21828000004</v>
          </cell>
          <cell r="K17">
            <v>580410.02936999977</v>
          </cell>
          <cell r="L17">
            <v>423545.34791000007</v>
          </cell>
          <cell r="M17">
            <v>130309.12931999986</v>
          </cell>
          <cell r="N17">
            <v>415112.96356999991</v>
          </cell>
          <cell r="O17">
            <v>200853.46433000002</v>
          </cell>
          <cell r="P17">
            <v>374866.8768599999</v>
          </cell>
          <cell r="Q17">
            <v>334381.04142999998</v>
          </cell>
          <cell r="R17">
            <v>74983.675309999948</v>
          </cell>
          <cell r="S17">
            <v>398687.23140999989</v>
          </cell>
          <cell r="T17">
            <v>41165.816789999953</v>
          </cell>
          <cell r="U17">
            <v>123174.35858999999</v>
          </cell>
          <cell r="V17">
            <v>34015.337580000029</v>
          </cell>
          <cell r="W17">
            <v>198027.14702999999</v>
          </cell>
          <cell r="Z17">
            <v>4681063.9204500001</v>
          </cell>
          <cell r="AA17">
            <v>49702.758000000002</v>
          </cell>
          <cell r="AB17">
            <v>-241.482</v>
          </cell>
          <cell r="AC17">
            <v>-72.394000000000005</v>
          </cell>
          <cell r="AD17">
            <v>19424.741999999998</v>
          </cell>
          <cell r="AE17">
            <v>276.80200000000002</v>
          </cell>
          <cell r="AH17">
            <v>69090.426000000007</v>
          </cell>
          <cell r="AI17">
            <v>4750154.3464499945</v>
          </cell>
          <cell r="AJ17">
            <v>61772.894929999951</v>
          </cell>
          <cell r="AK17">
            <v>130578.79212</v>
          </cell>
          <cell r="AL17">
            <v>-9372.6929999999993</v>
          </cell>
          <cell r="AN17">
            <v>182978.99404999995</v>
          </cell>
          <cell r="AO17">
            <v>80104.970000000234</v>
          </cell>
          <cell r="AP17">
            <v>0</v>
          </cell>
          <cell r="AS17">
            <v>80104.970000000234</v>
          </cell>
          <cell r="AT17">
            <v>4911.1270000000004</v>
          </cell>
          <cell r="AU17">
            <v>8349.1180000000004</v>
          </cell>
          <cell r="AV17">
            <v>-32190.949000000001</v>
          </cell>
          <cell r="AW17">
            <v>80563.277000000002</v>
          </cell>
          <cell r="AX17">
            <v>-8976.6839999999993</v>
          </cell>
          <cell r="BA17">
            <v>52655.889000000003</v>
          </cell>
          <cell r="BB17">
            <v>0</v>
          </cell>
          <cell r="BC17">
            <v>1686.9</v>
          </cell>
          <cell r="BD17">
            <v>0</v>
          </cell>
          <cell r="BE17">
            <v>0</v>
          </cell>
          <cell r="BF17">
            <v>-3228.2820000000002</v>
          </cell>
          <cell r="BJ17">
            <v>-1541.3820000000001</v>
          </cell>
        </row>
        <row r="18">
          <cell r="F18">
            <v>468412.39849000005</v>
          </cell>
          <cell r="G18">
            <v>29736.540280000001</v>
          </cell>
          <cell r="H18">
            <v>32458.577819999999</v>
          </cell>
          <cell r="I18">
            <v>18195.564559999999</v>
          </cell>
          <cell r="J18">
            <v>15905.36428</v>
          </cell>
          <cell r="K18">
            <v>32654.481370000001</v>
          </cell>
          <cell r="L18">
            <v>34558.354909999995</v>
          </cell>
          <cell r="M18">
            <v>15150.12732</v>
          </cell>
          <cell r="N18">
            <v>27962.859570000001</v>
          </cell>
          <cell r="O18">
            <v>12316.75733</v>
          </cell>
          <cell r="P18">
            <v>31308.384860000002</v>
          </cell>
          <cell r="Q18">
            <v>13301.246430000001</v>
          </cell>
          <cell r="R18">
            <v>10698.258310000001</v>
          </cell>
          <cell r="S18">
            <v>33142.432410000001</v>
          </cell>
          <cell r="T18">
            <v>5020.0877900000005</v>
          </cell>
          <cell r="U18">
            <v>9292.9475899999998</v>
          </cell>
          <cell r="V18">
            <v>23183.514579999999</v>
          </cell>
          <cell r="W18">
            <v>8842.5990299999994</v>
          </cell>
          <cell r="Z18">
            <v>353728.09844000003</v>
          </cell>
          <cell r="AA18">
            <v>5569.9530000000004</v>
          </cell>
          <cell r="AB18">
            <v>353.67200000000003</v>
          </cell>
          <cell r="AC18">
            <v>0</v>
          </cell>
          <cell r="AD18">
            <v>0</v>
          </cell>
          <cell r="AE18">
            <v>0</v>
          </cell>
          <cell r="AH18">
            <v>5923.625</v>
          </cell>
          <cell r="AI18">
            <v>359651.72344000003</v>
          </cell>
          <cell r="AJ18">
            <v>34085.972929999996</v>
          </cell>
          <cell r="AK18">
            <v>14888.322119999999</v>
          </cell>
          <cell r="AL18">
            <v>0</v>
          </cell>
          <cell r="AN18">
            <v>48974.295049999993</v>
          </cell>
          <cell r="AO18">
            <v>2877.7269999999999</v>
          </cell>
          <cell r="AP18">
            <v>855.83600000000001</v>
          </cell>
          <cell r="AS18">
            <v>3733.5630000000001</v>
          </cell>
          <cell r="AT18">
            <v>1312.8920000000001</v>
          </cell>
          <cell r="AU18">
            <v>8489.6080000000002</v>
          </cell>
          <cell r="AV18">
            <v>432.17</v>
          </cell>
          <cell r="AW18">
            <v>0</v>
          </cell>
          <cell r="AX18">
            <v>18257.884999999998</v>
          </cell>
          <cell r="BA18">
            <v>28492.555</v>
          </cell>
          <cell r="BB18">
            <v>0</v>
          </cell>
          <cell r="BC18">
            <v>17904.291000000001</v>
          </cell>
          <cell r="BD18">
            <v>0</v>
          </cell>
          <cell r="BE18">
            <v>0</v>
          </cell>
          <cell r="BF18">
            <v>9655.9709999999995</v>
          </cell>
          <cell r="BJ18">
            <v>27560.262000000002</v>
          </cell>
        </row>
        <row r="19">
          <cell r="F19">
            <v>403161.64449000004</v>
          </cell>
          <cell r="G19">
            <v>28271.413280000001</v>
          </cell>
          <cell r="H19">
            <v>30711.19182</v>
          </cell>
          <cell r="I19">
            <v>16780.46456</v>
          </cell>
          <cell r="J19">
            <v>15266.18728</v>
          </cell>
          <cell r="K19">
            <v>31428.908370000001</v>
          </cell>
          <cell r="L19">
            <v>33644.445909999995</v>
          </cell>
          <cell r="M19">
            <v>14611.39932</v>
          </cell>
          <cell r="N19">
            <v>26755.701570000001</v>
          </cell>
          <cell r="O19">
            <v>11109.599330000001</v>
          </cell>
          <cell r="P19">
            <v>30634.110860000001</v>
          </cell>
          <cell r="Q19">
            <v>12640.35043</v>
          </cell>
          <cell r="R19">
            <v>10409.372310000001</v>
          </cell>
          <cell r="S19">
            <v>32204.724409999999</v>
          </cell>
          <cell r="T19">
            <v>4755.6887900000002</v>
          </cell>
          <cell r="U19">
            <v>9292.9475899999998</v>
          </cell>
          <cell r="V19">
            <v>22250.049579999999</v>
          </cell>
          <cell r="W19">
            <v>8377.7690299999995</v>
          </cell>
          <cell r="Z19">
            <v>339144.32444000005</v>
          </cell>
          <cell r="AA19">
            <v>5569.9530000000004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H19">
            <v>5569.9530000000004</v>
          </cell>
          <cell r="AI19">
            <v>344714.27744000003</v>
          </cell>
          <cell r="AJ19">
            <v>33756.544929999996</v>
          </cell>
          <cell r="AK19">
            <v>14888.322119999999</v>
          </cell>
          <cell r="AL19">
            <v>0</v>
          </cell>
          <cell r="AN19">
            <v>48644.867049999993</v>
          </cell>
          <cell r="AO19">
            <v>0</v>
          </cell>
          <cell r="AP19">
            <v>0</v>
          </cell>
          <cell r="AS19">
            <v>0</v>
          </cell>
          <cell r="AT19">
            <v>1312.8920000000001</v>
          </cell>
          <cell r="AU19">
            <v>8489.6080000000002</v>
          </cell>
          <cell r="AV19">
            <v>0</v>
          </cell>
          <cell r="AW19">
            <v>0</v>
          </cell>
          <cell r="AX19">
            <v>0</v>
          </cell>
          <cell r="BA19">
            <v>9802.5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J19">
            <v>0</v>
          </cell>
        </row>
        <row r="20">
          <cell r="F20">
            <v>65250.754000000001</v>
          </cell>
          <cell r="G20">
            <v>1465.127</v>
          </cell>
          <cell r="H20">
            <v>1747.386</v>
          </cell>
          <cell r="I20">
            <v>1415.1</v>
          </cell>
          <cell r="J20">
            <v>639.17700000000002</v>
          </cell>
          <cell r="K20">
            <v>1225.5730000000001</v>
          </cell>
          <cell r="L20">
            <v>913.90899999999999</v>
          </cell>
          <cell r="M20">
            <v>538.72799999999995</v>
          </cell>
          <cell r="N20">
            <v>1207.1579999999999</v>
          </cell>
          <cell r="O20">
            <v>1207.1579999999999</v>
          </cell>
          <cell r="P20">
            <v>674.274</v>
          </cell>
          <cell r="Q20">
            <v>660.89599999999996</v>
          </cell>
          <cell r="R20">
            <v>288.88600000000002</v>
          </cell>
          <cell r="S20">
            <v>937.70799999999997</v>
          </cell>
          <cell r="T20">
            <v>264.399</v>
          </cell>
          <cell r="U20">
            <v>0</v>
          </cell>
          <cell r="V20">
            <v>933.46500000000003</v>
          </cell>
          <cell r="W20">
            <v>464.83</v>
          </cell>
          <cell r="Z20">
            <v>14583.773999999999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E20">
            <v>0</v>
          </cell>
          <cell r="AH20">
            <v>353.67200000000003</v>
          </cell>
          <cell r="AI20">
            <v>14937.446</v>
          </cell>
          <cell r="AJ20">
            <v>329.428</v>
          </cell>
          <cell r="AK20">
            <v>0</v>
          </cell>
          <cell r="AL20">
            <v>0</v>
          </cell>
          <cell r="AN20">
            <v>329.428</v>
          </cell>
          <cell r="AO20">
            <v>2877.7269999999999</v>
          </cell>
          <cell r="AP20">
            <v>855.83600000000001</v>
          </cell>
          <cell r="AS20">
            <v>3733.5630000000001</v>
          </cell>
          <cell r="AT20">
            <v>0</v>
          </cell>
          <cell r="AU20">
            <v>0</v>
          </cell>
          <cell r="AV20">
            <v>432.17</v>
          </cell>
          <cell r="AW20">
            <v>0</v>
          </cell>
          <cell r="AX20">
            <v>18257.884999999998</v>
          </cell>
          <cell r="BA20">
            <v>18690.054999999997</v>
          </cell>
          <cell r="BB20">
            <v>0</v>
          </cell>
          <cell r="BC20">
            <v>17904.291000000001</v>
          </cell>
          <cell r="BD20">
            <v>0</v>
          </cell>
          <cell r="BE20">
            <v>0</v>
          </cell>
          <cell r="BF20">
            <v>9655.9709999999995</v>
          </cell>
          <cell r="BJ20">
            <v>27560.262000000002</v>
          </cell>
        </row>
        <row r="21">
          <cell r="F21">
            <v>4595940.4190100003</v>
          </cell>
          <cell r="G21">
            <v>627758.27000000037</v>
          </cell>
          <cell r="H21">
            <v>372748.1559999999</v>
          </cell>
          <cell r="I21">
            <v>167111.17401000034</v>
          </cell>
          <cell r="J21">
            <v>87617.85400000005</v>
          </cell>
          <cell r="K21">
            <v>547755.54799999972</v>
          </cell>
          <cell r="L21">
            <v>388986.99300000007</v>
          </cell>
          <cell r="M21">
            <v>115159.00199999986</v>
          </cell>
          <cell r="N21">
            <v>387150.10399999993</v>
          </cell>
          <cell r="O21">
            <v>188536.70700000002</v>
          </cell>
          <cell r="P21">
            <v>343558.49199999991</v>
          </cell>
          <cell r="Q21">
            <v>321079.79499999998</v>
          </cell>
          <cell r="R21">
            <v>64285.416999999943</v>
          </cell>
          <cell r="S21">
            <v>365544.79899999988</v>
          </cell>
          <cell r="T21">
            <v>36145.728999999956</v>
          </cell>
          <cell r="U21">
            <v>113881.41099999999</v>
          </cell>
          <cell r="V21">
            <v>10831.823000000029</v>
          </cell>
          <cell r="W21">
            <v>189184.54799999998</v>
          </cell>
          <cell r="Z21">
            <v>4327335.8220100002</v>
          </cell>
          <cell r="AA21">
            <v>44132.805</v>
          </cell>
          <cell r="AB21">
            <v>-595.154</v>
          </cell>
          <cell r="AC21">
            <v>-72.394000000000005</v>
          </cell>
          <cell r="AD21">
            <v>19424.741999999998</v>
          </cell>
          <cell r="AE21">
            <v>276.80200000000002</v>
          </cell>
          <cell r="AH21">
            <v>63166.801000000007</v>
          </cell>
          <cell r="AI21">
            <v>4390502.6230099946</v>
          </cell>
          <cell r="AJ21">
            <v>27686.921999999955</v>
          </cell>
          <cell r="AK21">
            <v>115690.47</v>
          </cell>
          <cell r="AL21">
            <v>-9372.6929999999993</v>
          </cell>
          <cell r="AN21">
            <v>134004.69899999996</v>
          </cell>
          <cell r="AO21">
            <v>77227.243000000235</v>
          </cell>
          <cell r="AP21">
            <v>-855.83600000000001</v>
          </cell>
          <cell r="AS21">
            <v>76371.407000000239</v>
          </cell>
          <cell r="AT21">
            <v>3598.2350000000006</v>
          </cell>
          <cell r="AU21">
            <v>-140.48999999999978</v>
          </cell>
          <cell r="AV21">
            <v>-32623.118999999999</v>
          </cell>
          <cell r="AW21">
            <v>80563.277000000002</v>
          </cell>
          <cell r="AX21">
            <v>-27234.568999999996</v>
          </cell>
          <cell r="BA21">
            <v>24163.334000000003</v>
          </cell>
          <cell r="BB21">
            <v>0</v>
          </cell>
          <cell r="BC21">
            <v>-16217.391000000001</v>
          </cell>
          <cell r="BD21">
            <v>0</v>
          </cell>
          <cell r="BE21">
            <v>0</v>
          </cell>
          <cell r="BF21">
            <v>-12884.253000000001</v>
          </cell>
          <cell r="BJ21">
            <v>-29101.644000000004</v>
          </cell>
        </row>
        <row r="22">
          <cell r="F22">
            <v>788786.72400000005</v>
          </cell>
          <cell r="G22">
            <v>118861.2815857362</v>
          </cell>
          <cell r="H22">
            <v>90602.801179503178</v>
          </cell>
          <cell r="I22">
            <v>54605.062224869311</v>
          </cell>
          <cell r="J22">
            <v>27725.770717468644</v>
          </cell>
          <cell r="K22">
            <v>69040.641827158091</v>
          </cell>
          <cell r="L22">
            <v>62156.073261451711</v>
          </cell>
          <cell r="M22">
            <v>28379.605392453588</v>
          </cell>
          <cell r="N22">
            <v>53183.81558458916</v>
          </cell>
          <cell r="O22">
            <v>31831.204985040444</v>
          </cell>
          <cell r="P22">
            <v>48812.805683279264</v>
          </cell>
          <cell r="Q22">
            <v>51979.570967903979</v>
          </cell>
          <cell r="R22">
            <v>25631.618915438208</v>
          </cell>
          <cell r="S22">
            <v>64386.283813817201</v>
          </cell>
          <cell r="T22">
            <v>7492.5150074727007</v>
          </cell>
          <cell r="U22">
            <v>15035.462359500234</v>
          </cell>
          <cell r="V22">
            <v>17568.801118253366</v>
          </cell>
          <cell r="W22">
            <v>21493.409376064796</v>
          </cell>
          <cell r="Z22">
            <v>788786.72400000005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H22">
            <v>0</v>
          </cell>
          <cell r="AI22">
            <v>788786.72400000005</v>
          </cell>
          <cell r="AJ22">
            <v>0</v>
          </cell>
          <cell r="AK22">
            <v>0</v>
          </cell>
          <cell r="AL22">
            <v>0</v>
          </cell>
          <cell r="AN22">
            <v>0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J22">
            <v>0</v>
          </cell>
        </row>
        <row r="23">
          <cell r="F23">
            <v>130405.91099999999</v>
          </cell>
          <cell r="G23">
            <v>21041.275752424724</v>
          </cell>
          <cell r="H23">
            <v>16038.852165538265</v>
          </cell>
          <cell r="I23">
            <v>9666.3956203688231</v>
          </cell>
          <cell r="J23">
            <v>4908.1212934251998</v>
          </cell>
          <cell r="K23">
            <v>11742.029206814219</v>
          </cell>
          <cell r="L23">
            <v>10571.141986831275</v>
          </cell>
          <cell r="M23">
            <v>4826.6375655993697</v>
          </cell>
          <cell r="N23">
            <v>9045.1927936512475</v>
          </cell>
          <cell r="O23">
            <v>5413.6654690746291</v>
          </cell>
          <cell r="P23">
            <v>8301.7969536626078</v>
          </cell>
          <cell r="Q23">
            <v>8840.3819012979257</v>
          </cell>
          <cell r="R23">
            <v>4359.276072149979</v>
          </cell>
          <cell r="S23">
            <v>7999.2636744488718</v>
          </cell>
          <cell r="T23">
            <v>930.85979776142187</v>
          </cell>
          <cell r="U23">
            <v>1867.9852409044179</v>
          </cell>
          <cell r="V23">
            <v>2182.7237769343315</v>
          </cell>
          <cell r="W23">
            <v>2670.3117291126791</v>
          </cell>
          <cell r="Z23">
            <v>130405.91099999999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H23">
            <v>0</v>
          </cell>
          <cell r="AI23">
            <v>130405.91099999999</v>
          </cell>
          <cell r="AJ23">
            <v>0</v>
          </cell>
          <cell r="AK23">
            <v>0</v>
          </cell>
          <cell r="AL23">
            <v>0</v>
          </cell>
          <cell r="AN23">
            <v>0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J23">
            <v>0</v>
          </cell>
        </row>
        <row r="24">
          <cell r="F24">
            <v>221635.59400000016</v>
          </cell>
          <cell r="G24">
            <v>32929.870782776692</v>
          </cell>
          <cell r="H24">
            <v>25101.012672882731</v>
          </cell>
          <cell r="I24">
            <v>15128.035127682908</v>
          </cell>
          <cell r="J24">
            <v>7681.2737915884991</v>
          </cell>
          <cell r="K24">
            <v>19288.855010247415</v>
          </cell>
          <cell r="L24">
            <v>17365.416273909068</v>
          </cell>
          <cell r="M24">
            <v>7928.8094544877413</v>
          </cell>
          <cell r="N24">
            <v>14858.710471885313</v>
          </cell>
          <cell r="O24">
            <v>8893.1313717363118</v>
          </cell>
          <cell r="P24">
            <v>13637.519967228716</v>
          </cell>
          <cell r="Q24">
            <v>14522.263718301192</v>
          </cell>
          <cell r="R24">
            <v>7161.0658280891275</v>
          </cell>
          <cell r="S24">
            <v>18981.978902958806</v>
          </cell>
          <cell r="T24">
            <v>2208.8984388850263</v>
          </cell>
          <cell r="U24">
            <v>4432.6650398018101</v>
          </cell>
          <cell r="V24">
            <v>5179.5288130202343</v>
          </cell>
          <cell r="W24">
            <v>6336.5583345185314</v>
          </cell>
          <cell r="Z24">
            <v>221635.59400000016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H24">
            <v>0</v>
          </cell>
          <cell r="AI24">
            <v>221635.59400000016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J24">
            <v>0</v>
          </cell>
        </row>
        <row r="25">
          <cell r="F25">
            <v>436745.21899999992</v>
          </cell>
          <cell r="G25">
            <v>64890.135050534787</v>
          </cell>
          <cell r="H25">
            <v>49462.936341082182</v>
          </cell>
          <cell r="I25">
            <v>29810.631476817576</v>
          </cell>
          <cell r="J25">
            <v>15136.375632454945</v>
          </cell>
          <cell r="K25">
            <v>38009.757610096458</v>
          </cell>
          <cell r="L25">
            <v>34219.51500071137</v>
          </cell>
          <cell r="M25">
            <v>15624.158372366475</v>
          </cell>
          <cell r="N25">
            <v>29279.912319052601</v>
          </cell>
          <cell r="O25">
            <v>17524.408144229503</v>
          </cell>
          <cell r="P25">
            <v>26873.488762387937</v>
          </cell>
          <cell r="Q25">
            <v>28616.92534830486</v>
          </cell>
          <cell r="R25">
            <v>14111.277015199104</v>
          </cell>
          <cell r="S25">
            <v>37405.041236409525</v>
          </cell>
          <cell r="T25">
            <v>4352.7567708262523</v>
          </cell>
          <cell r="U25">
            <v>8734.8120787940061</v>
          </cell>
          <cell r="V25">
            <v>10206.548528298803</v>
          </cell>
          <cell r="W25">
            <v>12486.539312433586</v>
          </cell>
          <cell r="Z25">
            <v>436745.21899999992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H25">
            <v>0</v>
          </cell>
          <cell r="AI25">
            <v>436745.21899999992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J25">
            <v>0</v>
          </cell>
        </row>
        <row r="26">
          <cell r="F26">
            <v>3807153.6950100004</v>
          </cell>
          <cell r="G26">
            <v>508896.98841426417</v>
          </cell>
          <cell r="H26">
            <v>282145.35482049675</v>
          </cell>
          <cell r="I26">
            <v>112506.11178513103</v>
          </cell>
          <cell r="J26">
            <v>59892.083282531406</v>
          </cell>
          <cell r="K26">
            <v>478714.90617284161</v>
          </cell>
          <cell r="L26">
            <v>326830.91973854834</v>
          </cell>
          <cell r="M26">
            <v>86779.396607546281</v>
          </cell>
          <cell r="N26">
            <v>333966.28841541079</v>
          </cell>
          <cell r="O26">
            <v>156705.50201495958</v>
          </cell>
          <cell r="P26">
            <v>294745.68631672068</v>
          </cell>
          <cell r="Q26">
            <v>269100.22403209598</v>
          </cell>
          <cell r="R26">
            <v>38653.798084561735</v>
          </cell>
          <cell r="S26">
            <v>301158.51518618269</v>
          </cell>
          <cell r="T26">
            <v>28653.213992527257</v>
          </cell>
          <cell r="U26">
            <v>98845.948640499759</v>
          </cell>
          <cell r="V26">
            <v>-6736.978118253337</v>
          </cell>
          <cell r="W26">
            <v>167691.13862393517</v>
          </cell>
          <cell r="Z26">
            <v>3538549.0980100003</v>
          </cell>
          <cell r="AA26">
            <v>44132.805</v>
          </cell>
          <cell r="AB26">
            <v>-595.154</v>
          </cell>
          <cell r="AC26">
            <v>-72.394000000000005</v>
          </cell>
          <cell r="AD26">
            <v>19424.741999999998</v>
          </cell>
          <cell r="AE26">
            <v>276.80200000000002</v>
          </cell>
          <cell r="AH26">
            <v>63166.801000000007</v>
          </cell>
          <cell r="AI26">
            <v>3601715.8990099947</v>
          </cell>
          <cell r="AJ26">
            <v>27686.921999999955</v>
          </cell>
          <cell r="AK26">
            <v>115690.47</v>
          </cell>
          <cell r="AL26">
            <v>-9372.6929999999993</v>
          </cell>
          <cell r="AN26">
            <v>134004.69899999996</v>
          </cell>
          <cell r="AO26">
            <v>77227.243000000235</v>
          </cell>
          <cell r="AP26">
            <v>-855.83600000000001</v>
          </cell>
          <cell r="AS26">
            <v>76371.407000000239</v>
          </cell>
          <cell r="AT26">
            <v>3598.2350000000006</v>
          </cell>
          <cell r="AU26">
            <v>-140.48999999999978</v>
          </cell>
          <cell r="AV26">
            <v>-32623.118999999999</v>
          </cell>
          <cell r="AW26">
            <v>80563.277000000002</v>
          </cell>
          <cell r="AX26">
            <v>-27234.568999999996</v>
          </cell>
          <cell r="BA26">
            <v>24163.334000000003</v>
          </cell>
          <cell r="BB26">
            <v>0</v>
          </cell>
          <cell r="BC26">
            <v>-16217.391000000001</v>
          </cell>
          <cell r="BD26">
            <v>0</v>
          </cell>
          <cell r="BE26">
            <v>0</v>
          </cell>
          <cell r="BF26">
            <v>-12884.253000000001</v>
          </cell>
          <cell r="BJ26">
            <v>-29101.644000000004</v>
          </cell>
        </row>
        <row r="27">
          <cell r="F27">
            <v>3807153.6950100004</v>
          </cell>
          <cell r="G27">
            <v>508896.98841426405</v>
          </cell>
          <cell r="H27">
            <v>282145.35482049675</v>
          </cell>
          <cell r="I27">
            <v>112506.11178513101</v>
          </cell>
          <cell r="J27">
            <v>59892.083282531406</v>
          </cell>
          <cell r="K27">
            <v>478714.90617284173</v>
          </cell>
          <cell r="L27">
            <v>326830.9197385484</v>
          </cell>
          <cell r="M27">
            <v>86779.396607546252</v>
          </cell>
          <cell r="N27">
            <v>333966.28841541079</v>
          </cell>
          <cell r="O27">
            <v>156705.50201495958</v>
          </cell>
          <cell r="P27">
            <v>294745.68631672062</v>
          </cell>
          <cell r="Q27">
            <v>269100.22403209598</v>
          </cell>
          <cell r="R27">
            <v>38653.79808456172</v>
          </cell>
          <cell r="S27">
            <v>301158.51518618269</v>
          </cell>
          <cell r="T27">
            <v>28653.213992527253</v>
          </cell>
          <cell r="U27">
            <v>98845.94864049973</v>
          </cell>
          <cell r="V27">
            <v>-6736.978118253337</v>
          </cell>
          <cell r="W27">
            <v>167691.13862393523</v>
          </cell>
          <cell r="Z27">
            <v>3538549.0980100003</v>
          </cell>
          <cell r="AA27">
            <v>44132.805</v>
          </cell>
          <cell r="AB27">
            <v>-595.154</v>
          </cell>
          <cell r="AC27">
            <v>-72.394000000000005</v>
          </cell>
          <cell r="AD27">
            <v>19424.741999999998</v>
          </cell>
          <cell r="AE27">
            <v>276.80200000000002</v>
          </cell>
          <cell r="AH27">
            <v>63166.800999999999</v>
          </cell>
          <cell r="AI27">
            <v>3601715.8990100003</v>
          </cell>
          <cell r="AJ27">
            <v>27686.921999999955</v>
          </cell>
          <cell r="AK27">
            <v>115690.47</v>
          </cell>
          <cell r="AL27">
            <v>-9372.6929999999993</v>
          </cell>
          <cell r="AN27">
            <v>134004.69899999996</v>
          </cell>
          <cell r="AO27">
            <v>77227.243000000235</v>
          </cell>
          <cell r="AP27">
            <v>-855.83600000000001</v>
          </cell>
          <cell r="AS27">
            <v>76371.407000000239</v>
          </cell>
          <cell r="AT27">
            <v>3598.2350000000006</v>
          </cell>
          <cell r="AU27">
            <v>-140.48999999999978</v>
          </cell>
          <cell r="AV27">
            <v>-32623.118999999999</v>
          </cell>
          <cell r="AW27">
            <v>80563.277000000002</v>
          </cell>
          <cell r="AX27">
            <v>-27234.568999999996</v>
          </cell>
          <cell r="BA27">
            <v>24163.33400000001</v>
          </cell>
          <cell r="BB27">
            <v>0</v>
          </cell>
          <cell r="BC27">
            <v>-16217.391000000001</v>
          </cell>
          <cell r="BD27">
            <v>0</v>
          </cell>
          <cell r="BE27">
            <v>0</v>
          </cell>
          <cell r="BF27">
            <v>-12884.252999999999</v>
          </cell>
          <cell r="BJ27">
            <v>-29101.644</v>
          </cell>
        </row>
        <row r="28"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H28">
            <v>0</v>
          </cell>
          <cell r="AI28">
            <v>-5.5879354476928711E-9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0</v>
          </cell>
          <cell r="AP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J28">
            <v>0</v>
          </cell>
        </row>
        <row r="31">
          <cell r="G31">
            <v>49587</v>
          </cell>
          <cell r="H31">
            <v>37843</v>
          </cell>
          <cell r="I31">
            <v>23424</v>
          </cell>
          <cell r="J31">
            <v>12281.5</v>
          </cell>
          <cell r="K31">
            <v>25490</v>
          </cell>
          <cell r="L31">
            <v>25042</v>
          </cell>
          <cell r="M31">
            <v>11597</v>
          </cell>
          <cell r="N31">
            <v>20163</v>
          </cell>
          <cell r="O31">
            <v>12890</v>
          </cell>
          <cell r="P31">
            <v>20134</v>
          </cell>
          <cell r="Q31">
            <v>22593.5</v>
          </cell>
          <cell r="R31">
            <v>10440</v>
          </cell>
          <cell r="S31">
            <v>27673</v>
          </cell>
          <cell r="T31">
            <v>2892</v>
          </cell>
          <cell r="U31">
            <v>6604</v>
          </cell>
          <cell r="V31">
            <v>8036.5</v>
          </cell>
          <cell r="W31">
            <v>7311</v>
          </cell>
          <cell r="X31">
            <v>0</v>
          </cell>
          <cell r="Y31">
            <v>0</v>
          </cell>
          <cell r="Z31">
            <v>324001.5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H31">
            <v>0</v>
          </cell>
          <cell r="AI31">
            <v>324001.5</v>
          </cell>
          <cell r="AJ31">
            <v>25752</v>
          </cell>
          <cell r="AK31">
            <v>38996</v>
          </cell>
          <cell r="AL31">
            <v>0</v>
          </cell>
          <cell r="AN31">
            <v>64748</v>
          </cell>
          <cell r="AO31">
            <v>8382.34</v>
          </cell>
          <cell r="AP31">
            <v>0</v>
          </cell>
          <cell r="AS31">
            <v>8382.34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J31">
            <v>0</v>
          </cell>
        </row>
        <row r="32">
          <cell r="F32">
            <v>41429474.701000005</v>
          </cell>
          <cell r="G32">
            <v>4494725.5559999999</v>
          </cell>
          <cell r="H32">
            <v>3426134.4019999998</v>
          </cell>
          <cell r="I32">
            <v>2064884.0850000002</v>
          </cell>
          <cell r="J32">
            <v>1048446.799</v>
          </cell>
          <cell r="K32">
            <v>2632810.5</v>
          </cell>
          <cell r="L32">
            <v>2370272.9</v>
          </cell>
          <cell r="M32">
            <v>1082233.8999999999</v>
          </cell>
          <cell r="N32">
            <v>2028122.92</v>
          </cell>
          <cell r="O32">
            <v>1213857.932</v>
          </cell>
          <cell r="P32">
            <v>1861437.9</v>
          </cell>
          <cell r="Q32">
            <v>1982200</v>
          </cell>
          <cell r="R32">
            <v>977441.6</v>
          </cell>
          <cell r="S32">
            <v>2590923.7919999999</v>
          </cell>
          <cell r="T32">
            <v>301501.09999999998</v>
          </cell>
          <cell r="U32">
            <v>605031.61300000001</v>
          </cell>
          <cell r="V32">
            <v>706973.94099999999</v>
          </cell>
          <cell r="W32">
            <v>864901.38</v>
          </cell>
          <cell r="X32">
            <v>0</v>
          </cell>
          <cell r="Y32">
            <v>0</v>
          </cell>
          <cell r="Z32">
            <v>30251900.32</v>
          </cell>
          <cell r="AA32">
            <v>50000</v>
          </cell>
          <cell r="AB32">
            <v>0</v>
          </cell>
          <cell r="AC32">
            <v>0</v>
          </cell>
          <cell r="AD32">
            <v>28340</v>
          </cell>
          <cell r="AE32">
            <v>0</v>
          </cell>
          <cell r="AH32">
            <v>78340</v>
          </cell>
          <cell r="AI32">
            <v>30330240.32</v>
          </cell>
          <cell r="AJ32">
            <v>753905.2</v>
          </cell>
          <cell r="AK32">
            <v>460110</v>
          </cell>
          <cell r="AL32">
            <v>0</v>
          </cell>
          <cell r="AN32">
            <v>1214015.2</v>
          </cell>
          <cell r="AO32">
            <v>9789471.0040000007</v>
          </cell>
          <cell r="AP32">
            <v>0</v>
          </cell>
          <cell r="AS32">
            <v>9789471.0040000007</v>
          </cell>
          <cell r="AT32">
            <v>5000</v>
          </cell>
          <cell r="AU32">
            <v>8498</v>
          </cell>
          <cell r="AV32">
            <v>0</v>
          </cell>
          <cell r="AW32">
            <v>80563.277000000002</v>
          </cell>
          <cell r="AX32">
            <v>0</v>
          </cell>
          <cell r="BA32">
            <v>94061.277000000002</v>
          </cell>
          <cell r="BB32">
            <v>0</v>
          </cell>
          <cell r="BC32">
            <v>1686.9</v>
          </cell>
          <cell r="BD32">
            <v>0</v>
          </cell>
          <cell r="BE32">
            <v>0</v>
          </cell>
          <cell r="BF32">
            <v>0</v>
          </cell>
          <cell r="BJ32">
            <v>1686.9</v>
          </cell>
        </row>
        <row r="33">
          <cell r="F33">
            <v>35979436.425990008</v>
          </cell>
          <cell r="G33">
            <v>3795987.9999999995</v>
          </cell>
          <cell r="H33">
            <v>2984080.2509999997</v>
          </cell>
          <cell r="I33">
            <v>1850057.4669899999</v>
          </cell>
          <cell r="J33">
            <v>935648.85099999991</v>
          </cell>
          <cell r="K33">
            <v>2029807.8000000003</v>
          </cell>
          <cell r="L33">
            <v>1933505.3299999998</v>
          </cell>
          <cell r="M33">
            <v>932087.43900000001</v>
          </cell>
          <cell r="N33">
            <v>1596581.557</v>
          </cell>
          <cell r="O33">
            <v>992114.34100000001</v>
          </cell>
          <cell r="P33">
            <v>1484918.0449999999</v>
          </cell>
          <cell r="Q33">
            <v>1627534.7580000001</v>
          </cell>
          <cell r="R33">
            <v>888373.42</v>
          </cell>
          <cell r="S33">
            <v>2183215.5839999998</v>
          </cell>
          <cell r="T33">
            <v>256834.56200000003</v>
          </cell>
          <cell r="U33">
            <v>481095.74200000003</v>
          </cell>
          <cell r="V33">
            <v>663682.69999999995</v>
          </cell>
          <cell r="W33">
            <v>666753.44299999997</v>
          </cell>
          <cell r="X33">
            <v>0</v>
          </cell>
          <cell r="Y33">
            <v>0</v>
          </cell>
          <cell r="Z33">
            <v>25302279.28999</v>
          </cell>
          <cell r="AA33">
            <v>5867.1950000000006</v>
          </cell>
          <cell r="AB33">
            <v>0</v>
          </cell>
          <cell r="AC33">
            <v>0</v>
          </cell>
          <cell r="AD33">
            <v>8915.2579999999998</v>
          </cell>
          <cell r="AE33">
            <v>0</v>
          </cell>
          <cell r="AH33">
            <v>14782.453000000001</v>
          </cell>
          <cell r="AI33">
            <v>25317061.742990002</v>
          </cell>
          <cell r="AJ33">
            <v>717448.47499999998</v>
          </cell>
          <cell r="AK33">
            <v>344419.53</v>
          </cell>
          <cell r="AL33">
            <v>0</v>
          </cell>
          <cell r="AN33">
            <v>1061868.0049999999</v>
          </cell>
          <cell r="AO33">
            <v>9590466.4230000004</v>
          </cell>
          <cell r="AP33">
            <v>0</v>
          </cell>
          <cell r="AS33">
            <v>9590466.4230000004</v>
          </cell>
          <cell r="AT33">
            <v>1401.7650000000001</v>
          </cell>
          <cell r="AU33">
            <v>8638.49</v>
          </cell>
          <cell r="AV33">
            <v>0</v>
          </cell>
          <cell r="AW33">
            <v>0</v>
          </cell>
          <cell r="AX33">
            <v>0</v>
          </cell>
          <cell r="BA33">
            <v>10040.254999999999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J33">
            <v>0</v>
          </cell>
        </row>
        <row r="34">
          <cell r="F34">
            <v>5450038.2750099972</v>
          </cell>
          <cell r="G34">
            <v>698737.55600000033</v>
          </cell>
          <cell r="H34">
            <v>442054.15100000007</v>
          </cell>
          <cell r="I34">
            <v>214826.61801000033</v>
          </cell>
          <cell r="J34">
            <v>112797.94800000009</v>
          </cell>
          <cell r="K34">
            <v>603002.69999999972</v>
          </cell>
          <cell r="L34">
            <v>436767.57000000007</v>
          </cell>
          <cell r="M34">
            <v>150146.46099999989</v>
          </cell>
          <cell r="N34">
            <v>431541.3629999999</v>
          </cell>
          <cell r="O34">
            <v>221743.59100000001</v>
          </cell>
          <cell r="P34">
            <v>376519.85499999998</v>
          </cell>
          <cell r="Q34">
            <v>354665.24199999985</v>
          </cell>
          <cell r="R34">
            <v>89068.179999999935</v>
          </cell>
          <cell r="S34">
            <v>407708.2080000001</v>
          </cell>
          <cell r="T34">
            <v>44666.537999999942</v>
          </cell>
          <cell r="U34">
            <v>123935.87099999998</v>
          </cell>
          <cell r="V34">
            <v>43291.241000000038</v>
          </cell>
          <cell r="W34">
            <v>198147.93700000003</v>
          </cell>
          <cell r="X34">
            <v>0</v>
          </cell>
          <cell r="Y34">
            <v>0</v>
          </cell>
          <cell r="Z34">
            <v>4949621.0300099999</v>
          </cell>
          <cell r="AA34">
            <v>44132.805</v>
          </cell>
          <cell r="AB34">
            <v>0</v>
          </cell>
          <cell r="AC34">
            <v>0</v>
          </cell>
          <cell r="AD34">
            <v>19424.741999999998</v>
          </cell>
          <cell r="AE34">
            <v>0</v>
          </cell>
          <cell r="AH34">
            <v>63557.546999999999</v>
          </cell>
          <cell r="AI34">
            <v>5013178.5770099983</v>
          </cell>
          <cell r="AJ34">
            <v>36456.724999999977</v>
          </cell>
          <cell r="AK34">
            <v>115690.46999999997</v>
          </cell>
          <cell r="AL34">
            <v>0</v>
          </cell>
          <cell r="AN34">
            <v>152147.19500000007</v>
          </cell>
          <cell r="AO34">
            <v>199004.58100000024</v>
          </cell>
          <cell r="AP34">
            <v>0</v>
          </cell>
          <cell r="AS34">
            <v>199004.58100000024</v>
          </cell>
          <cell r="AT34">
            <v>3598.2349999999997</v>
          </cell>
          <cell r="AU34">
            <v>-140.48999999999978</v>
          </cell>
          <cell r="AV34">
            <v>0</v>
          </cell>
          <cell r="AW34">
            <v>80563.277000000002</v>
          </cell>
          <cell r="AX34">
            <v>0</v>
          </cell>
          <cell r="BA34">
            <v>84021.021999999997</v>
          </cell>
          <cell r="BB34">
            <v>0</v>
          </cell>
          <cell r="BC34">
            <v>1686.9</v>
          </cell>
          <cell r="BD34">
            <v>0</v>
          </cell>
          <cell r="BE34">
            <v>0</v>
          </cell>
          <cell r="BF34">
            <v>0</v>
          </cell>
          <cell r="BJ34">
            <v>1686.9</v>
          </cell>
        </row>
        <row r="35">
          <cell r="F35">
            <v>1642884.5800000003</v>
          </cell>
          <cell r="G35">
            <v>189840.56758573619</v>
          </cell>
          <cell r="H35">
            <v>159908.79617950317</v>
          </cell>
          <cell r="I35">
            <v>102320.50622486931</v>
          </cell>
          <cell r="J35">
            <v>52905.864717468648</v>
          </cell>
          <cell r="K35">
            <v>124287.79382715809</v>
          </cell>
          <cell r="L35">
            <v>109936.65026145171</v>
          </cell>
          <cell r="M35">
            <v>63367.064392453591</v>
          </cell>
          <cell r="N35">
            <v>97575.074584589165</v>
          </cell>
          <cell r="O35">
            <v>65038.088985040449</v>
          </cell>
          <cell r="P35">
            <v>81774.168683279277</v>
          </cell>
          <cell r="Q35">
            <v>85565.017967903972</v>
          </cell>
          <cell r="R35">
            <v>50414.381915438207</v>
          </cell>
          <cell r="S35">
            <v>106549.69281381719</v>
          </cell>
          <cell r="T35">
            <v>16013.3240074727</v>
          </cell>
          <cell r="U35">
            <v>25089.922359500233</v>
          </cell>
          <cell r="V35">
            <v>50028.219118253364</v>
          </cell>
          <cell r="W35">
            <v>30456.798376064799</v>
          </cell>
          <cell r="X35">
            <v>0</v>
          </cell>
          <cell r="Y35">
            <v>0</v>
          </cell>
          <cell r="Z35">
            <v>1411071.932</v>
          </cell>
          <cell r="AA35">
            <v>0</v>
          </cell>
          <cell r="AB35">
            <v>595.154</v>
          </cell>
          <cell r="AC35">
            <v>72.394000000000005</v>
          </cell>
          <cell r="AD35">
            <v>0</v>
          </cell>
          <cell r="AE35">
            <v>-276.80200000000002</v>
          </cell>
          <cell r="AH35">
            <v>390.74599999999998</v>
          </cell>
          <cell r="AI35">
            <v>1411462.6780000001</v>
          </cell>
          <cell r="AJ35">
            <v>8769.8029999999999</v>
          </cell>
          <cell r="AK35">
            <v>0</v>
          </cell>
          <cell r="AL35">
            <v>9372.6929999999993</v>
          </cell>
          <cell r="AN35">
            <v>18142.495999999999</v>
          </cell>
          <cell r="AO35">
            <v>121777.338</v>
          </cell>
          <cell r="AP35">
            <v>855.83600000000001</v>
          </cell>
          <cell r="AS35">
            <v>122633.174</v>
          </cell>
          <cell r="AT35">
            <v>0</v>
          </cell>
          <cell r="AU35">
            <v>0</v>
          </cell>
          <cell r="AV35">
            <v>32623.118999999999</v>
          </cell>
          <cell r="AW35">
            <v>0</v>
          </cell>
          <cell r="AX35">
            <v>27234.568999999996</v>
          </cell>
          <cell r="BA35">
            <v>59857.687999999995</v>
          </cell>
          <cell r="BB35">
            <v>0</v>
          </cell>
          <cell r="BC35">
            <v>17904.291000000001</v>
          </cell>
          <cell r="BD35">
            <v>0</v>
          </cell>
          <cell r="BE35">
            <v>0</v>
          </cell>
          <cell r="BF35">
            <v>12884.253000000001</v>
          </cell>
          <cell r="BJ35">
            <v>30788.544000000002</v>
          </cell>
        </row>
        <row r="36">
          <cell r="F36">
            <v>3807153.6950099971</v>
          </cell>
          <cell r="G36">
            <v>508896.98841426417</v>
          </cell>
          <cell r="H36">
            <v>282145.35482049687</v>
          </cell>
          <cell r="I36">
            <v>112506.11178513101</v>
          </cell>
          <cell r="J36">
            <v>59892.083282531443</v>
          </cell>
          <cell r="K36">
            <v>478714.90617284161</v>
          </cell>
          <cell r="L36">
            <v>326830.91973854834</v>
          </cell>
          <cell r="M36">
            <v>86779.39660754631</v>
          </cell>
          <cell r="N36">
            <v>333966.28841541073</v>
          </cell>
          <cell r="O36">
            <v>156705.50201495958</v>
          </cell>
          <cell r="P36">
            <v>294745.68631672068</v>
          </cell>
          <cell r="Q36">
            <v>269100.22403209587</v>
          </cell>
          <cell r="R36">
            <v>38653.798084561728</v>
          </cell>
          <cell r="S36">
            <v>301158.51518618292</v>
          </cell>
          <cell r="T36">
            <v>28653.213992527242</v>
          </cell>
          <cell r="U36">
            <v>98845.948640499759</v>
          </cell>
          <cell r="V36">
            <v>-6736.9781182533261</v>
          </cell>
          <cell r="W36">
            <v>167691.13862393523</v>
          </cell>
          <cell r="X36">
            <v>0</v>
          </cell>
          <cell r="Y36">
            <v>0</v>
          </cell>
          <cell r="Z36">
            <v>3538549.0980099998</v>
          </cell>
          <cell r="AA36">
            <v>44132.805</v>
          </cell>
          <cell r="AB36">
            <v>-595.154</v>
          </cell>
          <cell r="AC36">
            <v>-72.394000000000005</v>
          </cell>
          <cell r="AD36">
            <v>19424.741999999998</v>
          </cell>
          <cell r="AE36">
            <v>276.80200000000002</v>
          </cell>
          <cell r="AH36">
            <v>63166.800999999999</v>
          </cell>
          <cell r="AI36">
            <v>3601715.899009998</v>
          </cell>
          <cell r="AJ36">
            <v>27686.921999999977</v>
          </cell>
          <cell r="AK36">
            <v>115690.46999999997</v>
          </cell>
          <cell r="AL36">
            <v>-9372.6929999999993</v>
          </cell>
          <cell r="AN36">
            <v>134004.69900000008</v>
          </cell>
          <cell r="AO36">
            <v>77227.243000000235</v>
          </cell>
          <cell r="AP36">
            <v>-855.83600000000001</v>
          </cell>
          <cell r="AS36">
            <v>76371.407000000239</v>
          </cell>
          <cell r="AT36">
            <v>3598.2349999999997</v>
          </cell>
          <cell r="AU36">
            <v>-140.48999999999978</v>
          </cell>
          <cell r="AV36">
            <v>-32623.118999999999</v>
          </cell>
          <cell r="AW36">
            <v>80563.277000000002</v>
          </cell>
          <cell r="AX36">
            <v>-27234.568999999996</v>
          </cell>
          <cell r="BA36">
            <v>24163.334000000003</v>
          </cell>
          <cell r="BB36">
            <v>0</v>
          </cell>
          <cell r="BC36">
            <v>-16217.391000000001</v>
          </cell>
          <cell r="BD36">
            <v>0</v>
          </cell>
          <cell r="BE36">
            <v>0</v>
          </cell>
          <cell r="BF36">
            <v>-12884.253000000001</v>
          </cell>
          <cell r="BJ36">
            <v>-29101.644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-15488</v>
          </cell>
          <cell r="AK38">
            <v>-28772</v>
          </cell>
          <cell r="AN38">
            <v>-44260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-796857.5</v>
          </cell>
          <cell r="Z39">
            <v>0</v>
          </cell>
          <cell r="AH39">
            <v>0</v>
          </cell>
          <cell r="AI39">
            <v>0</v>
          </cell>
          <cell r="AJ39">
            <v>-444459.5</v>
          </cell>
          <cell r="AK39">
            <v>-352398</v>
          </cell>
          <cell r="AN39">
            <v>-796857.5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-796857.5</v>
          </cell>
          <cell r="K40">
            <v>-21137.216</v>
          </cell>
          <cell r="L40">
            <v>-86938.716</v>
          </cell>
          <cell r="M40">
            <v>1392.6189999999999</v>
          </cell>
          <cell r="N40">
            <v>-1499.088</v>
          </cell>
          <cell r="O40">
            <v>-2194.52</v>
          </cell>
          <cell r="P40">
            <v>-7441.7950000000001</v>
          </cell>
          <cell r="Z40">
            <v>-117818.716</v>
          </cell>
          <cell r="AH40">
            <v>0</v>
          </cell>
          <cell r="AI40">
            <v>-117818.716</v>
          </cell>
          <cell r="AJ40">
            <v>-427275.70199999999</v>
          </cell>
          <cell r="AK40">
            <v>-251763.08199999999</v>
          </cell>
          <cell r="AN40">
            <v>-679038.78399999999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21137.216</v>
          </cell>
          <cell r="L41">
            <v>86938.716</v>
          </cell>
          <cell r="M41">
            <v>-1392.6189999999999</v>
          </cell>
          <cell r="N41">
            <v>1499.088</v>
          </cell>
          <cell r="O41">
            <v>2194.52</v>
          </cell>
          <cell r="P41">
            <v>7441.7950000000001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117818.716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H41">
            <v>0</v>
          </cell>
          <cell r="AI41">
            <v>117818.716</v>
          </cell>
          <cell r="AJ41">
            <v>-17183.79800000001</v>
          </cell>
          <cell r="AK41">
            <v>-100634.91800000001</v>
          </cell>
          <cell r="AL41">
            <v>0</v>
          </cell>
          <cell r="AN41">
            <v>-117818.71600000001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21137.216</v>
          </cell>
          <cell r="L43">
            <v>86938.716</v>
          </cell>
          <cell r="M43">
            <v>-1392.6189999999999</v>
          </cell>
          <cell r="N43">
            <v>1499.088</v>
          </cell>
          <cell r="O43">
            <v>2194.52</v>
          </cell>
          <cell r="P43">
            <v>7441.7950000000001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117818.716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H43">
            <v>0</v>
          </cell>
          <cell r="AI43">
            <v>117818.716</v>
          </cell>
          <cell r="AJ43">
            <v>-17183.79800000001</v>
          </cell>
          <cell r="AK43">
            <v>-100634.91800000001</v>
          </cell>
          <cell r="AL43">
            <v>0</v>
          </cell>
          <cell r="AN43">
            <v>-117818.71600000001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J43">
            <v>0</v>
          </cell>
        </row>
        <row r="45">
          <cell r="G45">
            <v>49587</v>
          </cell>
          <cell r="H45">
            <v>37843</v>
          </cell>
          <cell r="I45">
            <v>23424</v>
          </cell>
          <cell r="J45">
            <v>12281.5</v>
          </cell>
          <cell r="K45">
            <v>25490</v>
          </cell>
          <cell r="L45">
            <v>25042</v>
          </cell>
          <cell r="M45">
            <v>11597</v>
          </cell>
          <cell r="N45">
            <v>20163</v>
          </cell>
          <cell r="O45">
            <v>12890</v>
          </cell>
          <cell r="P45">
            <v>20134</v>
          </cell>
          <cell r="Q45">
            <v>22593.5</v>
          </cell>
          <cell r="R45">
            <v>10440</v>
          </cell>
          <cell r="S45">
            <v>27673</v>
          </cell>
          <cell r="T45">
            <v>2892</v>
          </cell>
          <cell r="U45">
            <v>6604</v>
          </cell>
          <cell r="V45">
            <v>8036.5</v>
          </cell>
          <cell r="W45">
            <v>7311</v>
          </cell>
          <cell r="X45">
            <v>0</v>
          </cell>
          <cell r="Y45">
            <v>0</v>
          </cell>
          <cell r="Z45">
            <v>324001.5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H45">
            <v>0</v>
          </cell>
          <cell r="AI45">
            <v>324001.5</v>
          </cell>
          <cell r="AJ45">
            <v>10264</v>
          </cell>
          <cell r="AK45">
            <v>10224</v>
          </cell>
          <cell r="AL45">
            <v>0</v>
          </cell>
          <cell r="AN45">
            <v>20488</v>
          </cell>
          <cell r="AO45">
            <v>8382.34</v>
          </cell>
          <cell r="AP45">
            <v>0</v>
          </cell>
          <cell r="AS45">
            <v>8382.34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J45">
            <v>0</v>
          </cell>
        </row>
        <row r="46">
          <cell r="F46">
            <v>40632617.201000005</v>
          </cell>
          <cell r="G46">
            <v>4494725.5559999999</v>
          </cell>
          <cell r="H46">
            <v>3426134.4019999998</v>
          </cell>
          <cell r="I46">
            <v>2064884.0850000002</v>
          </cell>
          <cell r="J46">
            <v>1048446.799</v>
          </cell>
          <cell r="K46">
            <v>2632810.5</v>
          </cell>
          <cell r="L46">
            <v>2370272.9</v>
          </cell>
          <cell r="M46">
            <v>1082233.8999999999</v>
          </cell>
          <cell r="N46">
            <v>2028122.92</v>
          </cell>
          <cell r="O46">
            <v>1213857.932</v>
          </cell>
          <cell r="P46">
            <v>1861437.9</v>
          </cell>
          <cell r="Q46">
            <v>1982200</v>
          </cell>
          <cell r="R46">
            <v>977441.6</v>
          </cell>
          <cell r="S46">
            <v>2590923.7919999999</v>
          </cell>
          <cell r="T46">
            <v>301501.09999999998</v>
          </cell>
          <cell r="U46">
            <v>605031.61300000001</v>
          </cell>
          <cell r="V46">
            <v>706973.94099999999</v>
          </cell>
          <cell r="W46">
            <v>864901.38</v>
          </cell>
          <cell r="X46">
            <v>0</v>
          </cell>
          <cell r="Y46">
            <v>0</v>
          </cell>
          <cell r="Z46">
            <v>30251900.32</v>
          </cell>
          <cell r="AA46">
            <v>50000</v>
          </cell>
          <cell r="AB46">
            <v>0</v>
          </cell>
          <cell r="AC46">
            <v>0</v>
          </cell>
          <cell r="AD46">
            <v>28340</v>
          </cell>
          <cell r="AE46">
            <v>0</v>
          </cell>
          <cell r="AH46">
            <v>78340</v>
          </cell>
          <cell r="AI46">
            <v>30330240.32</v>
          </cell>
          <cell r="AJ46">
            <v>309445.69999999995</v>
          </cell>
          <cell r="AK46">
            <v>107712</v>
          </cell>
          <cell r="AL46">
            <v>0</v>
          </cell>
          <cell r="AN46">
            <v>417157.69999999995</v>
          </cell>
          <cell r="AO46">
            <v>9789471.0040000007</v>
          </cell>
          <cell r="AP46">
            <v>0</v>
          </cell>
          <cell r="AS46">
            <v>9789471.0040000007</v>
          </cell>
          <cell r="AT46">
            <v>5000</v>
          </cell>
          <cell r="AU46">
            <v>8498</v>
          </cell>
          <cell r="AV46">
            <v>0</v>
          </cell>
          <cell r="AW46">
            <v>80563.277000000002</v>
          </cell>
          <cell r="AX46">
            <v>0</v>
          </cell>
          <cell r="BA46">
            <v>94061.277000000002</v>
          </cell>
          <cell r="BB46">
            <v>0</v>
          </cell>
          <cell r="BC46">
            <v>1686.9</v>
          </cell>
          <cell r="BD46">
            <v>0</v>
          </cell>
          <cell r="BE46">
            <v>0</v>
          </cell>
          <cell r="BF46">
            <v>0</v>
          </cell>
          <cell r="BJ46">
            <v>1686.9</v>
          </cell>
        </row>
        <row r="47">
          <cell r="F47">
            <v>35182578.925990008</v>
          </cell>
          <cell r="G47">
            <v>3795987.9999999995</v>
          </cell>
          <cell r="H47">
            <v>2984080.2509999997</v>
          </cell>
          <cell r="I47">
            <v>1850057.4669899999</v>
          </cell>
          <cell r="J47">
            <v>935648.85099999991</v>
          </cell>
          <cell r="K47">
            <v>2008670.5840000003</v>
          </cell>
          <cell r="L47">
            <v>1846566.6139999998</v>
          </cell>
          <cell r="M47">
            <v>933480.05799999996</v>
          </cell>
          <cell r="N47">
            <v>1595082.469</v>
          </cell>
          <cell r="O47">
            <v>989919.821</v>
          </cell>
          <cell r="P47">
            <v>1477476.25</v>
          </cell>
          <cell r="Q47">
            <v>1627534.7580000001</v>
          </cell>
          <cell r="R47">
            <v>888373.42</v>
          </cell>
          <cell r="S47">
            <v>2183215.5839999998</v>
          </cell>
          <cell r="T47">
            <v>256834.56200000003</v>
          </cell>
          <cell r="U47">
            <v>481095.74200000003</v>
          </cell>
          <cell r="V47">
            <v>663682.69999999995</v>
          </cell>
          <cell r="W47">
            <v>666753.44299999997</v>
          </cell>
          <cell r="X47">
            <v>0</v>
          </cell>
          <cell r="Y47">
            <v>0</v>
          </cell>
          <cell r="Z47">
            <v>25184460.573989999</v>
          </cell>
          <cell r="AA47">
            <v>5867.1950000000006</v>
          </cell>
          <cell r="AB47">
            <v>0</v>
          </cell>
          <cell r="AC47">
            <v>0</v>
          </cell>
          <cell r="AD47">
            <v>8915.2579999999998</v>
          </cell>
          <cell r="AE47">
            <v>0</v>
          </cell>
          <cell r="AH47">
            <v>14782.453000000001</v>
          </cell>
          <cell r="AI47">
            <v>25199243.02699</v>
          </cell>
          <cell r="AJ47">
            <v>290172.77299999999</v>
          </cell>
          <cell r="AK47">
            <v>92656.448000000033</v>
          </cell>
          <cell r="AL47">
            <v>0</v>
          </cell>
          <cell r="AN47">
            <v>382829.22100000002</v>
          </cell>
          <cell r="AO47">
            <v>9590466.4230000004</v>
          </cell>
          <cell r="AP47">
            <v>0</v>
          </cell>
          <cell r="AS47">
            <v>9590466.4230000004</v>
          </cell>
          <cell r="AT47">
            <v>1401.7650000000001</v>
          </cell>
          <cell r="AU47">
            <v>8638.49</v>
          </cell>
          <cell r="AV47">
            <v>0</v>
          </cell>
          <cell r="AW47">
            <v>0</v>
          </cell>
          <cell r="AX47">
            <v>0</v>
          </cell>
          <cell r="BA47">
            <v>10040.254999999999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J47">
            <v>0</v>
          </cell>
        </row>
        <row r="48">
          <cell r="F48">
            <v>5450038.2750099972</v>
          </cell>
          <cell r="G48">
            <v>698737.55600000033</v>
          </cell>
          <cell r="H48">
            <v>442054.15100000007</v>
          </cell>
          <cell r="I48">
            <v>214826.61801000033</v>
          </cell>
          <cell r="J48">
            <v>112797.94800000009</v>
          </cell>
          <cell r="K48">
            <v>624139.91599999974</v>
          </cell>
          <cell r="L48">
            <v>523706.28600000008</v>
          </cell>
          <cell r="M48">
            <v>148753.84199999995</v>
          </cell>
          <cell r="N48">
            <v>433040.45099999988</v>
          </cell>
          <cell r="O48">
            <v>223938.11100000003</v>
          </cell>
          <cell r="P48">
            <v>383961.64999999991</v>
          </cell>
          <cell r="Q48">
            <v>354665.24199999985</v>
          </cell>
          <cell r="R48">
            <v>89068.179999999935</v>
          </cell>
          <cell r="S48">
            <v>407708.2080000001</v>
          </cell>
          <cell r="T48">
            <v>44666.537999999942</v>
          </cell>
          <cell r="U48">
            <v>123935.87099999998</v>
          </cell>
          <cell r="V48">
            <v>43291.241000000038</v>
          </cell>
          <cell r="W48">
            <v>198147.93700000003</v>
          </cell>
          <cell r="X48">
            <v>0</v>
          </cell>
          <cell r="Y48">
            <v>0</v>
          </cell>
          <cell r="Z48">
            <v>5067439.7460100017</v>
          </cell>
          <cell r="AA48">
            <v>44132.805</v>
          </cell>
          <cell r="AB48">
            <v>0</v>
          </cell>
          <cell r="AC48">
            <v>0</v>
          </cell>
          <cell r="AD48">
            <v>19424.741999999998</v>
          </cell>
          <cell r="AE48">
            <v>0</v>
          </cell>
          <cell r="AH48">
            <v>63557.546999999999</v>
          </cell>
          <cell r="AI48">
            <v>5130997.2930100001</v>
          </cell>
          <cell r="AJ48">
            <v>19272.926999999967</v>
          </cell>
          <cell r="AK48">
            <v>15055.551999999967</v>
          </cell>
          <cell r="AL48">
            <v>0</v>
          </cell>
          <cell r="AN48">
            <v>34328.478999999934</v>
          </cell>
          <cell r="AO48">
            <v>199004.58100000024</v>
          </cell>
          <cell r="AP48">
            <v>0</v>
          </cell>
          <cell r="AS48">
            <v>199004.58100000024</v>
          </cell>
          <cell r="AT48">
            <v>3598.2349999999997</v>
          </cell>
          <cell r="AU48">
            <v>-140.48999999999978</v>
          </cell>
          <cell r="AV48">
            <v>0</v>
          </cell>
          <cell r="AW48">
            <v>80563.277000000002</v>
          </cell>
          <cell r="AX48">
            <v>0</v>
          </cell>
          <cell r="BA48">
            <v>84021.021999999997</v>
          </cell>
          <cell r="BB48">
            <v>0</v>
          </cell>
          <cell r="BC48">
            <v>1686.9</v>
          </cell>
          <cell r="BD48">
            <v>0</v>
          </cell>
          <cell r="BE48">
            <v>0</v>
          </cell>
          <cell r="BF48">
            <v>0</v>
          </cell>
          <cell r="BJ48">
            <v>1686.9</v>
          </cell>
        </row>
        <row r="49">
          <cell r="F49">
            <v>1642884.5800000003</v>
          </cell>
          <cell r="G49">
            <v>189840.56758573619</v>
          </cell>
          <cell r="H49">
            <v>159908.79617950317</v>
          </cell>
          <cell r="I49">
            <v>102320.50622486931</v>
          </cell>
          <cell r="J49">
            <v>52905.864717468648</v>
          </cell>
          <cell r="K49">
            <v>124287.79382715809</v>
          </cell>
          <cell r="L49">
            <v>109936.65026145171</v>
          </cell>
          <cell r="M49">
            <v>63367.064392453591</v>
          </cell>
          <cell r="N49">
            <v>97575.074584589165</v>
          </cell>
          <cell r="O49">
            <v>65038.088985040449</v>
          </cell>
          <cell r="P49">
            <v>81774.168683279277</v>
          </cell>
          <cell r="Q49">
            <v>85565.017967903972</v>
          </cell>
          <cell r="R49">
            <v>50414.381915438207</v>
          </cell>
          <cell r="S49">
            <v>106549.69281381719</v>
          </cell>
          <cell r="T49">
            <v>16013.3240074727</v>
          </cell>
          <cell r="U49">
            <v>25089.922359500233</v>
          </cell>
          <cell r="V49">
            <v>50028.219118253364</v>
          </cell>
          <cell r="W49">
            <v>30456.798376064799</v>
          </cell>
          <cell r="X49">
            <v>0</v>
          </cell>
          <cell r="Y49">
            <v>0</v>
          </cell>
          <cell r="Z49">
            <v>1411071.932</v>
          </cell>
          <cell r="AA49">
            <v>0</v>
          </cell>
          <cell r="AB49">
            <v>595.154</v>
          </cell>
          <cell r="AC49">
            <v>72.394000000000005</v>
          </cell>
          <cell r="AD49">
            <v>0</v>
          </cell>
          <cell r="AE49">
            <v>-276.80200000000002</v>
          </cell>
          <cell r="AH49">
            <v>390.74599999999998</v>
          </cell>
          <cell r="AI49">
            <v>1411462.6780000001</v>
          </cell>
          <cell r="AJ49">
            <v>8769.8029999999999</v>
          </cell>
          <cell r="AK49">
            <v>0</v>
          </cell>
          <cell r="AL49">
            <v>9372.6929999999993</v>
          </cell>
          <cell r="AN49">
            <v>18142.495999999999</v>
          </cell>
          <cell r="AO49">
            <v>121777.338</v>
          </cell>
          <cell r="AP49">
            <v>855.83600000000001</v>
          </cell>
          <cell r="AS49">
            <v>122633.174</v>
          </cell>
          <cell r="AT49">
            <v>0</v>
          </cell>
          <cell r="AU49">
            <v>0</v>
          </cell>
          <cell r="AV49">
            <v>32623.118999999999</v>
          </cell>
          <cell r="AW49">
            <v>0</v>
          </cell>
          <cell r="AX49">
            <v>27234.568999999996</v>
          </cell>
          <cell r="BA49">
            <v>59857.687999999995</v>
          </cell>
          <cell r="BB49">
            <v>0</v>
          </cell>
          <cell r="BC49">
            <v>17904.291000000001</v>
          </cell>
          <cell r="BD49">
            <v>0</v>
          </cell>
          <cell r="BE49">
            <v>0</v>
          </cell>
          <cell r="BF49">
            <v>12884.253000000001</v>
          </cell>
          <cell r="BJ49">
            <v>30788.544000000002</v>
          </cell>
        </row>
        <row r="50">
          <cell r="F50">
            <v>3807153.6950099971</v>
          </cell>
          <cell r="G50">
            <v>508896.98841426417</v>
          </cell>
          <cell r="H50">
            <v>282145.35482049687</v>
          </cell>
          <cell r="I50">
            <v>112506.11178513101</v>
          </cell>
          <cell r="J50">
            <v>59892.083282531443</v>
          </cell>
          <cell r="K50">
            <v>499852.12217284163</v>
          </cell>
          <cell r="L50">
            <v>413769.63573854836</v>
          </cell>
          <cell r="M50">
            <v>85386.777607546363</v>
          </cell>
          <cell r="N50">
            <v>335465.37641541072</v>
          </cell>
          <cell r="O50">
            <v>158900.0220149596</v>
          </cell>
          <cell r="P50">
            <v>302187.4813167206</v>
          </cell>
          <cell r="Q50">
            <v>269100.22403209587</v>
          </cell>
          <cell r="R50">
            <v>38653.798084561728</v>
          </cell>
          <cell r="S50">
            <v>301158.51518618292</v>
          </cell>
          <cell r="T50">
            <v>28653.213992527242</v>
          </cell>
          <cell r="U50">
            <v>98845.948640499759</v>
          </cell>
          <cell r="V50">
            <v>-6736.9781182533261</v>
          </cell>
          <cell r="W50">
            <v>167691.13862393523</v>
          </cell>
          <cell r="X50">
            <v>0</v>
          </cell>
          <cell r="Y50">
            <v>0</v>
          </cell>
          <cell r="Z50">
            <v>3656367.8140100017</v>
          </cell>
          <cell r="AA50">
            <v>44132.805</v>
          </cell>
          <cell r="AB50">
            <v>-595.154</v>
          </cell>
          <cell r="AC50">
            <v>-72.394000000000005</v>
          </cell>
          <cell r="AD50">
            <v>19424.741999999998</v>
          </cell>
          <cell r="AE50">
            <v>276.80200000000002</v>
          </cell>
          <cell r="AH50">
            <v>63166.800999999999</v>
          </cell>
          <cell r="AI50">
            <v>3719534.6150099998</v>
          </cell>
          <cell r="AJ50">
            <v>10503.123999999967</v>
          </cell>
          <cell r="AK50">
            <v>15055.551999999967</v>
          </cell>
          <cell r="AL50">
            <v>-9372.6929999999993</v>
          </cell>
          <cell r="AN50">
            <v>16185.982999999935</v>
          </cell>
          <cell r="AO50">
            <v>77227.243000000235</v>
          </cell>
          <cell r="AP50">
            <v>-855.83600000000001</v>
          </cell>
          <cell r="AS50">
            <v>76371.407000000239</v>
          </cell>
          <cell r="AT50">
            <v>3598.2349999999997</v>
          </cell>
          <cell r="AU50">
            <v>-140.48999999999978</v>
          </cell>
          <cell r="AV50">
            <v>-32623.118999999999</v>
          </cell>
          <cell r="AW50">
            <v>80563.277000000002</v>
          </cell>
          <cell r="AX50">
            <v>-27234.568999999996</v>
          </cell>
          <cell r="BA50">
            <v>24163.334000000003</v>
          </cell>
          <cell r="BB50">
            <v>0</v>
          </cell>
          <cell r="BC50">
            <v>-16217.391000000001</v>
          </cell>
          <cell r="BD50">
            <v>0</v>
          </cell>
          <cell r="BE50">
            <v>0</v>
          </cell>
          <cell r="BF50">
            <v>-12884.253000000001</v>
          </cell>
          <cell r="BJ50">
            <v>-29101.644</v>
          </cell>
        </row>
      </sheetData>
      <sheetData sheetId="6">
        <row r="6">
          <cell r="F6" t="str">
            <v>합계</v>
          </cell>
        </row>
      </sheetData>
      <sheetData sheetId="7">
        <row r="6">
          <cell r="F6" t="str">
            <v>합계</v>
          </cell>
        </row>
      </sheetData>
      <sheetData sheetId="8">
        <row r="6">
          <cell r="F6" t="str">
            <v>합계</v>
          </cell>
        </row>
      </sheetData>
      <sheetData sheetId="9">
        <row r="6">
          <cell r="F6" t="str">
            <v>합계</v>
          </cell>
        </row>
      </sheetData>
      <sheetData sheetId="10">
        <row r="6">
          <cell r="F6" t="str">
            <v>합계</v>
          </cell>
        </row>
      </sheetData>
      <sheetData sheetId="11">
        <row r="6">
          <cell r="F6" t="str">
            <v>합계</v>
          </cell>
        </row>
      </sheetData>
      <sheetData sheetId="12"/>
      <sheetData sheetId="13">
        <row r="6">
          <cell r="F6" t="str">
            <v>합계</v>
          </cell>
        </row>
      </sheetData>
      <sheetData sheetId="14">
        <row r="6">
          <cell r="F6" t="str">
            <v>합계</v>
          </cell>
        </row>
      </sheetData>
      <sheetData sheetId="15">
        <row r="6">
          <cell r="F6" t="str">
            <v>합계</v>
          </cell>
        </row>
      </sheetData>
      <sheetData sheetId="16">
        <row r="6">
          <cell r="F6" t="str">
            <v>합계</v>
          </cell>
        </row>
      </sheetData>
      <sheetData sheetId="17">
        <row r="6">
          <cell r="F6" t="str">
            <v>합계</v>
          </cell>
        </row>
      </sheetData>
      <sheetData sheetId="18"/>
      <sheetData sheetId="19">
        <row r="6">
          <cell r="F6" t="str">
            <v>합계</v>
          </cell>
        </row>
      </sheetData>
      <sheetData sheetId="20"/>
      <sheetData sheetId="21">
        <row r="6">
          <cell r="F6" t="str">
            <v>합계</v>
          </cell>
        </row>
      </sheetData>
      <sheetData sheetId="22"/>
      <sheetData sheetId="23">
        <row r="6">
          <cell r="F6" t="str">
            <v>합계</v>
          </cell>
        </row>
      </sheetData>
      <sheetData sheetId="24"/>
      <sheetData sheetId="25">
        <row r="6">
          <cell r="F6" t="str">
            <v>합계</v>
          </cell>
        </row>
      </sheetData>
      <sheetData sheetId="26">
        <row r="6">
          <cell r="F6" t="str">
            <v>합계</v>
          </cell>
        </row>
      </sheetData>
      <sheetData sheetId="27">
        <row r="6">
          <cell r="F6" t="str">
            <v>합계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총괄"/>
      <sheetName val="사업장별(당월)"/>
      <sheetName val="사업장별(누계)"/>
      <sheetName val="영업이익"/>
      <sheetName val="공헌이익"/>
      <sheetName val="재료비단가"/>
      <sheetName val="원단위"/>
      <sheetName val="건자재"/>
      <sheetName val="골재사업소(당월)"/>
      <sheetName val="골재사업소(누계)"/>
    </sheetNames>
    <sheetDataSet>
      <sheetData sheetId="0"/>
      <sheetData sheetId="1">
        <row r="7">
          <cell r="J7">
            <v>241</v>
          </cell>
          <cell r="K7">
            <v>278.88549999999998</v>
          </cell>
          <cell r="M7">
            <v>268.58100000000002</v>
          </cell>
        </row>
        <row r="8">
          <cell r="J8">
            <v>6900</v>
          </cell>
          <cell r="K8">
            <v>6425.0929999999998</v>
          </cell>
          <cell r="M8">
            <v>6946.7870000000003</v>
          </cell>
        </row>
        <row r="9">
          <cell r="J9">
            <v>76.628970648588776</v>
          </cell>
          <cell r="K9">
            <v>84.516999999999996</v>
          </cell>
          <cell r="M9">
            <v>65.885000000000005</v>
          </cell>
        </row>
        <row r="10">
          <cell r="J10">
            <v>24174.593899330252</v>
          </cell>
          <cell r="K10">
            <v>27875.645882999997</v>
          </cell>
          <cell r="M10">
            <v>24787.855568000003</v>
          </cell>
        </row>
        <row r="11">
          <cell r="J11">
            <v>8447.9431578947388</v>
          </cell>
          <cell r="K11">
            <v>7407.9571670000005</v>
          </cell>
          <cell r="M11">
            <v>8813.6342919999988</v>
          </cell>
        </row>
        <row r="12">
          <cell r="J12">
            <v>1600.1629950676415</v>
          </cell>
          <cell r="K12">
            <v>1719.52</v>
          </cell>
          <cell r="M12">
            <v>1298.828</v>
          </cell>
        </row>
        <row r="13">
          <cell r="J13">
            <v>164.90750033332733</v>
          </cell>
          <cell r="K13">
            <v>164.47551100000101</v>
          </cell>
          <cell r="M13">
            <v>174.12201799999593</v>
          </cell>
        </row>
        <row r="15">
          <cell r="J15">
            <v>21260.178210105369</v>
          </cell>
          <cell r="K15">
            <v>24879.532177999994</v>
          </cell>
          <cell r="M15">
            <v>21521.109216000001</v>
          </cell>
        </row>
        <row r="16">
          <cell r="J16">
            <v>8231.9469948631577</v>
          </cell>
          <cell r="K16">
            <v>7210.5249599999997</v>
          </cell>
          <cell r="M16">
            <v>8643.8546139999999</v>
          </cell>
        </row>
        <row r="17">
          <cell r="J17">
            <v>1537.4160812192667</v>
          </cell>
          <cell r="K17">
            <v>1493.2746959999999</v>
          </cell>
          <cell r="M17">
            <v>1262.186741</v>
          </cell>
        </row>
        <row r="18">
          <cell r="J18">
            <v>28.941067999995539</v>
          </cell>
          <cell r="K18">
            <v>28.511818000002222</v>
          </cell>
          <cell r="M18">
            <v>24.350788999997803</v>
          </cell>
        </row>
        <row r="25">
          <cell r="J25">
            <v>653.67611999999997</v>
          </cell>
          <cell r="K25">
            <v>671.52441500000009</v>
          </cell>
          <cell r="M25">
            <v>725.33701800000017</v>
          </cell>
        </row>
        <row r="26">
          <cell r="J26">
            <v>121.24568000000001</v>
          </cell>
          <cell r="K26">
            <v>122.16499599999999</v>
          </cell>
          <cell r="M26">
            <v>95.380744000000007</v>
          </cell>
        </row>
        <row r="27">
          <cell r="J27">
            <v>35.721889999999995</v>
          </cell>
          <cell r="K27">
            <v>42.171571758265038</v>
          </cell>
          <cell r="M27">
            <v>18.206703000000001</v>
          </cell>
        </row>
        <row r="28">
          <cell r="J28">
            <v>1514.8178770983702</v>
          </cell>
          <cell r="K28">
            <v>1604.8253892438966</v>
          </cell>
          <cell r="M28">
            <v>1311.6563309999999</v>
          </cell>
        </row>
        <row r="38">
          <cell r="J38">
            <v>1003.663631339801</v>
          </cell>
          <cell r="K38">
            <v>1115.0685369978371</v>
          </cell>
          <cell r="M38">
            <v>1472.3577219999991</v>
          </cell>
        </row>
      </sheetData>
      <sheetData sheetId="2"/>
      <sheetData sheetId="3">
        <row r="7">
          <cell r="J7">
            <v>37</v>
          </cell>
          <cell r="K7">
            <v>45.761000000000003</v>
          </cell>
          <cell r="M7">
            <v>39.265999999999998</v>
          </cell>
          <cell r="O7">
            <v>3581.7518500000006</v>
          </cell>
          <cell r="P7">
            <v>4371.1989000000003</v>
          </cell>
          <cell r="R7">
            <v>3529.829804</v>
          </cell>
          <cell r="T7">
            <v>326.8929349364729</v>
          </cell>
          <cell r="U7">
            <v>337.22639400000014</v>
          </cell>
          <cell r="W7">
            <v>393.29113400000011</v>
          </cell>
        </row>
        <row r="8">
          <cell r="J8">
            <v>28</v>
          </cell>
          <cell r="K8">
            <v>28.34</v>
          </cell>
          <cell r="M8">
            <v>24.957000000000001</v>
          </cell>
          <cell r="O8">
            <v>2739.7515299999995</v>
          </cell>
          <cell r="P8">
            <v>2766.8113280000002</v>
          </cell>
          <cell r="R8">
            <v>2220.1667179999999</v>
          </cell>
          <cell r="T8">
            <v>125.23471203982687</v>
          </cell>
          <cell r="U8">
            <v>102.9246220000005</v>
          </cell>
          <cell r="W8">
            <v>29.293795999999812</v>
          </cell>
        </row>
        <row r="9">
          <cell r="J9">
            <v>20</v>
          </cell>
          <cell r="K9">
            <v>22.882000000000001</v>
          </cell>
          <cell r="M9">
            <v>20.905000000000001</v>
          </cell>
          <cell r="O9">
            <v>1918.6196873302513</v>
          </cell>
          <cell r="P9">
            <v>2301.326928</v>
          </cell>
          <cell r="R9">
            <v>1836.6317389999999</v>
          </cell>
          <cell r="T9">
            <v>141.96630346721631</v>
          </cell>
          <cell r="U9">
            <v>116.27631100000002</v>
          </cell>
          <cell r="W9">
            <v>0.64376599999982864</v>
          </cell>
        </row>
        <row r="10">
          <cell r="J10">
            <v>8</v>
          </cell>
          <cell r="K10">
            <v>5.2809999999999997</v>
          </cell>
          <cell r="M10">
            <v>8.2479999999999993</v>
          </cell>
          <cell r="O10">
            <v>742.2165</v>
          </cell>
          <cell r="P10">
            <v>486.84360000000004</v>
          </cell>
          <cell r="R10">
            <v>695.81949199999997</v>
          </cell>
          <cell r="T10">
            <v>-13.085593582901252</v>
          </cell>
          <cell r="U10">
            <v>-70.351561999999973</v>
          </cell>
          <cell r="W10">
            <v>-15.683073000000045</v>
          </cell>
        </row>
        <row r="11">
          <cell r="J11">
            <v>18</v>
          </cell>
          <cell r="K11">
            <v>23.815000000000001</v>
          </cell>
          <cell r="M11">
            <v>24.117999999999999</v>
          </cell>
          <cell r="O11">
            <v>1936.7942300000004</v>
          </cell>
          <cell r="P11">
            <v>2518.1608659999997</v>
          </cell>
          <cell r="R11">
            <v>2452.0565000000001</v>
          </cell>
          <cell r="T11">
            <v>245.36511118332857</v>
          </cell>
          <cell r="U11">
            <v>298.81115099999994</v>
          </cell>
          <cell r="W11">
            <v>433.03576599999997</v>
          </cell>
        </row>
        <row r="12">
          <cell r="J12">
            <v>21</v>
          </cell>
          <cell r="K12">
            <v>23.91</v>
          </cell>
          <cell r="M12">
            <v>20.167999999999999</v>
          </cell>
          <cell r="O12">
            <v>2165.1353199999999</v>
          </cell>
          <cell r="P12">
            <v>2338.4863</v>
          </cell>
          <cell r="R12">
            <v>1845.0338999999999</v>
          </cell>
          <cell r="T12">
            <v>313.84241896257396</v>
          </cell>
          <cell r="U12">
            <v>198.08840199999986</v>
          </cell>
          <cell r="W12">
            <v>187.2714399999997</v>
          </cell>
        </row>
        <row r="13">
          <cell r="J13">
            <v>10</v>
          </cell>
          <cell r="K13">
            <v>12.339</v>
          </cell>
          <cell r="M13">
            <v>11.598000000000001</v>
          </cell>
          <cell r="O13">
            <v>1009.996</v>
          </cell>
          <cell r="P13">
            <v>1225.7102</v>
          </cell>
          <cell r="R13">
            <v>1096.6881000000001</v>
          </cell>
          <cell r="T13">
            <v>74.513101129674411</v>
          </cell>
          <cell r="U13">
            <v>82.439169000000035</v>
          </cell>
          <cell r="W13">
            <v>87.333868000000194</v>
          </cell>
        </row>
        <row r="14">
          <cell r="J14">
            <v>18</v>
          </cell>
          <cell r="K14">
            <v>21.517499999999998</v>
          </cell>
          <cell r="M14">
            <v>18.263999999999999</v>
          </cell>
          <cell r="O14">
            <v>1872</v>
          </cell>
          <cell r="P14">
            <v>2218.10565</v>
          </cell>
          <cell r="R14">
            <v>1770.7951</v>
          </cell>
          <cell r="T14">
            <v>244.37138401418812</v>
          </cell>
          <cell r="U14">
            <v>256.96584100000001</v>
          </cell>
          <cell r="W14">
            <v>235.72105100000002</v>
          </cell>
        </row>
        <row r="15">
          <cell r="J15">
            <v>11</v>
          </cell>
          <cell r="K15">
            <v>13.864000000000001</v>
          </cell>
          <cell r="M15">
            <v>12.092000000000001</v>
          </cell>
          <cell r="O15">
            <v>1059.0886639999999</v>
          </cell>
          <cell r="P15">
            <v>1311.9159</v>
          </cell>
          <cell r="R15">
            <v>1104.9133999999999</v>
          </cell>
          <cell r="T15">
            <v>120.73506793330618</v>
          </cell>
          <cell r="U15">
            <v>152.26054899999991</v>
          </cell>
          <cell r="W15">
            <v>138.2759539999999</v>
          </cell>
        </row>
        <row r="16">
          <cell r="J16">
            <v>14</v>
          </cell>
          <cell r="K16">
            <v>17.315000000000001</v>
          </cell>
          <cell r="M16">
            <v>18.164999999999999</v>
          </cell>
          <cell r="O16">
            <v>1394.204</v>
          </cell>
          <cell r="P16">
            <v>1843.6711</v>
          </cell>
          <cell r="R16">
            <v>1684.7086999999999</v>
          </cell>
          <cell r="T16">
            <v>182.43935946104097</v>
          </cell>
          <cell r="U16">
            <v>299.90022700000003</v>
          </cell>
          <cell r="W16">
            <v>292.02561199999985</v>
          </cell>
        </row>
        <row r="17">
          <cell r="J17">
            <v>13.5</v>
          </cell>
          <cell r="K17">
            <v>14.7545</v>
          </cell>
          <cell r="M17">
            <v>19.599499999999999</v>
          </cell>
          <cell r="O17">
            <v>1320.2999999999997</v>
          </cell>
          <cell r="P17">
            <v>1474.5358999999999</v>
          </cell>
          <cell r="R17">
            <v>1726.74235</v>
          </cell>
          <cell r="T17">
            <v>168.26380013560521</v>
          </cell>
          <cell r="U17">
            <v>205.45768099999998</v>
          </cell>
          <cell r="W17">
            <v>251.62928600000012</v>
          </cell>
        </row>
        <row r="18">
          <cell r="J18">
            <v>5</v>
          </cell>
          <cell r="K18">
            <v>5.383</v>
          </cell>
          <cell r="M18">
            <v>8.1304999999999996</v>
          </cell>
          <cell r="O18">
            <v>490.01365999999996</v>
          </cell>
          <cell r="P18">
            <v>560.60759999999993</v>
          </cell>
          <cell r="R18">
            <v>780.75985000000003</v>
          </cell>
          <cell r="T18">
            <v>-50.284219463871992</v>
          </cell>
          <cell r="U18">
            <v>-2.6878350000000046</v>
          </cell>
          <cell r="W18">
            <v>38.844698000000022</v>
          </cell>
        </row>
        <row r="19">
          <cell r="J19">
            <v>15.5</v>
          </cell>
          <cell r="K19">
            <v>22.998999999999999</v>
          </cell>
          <cell r="M19">
            <v>20.146000000000001</v>
          </cell>
          <cell r="O19">
            <v>1565.4993999999999</v>
          </cell>
          <cell r="P19">
            <v>2225.2768960000003</v>
          </cell>
          <cell r="R19">
            <v>1851.2000999999998</v>
          </cell>
          <cell r="T19">
            <v>135.48480522833327</v>
          </cell>
          <cell r="U19">
            <v>76.583958000000067</v>
          </cell>
          <cell r="W19">
            <v>241.78052399999962</v>
          </cell>
        </row>
        <row r="20">
          <cell r="J20">
            <v>10</v>
          </cell>
          <cell r="K20">
            <v>6.5670000000000002</v>
          </cell>
          <cell r="M20">
            <v>8.2629999999999999</v>
          </cell>
          <cell r="O20">
            <v>1006.5890930000002</v>
          </cell>
          <cell r="P20">
            <v>648.20873600000004</v>
          </cell>
          <cell r="R20">
            <v>717.62855000000002</v>
          </cell>
          <cell r="T20">
            <v>109.56879884617983</v>
          </cell>
          <cell r="U20">
            <v>24.564713999999988</v>
          </cell>
          <cell r="W20">
            <v>14.677471999999964</v>
          </cell>
        </row>
        <row r="21">
          <cell r="J21">
            <v>4</v>
          </cell>
          <cell r="K21">
            <v>7.3630000000000004</v>
          </cell>
          <cell r="M21">
            <v>6.52</v>
          </cell>
          <cell r="O21">
            <v>434.23396499999996</v>
          </cell>
          <cell r="P21">
            <v>752.76157999999998</v>
          </cell>
          <cell r="R21">
            <v>582.53435000000002</v>
          </cell>
          <cell r="T21">
            <v>58.095789637149736</v>
          </cell>
          <cell r="U21">
            <v>157.32963699999999</v>
          </cell>
          <cell r="W21">
            <v>86.060697999999945</v>
          </cell>
        </row>
        <row r="22">
          <cell r="J22">
            <v>4</v>
          </cell>
          <cell r="K22">
            <v>3.5329999999999999</v>
          </cell>
          <cell r="M22">
            <v>1.8129999999999999</v>
          </cell>
          <cell r="O22">
            <v>431.6</v>
          </cell>
          <cell r="P22">
            <v>412.27509999999995</v>
          </cell>
          <cell r="R22">
            <v>154.21270000000001</v>
          </cell>
          <cell r="T22">
            <v>34.35700043011272</v>
          </cell>
          <cell r="U22">
            <v>53.424534000000008</v>
          </cell>
          <cell r="W22">
            <v>-48.466116000000007</v>
          </cell>
        </row>
        <row r="23">
          <cell r="J23">
            <v>4</v>
          </cell>
          <cell r="K23">
            <v>3.2614999999999998</v>
          </cell>
          <cell r="M23">
            <v>6.3280000000000003</v>
          </cell>
          <cell r="O23">
            <v>506.8</v>
          </cell>
          <cell r="P23">
            <v>419.74929900000001</v>
          </cell>
          <cell r="R23">
            <v>738.13421499999993</v>
          </cell>
          <cell r="T23">
            <v>42.978794866642524</v>
          </cell>
          <cell r="U23">
            <v>35.375496999999989</v>
          </cell>
          <cell r="W23">
            <v>175.67345800000012</v>
          </cell>
        </row>
        <row r="28">
          <cell r="J28">
            <v>6900</v>
          </cell>
          <cell r="K28">
            <v>6425.0929999999998</v>
          </cell>
          <cell r="M28">
            <v>6946.7870000000003</v>
          </cell>
          <cell r="O28">
            <v>8447.9431578947388</v>
          </cell>
          <cell r="P28">
            <v>7407.9571670000005</v>
          </cell>
          <cell r="R28">
            <v>8813.6342919999988</v>
          </cell>
          <cell r="T28">
            <v>94.750483031580856</v>
          </cell>
          <cell r="U28">
            <v>75.267211000000415</v>
          </cell>
          <cell r="W28">
            <v>74.398933999999372</v>
          </cell>
        </row>
        <row r="29">
          <cell r="J29">
            <v>24.586870682990952</v>
          </cell>
          <cell r="K29">
            <v>27.204999999999998</v>
          </cell>
          <cell r="M29">
            <v>32.145000000000003</v>
          </cell>
          <cell r="O29">
            <v>697.84314324381148</v>
          </cell>
          <cell r="P29">
            <v>780.04600000000005</v>
          </cell>
          <cell r="R29">
            <v>905.48199999999997</v>
          </cell>
          <cell r="T29">
            <v>16.821420535828889</v>
          </cell>
          <cell r="U29">
            <v>57.434467096316673</v>
          </cell>
          <cell r="W29">
            <v>13.998208999999951</v>
          </cell>
        </row>
        <row r="30">
          <cell r="J30">
            <v>12.3718</v>
          </cell>
          <cell r="K30">
            <v>27.872</v>
          </cell>
          <cell r="M30">
            <v>33.74</v>
          </cell>
          <cell r="O30">
            <v>192.91300000000001</v>
          </cell>
          <cell r="P30">
            <v>373.31200000000001</v>
          </cell>
          <cell r="R30">
            <v>393.346</v>
          </cell>
          <cell r="T30">
            <v>65.721530370126814</v>
          </cell>
          <cell r="U30">
            <v>54.476101695418166</v>
          </cell>
          <cell r="W30">
            <v>13.770076999999992</v>
          </cell>
        </row>
        <row r="31">
          <cell r="J31">
            <v>39.67029996559782</v>
          </cell>
          <cell r="K31">
            <v>29.44</v>
          </cell>
          <cell r="M31">
            <v>0</v>
          </cell>
          <cell r="O31">
            <v>709.40685182383004</v>
          </cell>
          <cell r="P31">
            <v>566.16200000000003</v>
          </cell>
          <cell r="R31">
            <v>0</v>
          </cell>
          <cell r="T31">
            <v>-55.517927057580778</v>
          </cell>
          <cell r="U31">
            <v>72.163163450000042</v>
          </cell>
          <cell r="W31">
            <v>-9.333730000000001</v>
          </cell>
        </row>
        <row r="33">
          <cell r="O33">
            <v>90.84</v>
          </cell>
          <cell r="P33">
            <v>90.84</v>
          </cell>
          <cell r="R33">
            <v>78.34</v>
          </cell>
          <cell r="T33">
            <v>72.165959000000001</v>
          </cell>
          <cell r="U33">
            <v>71.796579999999992</v>
          </cell>
          <cell r="W33">
            <v>59.685200999999999</v>
          </cell>
        </row>
        <row r="34">
          <cell r="O34">
            <v>72.297500333333332</v>
          </cell>
          <cell r="P34">
            <v>71.933111000000011</v>
          </cell>
          <cell r="R34">
            <v>94.115918000000008</v>
          </cell>
          <cell r="T34">
            <v>62.030473333333333</v>
          </cell>
          <cell r="U34">
            <v>61.824293999999995</v>
          </cell>
          <cell r="W34">
            <v>39.911628000000007</v>
          </cell>
        </row>
        <row r="35">
          <cell r="T35">
            <v>-1461.2949846539102</v>
          </cell>
          <cell r="U35">
            <v>-1549.2991472438964</v>
          </cell>
          <cell r="W35">
            <v>-1236.277392</v>
          </cell>
        </row>
        <row r="36">
          <cell r="T36">
            <v>0</v>
          </cell>
          <cell r="U36">
            <v>0</v>
          </cell>
          <cell r="W36">
            <v>0</v>
          </cell>
        </row>
        <row r="37">
          <cell r="U37">
            <v>0</v>
          </cell>
          <cell r="W37">
            <v>0</v>
          </cell>
        </row>
        <row r="38">
          <cell r="T38">
            <v>-35.76748444445964</v>
          </cell>
          <cell r="U38">
            <v>-36.069286999999996</v>
          </cell>
          <cell r="W38">
            <v>-8.2008430000000008</v>
          </cell>
        </row>
        <row r="39">
          <cell r="O39">
            <v>1.77</v>
          </cell>
          <cell r="P39">
            <v>1.70239999999851</v>
          </cell>
          <cell r="R39">
            <v>1.6661000000014901</v>
          </cell>
          <cell r="T39">
            <v>-15.985408000000403</v>
          </cell>
          <cell r="U39">
            <v>-17.114136000001338</v>
          </cell>
          <cell r="W39">
            <v>-17.003695999999529</v>
          </cell>
        </row>
        <row r="46">
          <cell r="J46">
            <v>241</v>
          </cell>
          <cell r="K46">
            <v>278.88549999999998</v>
          </cell>
          <cell r="M46">
            <v>268.58100000000002</v>
          </cell>
          <cell r="O46">
            <v>34387.607552625959</v>
          </cell>
          <cell r="P46">
            <v>37167.598560999999</v>
          </cell>
          <cell r="R46">
            <v>35074.439877999997</v>
          </cell>
          <cell r="T46">
            <v>1003.663631339801</v>
          </cell>
          <cell r="U46">
            <v>1115.0685369978371</v>
          </cell>
          <cell r="W46">
            <v>1472.3577219999991</v>
          </cell>
        </row>
      </sheetData>
      <sheetData sheetId="4"/>
      <sheetData sheetId="5"/>
      <sheetData sheetId="6"/>
      <sheetData sheetId="7"/>
      <sheetData sheetId="8">
        <row r="10">
          <cell r="K10">
            <v>6900</v>
          </cell>
          <cell r="L10">
            <v>6425.0929999999998</v>
          </cell>
          <cell r="N10">
            <v>6946.7870000000003</v>
          </cell>
        </row>
        <row r="12">
          <cell r="K12">
            <v>6735000</v>
          </cell>
          <cell r="L12">
            <v>5915781.3609999996</v>
          </cell>
          <cell r="N12">
            <v>7633878.892</v>
          </cell>
        </row>
        <row r="13">
          <cell r="K13">
            <v>1712943.157894738</v>
          </cell>
          <cell r="L13">
            <v>1492175.8060000008</v>
          </cell>
          <cell r="N13">
            <v>1179755.3999999994</v>
          </cell>
        </row>
        <row r="15">
          <cell r="K15">
            <v>6578580</v>
          </cell>
          <cell r="L15">
            <v>5751185.5190000003</v>
          </cell>
          <cell r="N15">
            <v>7485107.7220000001</v>
          </cell>
        </row>
        <row r="16">
          <cell r="K16">
            <v>1653366.9948631572</v>
          </cell>
          <cell r="L16">
            <v>1459339.4409999996</v>
          </cell>
          <cell r="N16">
            <v>1158746.892</v>
          </cell>
        </row>
        <row r="24">
          <cell r="K24">
            <v>82217.06</v>
          </cell>
          <cell r="L24">
            <v>88392.314999999988</v>
          </cell>
          <cell r="N24">
            <v>91245.596999999994</v>
          </cell>
        </row>
        <row r="25">
          <cell r="K25">
            <v>39028.620000000003</v>
          </cell>
          <cell r="L25">
            <v>33772.680999999997</v>
          </cell>
          <cell r="N25">
            <v>4135.1470000000008</v>
          </cell>
        </row>
        <row r="36">
          <cell r="K36">
            <v>94750.48303158085</v>
          </cell>
          <cell r="L36">
            <v>75267.211000000418</v>
          </cell>
          <cell r="N36">
            <v>74398.933999999368</v>
          </cell>
        </row>
      </sheetData>
      <sheetData sheetId="9"/>
      <sheetData sheetId="10">
        <row r="8">
          <cell r="G8">
            <v>11456.2</v>
          </cell>
          <cell r="H8">
            <v>11952</v>
          </cell>
          <cell r="J8">
            <v>915.60000000000014</v>
          </cell>
          <cell r="K8">
            <v>1024</v>
          </cell>
          <cell r="P8">
            <v>9859.7553407028245</v>
          </cell>
          <cell r="Q8">
            <v>12369</v>
          </cell>
          <cell r="S8">
            <v>8810.5446248949956</v>
          </cell>
          <cell r="T8">
            <v>12431</v>
          </cell>
          <cell r="Y8">
            <v>16586.870682990953</v>
          </cell>
          <cell r="Z8">
            <v>17960</v>
          </cell>
        </row>
        <row r="10">
          <cell r="G10">
            <v>0</v>
          </cell>
          <cell r="H10">
            <v>13344</v>
          </cell>
          <cell r="J10">
            <v>0</v>
          </cell>
          <cell r="K10">
            <v>1552</v>
          </cell>
          <cell r="P10">
            <v>6000</v>
          </cell>
          <cell r="Q10">
            <v>2544</v>
          </cell>
          <cell r="S10">
            <v>15000</v>
          </cell>
          <cell r="T10">
            <v>2096</v>
          </cell>
          <cell r="Y10">
            <v>8000</v>
          </cell>
          <cell r="Z10">
            <v>9245</v>
          </cell>
        </row>
        <row r="12">
          <cell r="AF12">
            <v>76628.970648588773</v>
          </cell>
          <cell r="AG12">
            <v>84517</v>
          </cell>
        </row>
        <row r="13">
          <cell r="G13">
            <v>183299.20000000001</v>
          </cell>
          <cell r="H13">
            <v>193456</v>
          </cell>
          <cell r="J13">
            <v>9613.8000000000011</v>
          </cell>
          <cell r="K13">
            <v>10176</v>
          </cell>
          <cell r="P13">
            <v>157756.08545124519</v>
          </cell>
          <cell r="Q13">
            <v>215489.5</v>
          </cell>
          <cell r="S13">
            <v>194650.76637258488</v>
          </cell>
          <cell r="T13">
            <v>277776.5</v>
          </cell>
          <cell r="Y13">
            <v>469843.14324381144</v>
          </cell>
          <cell r="Z13">
            <v>518456</v>
          </cell>
        </row>
        <row r="15">
          <cell r="G15">
            <v>0</v>
          </cell>
          <cell r="H15">
            <v>157152</v>
          </cell>
          <cell r="J15">
            <v>0</v>
          </cell>
          <cell r="K15">
            <v>12528</v>
          </cell>
          <cell r="P15">
            <v>72000</v>
          </cell>
          <cell r="Q15">
            <v>33072</v>
          </cell>
          <cell r="S15">
            <v>285000</v>
          </cell>
          <cell r="T15">
            <v>39824</v>
          </cell>
          <cell r="Y15">
            <v>228000</v>
          </cell>
          <cell r="Z15">
            <v>261590</v>
          </cell>
        </row>
        <row r="17">
          <cell r="AF17">
            <v>1600162.9950676416</v>
          </cell>
          <cell r="AG17">
            <v>1719520.0000000002</v>
          </cell>
        </row>
        <row r="18">
          <cell r="G18">
            <v>65417.771937325277</v>
          </cell>
          <cell r="H18">
            <v>47517.812792255238</v>
          </cell>
          <cell r="J18">
            <v>303.75843280156045</v>
          </cell>
          <cell r="K18">
            <v>5620.4196336202467</v>
          </cell>
          <cell r="P18">
            <v>-31950.155502372952</v>
          </cell>
          <cell r="Q18">
            <v>4133.2509573807683</v>
          </cell>
          <cell r="S18">
            <v>23945.856561343211</v>
          </cell>
          <cell r="T18">
            <v>72734.099250783445</v>
          </cell>
          <cell r="Y18">
            <v>10680.766143843364</v>
          </cell>
          <cell r="Z18">
            <v>53326.716</v>
          </cell>
        </row>
        <row r="19">
          <cell r="G19">
            <v>0</v>
          </cell>
          <cell r="H19">
            <v>-4355.8056529744426</v>
          </cell>
          <cell r="J19">
            <v>0</v>
          </cell>
          <cell r="K19">
            <v>5693.6749225171798</v>
          </cell>
          <cell r="P19">
            <v>-42912.549399462572</v>
          </cell>
          <cell r="Q19">
            <v>-10125.919130200251</v>
          </cell>
          <cell r="S19">
            <v>-4601.0787170883523</v>
          </cell>
          <cell r="T19">
            <v>5421.7323720360491</v>
          </cell>
          <cell r="Y19">
            <v>6140.6543919854676</v>
          </cell>
          <cell r="Z19">
            <v>4107.7510963166715</v>
          </cell>
        </row>
        <row r="20">
          <cell r="AF20">
            <v>27025.023848374927</v>
          </cell>
          <cell r="AG20">
            <v>184073.73224173489</v>
          </cell>
        </row>
        <row r="21">
          <cell r="G21">
            <v>0</v>
          </cell>
          <cell r="H21">
            <v>1008</v>
          </cell>
          <cell r="J21">
            <v>0</v>
          </cell>
          <cell r="K21">
            <v>0</v>
          </cell>
          <cell r="P21">
            <v>9859.7553407028245</v>
          </cell>
          <cell r="Q21">
            <v>12193</v>
          </cell>
          <cell r="S21">
            <v>6812.6046248949951</v>
          </cell>
          <cell r="T21">
            <v>8399</v>
          </cell>
          <cell r="Y21">
            <v>3824.597955718225</v>
          </cell>
          <cell r="Z21">
            <v>5000</v>
          </cell>
        </row>
        <row r="22">
          <cell r="G22">
            <v>11456.2</v>
          </cell>
          <cell r="H22">
            <v>10000</v>
          </cell>
          <cell r="J22">
            <v>915.60000000000014</v>
          </cell>
          <cell r="K22">
            <v>640</v>
          </cell>
          <cell r="P22">
            <v>0</v>
          </cell>
          <cell r="Q22">
            <v>176</v>
          </cell>
          <cell r="S22">
            <v>1997.9400000000005</v>
          </cell>
          <cell r="T22">
            <v>3792</v>
          </cell>
          <cell r="Y22">
            <v>4460.8111888111889</v>
          </cell>
          <cell r="Z22">
            <v>4112</v>
          </cell>
        </row>
        <row r="23">
          <cell r="G23">
            <v>0</v>
          </cell>
          <cell r="H23">
            <v>784</v>
          </cell>
          <cell r="J23">
            <v>0</v>
          </cell>
          <cell r="K23">
            <v>0</v>
          </cell>
          <cell r="P23">
            <v>0</v>
          </cell>
          <cell r="Q23">
            <v>0</v>
          </cell>
          <cell r="S23">
            <v>0</v>
          </cell>
          <cell r="T23">
            <v>0</v>
          </cell>
          <cell r="Y23">
            <v>2657.3426573426573</v>
          </cell>
          <cell r="Z23">
            <v>0</v>
          </cell>
        </row>
        <row r="24">
          <cell r="G24">
            <v>0</v>
          </cell>
          <cell r="H24">
            <v>0</v>
          </cell>
          <cell r="J24">
            <v>0</v>
          </cell>
          <cell r="K24">
            <v>0</v>
          </cell>
          <cell r="P24">
            <v>0</v>
          </cell>
          <cell r="Q24">
            <v>0</v>
          </cell>
          <cell r="S24">
            <v>0</v>
          </cell>
          <cell r="T24">
            <v>0</v>
          </cell>
          <cell r="Y24">
            <v>4168.9510489510485</v>
          </cell>
          <cell r="Z24">
            <v>0</v>
          </cell>
        </row>
        <row r="25">
          <cell r="G25">
            <v>0</v>
          </cell>
          <cell r="H25">
            <v>0</v>
          </cell>
          <cell r="J25">
            <v>0</v>
          </cell>
          <cell r="K25">
            <v>144</v>
          </cell>
          <cell r="P25">
            <v>0</v>
          </cell>
          <cell r="Q25">
            <v>0</v>
          </cell>
          <cell r="S25">
            <v>0</v>
          </cell>
          <cell r="T25">
            <v>240</v>
          </cell>
          <cell r="Y25">
            <v>1475.1678321678321</v>
          </cell>
          <cell r="Z25">
            <v>3600</v>
          </cell>
        </row>
        <row r="26">
          <cell r="G26">
            <v>0</v>
          </cell>
          <cell r="H26">
            <v>160</v>
          </cell>
          <cell r="J26">
            <v>0</v>
          </cell>
          <cell r="K26">
            <v>240</v>
          </cell>
          <cell r="P26">
            <v>0</v>
          </cell>
          <cell r="Q26">
            <v>0</v>
          </cell>
          <cell r="S26">
            <v>0</v>
          </cell>
          <cell r="T26">
            <v>0</v>
          </cell>
          <cell r="Y26">
            <v>0</v>
          </cell>
        </row>
        <row r="35">
          <cell r="G35">
            <v>0</v>
          </cell>
          <cell r="H35">
            <v>12600</v>
          </cell>
          <cell r="J35">
            <v>0</v>
          </cell>
          <cell r="K35">
            <v>0</v>
          </cell>
          <cell r="P35">
            <v>157756.08545124519</v>
          </cell>
          <cell r="Q35">
            <v>213377.5</v>
          </cell>
          <cell r="S35">
            <v>156689.90637258487</v>
          </cell>
          <cell r="T35">
            <v>197376.5</v>
          </cell>
          <cell r="Y35">
            <v>116650.23764940587</v>
          </cell>
          <cell r="Z35">
            <v>160000</v>
          </cell>
        </row>
        <row r="36">
          <cell r="G36">
            <v>183299.20000000001</v>
          </cell>
          <cell r="H36">
            <v>170000</v>
          </cell>
          <cell r="J36">
            <v>9613.8000000000011</v>
          </cell>
          <cell r="K36">
            <v>6720</v>
          </cell>
          <cell r="P36">
            <v>0</v>
          </cell>
          <cell r="Q36">
            <v>2112</v>
          </cell>
          <cell r="S36">
            <v>37960.860000000008</v>
          </cell>
          <cell r="T36">
            <v>75840</v>
          </cell>
          <cell r="Y36">
            <v>124902.71328671329</v>
          </cell>
          <cell r="Z36">
            <v>115136</v>
          </cell>
        </row>
        <row r="37">
          <cell r="G37">
            <v>0</v>
          </cell>
          <cell r="H37">
            <v>9016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S37">
            <v>0</v>
          </cell>
          <cell r="T37">
            <v>0</v>
          </cell>
          <cell r="Y37">
            <v>73076.923076923078</v>
          </cell>
          <cell r="Z37">
            <v>99000</v>
          </cell>
        </row>
        <row r="38">
          <cell r="G38">
            <v>0</v>
          </cell>
          <cell r="H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S38">
            <v>0</v>
          </cell>
          <cell r="T38">
            <v>0</v>
          </cell>
          <cell r="Y38">
            <v>114646.15384615384</v>
          </cell>
          <cell r="Z38">
            <v>121000</v>
          </cell>
        </row>
        <row r="39">
          <cell r="G39">
            <v>0</v>
          </cell>
          <cell r="H39">
            <v>0</v>
          </cell>
          <cell r="J39">
            <v>0</v>
          </cell>
          <cell r="K39">
            <v>1296</v>
          </cell>
          <cell r="P39">
            <v>0</v>
          </cell>
          <cell r="Q39">
            <v>0</v>
          </cell>
          <cell r="S39">
            <v>0</v>
          </cell>
          <cell r="T39">
            <v>4560</v>
          </cell>
          <cell r="Y39">
            <v>40567.115384615383</v>
          </cell>
          <cell r="Z39">
            <v>23320</v>
          </cell>
        </row>
        <row r="40">
          <cell r="G40">
            <v>0</v>
          </cell>
          <cell r="H40">
            <v>1840</v>
          </cell>
          <cell r="J40">
            <v>0</v>
          </cell>
          <cell r="K40">
            <v>2160</v>
          </cell>
          <cell r="P40">
            <v>0</v>
          </cell>
          <cell r="Q40">
            <v>0</v>
          </cell>
          <cell r="S40">
            <v>0</v>
          </cell>
          <cell r="T40">
            <v>0</v>
          </cell>
          <cell r="Y40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5">
          <cell r="T5">
            <v>229000</v>
          </cell>
          <cell r="U5">
            <v>217556.5</v>
          </cell>
        </row>
        <row r="9">
          <cell r="E9">
            <v>274.38800781100343</v>
          </cell>
          <cell r="F9">
            <v>299.22752453723382</v>
          </cell>
          <cell r="G9">
            <v>100374.00898678019</v>
          </cell>
          <cell r="H9">
            <v>100256.40864276883</v>
          </cell>
        </row>
        <row r="10">
          <cell r="E10">
            <v>20.157420563222306</v>
          </cell>
          <cell r="F10">
            <v>24.277738231204975</v>
          </cell>
          <cell r="G10">
            <v>92235.341708500608</v>
          </cell>
          <cell r="H10">
            <v>92556.663672049821</v>
          </cell>
        </row>
        <row r="11">
          <cell r="E11">
            <v>0.71299287361050556</v>
          </cell>
          <cell r="F11">
            <v>7.6129241304822418E-2</v>
          </cell>
        </row>
        <row r="12">
          <cell r="E12">
            <v>33.501834704887699</v>
          </cell>
          <cell r="F12">
            <v>27.944780089853044</v>
          </cell>
          <cell r="G12">
            <v>64295.74397332361</v>
          </cell>
          <cell r="H12">
            <v>61650.248711817869</v>
          </cell>
        </row>
        <row r="13">
          <cell r="E13">
            <v>24.520689743446148</v>
          </cell>
          <cell r="F13">
            <v>24.096251312750631</v>
          </cell>
          <cell r="G13">
            <v>39285.574206435966</v>
          </cell>
          <cell r="H13">
            <v>38929.500928789588</v>
          </cell>
        </row>
        <row r="14">
          <cell r="E14">
            <v>0</v>
          </cell>
          <cell r="F14">
            <v>0</v>
          </cell>
        </row>
        <row r="15">
          <cell r="E15">
            <v>353.28094569617014</v>
          </cell>
          <cell r="F15">
            <v>375.6224234123473</v>
          </cell>
        </row>
        <row r="16">
          <cell r="E16">
            <v>829.2472647080067</v>
          </cell>
          <cell r="F16">
            <v>832.42427911433867</v>
          </cell>
          <cell r="G16">
            <v>12761.79056398238</v>
          </cell>
          <cell r="H16">
            <v>13221.350403507997</v>
          </cell>
        </row>
        <row r="17">
          <cell r="E17">
            <v>898.78506911598436</v>
          </cell>
          <cell r="F17">
            <v>877.84239971964018</v>
          </cell>
          <cell r="G17">
            <v>15960.843597489607</v>
          </cell>
          <cell r="H17">
            <v>16071.773208258544</v>
          </cell>
        </row>
        <row r="19">
          <cell r="E19">
            <v>3.1405016522163165</v>
          </cell>
          <cell r="F19">
            <v>3.2193542209097901</v>
          </cell>
        </row>
        <row r="20">
          <cell r="Q20">
            <v>60018.621251250428</v>
          </cell>
          <cell r="R20">
            <v>62656.450878422627</v>
          </cell>
        </row>
        <row r="21">
          <cell r="Q21">
            <v>17232.555279582841</v>
          </cell>
          <cell r="R21">
            <v>17371.261738920621</v>
          </cell>
        </row>
        <row r="22">
          <cell r="Q22">
            <v>316.77947598253274</v>
          </cell>
          <cell r="R22">
            <v>238.76094724868153</v>
          </cell>
        </row>
        <row r="50">
          <cell r="Q50">
            <v>86153.489395469092</v>
          </cell>
          <cell r="R50">
            <v>89727.364644781745</v>
          </cell>
        </row>
        <row r="56">
          <cell r="L56">
            <v>-721381.96053532418</v>
          </cell>
        </row>
        <row r="61">
          <cell r="T61">
            <v>100174.78637523718</v>
          </cell>
          <cell r="U61">
            <v>102142.72966989514</v>
          </cell>
        </row>
        <row r="80">
          <cell r="H80">
            <v>644619.87000000011</v>
          </cell>
          <cell r="I80">
            <v>639915.06099999999</v>
          </cell>
          <cell r="L80">
            <v>4704.8090000001012</v>
          </cell>
        </row>
        <row r="85">
          <cell r="H85">
            <v>364581.04411193484</v>
          </cell>
          <cell r="I85">
            <v>419466.42260999995</v>
          </cell>
          <cell r="L85">
            <v>-54885.378498065089</v>
          </cell>
          <cell r="Q85">
            <v>100174.78637523718</v>
          </cell>
          <cell r="R85">
            <v>102142.72966989514</v>
          </cell>
        </row>
        <row r="86">
          <cell r="H86">
            <v>2201676.0942549552</v>
          </cell>
          <cell r="I86">
            <v>1696899.707000003</v>
          </cell>
          <cell r="K86">
            <v>428010.93907010212</v>
          </cell>
          <cell r="M86">
            <v>-161224.79629166087</v>
          </cell>
        </row>
        <row r="89">
          <cell r="Q89">
            <v>77567.956006815803</v>
          </cell>
          <cell r="R89">
            <v>80266.473564591928</v>
          </cell>
        </row>
        <row r="90">
          <cell r="Q90">
            <v>22606.830368421375</v>
          </cell>
          <cell r="R90">
            <v>21876.256105303211</v>
          </cell>
        </row>
      </sheetData>
      <sheetData sheetId="1">
        <row r="5">
          <cell r="T5">
            <v>91000</v>
          </cell>
          <cell r="U5">
            <v>85559</v>
          </cell>
        </row>
        <row r="9">
          <cell r="E9">
            <v>295.95245054945053</v>
          </cell>
          <cell r="F9">
            <v>323.0837904309912</v>
          </cell>
          <cell r="G9">
            <v>100000</v>
          </cell>
          <cell r="H9">
            <v>99995.570365469568</v>
          </cell>
        </row>
        <row r="10">
          <cell r="E10">
            <v>6.0501098901098889</v>
          </cell>
          <cell r="F10">
            <v>0.24488363122026502</v>
          </cell>
          <cell r="G10">
            <v>93013.513513513535</v>
          </cell>
          <cell r="H10">
            <v>81094.808072533982</v>
          </cell>
        </row>
        <row r="11">
          <cell r="E11">
            <v>0</v>
          </cell>
          <cell r="F11">
            <v>0</v>
          </cell>
        </row>
        <row r="12">
          <cell r="E12">
            <v>33.249802197802197</v>
          </cell>
          <cell r="F12">
            <v>27.619858206599886</v>
          </cell>
          <cell r="G12">
            <v>64300.378883523066</v>
          </cell>
          <cell r="H12">
            <v>59839.503030140964</v>
          </cell>
        </row>
        <row r="13">
          <cell r="E13">
            <v>21.727</v>
          </cell>
          <cell r="F13">
            <v>24.881135749938629</v>
          </cell>
          <cell r="G13">
            <v>45161.848553250959</v>
          </cell>
          <cell r="H13">
            <v>43047.800483129366</v>
          </cell>
        </row>
        <row r="14">
          <cell r="E14">
            <v>0</v>
          </cell>
          <cell r="F14">
            <v>0</v>
          </cell>
        </row>
        <row r="15">
          <cell r="E15">
            <v>356.97936263736256</v>
          </cell>
          <cell r="F15">
            <v>375.82966801874994</v>
          </cell>
        </row>
        <row r="16">
          <cell r="E16">
            <v>862.75741758241747</v>
          </cell>
          <cell r="F16">
            <v>850.94365189895632</v>
          </cell>
          <cell r="G16">
            <v>15355.335600321443</v>
          </cell>
          <cell r="H16">
            <v>15888.142334743672</v>
          </cell>
        </row>
        <row r="17">
          <cell r="E17">
            <v>874.3536483516483</v>
          </cell>
          <cell r="F17">
            <v>854.13737156183151</v>
          </cell>
          <cell r="G17">
            <v>14765.302260463441</v>
          </cell>
          <cell r="H17">
            <v>14916.821346295612</v>
          </cell>
        </row>
        <row r="19">
          <cell r="E19">
            <v>3.0879375824175823</v>
          </cell>
          <cell r="F19">
            <v>3.1967710498322561</v>
          </cell>
        </row>
        <row r="20">
          <cell r="Q20">
            <v>61899.034044040789</v>
          </cell>
          <cell r="R20">
            <v>63800.385624276714</v>
          </cell>
        </row>
        <row r="21">
          <cell r="Q21">
            <v>17077.513658921209</v>
          </cell>
          <cell r="R21">
            <v>17363.345844974108</v>
          </cell>
        </row>
        <row r="22">
          <cell r="Q22">
            <v>441.78571428571428</v>
          </cell>
          <cell r="R22">
            <v>298.97434159000312</v>
          </cell>
        </row>
        <row r="50">
          <cell r="Q50">
            <v>86555.486917434348</v>
          </cell>
          <cell r="R50">
            <v>89340.019123990322</v>
          </cell>
        </row>
        <row r="56">
          <cell r="L56">
            <v>-238089.13328026293</v>
          </cell>
        </row>
        <row r="61">
          <cell r="T61">
            <v>96282.778988234248</v>
          </cell>
          <cell r="U61">
            <v>100756.03555768623</v>
          </cell>
        </row>
        <row r="80">
          <cell r="H80">
            <v>215953.87</v>
          </cell>
          <cell r="I80">
            <v>211882.446</v>
          </cell>
          <cell r="L80">
            <v>4071.4239999999913</v>
          </cell>
        </row>
        <row r="85">
          <cell r="H85">
            <v>102098.87212835556</v>
          </cell>
          <cell r="I85">
            <v>100343.33008</v>
          </cell>
          <cell r="L85">
            <v>1755.5420483555681</v>
          </cell>
          <cell r="Q85">
            <v>96282.778988234248</v>
          </cell>
          <cell r="R85">
            <v>100756.03555768623</v>
          </cell>
        </row>
        <row r="86">
          <cell r="H86">
            <v>567130.836314435</v>
          </cell>
          <cell r="I86">
            <v>664230.61199999903</v>
          </cell>
          <cell r="K86">
            <v>382566.32158924226</v>
          </cell>
          <cell r="M86">
            <v>-53204.378671770974</v>
          </cell>
        </row>
        <row r="89">
          <cell r="Q89">
            <v>79418.333417247704</v>
          </cell>
          <cell r="R89">
            <v>81462.705810840824</v>
          </cell>
        </row>
        <row r="90">
          <cell r="Q90">
            <v>16864.445570986543</v>
          </cell>
          <cell r="R90">
            <v>19293.329746845411</v>
          </cell>
        </row>
      </sheetData>
      <sheetData sheetId="2">
        <row r="5">
          <cell r="T5">
            <v>102500</v>
          </cell>
          <cell r="U5">
            <v>100904.5</v>
          </cell>
        </row>
        <row r="9">
          <cell r="E9">
            <v>243.58478818263208</v>
          </cell>
          <cell r="F9">
            <v>274.08646451938841</v>
          </cell>
          <cell r="G9">
            <v>100000</v>
          </cell>
          <cell r="H9">
            <v>99992.287981626781</v>
          </cell>
        </row>
        <row r="10">
          <cell r="E10">
            <v>39.253554233930814</v>
          </cell>
          <cell r="F10">
            <v>51.653059599106484</v>
          </cell>
          <cell r="G10">
            <v>92100.000000000029</v>
          </cell>
          <cell r="H10">
            <v>92587.151802801498</v>
          </cell>
        </row>
        <row r="11">
          <cell r="E11">
            <v>1.5929304200663978</v>
          </cell>
          <cell r="F11">
            <v>0</v>
          </cell>
        </row>
        <row r="12">
          <cell r="E12">
            <v>35.665250218724694</v>
          </cell>
          <cell r="F12">
            <v>28.987279679443677</v>
          </cell>
          <cell r="G12">
            <v>64161.252306993265</v>
          </cell>
          <cell r="H12">
            <v>62733.008389959286</v>
          </cell>
        </row>
        <row r="13">
          <cell r="E13">
            <v>29.161765378040673</v>
          </cell>
          <cell r="F13">
            <v>24.999672608581527</v>
          </cell>
          <cell r="G13">
            <v>35326.671957969455</v>
          </cell>
          <cell r="H13">
            <v>35448.031167040972</v>
          </cell>
        </row>
        <row r="14">
          <cell r="E14">
            <v>0</v>
          </cell>
          <cell r="F14">
            <v>0</v>
          </cell>
        </row>
        <row r="15">
          <cell r="E15">
            <v>349.25828843339468</v>
          </cell>
          <cell r="F15">
            <v>379.72647640652013</v>
          </cell>
        </row>
        <row r="16">
          <cell r="E16">
            <v>809.53032798179095</v>
          </cell>
          <cell r="F16">
            <v>811.06472047905152</v>
          </cell>
          <cell r="G16">
            <v>10361.675876033709</v>
          </cell>
          <cell r="H16">
            <v>11149.06653768554</v>
          </cell>
        </row>
        <row r="17">
          <cell r="E17">
            <v>908.40896417132092</v>
          </cell>
          <cell r="F17">
            <v>904.51067117717253</v>
          </cell>
          <cell r="G17">
            <v>17450.837969052958</v>
          </cell>
          <cell r="H17">
            <v>17452.125125534036</v>
          </cell>
        </row>
        <row r="19">
          <cell r="E19">
            <v>3.2485420327564536</v>
          </cell>
          <cell r="F19">
            <v>3.3429719810400242</v>
          </cell>
        </row>
        <row r="20">
          <cell r="Q20">
            <v>58282.47361793404</v>
          </cell>
          <cell r="R20">
            <v>62518.336217613753</v>
          </cell>
        </row>
        <row r="21">
          <cell r="Q21">
            <v>17499.410665272171</v>
          </cell>
          <cell r="R21">
            <v>17417.31866923561</v>
          </cell>
        </row>
        <row r="22">
          <cell r="Q22">
            <v>218.4390243902439</v>
          </cell>
          <cell r="R22">
            <v>194.82473910222441</v>
          </cell>
        </row>
        <row r="50">
          <cell r="Q50">
            <v>84785.259675999841</v>
          </cell>
          <cell r="R50">
            <v>89482.809969341106</v>
          </cell>
        </row>
        <row r="56">
          <cell r="L56">
            <v>-417454.79907307267</v>
          </cell>
        </row>
        <row r="61">
          <cell r="T61">
            <v>101871.10057560976</v>
          </cell>
          <cell r="U61">
            <v>102784.6211021312</v>
          </cell>
        </row>
        <row r="80">
          <cell r="H80">
            <v>323516.37</v>
          </cell>
          <cell r="I80">
            <v>320091.81700000004</v>
          </cell>
          <cell r="L80">
            <v>3424.5529999999781</v>
          </cell>
        </row>
        <row r="85">
          <cell r="H85">
            <v>179972.44969689852</v>
          </cell>
          <cell r="I85">
            <v>237351.11095</v>
          </cell>
          <cell r="L85">
            <v>-57378.661253101483</v>
          </cell>
          <cell r="Q85">
            <v>101871.10057560976</v>
          </cell>
          <cell r="R85">
            <v>102784.6211021312</v>
          </cell>
        </row>
        <row r="86">
          <cell r="H86">
            <v>1247809.8725131182</v>
          </cell>
          <cell r="I86">
            <v>841318.83799999987</v>
          </cell>
          <cell r="K86">
            <v>92178.331968383281</v>
          </cell>
          <cell r="M86">
            <v>-27260.459155327611</v>
          </cell>
        </row>
        <row r="89">
          <cell r="Q89">
            <v>76000.323307596453</v>
          </cell>
          <cell r="R89">
            <v>80130.479625951601</v>
          </cell>
        </row>
        <row r="90">
          <cell r="Q90">
            <v>25870.777268013306</v>
          </cell>
          <cell r="R90">
            <v>22654.141476179604</v>
          </cell>
        </row>
      </sheetData>
      <sheetData sheetId="3">
        <row r="5">
          <cell r="T5">
            <v>35500</v>
          </cell>
          <cell r="U5">
            <v>31093</v>
          </cell>
        </row>
        <row r="9">
          <cell r="E9">
            <v>308.04901408450701</v>
          </cell>
          <cell r="F9">
            <v>315.22268105916788</v>
          </cell>
          <cell r="G9">
            <v>102148.99037467972</v>
          </cell>
          <cell r="H9">
            <v>101738.14278952972</v>
          </cell>
        </row>
        <row r="10">
          <cell r="E10">
            <v>1.1830985915492958</v>
          </cell>
          <cell r="F10">
            <v>1.511855796145555</v>
          </cell>
          <cell r="G10">
            <v>95000</v>
          </cell>
          <cell r="H10">
            <v>94283.399507001406</v>
          </cell>
        </row>
        <row r="11">
          <cell r="E11">
            <v>0</v>
          </cell>
          <cell r="F11">
            <v>0.53293040764454169</v>
          </cell>
        </row>
        <row r="12">
          <cell r="E12">
            <v>27.901408450704228</v>
          </cell>
          <cell r="F12">
            <v>25.453106077668028</v>
          </cell>
          <cell r="G12">
            <v>64777.960625946493</v>
          </cell>
          <cell r="H12">
            <v>63053.338647230703</v>
          </cell>
        </row>
        <row r="13">
          <cell r="E13">
            <v>18.281690140845072</v>
          </cell>
          <cell r="F13">
            <v>19.00167787394227</v>
          </cell>
          <cell r="G13">
            <v>39617.103235747301</v>
          </cell>
          <cell r="H13">
            <v>38963.997344017109</v>
          </cell>
        </row>
        <row r="14">
          <cell r="E14">
            <v>0</v>
          </cell>
          <cell r="F14">
            <v>0</v>
          </cell>
        </row>
        <row r="15">
          <cell r="E15">
            <v>355.41521126760563</v>
          </cell>
          <cell r="F15">
            <v>361.72225121456825</v>
          </cell>
        </row>
        <row r="16">
          <cell r="E16">
            <v>800.27718309859154</v>
          </cell>
          <cell r="F16">
            <v>850.82651780830736</v>
          </cell>
          <cell r="G16">
            <v>12604.533687389065</v>
          </cell>
          <cell r="H16">
            <v>12296.417986337368</v>
          </cell>
        </row>
        <row r="17">
          <cell r="E17">
            <v>933.62478873239445</v>
          </cell>
          <cell r="F17">
            <v>856.4706734017567</v>
          </cell>
          <cell r="G17">
            <v>14645.009768289561</v>
          </cell>
          <cell r="H17">
            <v>14507.205212328416</v>
          </cell>
        </row>
        <row r="19">
          <cell r="E19">
            <v>2.9632957746478872</v>
          </cell>
          <cell r="F19">
            <v>2.8800077217592732</v>
          </cell>
        </row>
        <row r="20">
          <cell r="Q20">
            <v>60211.228808180189</v>
          </cell>
          <cell r="R20">
            <v>59956.486921270232</v>
          </cell>
        </row>
        <row r="21">
          <cell r="Q21">
            <v>16859.487968232177</v>
          </cell>
          <cell r="R21">
            <v>17243.458801196874</v>
          </cell>
        </row>
        <row r="22">
          <cell r="Q22">
            <v>280.28169014084506</v>
          </cell>
          <cell r="R22">
            <v>215.73282712911421</v>
          </cell>
        </row>
        <row r="50">
          <cell r="Q50">
            <v>89073.53930382854</v>
          </cell>
          <cell r="R50">
            <v>91587.79125510763</v>
          </cell>
        </row>
        <row r="56">
          <cell r="L56">
            <v>-78810.099485869723</v>
          </cell>
        </row>
        <row r="61">
          <cell r="T61">
            <v>105253.67276056339</v>
          </cell>
          <cell r="U61">
            <v>103875.42689286635</v>
          </cell>
        </row>
        <row r="80">
          <cell r="H80">
            <v>105149.63</v>
          </cell>
          <cell r="I80">
            <v>107940.79800000001</v>
          </cell>
          <cell r="L80">
            <v>-2791.1680000000129</v>
          </cell>
        </row>
        <row r="85">
          <cell r="H85">
            <v>82509.722286680757</v>
          </cell>
          <cell r="I85">
            <v>81771.981579999992</v>
          </cell>
          <cell r="L85">
            <v>737.74070668075501</v>
          </cell>
          <cell r="Q85">
            <v>105253.67276056339</v>
          </cell>
          <cell r="R85">
            <v>103875.42689286635</v>
          </cell>
        </row>
        <row r="86">
          <cell r="H86">
            <v>386735.38542740635</v>
          </cell>
          <cell r="I86">
            <v>191350.257000001</v>
          </cell>
          <cell r="K86">
            <v>-42813.829634140908</v>
          </cell>
          <cell r="M86">
            <v>-71707.772014075832</v>
          </cell>
        </row>
        <row r="89">
          <cell r="Q89">
            <v>77350.99846655321</v>
          </cell>
          <cell r="R89">
            <v>77415.678549596225</v>
          </cell>
        </row>
        <row r="90">
          <cell r="Q90">
            <v>27902.674294010183</v>
          </cell>
          <cell r="R90">
            <v>26459.748343270126</v>
          </cell>
        </row>
      </sheetData>
      <sheetData sheetId="4">
        <row r="2">
          <cell r="N2">
            <v>36000</v>
          </cell>
        </row>
        <row r="5">
          <cell r="T5">
            <v>36000</v>
          </cell>
          <cell r="U5">
            <v>37712</v>
          </cell>
        </row>
        <row r="9">
          <cell r="E9">
            <v>301.79999999999995</v>
          </cell>
          <cell r="F9">
            <v>323.89156848189202</v>
          </cell>
          <cell r="G9">
            <v>100000</v>
          </cell>
          <cell r="H9">
            <v>99991.321112108635</v>
          </cell>
        </row>
        <row r="10">
          <cell r="E10">
            <v>8</v>
          </cell>
          <cell r="F10">
            <v>0.55541280025452078</v>
          </cell>
          <cell r="G10">
            <v>87100</v>
          </cell>
          <cell r="H10">
            <v>81094.808072533982</v>
          </cell>
        </row>
        <row r="11">
          <cell r="E11">
            <v>0</v>
          </cell>
          <cell r="F11">
            <v>0</v>
          </cell>
        </row>
        <row r="12">
          <cell r="E12">
            <v>30</v>
          </cell>
          <cell r="F12">
            <v>17.733977941566366</v>
          </cell>
          <cell r="G12">
            <v>64000</v>
          </cell>
          <cell r="H12">
            <v>51089.633278814159</v>
          </cell>
        </row>
        <row r="13">
          <cell r="E13">
            <v>28.299999999999997</v>
          </cell>
          <cell r="F13">
            <v>22.679267458507866</v>
          </cell>
          <cell r="G13">
            <v>45000</v>
          </cell>
          <cell r="H13">
            <v>41343.447843501679</v>
          </cell>
        </row>
        <row r="14">
          <cell r="E14">
            <v>0</v>
          </cell>
          <cell r="F14">
            <v>0</v>
          </cell>
        </row>
        <row r="15">
          <cell r="E15">
            <v>368.09999999999997</v>
          </cell>
          <cell r="F15">
            <v>364.8602266822208</v>
          </cell>
        </row>
        <row r="16">
          <cell r="E16">
            <v>848.09999999999991</v>
          </cell>
          <cell r="F16">
            <v>862.14075507715177</v>
          </cell>
          <cell r="G16">
            <v>15333.333333333334</v>
          </cell>
          <cell r="H16">
            <v>15932.18282978237</v>
          </cell>
        </row>
        <row r="17">
          <cell r="E17">
            <v>877</v>
          </cell>
          <cell r="F17">
            <v>841.44692189405566</v>
          </cell>
          <cell r="G17">
            <v>15161.290322580644</v>
          </cell>
          <cell r="H17">
            <v>15208.100430733868</v>
          </cell>
        </row>
        <row r="19">
          <cell r="E19">
            <v>3.29</v>
          </cell>
          <cell r="F19">
            <v>3.1559348321756202</v>
          </cell>
        </row>
        <row r="20">
          <cell r="Q20">
            <v>63152.646612903227</v>
          </cell>
          <cell r="R20">
            <v>63408.626889018502</v>
          </cell>
        </row>
        <row r="21">
          <cell r="Q21">
            <v>16660.374824561404</v>
          </cell>
          <cell r="R21">
            <v>16182.896813192638</v>
          </cell>
        </row>
        <row r="22">
          <cell r="Q22">
            <v>319.4444444444444</v>
          </cell>
          <cell r="R22">
            <v>259.76295137600084</v>
          </cell>
        </row>
        <row r="50">
          <cell r="Q50">
            <v>85700.202947498154</v>
          </cell>
          <cell r="R50">
            <v>85490.027652579665</v>
          </cell>
        </row>
        <row r="56">
          <cell r="L56">
            <v>7916.6417860512847</v>
          </cell>
        </row>
        <row r="80">
          <cell r="H80">
            <v>69017.709999999992</v>
          </cell>
          <cell r="I80">
            <v>69404.165999999997</v>
          </cell>
          <cell r="L80">
            <v>-386.45599999999536</v>
          </cell>
        </row>
        <row r="85">
          <cell r="H85">
            <v>29863.993999999995</v>
          </cell>
          <cell r="I85">
            <v>29488.772229999999</v>
          </cell>
          <cell r="L85">
            <v>375.22176999999647</v>
          </cell>
          <cell r="Q85">
            <v>96660.434722222213</v>
          </cell>
          <cell r="R85">
            <v>100079.76240984302</v>
          </cell>
        </row>
        <row r="86">
          <cell r="H86">
            <v>295686.63989006536</v>
          </cell>
          <cell r="I86">
            <v>451305.64999999991</v>
          </cell>
          <cell r="K86">
            <v>128949.68575555603</v>
          </cell>
          <cell r="M86">
            <v>18763.916798327526</v>
          </cell>
        </row>
        <row r="89">
          <cell r="Q89">
            <v>80132.465881909069</v>
          </cell>
          <cell r="R89">
            <v>79851.286653587144</v>
          </cell>
        </row>
      </sheetData>
      <sheetData sheetId="5">
        <row r="2">
          <cell r="N2">
            <v>24000</v>
          </cell>
        </row>
        <row r="5">
          <cell r="T5">
            <v>24000</v>
          </cell>
          <cell r="U5">
            <v>23500</v>
          </cell>
        </row>
        <row r="9">
          <cell r="E9">
            <v>301.22699999999998</v>
          </cell>
          <cell r="F9">
            <v>325.67757508721166</v>
          </cell>
          <cell r="G9">
            <v>100000.00000000001</v>
          </cell>
          <cell r="H9">
            <v>99999.261172906234</v>
          </cell>
        </row>
        <row r="10">
          <cell r="E10">
            <v>10.94</v>
          </cell>
          <cell r="F10">
            <v>0</v>
          </cell>
          <cell r="G10">
            <v>99500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36.887999999999998</v>
          </cell>
          <cell r="F12">
            <v>21.976477495107623</v>
          </cell>
          <cell r="G12">
            <v>64500</v>
          </cell>
          <cell r="H12">
            <v>63995.779697466678</v>
          </cell>
        </row>
        <row r="13">
          <cell r="E13">
            <v>18.288</v>
          </cell>
          <cell r="F13">
            <v>29.502769080234838</v>
          </cell>
          <cell r="G13">
            <v>45000.000000000007</v>
          </cell>
          <cell r="H13">
            <v>43942.237322418485</v>
          </cell>
        </row>
        <row r="14">
          <cell r="E14">
            <v>0</v>
          </cell>
          <cell r="F14">
            <v>0</v>
          </cell>
        </row>
        <row r="15">
          <cell r="E15">
            <v>367.34299999999996</v>
          </cell>
          <cell r="F15">
            <v>377.15682166255414</v>
          </cell>
        </row>
        <row r="16">
          <cell r="E16">
            <v>886.07499999999993</v>
          </cell>
          <cell r="F16">
            <v>868.09112567004161</v>
          </cell>
          <cell r="G16">
            <v>15733.333333333332</v>
          </cell>
          <cell r="H16">
            <v>15794.433812701083</v>
          </cell>
        </row>
        <row r="17">
          <cell r="E17">
            <v>851.8180000000001</v>
          </cell>
          <cell r="F17">
            <v>834.14940866161828</v>
          </cell>
          <cell r="G17">
            <v>15504.124867357245</v>
          </cell>
          <cell r="H17">
            <v>15662.398031448756</v>
          </cell>
        </row>
        <row r="19">
          <cell r="E19">
            <v>3.306</v>
          </cell>
          <cell r="F19">
            <v>3.2726946311580019</v>
          </cell>
        </row>
        <row r="20">
          <cell r="Q20">
            <v>64338.111969595848</v>
          </cell>
          <cell r="R20">
            <v>64541.094018548458</v>
          </cell>
        </row>
        <row r="21">
          <cell r="Q21">
            <v>17045.255017182128</v>
          </cell>
          <cell r="R21">
            <v>17128.155832553388</v>
          </cell>
        </row>
        <row r="22">
          <cell r="Q22">
            <v>850</v>
          </cell>
          <cell r="R22">
            <v>421.47328341699989</v>
          </cell>
        </row>
        <row r="50">
          <cell r="Q50">
            <v>90329.890373856033</v>
          </cell>
          <cell r="R50">
            <v>90425.589168722887</v>
          </cell>
        </row>
        <row r="56">
          <cell r="L56">
            <v>-2255.8447443829427</v>
          </cell>
        </row>
        <row r="80">
          <cell r="H80">
            <v>64267.25</v>
          </cell>
          <cell r="I80">
            <v>60364.035000000003</v>
          </cell>
          <cell r="L80">
            <v>3903.2150000000001</v>
          </cell>
        </row>
        <row r="85">
          <cell r="H85">
            <v>34120.923906133343</v>
          </cell>
          <cell r="I85">
            <v>33428.135470000001</v>
          </cell>
          <cell r="L85">
            <v>692.78843613334607</v>
          </cell>
          <cell r="Q85">
            <v>97454.438750000001</v>
          </cell>
          <cell r="R85">
            <v>100287.59663829788</v>
          </cell>
        </row>
        <row r="86">
          <cell r="H86">
            <v>72600.987121321901</v>
          </cell>
          <cell r="I86">
            <v>137958.08200000017</v>
          </cell>
          <cell r="K86">
            <v>66579.21037500017</v>
          </cell>
          <cell r="M86">
            <v>-3562.2741880719768</v>
          </cell>
        </row>
        <row r="89">
          <cell r="Q89">
            <v>82233.366986777983</v>
          </cell>
          <cell r="R89">
            <v>82090.723134518848</v>
          </cell>
        </row>
      </sheetData>
      <sheetData sheetId="6">
        <row r="2">
          <cell r="N2">
            <v>21000</v>
          </cell>
        </row>
        <row r="5">
          <cell r="T5">
            <v>21000</v>
          </cell>
          <cell r="U5">
            <v>18470</v>
          </cell>
        </row>
        <row r="9">
          <cell r="E9">
            <v>301.7821428571429</v>
          </cell>
          <cell r="F9">
            <v>319.58197613882885</v>
          </cell>
          <cell r="G9">
            <v>100000</v>
          </cell>
          <cell r="H9">
            <v>99998.917885485265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35.258095238095237</v>
          </cell>
          <cell r="F12">
            <v>58.476338937093296</v>
          </cell>
          <cell r="G12">
            <v>64500</v>
          </cell>
          <cell r="H12">
            <v>63915.640500126618</v>
          </cell>
        </row>
        <row r="13">
          <cell r="E13">
            <v>9.4973809523809507</v>
          </cell>
          <cell r="F13">
            <v>26.58913991323212</v>
          </cell>
          <cell r="G13">
            <v>45000</v>
          </cell>
          <cell r="H13">
            <v>44159.712100095312</v>
          </cell>
        </row>
        <row r="14">
          <cell r="E14">
            <v>0</v>
          </cell>
          <cell r="F14">
            <v>0</v>
          </cell>
        </row>
        <row r="15">
          <cell r="E15">
            <v>346.53761904761905</v>
          </cell>
          <cell r="F15">
            <v>404.64745498915431</v>
          </cell>
        </row>
        <row r="16">
          <cell r="E16">
            <v>875.40595238095239</v>
          </cell>
          <cell r="F16">
            <v>831.07465227765749</v>
          </cell>
          <cell r="G16">
            <v>15266.666666666668</v>
          </cell>
          <cell r="H16">
            <v>16301.670968214154</v>
          </cell>
        </row>
        <row r="17">
          <cell r="E17">
            <v>877.64523809523814</v>
          </cell>
          <cell r="F17">
            <v>869.29602635574815</v>
          </cell>
          <cell r="G17">
            <v>13419.354838709678</v>
          </cell>
          <cell r="H17">
            <v>13511.907258732157</v>
          </cell>
        </row>
        <row r="19">
          <cell r="E19">
            <v>2.7723009523809523</v>
          </cell>
          <cell r="F19">
            <v>3.3929969088937098</v>
          </cell>
        </row>
        <row r="20">
          <cell r="Q20">
            <v>60017.764002662574</v>
          </cell>
          <cell r="R20">
            <v>64645.188991323208</v>
          </cell>
        </row>
        <row r="21">
          <cell r="Q21">
            <v>17733.55</v>
          </cell>
          <cell r="R21">
            <v>19503.323915401303</v>
          </cell>
        </row>
        <row r="22">
          <cell r="Q22">
            <v>250.11904761904762</v>
          </cell>
          <cell r="R22">
            <v>188.79029284164861</v>
          </cell>
        </row>
        <row r="50">
          <cell r="Q50">
            <v>84690.233170880136</v>
          </cell>
          <cell r="R50">
            <v>93479.746312364427</v>
          </cell>
        </row>
        <row r="56">
          <cell r="L56">
            <v>-162008.44543799551</v>
          </cell>
        </row>
        <row r="80">
          <cell r="H80">
            <v>49195.829999999994</v>
          </cell>
          <cell r="I80">
            <v>48475.173000000003</v>
          </cell>
          <cell r="L80">
            <v>720.65699999999174</v>
          </cell>
        </row>
        <row r="85">
          <cell r="H85">
            <v>19365.797555555557</v>
          </cell>
          <cell r="I85">
            <v>18771.260289999998</v>
          </cell>
          <cell r="L85">
            <v>594.53726555555681</v>
          </cell>
          <cell r="Q85">
            <v>96151.724187110376</v>
          </cell>
          <cell r="R85">
            <v>103935.69040902681</v>
          </cell>
        </row>
        <row r="86">
          <cell r="H86">
            <v>172129.6837852794</v>
          </cell>
          <cell r="I86">
            <v>125587.87999999995</v>
          </cell>
          <cell r="K86">
            <v>143489.6333348075</v>
          </cell>
          <cell r="M86">
            <v>-29338.185947646794</v>
          </cell>
        </row>
        <row r="89">
          <cell r="Q89">
            <v>78001.43305028163</v>
          </cell>
          <cell r="R89">
            <v>84337.303199566159</v>
          </cell>
        </row>
      </sheetData>
      <sheetData sheetId="7">
        <row r="2">
          <cell r="N2">
            <v>10000</v>
          </cell>
        </row>
        <row r="5">
          <cell r="T5">
            <v>10000</v>
          </cell>
          <cell r="U5">
            <v>5877</v>
          </cell>
        </row>
        <row r="9">
          <cell r="E9">
            <v>250</v>
          </cell>
          <cell r="F9">
            <v>318.5174434812173</v>
          </cell>
          <cell r="G9">
            <v>100000</v>
          </cell>
          <cell r="H9">
            <v>99997.667354531062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32</v>
          </cell>
          <cell r="F12">
            <v>16.83206867244602</v>
          </cell>
          <cell r="G12">
            <v>64300</v>
          </cell>
          <cell r="H12">
            <v>52874.885910413221</v>
          </cell>
        </row>
        <row r="13">
          <cell r="E13">
            <v>32</v>
          </cell>
          <cell r="F13">
            <v>15.178323984361716</v>
          </cell>
          <cell r="G13">
            <v>46000</v>
          </cell>
          <cell r="H13">
            <v>46323.182903054731</v>
          </cell>
        </row>
        <row r="14">
          <cell r="E14">
            <v>0</v>
          </cell>
          <cell r="F14">
            <v>0</v>
          </cell>
        </row>
        <row r="15">
          <cell r="E15">
            <v>314</v>
          </cell>
          <cell r="F15">
            <v>350.52783613802507</v>
          </cell>
        </row>
        <row r="16">
          <cell r="E16">
            <v>833</v>
          </cell>
          <cell r="F16">
            <v>772.91942903280619</v>
          </cell>
          <cell r="G16">
            <v>14666.666666666666</v>
          </cell>
          <cell r="H16">
            <v>14599.999117104702</v>
          </cell>
        </row>
        <row r="17">
          <cell r="E17">
            <v>912</v>
          </cell>
          <cell r="F17">
            <v>967.84973635900087</v>
          </cell>
          <cell r="G17">
            <v>14458.306500400055</v>
          </cell>
          <cell r="H17">
            <v>14680.96809803559</v>
          </cell>
        </row>
        <row r="19">
          <cell r="E19">
            <v>2.5</v>
          </cell>
          <cell r="F19">
            <v>2.5401665816760133</v>
          </cell>
        </row>
        <row r="20">
          <cell r="Q20">
            <v>55482.908861698183</v>
          </cell>
          <cell r="R20">
            <v>60704.531531531524</v>
          </cell>
        </row>
        <row r="21">
          <cell r="Q21">
            <v>17278.957886524822</v>
          </cell>
          <cell r="R21">
            <v>19163.678565357808</v>
          </cell>
        </row>
        <row r="22">
          <cell r="Q22">
            <v>305</v>
          </cell>
          <cell r="R22">
            <v>406.28505864354923</v>
          </cell>
        </row>
        <row r="50">
          <cell r="Q50">
            <v>84492.973781556342</v>
          </cell>
          <cell r="R50">
            <v>96710.408295087516</v>
          </cell>
        </row>
        <row r="56">
          <cell r="L56">
            <v>-71802.949995793373</v>
          </cell>
        </row>
        <row r="80">
          <cell r="H80">
            <v>33473.08</v>
          </cell>
          <cell r="I80">
            <v>33639.072</v>
          </cell>
          <cell r="L80">
            <v>-165.99200000000201</v>
          </cell>
        </row>
        <row r="85">
          <cell r="H85">
            <v>18748.156666666666</v>
          </cell>
          <cell r="I85">
            <v>18655.162090000002</v>
          </cell>
          <cell r="L85">
            <v>92.994576666664216</v>
          </cell>
          <cell r="Q85">
            <v>92386.45</v>
          </cell>
          <cell r="R85">
            <v>96995.302194997435</v>
          </cell>
        </row>
        <row r="86">
          <cell r="H86">
            <v>26713.525517769882</v>
          </cell>
          <cell r="I86">
            <v>-50621.000000000073</v>
          </cell>
          <cell r="K86">
            <v>27086.224349999946</v>
          </cell>
          <cell r="M86">
            <v>-32544.802448643139</v>
          </cell>
        </row>
        <row r="89">
          <cell r="Q89">
            <v>73066.866748223008</v>
          </cell>
          <cell r="R89">
            <v>80274.495155532888</v>
          </cell>
        </row>
      </sheetData>
      <sheetData sheetId="8">
        <row r="2">
          <cell r="N2">
            <v>16000</v>
          </cell>
        </row>
        <row r="5">
          <cell r="T5">
            <v>16000</v>
          </cell>
          <cell r="U5">
            <v>16650</v>
          </cell>
        </row>
        <row r="9">
          <cell r="E9">
            <v>228.66492429498695</v>
          </cell>
          <cell r="F9">
            <v>224.23806639103597</v>
          </cell>
          <cell r="G9">
            <v>100000</v>
          </cell>
          <cell r="H9">
            <v>99998.29570464477</v>
          </cell>
        </row>
        <row r="10">
          <cell r="E10">
            <v>40.500581811119289</v>
          </cell>
          <cell r="F10">
            <v>150.2743861225957</v>
          </cell>
          <cell r="G10">
            <v>92100</v>
          </cell>
          <cell r="H10">
            <v>92902.730353360093</v>
          </cell>
        </row>
        <row r="11">
          <cell r="E11">
            <v>10.204710503550361</v>
          </cell>
          <cell r="F11">
            <v>0</v>
          </cell>
        </row>
        <row r="12">
          <cell r="E12">
            <v>42.648321713705101</v>
          </cell>
          <cell r="F12">
            <v>0</v>
          </cell>
          <cell r="G12">
            <v>65000</v>
          </cell>
          <cell r="H12">
            <v>0</v>
          </cell>
        </row>
        <row r="13">
          <cell r="E13">
            <v>34.07474695307306</v>
          </cell>
          <cell r="F13">
            <v>34.491888669183318</v>
          </cell>
          <cell r="G13">
            <v>36500</v>
          </cell>
          <cell r="H13">
            <v>36500.01520928715</v>
          </cell>
        </row>
        <row r="14">
          <cell r="E14">
            <v>0</v>
          </cell>
          <cell r="F14">
            <v>0</v>
          </cell>
        </row>
        <row r="15">
          <cell r="E15">
            <v>356.09328527643481</v>
          </cell>
          <cell r="F15">
            <v>409.00434118281498</v>
          </cell>
        </row>
        <row r="16">
          <cell r="E16">
            <v>847.74259462615908</v>
          </cell>
          <cell r="F16">
            <v>876.59356462340452</v>
          </cell>
          <cell r="G16">
            <v>10741.278375141113</v>
          </cell>
          <cell r="H16">
            <v>11771.793988435671</v>
          </cell>
        </row>
        <row r="17">
          <cell r="E17">
            <v>885.64983043596021</v>
          </cell>
          <cell r="F17">
            <v>843.74078734495811</v>
          </cell>
          <cell r="G17">
            <v>17864.787651994528</v>
          </cell>
          <cell r="H17">
            <v>18142.642631766204</v>
          </cell>
        </row>
        <row r="19">
          <cell r="E19">
            <v>2.8385688348460327</v>
          </cell>
          <cell r="F19">
            <v>3.6824818742884537</v>
          </cell>
        </row>
        <row r="20">
          <cell r="Q20">
            <v>59374.580507000937</v>
          </cell>
          <cell r="R20">
            <v>66743.823476541438</v>
          </cell>
        </row>
        <row r="21">
          <cell r="Q21">
            <v>19170.218055555557</v>
          </cell>
          <cell r="R21">
            <v>19688.380669902333</v>
          </cell>
        </row>
        <row r="22">
          <cell r="Q22">
            <v>250</v>
          </cell>
          <cell r="R22">
            <v>0</v>
          </cell>
        </row>
        <row r="50">
          <cell r="Q50">
            <v>88802.046094676945</v>
          </cell>
          <cell r="R50">
            <v>95025.767930972506</v>
          </cell>
        </row>
        <row r="56">
          <cell r="L56">
            <v>-71556.487983628773</v>
          </cell>
        </row>
        <row r="80">
          <cell r="H80">
            <v>56597.16</v>
          </cell>
          <cell r="I80">
            <v>45125.733999999997</v>
          </cell>
          <cell r="L80">
            <v>11471.425999999999</v>
          </cell>
        </row>
        <row r="85">
          <cell r="H85">
            <v>46970.381555555556</v>
          </cell>
          <cell r="I85">
            <v>78959.386540000007</v>
          </cell>
          <cell r="L85">
            <v>-31989.004984444447</v>
          </cell>
          <cell r="Q85">
            <v>107600.1518125</v>
          </cell>
          <cell r="R85">
            <v>112651.28528528528</v>
          </cell>
        </row>
        <row r="86">
          <cell r="H86">
            <v>197202.14992961331</v>
          </cell>
          <cell r="I86">
            <v>201448.22399999996</v>
          </cell>
          <cell r="K86">
            <v>84101.372321874936</v>
          </cell>
          <cell r="M86">
            <v>12218.768716584986</v>
          </cell>
        </row>
        <row r="89">
          <cell r="Q89">
            <v>78794.798562556491</v>
          </cell>
          <cell r="R89">
            <v>86432.204146443779</v>
          </cell>
        </row>
      </sheetData>
      <sheetData sheetId="9">
        <row r="2">
          <cell r="N2">
            <v>19000</v>
          </cell>
        </row>
        <row r="5">
          <cell r="T5">
            <v>19000</v>
          </cell>
          <cell r="U5">
            <v>16841</v>
          </cell>
        </row>
        <row r="9">
          <cell r="E9">
            <v>241.79999999999998</v>
          </cell>
          <cell r="F9">
            <v>303.32593313936223</v>
          </cell>
          <cell r="G9">
            <v>100000</v>
          </cell>
          <cell r="H9">
            <v>99998.176892890042</v>
          </cell>
        </row>
        <row r="10">
          <cell r="E10">
            <v>60.100000000000009</v>
          </cell>
          <cell r="F10">
            <v>43.949653821032022</v>
          </cell>
          <cell r="G10">
            <v>92100.000000000015</v>
          </cell>
          <cell r="H10">
            <v>92865.293068170504</v>
          </cell>
        </row>
        <row r="11">
          <cell r="E11">
            <v>0</v>
          </cell>
          <cell r="F11">
            <v>0</v>
          </cell>
        </row>
        <row r="12">
          <cell r="E12">
            <v>31.7</v>
          </cell>
          <cell r="F12">
            <v>6.5107220473843626</v>
          </cell>
          <cell r="G12">
            <v>65000</v>
          </cell>
          <cell r="H12">
            <v>62206.997414522761</v>
          </cell>
        </row>
        <row r="13">
          <cell r="E13">
            <v>21.400000000000002</v>
          </cell>
          <cell r="F13">
            <v>17.289092690457814</v>
          </cell>
          <cell r="G13">
            <v>35199.999999999993</v>
          </cell>
          <cell r="H13">
            <v>35365.670416914953</v>
          </cell>
        </row>
        <row r="14">
          <cell r="E14">
            <v>0</v>
          </cell>
          <cell r="F14">
            <v>0</v>
          </cell>
        </row>
        <row r="15">
          <cell r="E15">
            <v>354.99999999999994</v>
          </cell>
          <cell r="F15">
            <v>371.07540169823648</v>
          </cell>
        </row>
        <row r="16">
          <cell r="E16">
            <v>813.30000000000007</v>
          </cell>
          <cell r="F16">
            <v>777.82346653999207</v>
          </cell>
          <cell r="G16">
            <v>10666.666666666666</v>
          </cell>
          <cell r="H16">
            <v>11820.882221030464</v>
          </cell>
        </row>
        <row r="17">
          <cell r="E17">
            <v>911.39999999999986</v>
          </cell>
          <cell r="F17">
            <v>947.54854224808503</v>
          </cell>
          <cell r="G17">
            <v>18187.638465295669</v>
          </cell>
          <cell r="H17">
            <v>18926.527659278472</v>
          </cell>
        </row>
        <row r="19">
          <cell r="E19">
            <v>4.5599999999999996</v>
          </cell>
          <cell r="F19">
            <v>3.1085838133127504</v>
          </cell>
        </row>
        <row r="20">
          <cell r="Q20">
            <v>61634.803697270472</v>
          </cell>
          <cell r="R20">
            <v>65384.109375927801</v>
          </cell>
        </row>
        <row r="21">
          <cell r="Q21">
            <v>16200.975782239102</v>
          </cell>
          <cell r="R21">
            <v>16039.733388753639</v>
          </cell>
        </row>
        <row r="22">
          <cell r="Q22">
            <v>105.26315789473684</v>
          </cell>
          <cell r="R22">
            <v>288.02381093759283</v>
          </cell>
        </row>
        <row r="50">
          <cell r="Q50">
            <v>84171.815163720108</v>
          </cell>
          <cell r="R50">
            <v>91032.099400273146</v>
          </cell>
        </row>
        <row r="56">
          <cell r="L56">
            <v>-99452.19764779025</v>
          </cell>
        </row>
        <row r="80">
          <cell r="H80">
            <v>48449.270000000004</v>
          </cell>
          <cell r="I80">
            <v>50204.634999999995</v>
          </cell>
          <cell r="L80">
            <v>-1755.3649999999952</v>
          </cell>
        </row>
        <row r="85">
          <cell r="H85">
            <v>26407.666777777784</v>
          </cell>
          <cell r="I85">
            <v>43332.349180000005</v>
          </cell>
          <cell r="L85">
            <v>-16924.682402222221</v>
          </cell>
          <cell r="Q85">
            <v>104021.28842105264</v>
          </cell>
          <cell r="R85">
            <v>102685.96401638858</v>
          </cell>
        </row>
        <row r="86">
          <cell r="H86">
            <v>302283.05511154089</v>
          </cell>
          <cell r="I86">
            <v>118807.59900000006</v>
          </cell>
          <cell r="K86">
            <v>-22488.198298947453</v>
          </cell>
          <cell r="M86">
            <v>-42855.012762580998</v>
          </cell>
        </row>
        <row r="89">
          <cell r="Q89">
            <v>77941.042637404302</v>
          </cell>
          <cell r="R89">
            <v>81711.866575619031</v>
          </cell>
        </row>
      </sheetData>
      <sheetData sheetId="10">
        <row r="2">
          <cell r="N2">
            <v>11000</v>
          </cell>
        </row>
        <row r="5">
          <cell r="T5">
            <v>11000</v>
          </cell>
          <cell r="U5">
            <v>8639</v>
          </cell>
        </row>
        <row r="9">
          <cell r="E9">
            <v>218.39000000000001</v>
          </cell>
          <cell r="F9">
            <v>216.60956476444036</v>
          </cell>
          <cell r="G9">
            <v>100000</v>
          </cell>
          <cell r="H9">
            <v>100046.31083296049</v>
          </cell>
        </row>
        <row r="10">
          <cell r="E10">
            <v>106.42999999999999</v>
          </cell>
          <cell r="F10">
            <v>164.46464405602512</v>
          </cell>
          <cell r="G10">
            <v>92100</v>
          </cell>
          <cell r="H10">
            <v>92094.31484458936</v>
          </cell>
        </row>
        <row r="11">
          <cell r="E11">
            <v>0</v>
          </cell>
          <cell r="F11">
            <v>0</v>
          </cell>
        </row>
        <row r="12">
          <cell r="E12">
            <v>2.5299999999999998</v>
          </cell>
          <cell r="F12">
            <v>3.4726264613959943</v>
          </cell>
          <cell r="G12">
            <v>64000</v>
          </cell>
          <cell r="H12">
            <v>61094.925936716056</v>
          </cell>
        </row>
        <row r="13">
          <cell r="E13">
            <v>15.65</v>
          </cell>
          <cell r="F13">
            <v>14.712359069336728</v>
          </cell>
          <cell r="G13">
            <v>35000</v>
          </cell>
          <cell r="H13">
            <v>34999.721085912854</v>
          </cell>
        </row>
        <row r="14">
          <cell r="E14">
            <v>0</v>
          </cell>
          <cell r="F14">
            <v>0</v>
          </cell>
        </row>
        <row r="15">
          <cell r="E15">
            <v>342.99999999999994</v>
          </cell>
          <cell r="F15">
            <v>399.25919435119823</v>
          </cell>
        </row>
        <row r="16">
          <cell r="E16">
            <v>830</v>
          </cell>
          <cell r="F16">
            <v>749.73955318902665</v>
          </cell>
          <cell r="G16">
            <v>9533.3333333333339</v>
          </cell>
          <cell r="H16">
            <v>9410.9672687972816</v>
          </cell>
        </row>
        <row r="17">
          <cell r="E17">
            <v>890</v>
          </cell>
          <cell r="F17">
            <v>970.22109040398209</v>
          </cell>
          <cell r="G17">
            <v>17954.927176534206</v>
          </cell>
          <cell r="H17">
            <v>16852.152297732926</v>
          </cell>
        </row>
        <row r="19">
          <cell r="E19">
            <v>3.3</v>
          </cell>
          <cell r="F19">
            <v>3.4784141683065166</v>
          </cell>
        </row>
        <row r="20">
          <cell r="Q20">
            <v>58876.02485378211</v>
          </cell>
          <cell r="R20">
            <v>64324.89061233939</v>
          </cell>
        </row>
        <row r="21">
          <cell r="Q21">
            <v>17688.744300903774</v>
          </cell>
          <cell r="R21">
            <v>18947.440212987611</v>
          </cell>
        </row>
        <row r="22">
          <cell r="Q22">
            <v>254.54545454545453</v>
          </cell>
          <cell r="R22">
            <v>513.65285333950692</v>
          </cell>
        </row>
        <row r="50">
          <cell r="Q50">
            <v>85752.875996038274</v>
          </cell>
          <cell r="R50">
            <v>94858.142609098271</v>
          </cell>
        </row>
        <row r="56">
          <cell r="L56">
            <v>-75766.61648022545</v>
          </cell>
        </row>
        <row r="80">
          <cell r="H80">
            <v>34879.760000000002</v>
          </cell>
          <cell r="I80">
            <v>40772.25</v>
          </cell>
          <cell r="L80">
            <v>-5892.4899999999989</v>
          </cell>
        </row>
        <row r="85">
          <cell r="H85">
            <v>12930.500444444444</v>
          </cell>
          <cell r="I85">
            <v>16015.851789999999</v>
          </cell>
          <cell r="L85">
            <v>-3085.3513455555549</v>
          </cell>
          <cell r="Q85">
            <v>100999.60000000002</v>
          </cell>
          <cell r="R85">
            <v>103042.67855075818</v>
          </cell>
        </row>
        <row r="86">
          <cell r="H86">
            <v>119903.70359913461</v>
          </cell>
          <cell r="I86">
            <v>16811.885999999926</v>
          </cell>
          <cell r="K86">
            <v>17650.155599999747</v>
          </cell>
          <cell r="M86">
            <v>-35997.515373353701</v>
          </cell>
        </row>
        <row r="89">
          <cell r="Q89">
            <v>76819.31460923134</v>
          </cell>
          <cell r="R89">
            <v>83785.983678666496</v>
          </cell>
        </row>
      </sheetData>
      <sheetData sheetId="11">
        <row r="2">
          <cell r="N2">
            <v>16000</v>
          </cell>
        </row>
        <row r="5">
          <cell r="T5">
            <v>16000</v>
          </cell>
          <cell r="U5">
            <v>14978</v>
          </cell>
        </row>
        <row r="9">
          <cell r="E9">
            <v>236.4</v>
          </cell>
          <cell r="F9">
            <v>293.66458071838673</v>
          </cell>
          <cell r="G9">
            <v>100000</v>
          </cell>
          <cell r="H9">
            <v>99999.254519957103</v>
          </cell>
        </row>
        <row r="10">
          <cell r="E10">
            <v>60.7</v>
          </cell>
          <cell r="F10">
            <v>36.417087061022812</v>
          </cell>
          <cell r="G10">
            <v>92100</v>
          </cell>
          <cell r="H10">
            <v>92042.489361132277</v>
          </cell>
        </row>
        <row r="11">
          <cell r="E11">
            <v>0</v>
          </cell>
          <cell r="F11">
            <v>0</v>
          </cell>
        </row>
        <row r="12">
          <cell r="E12">
            <v>34.299999999999997</v>
          </cell>
          <cell r="F12">
            <v>31.415281746561622</v>
          </cell>
          <cell r="G12">
            <v>63500.000000000007</v>
          </cell>
          <cell r="H12">
            <v>62719.698207641384</v>
          </cell>
        </row>
        <row r="13">
          <cell r="E13">
            <v>28.9</v>
          </cell>
          <cell r="F13">
            <v>21.467885565496065</v>
          </cell>
          <cell r="G13">
            <v>35500</v>
          </cell>
          <cell r="H13">
            <v>35499.960674365735</v>
          </cell>
        </row>
        <row r="14">
          <cell r="E14">
            <v>0</v>
          </cell>
          <cell r="F14">
            <v>0</v>
          </cell>
        </row>
        <row r="15">
          <cell r="E15">
            <v>360.3</v>
          </cell>
          <cell r="F15">
            <v>382.96483509146725</v>
          </cell>
        </row>
        <row r="16">
          <cell r="E16">
            <v>795</v>
          </cell>
          <cell r="F16">
            <v>803.32440913339519</v>
          </cell>
          <cell r="G16">
            <v>10733.333333333332</v>
          </cell>
          <cell r="H16">
            <v>12034.636661828818</v>
          </cell>
        </row>
        <row r="17">
          <cell r="E17">
            <v>920</v>
          </cell>
          <cell r="F17">
            <v>935.33382294031219</v>
          </cell>
          <cell r="G17">
            <v>18315.171013635976</v>
          </cell>
          <cell r="H17">
            <v>18879.747427268638</v>
          </cell>
        </row>
        <row r="19">
          <cell r="E19">
            <v>3.0607650000000004</v>
          </cell>
          <cell r="F19">
            <v>3.7110161570303091</v>
          </cell>
        </row>
        <row r="20">
          <cell r="Q20">
            <v>60131.215732545097</v>
          </cell>
          <cell r="R20">
            <v>65957.019895847247</v>
          </cell>
        </row>
        <row r="21">
          <cell r="Q21">
            <v>18582.322569444445</v>
          </cell>
          <cell r="R21">
            <v>18142.178261450128</v>
          </cell>
        </row>
        <row r="22">
          <cell r="Q22">
            <v>281.25</v>
          </cell>
          <cell r="R22">
            <v>211.54513286153025</v>
          </cell>
        </row>
        <row r="50">
          <cell r="Q50">
            <v>86730.962614489545</v>
          </cell>
          <cell r="R50">
            <v>92659.596741888105</v>
          </cell>
        </row>
        <row r="56">
          <cell r="L56">
            <v>-84166.567630175676</v>
          </cell>
        </row>
        <row r="80">
          <cell r="H80">
            <v>45784.290000000008</v>
          </cell>
          <cell r="I80">
            <v>46581.540999999997</v>
          </cell>
          <cell r="L80">
            <v>-797.25099999999338</v>
          </cell>
        </row>
        <row r="85">
          <cell r="H85">
            <v>23701.83</v>
          </cell>
          <cell r="I85">
            <v>28764.586329999998</v>
          </cell>
          <cell r="L85">
            <v>-5062.7563299999983</v>
          </cell>
          <cell r="Q85">
            <v>104000</v>
          </cell>
          <cell r="R85">
            <v>99708.73280811857</v>
          </cell>
        </row>
        <row r="86">
          <cell r="H86">
            <v>206818.47816816729</v>
          </cell>
          <cell r="I86">
            <v>34868.346999999652</v>
          </cell>
          <cell r="K86">
            <v>-64274.600000000064</v>
          </cell>
          <cell r="M86">
            <v>-17648.956207991694</v>
          </cell>
        </row>
        <row r="89">
          <cell r="Q89">
            <v>78994.788301989538</v>
          </cell>
          <cell r="R89">
            <v>84310.743290158905</v>
          </cell>
        </row>
      </sheetData>
      <sheetData sheetId="12">
        <row r="2">
          <cell r="N2">
            <v>9000</v>
          </cell>
        </row>
        <row r="5">
          <cell r="T5">
            <v>9000</v>
          </cell>
          <cell r="U5">
            <v>9558</v>
          </cell>
        </row>
        <row r="9">
          <cell r="E9">
            <v>252.21244444444434</v>
          </cell>
          <cell r="F9">
            <v>228.66468508056064</v>
          </cell>
          <cell r="G9">
            <v>100000.00000000001</v>
          </cell>
          <cell r="H9">
            <v>99907.341176064569</v>
          </cell>
        </row>
        <row r="10">
          <cell r="E10">
            <v>10.183333333333334</v>
          </cell>
          <cell r="F10">
            <v>0</v>
          </cell>
          <cell r="G10">
            <v>92100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36.064999999999998</v>
          </cell>
          <cell r="F12">
            <v>104.26815651809999</v>
          </cell>
          <cell r="G12">
            <v>63000</v>
          </cell>
          <cell r="H12">
            <v>63208.745249223815</v>
          </cell>
        </row>
        <row r="13">
          <cell r="E13">
            <v>34.814999999999998</v>
          </cell>
          <cell r="F13">
            <v>30.372002510985563</v>
          </cell>
          <cell r="G13">
            <v>36000</v>
          </cell>
          <cell r="H13">
            <v>36000.011712199557</v>
          </cell>
        </row>
        <row r="14">
          <cell r="E14">
            <v>0</v>
          </cell>
          <cell r="F14">
            <v>0</v>
          </cell>
        </row>
        <row r="15">
          <cell r="E15">
            <v>333.27577777777765</v>
          </cell>
          <cell r="F15">
            <v>363.30484410964618</v>
          </cell>
        </row>
        <row r="16">
          <cell r="E16">
            <v>781.66666666666663</v>
          </cell>
          <cell r="F16">
            <v>825.82810211341268</v>
          </cell>
          <cell r="G16">
            <v>9066.6666666666661</v>
          </cell>
          <cell r="H16">
            <v>9603.4906974490277</v>
          </cell>
        </row>
        <row r="17">
          <cell r="E17">
            <v>906.93389777777816</v>
          </cell>
          <cell r="F17">
            <v>866.92299644277011</v>
          </cell>
          <cell r="G17">
            <v>17368.505818784055</v>
          </cell>
          <cell r="H17">
            <v>17518.665105810374</v>
          </cell>
        </row>
        <row r="19">
          <cell r="E19">
            <v>2.5286907777777774</v>
          </cell>
          <cell r="F19">
            <v>3.1156601799539625</v>
          </cell>
        </row>
        <row r="20">
          <cell r="Q20">
            <v>54407.081495472507</v>
          </cell>
          <cell r="R20">
            <v>55515.013915044983</v>
          </cell>
        </row>
        <row r="21">
          <cell r="Q21">
            <v>16900.316228070176</v>
          </cell>
          <cell r="R21">
            <v>15888.200564971752</v>
          </cell>
        </row>
        <row r="22">
          <cell r="Q22">
            <v>105.55555555555556</v>
          </cell>
          <cell r="R22">
            <v>55.911801632140616</v>
          </cell>
        </row>
        <row r="50">
          <cell r="Q50">
            <v>80804.271279098233</v>
          </cell>
          <cell r="R50">
            <v>82599.333751830913</v>
          </cell>
        </row>
        <row r="56">
          <cell r="L56">
            <v>-16928.0066343791</v>
          </cell>
        </row>
        <row r="80">
          <cell r="H80">
            <v>35012.910000000003</v>
          </cell>
          <cell r="I80">
            <v>26026.021999999997</v>
          </cell>
          <cell r="L80">
            <v>8986.887999999999</v>
          </cell>
        </row>
        <row r="85">
          <cell r="H85">
            <v>11343.953666666668</v>
          </cell>
          <cell r="I85">
            <v>10770.938480000001</v>
          </cell>
          <cell r="L85">
            <v>573.01518666666732</v>
          </cell>
          <cell r="Q85">
            <v>96066.422222222202</v>
          </cell>
          <cell r="R85">
            <v>96734.299016530655</v>
          </cell>
        </row>
        <row r="86">
          <cell r="H86">
            <v>91002.494821449043</v>
          </cell>
          <cell r="I86">
            <v>98534.238000000143</v>
          </cell>
          <cell r="K86">
            <v>6383.5664000001952</v>
          </cell>
          <cell r="M86">
            <v>8516.280226263174</v>
          </cell>
        </row>
        <row r="89">
          <cell r="Q89">
            <v>71412.953279098248</v>
          </cell>
          <cell r="R89">
            <v>71459.126281648874</v>
          </cell>
        </row>
      </sheetData>
      <sheetData sheetId="13">
        <row r="2">
          <cell r="N2">
            <v>14000</v>
          </cell>
        </row>
        <row r="5">
          <cell r="T5">
            <v>14000</v>
          </cell>
          <cell r="U5">
            <v>15453</v>
          </cell>
        </row>
        <row r="9">
          <cell r="E9">
            <v>240.79999999999998</v>
          </cell>
          <cell r="F9">
            <v>287.25296576716511</v>
          </cell>
          <cell r="G9">
            <v>100000</v>
          </cell>
          <cell r="H9">
            <v>99994.323394080959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69.5</v>
          </cell>
          <cell r="F12">
            <v>46.493434284604945</v>
          </cell>
          <cell r="G12">
            <v>65000</v>
          </cell>
          <cell r="H12">
            <v>64072.279904614152</v>
          </cell>
        </row>
        <row r="13">
          <cell r="E13">
            <v>35.1</v>
          </cell>
          <cell r="F13">
            <v>24.5098052158157</v>
          </cell>
          <cell r="G13">
            <v>33000</v>
          </cell>
          <cell r="H13">
            <v>32999.982415842518</v>
          </cell>
        </row>
        <row r="14">
          <cell r="E14">
            <v>0</v>
          </cell>
          <cell r="F14">
            <v>0</v>
          </cell>
        </row>
        <row r="15">
          <cell r="E15">
            <v>345.4</v>
          </cell>
          <cell r="F15">
            <v>358.2562052675857</v>
          </cell>
        </row>
        <row r="16">
          <cell r="E16">
            <v>835.9</v>
          </cell>
          <cell r="F16">
            <v>905.13168963955286</v>
          </cell>
          <cell r="G16">
            <v>10400</v>
          </cell>
          <cell r="H16">
            <v>11303.926288696639</v>
          </cell>
        </row>
        <row r="17">
          <cell r="E17">
            <v>880.19999999999993</v>
          </cell>
          <cell r="F17">
            <v>805.7069824629524</v>
          </cell>
          <cell r="G17">
            <v>17019.516244032919</v>
          </cell>
          <cell r="H17">
            <v>16288.479421457132</v>
          </cell>
        </row>
        <row r="19">
          <cell r="E19">
            <v>3.1</v>
          </cell>
          <cell r="F19">
            <v>3.1108037274315667</v>
          </cell>
        </row>
        <row r="20">
          <cell r="Q20">
            <v>55903.538197997783</v>
          </cell>
          <cell r="R20">
            <v>58502.714553808328</v>
          </cell>
        </row>
        <row r="21">
          <cell r="Q21">
            <v>16328.153551165144</v>
          </cell>
          <cell r="R21">
            <v>15150.228693457582</v>
          </cell>
        </row>
        <row r="22">
          <cell r="Q22">
            <v>192.85714285714286</v>
          </cell>
          <cell r="R22">
            <v>106.29256455057271</v>
          </cell>
        </row>
        <row r="50">
          <cell r="Q50">
            <v>80135.96576156361</v>
          </cell>
          <cell r="R50">
            <v>80481.043939688097</v>
          </cell>
        </row>
        <row r="56">
          <cell r="L56">
            <v>-4892.5821365575102</v>
          </cell>
        </row>
        <row r="80">
          <cell r="H80">
            <v>40293.869999999995</v>
          </cell>
          <cell r="I80">
            <v>43473.695999999996</v>
          </cell>
          <cell r="L80">
            <v>-3179.8260000000037</v>
          </cell>
        </row>
        <row r="85">
          <cell r="H85">
            <v>32144.325222222222</v>
          </cell>
          <cell r="I85">
            <v>31368.18895</v>
          </cell>
          <cell r="L85">
            <v>776.13627222222203</v>
          </cell>
          <cell r="Q85">
            <v>99586</v>
          </cell>
          <cell r="R85">
            <v>99562.104445738689</v>
          </cell>
        </row>
        <row r="86">
          <cell r="H86">
            <v>199862.28411588728</v>
          </cell>
          <cell r="I86">
            <v>220457.65399999995</v>
          </cell>
          <cell r="K86">
            <v>-369.25800000004182</v>
          </cell>
          <cell r="M86">
            <v>28260.899748448093</v>
          </cell>
        </row>
        <row r="89">
          <cell r="Q89">
            <v>72424.548892020073</v>
          </cell>
          <cell r="R89">
            <v>73759.235811816485</v>
          </cell>
        </row>
      </sheetData>
      <sheetData sheetId="14">
        <row r="2">
          <cell r="N2">
            <v>13500</v>
          </cell>
        </row>
        <row r="5">
          <cell r="T5">
            <v>13500</v>
          </cell>
          <cell r="U5">
            <v>13997</v>
          </cell>
        </row>
        <row r="9">
          <cell r="E9">
            <v>285.59999999999997</v>
          </cell>
          <cell r="F9">
            <v>327.88917660501329</v>
          </cell>
          <cell r="G9">
            <v>100000</v>
          </cell>
          <cell r="H9">
            <v>99998.135440154831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16.8</v>
          </cell>
          <cell r="F12">
            <v>25.021858887381256</v>
          </cell>
          <cell r="G12">
            <v>62500</v>
          </cell>
          <cell r="H12">
            <v>61250.77982947087</v>
          </cell>
        </row>
        <row r="13">
          <cell r="E13">
            <v>33.6</v>
          </cell>
          <cell r="F13">
            <v>26.719632935799481</v>
          </cell>
          <cell r="G13">
            <v>35500</v>
          </cell>
          <cell r="H13">
            <v>35366.522678220368</v>
          </cell>
        </row>
        <row r="14">
          <cell r="E14">
            <v>0</v>
          </cell>
          <cell r="F14">
            <v>0</v>
          </cell>
        </row>
        <row r="15">
          <cell r="E15">
            <v>336</v>
          </cell>
          <cell r="F15">
            <v>379.63066842819404</v>
          </cell>
        </row>
        <row r="16">
          <cell r="E16">
            <v>776.34645215666831</v>
          </cell>
          <cell r="F16">
            <v>727.40876954938187</v>
          </cell>
          <cell r="G16">
            <v>10466.666666666666</v>
          </cell>
          <cell r="H16">
            <v>10506.784522337492</v>
          </cell>
        </row>
        <row r="17">
          <cell r="E17">
            <v>948.86788596926158</v>
          </cell>
          <cell r="F17">
            <v>979.51388988073927</v>
          </cell>
          <cell r="G17">
            <v>14718.131256952165</v>
          </cell>
          <cell r="H17">
            <v>14598.495508901824</v>
          </cell>
        </row>
        <row r="19">
          <cell r="E19">
            <v>2.6880000000000002</v>
          </cell>
          <cell r="F19">
            <v>3.3026351496107962</v>
          </cell>
        </row>
        <row r="20">
          <cell r="Q20">
            <v>54506.921623775437</v>
          </cell>
          <cell r="R20">
            <v>59239.609440834109</v>
          </cell>
        </row>
        <row r="21">
          <cell r="Q21">
            <v>16608.326701388891</v>
          </cell>
          <cell r="R21">
            <v>15128.767335570948</v>
          </cell>
        </row>
        <row r="22">
          <cell r="Q22">
            <v>325.92592592592598</v>
          </cell>
          <cell r="R22">
            <v>252.02542312361638</v>
          </cell>
        </row>
        <row r="50">
          <cell r="Q50">
            <v>80070.552991830991</v>
          </cell>
          <cell r="R50">
            <v>82906.311861743918</v>
          </cell>
        </row>
        <row r="56">
          <cell r="L56">
            <v>-39665.40271334174</v>
          </cell>
        </row>
        <row r="80">
          <cell r="H80">
            <v>36074.630000000005</v>
          </cell>
          <cell r="I80">
            <v>40569.436000000002</v>
          </cell>
          <cell r="L80">
            <v>-4494.8059999999996</v>
          </cell>
        </row>
        <row r="85">
          <cell r="H85">
            <v>14284.142141342973</v>
          </cell>
          <cell r="I85">
            <v>14565.444060000002</v>
          </cell>
          <cell r="L85">
            <v>-281.30191865702909</v>
          </cell>
          <cell r="Q85">
            <v>97800</v>
          </cell>
          <cell r="R85">
            <v>102306.90147888834</v>
          </cell>
        </row>
        <row r="86">
          <cell r="H86">
            <v>188988.76246893872</v>
          </cell>
          <cell r="I86">
            <v>216441.88699999999</v>
          </cell>
          <cell r="K86">
            <v>63083.100000000035</v>
          </cell>
          <cell r="M86">
            <v>8811.535163059998</v>
          </cell>
        </row>
        <row r="89">
          <cell r="Q89">
            <v>71441.174251090255</v>
          </cell>
          <cell r="R89">
            <v>74620.402199528675</v>
          </cell>
        </row>
      </sheetData>
      <sheetData sheetId="15">
        <row r="2">
          <cell r="N2">
            <v>4000</v>
          </cell>
        </row>
        <row r="5">
          <cell r="T5">
            <v>4000</v>
          </cell>
          <cell r="U5">
            <v>4788.5</v>
          </cell>
        </row>
        <row r="9">
          <cell r="E9">
            <v>258.3</v>
          </cell>
          <cell r="F9">
            <v>278.27984128641538</v>
          </cell>
          <cell r="G9">
            <v>100000</v>
          </cell>
          <cell r="H9">
            <v>99966.378571402514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67.5</v>
          </cell>
          <cell r="F12">
            <v>52.339363057324846</v>
          </cell>
          <cell r="G12">
            <v>61300</v>
          </cell>
          <cell r="H12">
            <v>59525.420720765003</v>
          </cell>
        </row>
        <row r="13">
          <cell r="E13">
            <v>36.1</v>
          </cell>
          <cell r="F13">
            <v>34.469460164978599</v>
          </cell>
          <cell r="G13">
            <v>37000</v>
          </cell>
          <cell r="H13">
            <v>36999.991699837519</v>
          </cell>
        </row>
        <row r="14">
          <cell r="E14">
            <v>0</v>
          </cell>
          <cell r="F14">
            <v>0</v>
          </cell>
        </row>
        <row r="15">
          <cell r="E15">
            <v>361.90000000000003</v>
          </cell>
          <cell r="F15">
            <v>365.08866450871881</v>
          </cell>
        </row>
        <row r="16">
          <cell r="E16">
            <v>723</v>
          </cell>
          <cell r="F16">
            <v>746.04155789913341</v>
          </cell>
          <cell r="G16">
            <v>10546.666666666666</v>
          </cell>
          <cell r="H16">
            <v>10944.066487143169</v>
          </cell>
        </row>
        <row r="17">
          <cell r="E17">
            <v>955</v>
          </cell>
          <cell r="F17">
            <v>924.5279315025582</v>
          </cell>
          <cell r="G17">
            <v>18683.715239154619</v>
          </cell>
          <cell r="H17">
            <v>18548.733460399148</v>
          </cell>
        </row>
        <row r="19">
          <cell r="E19">
            <v>3.3</v>
          </cell>
          <cell r="F19">
            <v>2.9093870731961995</v>
          </cell>
        </row>
        <row r="20">
          <cell r="Q20">
            <v>58751.638053392657</v>
          </cell>
          <cell r="R20">
            <v>60223.274511851312</v>
          </cell>
        </row>
        <row r="21">
          <cell r="Q21">
            <v>20586.202445054943</v>
          </cell>
          <cell r="R21">
            <v>26379.985381643521</v>
          </cell>
        </row>
        <row r="22">
          <cell r="Q22">
            <v>260</v>
          </cell>
          <cell r="R22">
            <v>314.25811840868749</v>
          </cell>
        </row>
        <row r="50">
          <cell r="Q50">
            <v>102330.10645318095</v>
          </cell>
          <cell r="R50">
            <v>107102.07267411507</v>
          </cell>
        </row>
        <row r="56">
          <cell r="L56">
            <v>-22850.563628942917</v>
          </cell>
        </row>
        <row r="80">
          <cell r="H80">
            <v>26424.48</v>
          </cell>
          <cell r="I80">
            <v>27338.503000000001</v>
          </cell>
          <cell r="L80">
            <v>-914.02299999999991</v>
          </cell>
        </row>
        <row r="85">
          <cell r="H85">
            <v>12189.649888888889</v>
          </cell>
          <cell r="I85">
            <v>13574.36562</v>
          </cell>
          <cell r="L85">
            <v>-1384.7157311111114</v>
          </cell>
          <cell r="Q85">
            <v>97420.875</v>
          </cell>
          <cell r="R85">
            <v>101852.38592461105</v>
          </cell>
        </row>
        <row r="86">
          <cell r="H86">
            <v>-58251.055701612757</v>
          </cell>
          <cell r="I86">
            <v>-66050.996999999945</v>
          </cell>
          <cell r="K86">
            <v>21220.290062500018</v>
          </cell>
          <cell r="M86">
            <v>-3870.9290008331882</v>
          </cell>
        </row>
        <row r="89">
          <cell r="Q89">
            <v>79597.840498447593</v>
          </cell>
          <cell r="R89">
            <v>86917.518011903521</v>
          </cell>
        </row>
      </sheetData>
      <sheetData sheetId="16">
        <row r="2">
          <cell r="N2">
            <v>14500</v>
          </cell>
        </row>
        <row r="5">
          <cell r="T5">
            <v>14500</v>
          </cell>
          <cell r="U5">
            <v>17471</v>
          </cell>
        </row>
        <row r="9">
          <cell r="E9">
            <v>322.00275862068969</v>
          </cell>
          <cell r="F9">
            <v>332.67340159011604</v>
          </cell>
          <cell r="G9">
            <v>100000</v>
          </cell>
          <cell r="H9">
            <v>100510.87604128623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21.786206896551725</v>
          </cell>
          <cell r="F12">
            <v>22.812102041983646</v>
          </cell>
          <cell r="G12">
            <v>64500</v>
          </cell>
          <cell r="H12">
            <v>63661.194595169516</v>
          </cell>
        </row>
        <row r="13">
          <cell r="E13">
            <v>21.786206896551725</v>
          </cell>
          <cell r="F13">
            <v>22.765378367557044</v>
          </cell>
          <cell r="G13">
            <v>41999.999999999993</v>
          </cell>
          <cell r="H13">
            <v>39137.667666288689</v>
          </cell>
        </row>
        <row r="14">
          <cell r="E14">
            <v>0</v>
          </cell>
          <cell r="F14">
            <v>0</v>
          </cell>
        </row>
        <row r="15">
          <cell r="E15">
            <v>365.57517241379315</v>
          </cell>
          <cell r="F15">
            <v>378.25088199965671</v>
          </cell>
        </row>
        <row r="16">
          <cell r="E16">
            <v>855.67862068965519</v>
          </cell>
          <cell r="F16">
            <v>933.55625464737182</v>
          </cell>
          <cell r="G16">
            <v>10933.333333333334</v>
          </cell>
          <cell r="H16">
            <v>11100.314409996614</v>
          </cell>
        </row>
        <row r="17">
          <cell r="E17">
            <v>863.22620689655173</v>
          </cell>
          <cell r="F17">
            <v>767.33197963736211</v>
          </cell>
          <cell r="G17">
            <v>13742.394944510359</v>
          </cell>
          <cell r="H17">
            <v>13671.818186222932</v>
          </cell>
        </row>
        <row r="19">
          <cell r="E19">
            <v>3.0353793103448274</v>
          </cell>
          <cell r="F19">
            <v>3.2133518274895612</v>
          </cell>
        </row>
        <row r="20">
          <cell r="Q20">
            <v>58318.79435817575</v>
          </cell>
          <cell r="R20">
            <v>59504.554824686849</v>
          </cell>
        </row>
        <row r="21">
          <cell r="Q21">
            <v>19344.435387625334</v>
          </cell>
          <cell r="R21">
            <v>19668.271292112338</v>
          </cell>
        </row>
        <row r="22">
          <cell r="Q22">
            <v>344.82758620689657</v>
          </cell>
          <cell r="R22">
            <v>203.97546187725217</v>
          </cell>
        </row>
        <row r="50">
          <cell r="Q50">
            <v>87676.565977306731</v>
          </cell>
          <cell r="R50">
            <v>89152.636790024611</v>
          </cell>
        </row>
        <row r="56">
          <cell r="L56">
            <v>-25787.644130473916</v>
          </cell>
        </row>
        <row r="80">
          <cell r="H80">
            <v>41913.31</v>
          </cell>
          <cell r="I80">
            <v>44454.539999999994</v>
          </cell>
          <cell r="L80">
            <v>-2541.2300000000032</v>
          </cell>
        </row>
        <row r="85">
          <cell r="H85">
            <v>33889.657888888883</v>
          </cell>
          <cell r="I85">
            <v>34862.448680000001</v>
          </cell>
          <cell r="L85">
            <v>-972.79079111111787</v>
          </cell>
          <cell r="Q85">
            <v>100999.68965517242</v>
          </cell>
          <cell r="R85">
            <v>100398.44055864004</v>
          </cell>
        </row>
        <row r="86">
          <cell r="H86">
            <v>117382.32544016352</v>
          </cell>
          <cell r="I86">
            <v>117159.2380000001</v>
          </cell>
          <cell r="K86">
            <v>-10504.422965517235</v>
          </cell>
          <cell r="M86">
            <v>39583.000446938997</v>
          </cell>
        </row>
        <row r="89">
          <cell r="Q89">
            <v>78008.057332007986</v>
          </cell>
          <cell r="R89">
            <v>79376.801578676444</v>
          </cell>
        </row>
      </sheetData>
      <sheetData sheetId="17">
        <row r="2">
          <cell r="N2">
            <v>3000</v>
          </cell>
        </row>
        <row r="5">
          <cell r="T5">
            <v>3000</v>
          </cell>
          <cell r="U5">
            <v>3406.5</v>
          </cell>
        </row>
        <row r="9">
          <cell r="E9">
            <v>318.60000000000002</v>
          </cell>
          <cell r="F9">
            <v>306.19570688378991</v>
          </cell>
          <cell r="G9">
            <v>99999.999999999985</v>
          </cell>
          <cell r="H9">
            <v>100240.29468871832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4.9042220577350113</v>
          </cell>
        </row>
        <row r="12">
          <cell r="E12">
            <v>13.700000000000001</v>
          </cell>
          <cell r="F12">
            <v>21.309255366395259</v>
          </cell>
          <cell r="G12">
            <v>64000</v>
          </cell>
          <cell r="H12">
            <v>57360.21545042302</v>
          </cell>
        </row>
        <row r="13">
          <cell r="E13">
            <v>8.5</v>
          </cell>
          <cell r="F13">
            <v>14.333086602516655</v>
          </cell>
          <cell r="G13">
            <v>49000</v>
          </cell>
          <cell r="H13">
            <v>49000.041313778143</v>
          </cell>
        </row>
        <row r="14">
          <cell r="E14">
            <v>0</v>
          </cell>
          <cell r="F14">
            <v>0</v>
          </cell>
        </row>
        <row r="15">
          <cell r="E15">
            <v>340.8</v>
          </cell>
          <cell r="F15">
            <v>346.74227091043679</v>
          </cell>
        </row>
        <row r="16">
          <cell r="E16">
            <v>818.5</v>
          </cell>
          <cell r="F16">
            <v>817.24648408586222</v>
          </cell>
          <cell r="G16">
            <v>13666.666666666666</v>
          </cell>
          <cell r="H16">
            <v>13631.355855447877</v>
          </cell>
        </row>
        <row r="17">
          <cell r="E17">
            <v>964.7</v>
          </cell>
          <cell r="F17">
            <v>975.2923760177647</v>
          </cell>
          <cell r="G17">
            <v>13419.354838709678</v>
          </cell>
          <cell r="H17">
            <v>13288.42336940848</v>
          </cell>
        </row>
        <row r="19">
          <cell r="E19">
            <v>2.8479999999999999</v>
          </cell>
          <cell r="F19">
            <v>2.8373353071798659</v>
          </cell>
        </row>
        <row r="20">
          <cell r="Q20">
            <v>58993.918279569902</v>
          </cell>
          <cell r="R20">
            <v>59052.375129533677</v>
          </cell>
        </row>
        <row r="21">
          <cell r="Q21">
            <v>15897.768553839263</v>
          </cell>
          <cell r="R21">
            <v>13134.392301998521</v>
          </cell>
        </row>
        <row r="22">
          <cell r="Q22">
            <v>500</v>
          </cell>
          <cell r="R22">
            <v>340.87964470762392</v>
          </cell>
        </row>
        <row r="50">
          <cell r="Q50">
            <v>95799.171381693421</v>
          </cell>
          <cell r="R50">
            <v>91170.743449296817</v>
          </cell>
        </row>
        <row r="56">
          <cell r="L56">
            <v>14903.810111669462</v>
          </cell>
        </row>
        <row r="80">
          <cell r="H80">
            <v>10715.58</v>
          </cell>
          <cell r="I80">
            <v>10827.094999999999</v>
          </cell>
          <cell r="L80">
            <v>-111.5150000000001</v>
          </cell>
        </row>
        <row r="85">
          <cell r="H85">
            <v>5324.8261111111115</v>
          </cell>
          <cell r="I85">
            <v>5631.6017699999993</v>
          </cell>
          <cell r="L85">
            <v>-306.77565888888785</v>
          </cell>
          <cell r="Q85">
            <v>107900</v>
          </cell>
          <cell r="R85">
            <v>106985.04811250925</v>
          </cell>
        </row>
        <row r="86">
          <cell r="H86">
            <v>20262.079743808652</v>
          </cell>
          <cell r="I86">
            <v>36292.711999999978</v>
          </cell>
          <cell r="K86">
            <v>-3090.2500000000141</v>
          </cell>
          <cell r="M86">
            <v>4635.3628034107314</v>
          </cell>
        </row>
        <row r="89">
          <cell r="Q89">
            <v>75391.686833409171</v>
          </cell>
          <cell r="R89">
            <v>72527.647076239824</v>
          </cell>
        </row>
      </sheetData>
      <sheetData sheetId="18">
        <row r="2">
          <cell r="N2">
            <v>4000</v>
          </cell>
        </row>
        <row r="5">
          <cell r="T5">
            <v>4000</v>
          </cell>
          <cell r="U5">
            <v>5554</v>
          </cell>
        </row>
        <row r="9">
          <cell r="E9">
            <v>253.3</v>
          </cell>
          <cell r="F9">
            <v>266.2423496579043</v>
          </cell>
          <cell r="G9">
            <v>100000</v>
          </cell>
          <cell r="H9">
            <v>99999.934402283485</v>
          </cell>
        </row>
        <row r="10">
          <cell r="E10">
            <v>10.5</v>
          </cell>
          <cell r="F10">
            <v>8.4605671588044622</v>
          </cell>
          <cell r="G10">
            <v>95000</v>
          </cell>
          <cell r="H10">
            <v>94283.399507001406</v>
          </cell>
        </row>
        <row r="11">
          <cell r="E11">
            <v>0</v>
          </cell>
          <cell r="F11">
            <v>0</v>
          </cell>
        </row>
        <row r="12">
          <cell r="E12">
            <v>52.2</v>
          </cell>
          <cell r="F12">
            <v>50.905653583003222</v>
          </cell>
          <cell r="G12">
            <v>64900.000000000007</v>
          </cell>
          <cell r="H12">
            <v>63599.264315778324</v>
          </cell>
        </row>
        <row r="13">
          <cell r="E13">
            <v>20.100000000000001</v>
          </cell>
          <cell r="F13">
            <v>20.498748649621895</v>
          </cell>
          <cell r="G13">
            <v>37500</v>
          </cell>
          <cell r="H13">
            <v>34878.921880139715</v>
          </cell>
        </row>
        <row r="14">
          <cell r="E14">
            <v>0</v>
          </cell>
          <cell r="F14">
            <v>0</v>
          </cell>
        </row>
        <row r="15">
          <cell r="E15">
            <v>336.1</v>
          </cell>
          <cell r="F15">
            <v>346.10731904933391</v>
          </cell>
        </row>
        <row r="16">
          <cell r="E16">
            <v>785</v>
          </cell>
          <cell r="F16">
            <v>793.45696795102629</v>
          </cell>
          <cell r="G16">
            <v>13666.666666666664</v>
          </cell>
          <cell r="H16">
            <v>13930.605465115754</v>
          </cell>
        </row>
        <row r="17">
          <cell r="E17">
            <v>935</v>
          </cell>
          <cell r="F17">
            <v>901.89773136478198</v>
          </cell>
          <cell r="G17">
            <v>14837.329653268931</v>
          </cell>
          <cell r="H17">
            <v>15071.600314624866</v>
          </cell>
        </row>
        <row r="19">
          <cell r="E19">
            <v>2.84</v>
          </cell>
          <cell r="F19">
            <v>2.4492888008642417</v>
          </cell>
        </row>
        <row r="20">
          <cell r="Q20">
            <v>57626.266559139782</v>
          </cell>
          <cell r="R20">
            <v>57797.922218221102</v>
          </cell>
        </row>
        <row r="21">
          <cell r="Q21">
            <v>12661.575000000001</v>
          </cell>
          <cell r="R21">
            <v>12964.499099747929</v>
          </cell>
        </row>
        <row r="22">
          <cell r="Q22">
            <v>112.5</v>
          </cell>
          <cell r="R22">
            <v>59.974972992437884</v>
          </cell>
        </row>
        <row r="50">
          <cell r="Q50">
            <v>84120.046535157002</v>
          </cell>
          <cell r="R50">
            <v>81135.4106949946</v>
          </cell>
        </row>
        <row r="56">
          <cell r="L56">
            <v>16576.668246262103</v>
          </cell>
        </row>
        <row r="80">
          <cell r="H80">
            <v>10767.95</v>
          </cell>
          <cell r="I80">
            <v>11546.019</v>
          </cell>
          <cell r="L80">
            <v>-778.06900000000041</v>
          </cell>
        </row>
        <row r="85">
          <cell r="H85">
            <v>10083.869555555555</v>
          </cell>
          <cell r="I85">
            <v>10233.583790000001</v>
          </cell>
          <cell r="L85">
            <v>-149.71423444444554</v>
          </cell>
          <cell r="Q85">
            <v>108283.51875000002</v>
          </cell>
          <cell r="R85">
            <v>103863.64422038171</v>
          </cell>
        </row>
        <row r="86">
          <cell r="H86">
            <v>75802.069303816446</v>
          </cell>
          <cell r="I86">
            <v>104453.00700000007</v>
          </cell>
          <cell r="K86">
            <v>-24547.983137500061</v>
          </cell>
          <cell r="M86">
            <v>37550.035821866026</v>
          </cell>
        </row>
        <row r="89">
          <cell r="Q89">
            <v>70400.341559139779</v>
          </cell>
          <cell r="R89">
            <v>70822.396290961464</v>
          </cell>
        </row>
      </sheetData>
      <sheetData sheetId="19">
        <row r="2">
          <cell r="N2">
            <v>10000</v>
          </cell>
        </row>
        <row r="5">
          <cell r="T5">
            <v>10000</v>
          </cell>
          <cell r="U5">
            <v>2263</v>
          </cell>
        </row>
        <row r="9">
          <cell r="E9">
            <v>291.52999999999997</v>
          </cell>
          <cell r="F9">
            <v>287.31198409191342</v>
          </cell>
          <cell r="G9">
            <v>100000.00000000001</v>
          </cell>
          <cell r="H9">
            <v>99905.234958397035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42.47</v>
          </cell>
          <cell r="F12">
            <v>16.607158638974813</v>
          </cell>
          <cell r="G12">
            <v>65000</v>
          </cell>
          <cell r="H12">
            <v>63398.408812729482</v>
          </cell>
        </row>
        <row r="13">
          <cell r="E13">
            <v>22.72</v>
          </cell>
          <cell r="F13">
            <v>13.399907202828102</v>
          </cell>
          <cell r="G13">
            <v>36000</v>
          </cell>
          <cell r="H13">
            <v>35999.978894597982</v>
          </cell>
        </row>
        <row r="14">
          <cell r="E14">
            <v>0</v>
          </cell>
          <cell r="F14">
            <v>0</v>
          </cell>
        </row>
        <row r="15">
          <cell r="E15">
            <v>356.72</v>
          </cell>
          <cell r="F15">
            <v>317.31904993371631</v>
          </cell>
        </row>
        <row r="16">
          <cell r="E16">
            <v>763.82</v>
          </cell>
          <cell r="F16">
            <v>672.39726027397251</v>
          </cell>
          <cell r="G16">
            <v>12533.333333333334</v>
          </cell>
          <cell r="H16">
            <v>12598.765144072004</v>
          </cell>
        </row>
        <row r="17">
          <cell r="E17">
            <v>980.72</v>
          </cell>
          <cell r="F17">
            <v>1066.7012814847551</v>
          </cell>
          <cell r="G17">
            <v>14400.057150810904</v>
          </cell>
          <cell r="H17">
            <v>14705.470091489238</v>
          </cell>
        </row>
        <row r="19">
          <cell r="E19">
            <v>2.92</v>
          </cell>
          <cell r="F19">
            <v>2.7086610693769329</v>
          </cell>
        </row>
        <row r="20">
          <cell r="Q20">
            <v>58500.304715609935</v>
          </cell>
          <cell r="R20">
            <v>57446.294299602298</v>
          </cell>
        </row>
        <row r="21">
          <cell r="Q21">
            <v>15932.226306451616</v>
          </cell>
          <cell r="R21">
            <v>15917.276623950509</v>
          </cell>
        </row>
        <row r="22">
          <cell r="Q22">
            <v>300</v>
          </cell>
          <cell r="R22">
            <v>303.00220945647374</v>
          </cell>
        </row>
        <row r="50">
          <cell r="Q50">
            <v>84204.978603813623</v>
          </cell>
          <cell r="R50">
            <v>114968.75298276624</v>
          </cell>
        </row>
        <row r="56">
          <cell r="L56">
            <v>-69618.421409569783</v>
          </cell>
        </row>
        <row r="80">
          <cell r="H80">
            <v>25971.4</v>
          </cell>
          <cell r="I80">
            <v>26587.575000000001</v>
          </cell>
          <cell r="L80">
            <v>-616.17500000000018</v>
          </cell>
        </row>
        <row r="85">
          <cell r="H85">
            <v>23330.88488888889</v>
          </cell>
          <cell r="I85">
            <v>20742.273010000004</v>
          </cell>
          <cell r="L85">
            <v>2588.6118788888871</v>
          </cell>
          <cell r="Q85">
            <v>100837.5808</v>
          </cell>
          <cell r="R85">
            <v>99903.66769774635</v>
          </cell>
        </row>
        <row r="86">
          <cell r="H86">
            <v>117023.73707297485</v>
          </cell>
          <cell r="I86">
            <v>-81422.136000000013</v>
          </cell>
          <cell r="K86">
            <v>-2113.4453504000003</v>
          </cell>
          <cell r="M86">
            <v>-128686.4431918941</v>
          </cell>
        </row>
        <row r="89">
          <cell r="Q89">
            <v>74732.53102206155</v>
          </cell>
          <cell r="R89">
            <v>73666.573133009282</v>
          </cell>
        </row>
      </sheetData>
      <sheetData sheetId="20">
        <row r="2">
          <cell r="N2">
            <v>4000</v>
          </cell>
        </row>
        <row r="5">
          <cell r="T5">
            <v>4000</v>
          </cell>
          <cell r="U5">
            <v>2398.5</v>
          </cell>
        </row>
        <row r="9">
          <cell r="E9">
            <v>345.6</v>
          </cell>
          <cell r="F9">
            <v>340.43438319117951</v>
          </cell>
          <cell r="G9">
            <v>116999.99999999999</v>
          </cell>
          <cell r="H9">
            <v>116952.63985839552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345.6</v>
          </cell>
          <cell r="F15">
            <v>340.43438319117951</v>
          </cell>
        </row>
        <row r="16">
          <cell r="E16">
            <v>692.2</v>
          </cell>
          <cell r="F16">
            <v>596.80882047014802</v>
          </cell>
          <cell r="G16">
            <v>18143.333333333336</v>
          </cell>
          <cell r="H16">
            <v>17995.951702069804</v>
          </cell>
        </row>
        <row r="17">
          <cell r="E17">
            <v>1046.4000000000001</v>
          </cell>
          <cell r="F17">
            <v>1034.9760765550238</v>
          </cell>
          <cell r="G17">
            <v>18593.79179380419</v>
          </cell>
          <cell r="H17">
            <v>19297.404489932931</v>
          </cell>
        </row>
        <row r="19">
          <cell r="E19">
            <v>3.02</v>
          </cell>
          <cell r="F19">
            <v>1.6718701893072607</v>
          </cell>
        </row>
        <row r="20">
          <cell r="Q20">
            <v>74846.559066370042</v>
          </cell>
          <cell r="R20">
            <v>71865.786145204911</v>
          </cell>
        </row>
        <row r="21">
          <cell r="Q21">
            <v>15088.910256410256</v>
          </cell>
          <cell r="R21">
            <v>16516.131058872477</v>
          </cell>
        </row>
        <row r="22">
          <cell r="Q22">
            <v>0</v>
          </cell>
          <cell r="R22">
            <v>403.15082171832745</v>
          </cell>
        </row>
        <row r="50">
          <cell r="Q50">
            <v>106218.2380727803</v>
          </cell>
          <cell r="R50">
            <v>112026.23091325151</v>
          </cell>
        </row>
        <row r="56">
          <cell r="L56">
            <v>-13982.902652436478</v>
          </cell>
        </row>
        <row r="80">
          <cell r="H80">
            <v>15781.390000000001</v>
          </cell>
          <cell r="I80">
            <v>14525.569</v>
          </cell>
          <cell r="L80">
            <v>1255.821000000001</v>
          </cell>
        </row>
        <row r="85">
          <cell r="H85">
            <v>9880.4838422363155</v>
          </cell>
          <cell r="I85">
            <v>10302.074330000001</v>
          </cell>
          <cell r="L85">
            <v>-421.59048776368581</v>
          </cell>
          <cell r="Q85">
            <v>126700</v>
          </cell>
          <cell r="R85">
            <v>128598.05128205127</v>
          </cell>
        </row>
        <row r="86">
          <cell r="H86">
            <v>56265.173866642501</v>
          </cell>
          <cell r="I86">
            <v>14867.435999999978</v>
          </cell>
          <cell r="K86">
            <v>4552.4759999999633</v>
          </cell>
          <cell r="M86">
            <v>-32801.541726442345</v>
          </cell>
        </row>
        <row r="89">
          <cell r="Q89">
            <v>89935.469322780293</v>
          </cell>
          <cell r="R89">
            <v>88785.068025795714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93402.766494392854</v>
          </cell>
        </row>
        <row r="89">
          <cell r="Q89">
            <v>70855.946370513033</v>
          </cell>
        </row>
        <row r="90">
          <cell r="Q90">
            <v>22546.820123879821</v>
          </cell>
        </row>
      </sheetData>
      <sheetData sheetId="1">
        <row r="5">
          <cell r="T5">
            <v>123135.5</v>
          </cell>
        </row>
        <row r="85">
          <cell r="Q85">
            <v>89627.452774937061</v>
          </cell>
        </row>
        <row r="89">
          <cell r="Q89">
            <v>72071.96208659235</v>
          </cell>
        </row>
        <row r="90">
          <cell r="Q90">
            <v>17555.490688344711</v>
          </cell>
        </row>
      </sheetData>
      <sheetData sheetId="2">
        <row r="5">
          <cell r="T5">
            <v>148349.5</v>
          </cell>
        </row>
        <row r="85">
          <cell r="Q85">
            <v>95374.233305789297</v>
          </cell>
        </row>
        <row r="89">
          <cell r="Q89">
            <v>70161.655736215835</v>
          </cell>
        </row>
        <row r="90">
          <cell r="Q90">
            <v>25212.577569573463</v>
          </cell>
        </row>
      </sheetData>
      <sheetData sheetId="3">
        <row r="5">
          <cell r="T5">
            <v>52516.5</v>
          </cell>
        </row>
        <row r="85">
          <cell r="Q85">
            <v>96860.391656938606</v>
          </cell>
        </row>
        <row r="89">
          <cell r="Q89">
            <v>69928.316160290909</v>
          </cell>
        </row>
        <row r="90">
          <cell r="Q90">
            <v>26932.075496647696</v>
          </cell>
        </row>
      </sheetData>
      <sheetData sheetId="4">
        <row r="85">
          <cell r="Q85">
            <v>90588.460725350829</v>
          </cell>
        </row>
        <row r="89">
          <cell r="Q89">
            <v>72304.624881060838</v>
          </cell>
        </row>
      </sheetData>
      <sheetData sheetId="5">
        <row r="85">
          <cell r="Q85">
            <v>90535.48614010516</v>
          </cell>
        </row>
        <row r="89">
          <cell r="Q89">
            <v>73510.158523372869</v>
          </cell>
        </row>
      </sheetData>
      <sheetData sheetId="6">
        <row r="85">
          <cell r="Q85">
            <v>88311.601983129949</v>
          </cell>
        </row>
        <row r="89">
          <cell r="Q89">
            <v>72216.392703477963</v>
          </cell>
        </row>
      </sheetData>
      <sheetData sheetId="7">
        <row r="85">
          <cell r="Q85">
            <v>85334.467307299128</v>
          </cell>
        </row>
        <row r="89">
          <cell r="Q89">
            <v>66417.447066039662</v>
          </cell>
        </row>
      </sheetData>
      <sheetData sheetId="8">
        <row r="85">
          <cell r="Q85">
            <v>103288.86229894077</v>
          </cell>
        </row>
        <row r="89">
          <cell r="Q89">
            <v>72821.468226648605</v>
          </cell>
        </row>
      </sheetData>
      <sheetData sheetId="9">
        <row r="85">
          <cell r="Q85">
            <v>94651.90080664483</v>
          </cell>
        </row>
        <row r="89">
          <cell r="Q89">
            <v>70446.737600830602</v>
          </cell>
        </row>
      </sheetData>
      <sheetData sheetId="10">
        <row r="85">
          <cell r="Q85">
            <v>93320.160386306801</v>
          </cell>
        </row>
        <row r="89">
          <cell r="Q89">
            <v>71654.560058635849</v>
          </cell>
        </row>
      </sheetData>
      <sheetData sheetId="11">
        <row r="85">
          <cell r="Q85">
            <v>100586.36710806923</v>
          </cell>
        </row>
        <row r="89">
          <cell r="Q89">
            <v>72135.331250619842</v>
          </cell>
        </row>
      </sheetData>
      <sheetData sheetId="12">
        <row r="85">
          <cell r="Q85">
            <v>94170.514507370055</v>
          </cell>
        </row>
        <row r="89">
          <cell r="Q89">
            <v>68415.923387096787</v>
          </cell>
        </row>
      </sheetData>
      <sheetData sheetId="13">
        <row r="85">
          <cell r="Q85">
            <v>92452.463494586264</v>
          </cell>
        </row>
        <row r="89">
          <cell r="Q89">
            <v>66726.913479686104</v>
          </cell>
        </row>
      </sheetData>
      <sheetData sheetId="14">
        <row r="85">
          <cell r="Q85">
            <v>87723.065341097797</v>
          </cell>
        </row>
        <row r="89">
          <cell r="Q89">
            <v>66045.345260500864</v>
          </cell>
        </row>
      </sheetData>
      <sheetData sheetId="15">
        <row r="85">
          <cell r="Q85">
            <v>93653.584541062795</v>
          </cell>
        </row>
        <row r="89">
          <cell r="Q89">
            <v>75146.941352656999</v>
          </cell>
        </row>
      </sheetData>
      <sheetData sheetId="16">
        <row r="85">
          <cell r="Q85">
            <v>93800.445368876812</v>
          </cell>
        </row>
        <row r="89">
          <cell r="Q89">
            <v>69416.61728499872</v>
          </cell>
        </row>
      </sheetData>
      <sheetData sheetId="17">
        <row r="85">
          <cell r="Q85">
            <v>104253.49239280775</v>
          </cell>
        </row>
        <row r="89">
          <cell r="Q89">
            <v>66869.221991701241</v>
          </cell>
        </row>
      </sheetData>
      <sheetData sheetId="18">
        <row r="85">
          <cell r="Q85">
            <v>91615.931708055723</v>
          </cell>
        </row>
        <row r="89">
          <cell r="Q89">
            <v>63463.673379769833</v>
          </cell>
        </row>
      </sheetData>
      <sheetData sheetId="19">
        <row r="85">
          <cell r="Q85">
            <v>87971.814176364423</v>
          </cell>
        </row>
        <row r="89">
          <cell r="Q89">
            <v>67286.452672848332</v>
          </cell>
        </row>
      </sheetData>
      <sheetData sheetId="20">
        <row r="85">
          <cell r="Q85">
            <v>118301.37874435782</v>
          </cell>
        </row>
        <row r="89">
          <cell r="Q89">
            <v>81530.019833128172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6425.0929999999998</v>
          </cell>
          <cell r="F3">
            <v>6645.402</v>
          </cell>
          <cell r="Q3">
            <v>13070.494999999999</v>
          </cell>
        </row>
        <row r="4">
          <cell r="E4">
            <v>0</v>
          </cell>
          <cell r="F4">
            <v>0</v>
          </cell>
          <cell r="Q4">
            <v>0</v>
          </cell>
        </row>
        <row r="5">
          <cell r="E5">
            <v>6425.0929999999998</v>
          </cell>
          <cell r="F5">
            <v>6645.402</v>
          </cell>
          <cell r="Q5">
            <v>13070.494999999999</v>
          </cell>
        </row>
        <row r="6">
          <cell r="E6">
            <v>5915781.3609999996</v>
          </cell>
          <cell r="F6">
            <v>5888695.9620000003</v>
          </cell>
          <cell r="Q6">
            <v>11804477.322999999</v>
          </cell>
        </row>
        <row r="7">
          <cell r="E7">
            <v>1492175.8060000008</v>
          </cell>
          <cell r="F7">
            <v>876962.01299999934</v>
          </cell>
          <cell r="Q7">
            <v>2369137.8190000001</v>
          </cell>
        </row>
        <row r="8">
          <cell r="E8">
            <v>7407957.1670000004</v>
          </cell>
          <cell r="F8">
            <v>6765657.9749999996</v>
          </cell>
          <cell r="Q8">
            <v>14173615.141999999</v>
          </cell>
        </row>
        <row r="9">
          <cell r="E9">
            <v>5751185.5190000003</v>
          </cell>
          <cell r="F9">
            <v>5728934.7309999997</v>
          </cell>
          <cell r="Q9">
            <v>11480120.25</v>
          </cell>
        </row>
        <row r="10">
          <cell r="E10">
            <v>1459339.4409999996</v>
          </cell>
          <cell r="F10">
            <v>863642.56600000057</v>
          </cell>
          <cell r="Q10">
            <v>2322982.0070000002</v>
          </cell>
        </row>
        <row r="11">
          <cell r="E11">
            <v>7210524.96</v>
          </cell>
          <cell r="F11">
            <v>6592577.2970000003</v>
          </cell>
          <cell r="Q11">
            <v>13803102.256999999</v>
          </cell>
        </row>
        <row r="12">
          <cell r="E12">
            <v>164595.84199999925</v>
          </cell>
          <cell r="F12">
            <v>159761.23100000061</v>
          </cell>
          <cell r="Q12">
            <v>324357.07299999893</v>
          </cell>
        </row>
        <row r="13">
          <cell r="E13">
            <v>32836.365000001155</v>
          </cell>
          <cell r="F13">
            <v>13319.446999998763</v>
          </cell>
          <cell r="Q13">
            <v>46155.811999999918</v>
          </cell>
        </row>
        <row r="14">
          <cell r="E14">
            <v>197432.2070000004</v>
          </cell>
          <cell r="F14">
            <v>173080.67799999937</v>
          </cell>
          <cell r="Q14">
            <v>370512.88499999978</v>
          </cell>
        </row>
        <row r="15">
          <cell r="E15">
            <v>66207.56</v>
          </cell>
          <cell r="F15">
            <v>66285.86</v>
          </cell>
          <cell r="Q15">
            <v>132493.41999999998</v>
          </cell>
          <cell r="S15">
            <v>0</v>
          </cell>
        </row>
        <row r="16">
          <cell r="E16">
            <v>14873.76</v>
          </cell>
          <cell r="F16">
            <v>14873.76</v>
          </cell>
          <cell r="Q16">
            <v>29747.52</v>
          </cell>
          <cell r="S16">
            <v>0</v>
          </cell>
        </row>
        <row r="17">
          <cell r="E17">
            <v>7310.9949999999999</v>
          </cell>
          <cell r="F17">
            <v>7310.9949999999999</v>
          </cell>
          <cell r="Q17">
            <v>14621.99</v>
          </cell>
          <cell r="S17">
            <v>0</v>
          </cell>
        </row>
        <row r="18">
          <cell r="E18">
            <v>88392.314999999988</v>
          </cell>
          <cell r="F18">
            <v>88470.614999999991</v>
          </cell>
          <cell r="Q18">
            <v>176862.92999999996</v>
          </cell>
          <cell r="S18">
            <v>0</v>
          </cell>
        </row>
        <row r="19">
          <cell r="E19">
            <v>10121.891</v>
          </cell>
          <cell r="F19">
            <v>9805.2829999999994</v>
          </cell>
          <cell r="Q19">
            <v>19927.173999999999</v>
          </cell>
          <cell r="S19">
            <v>0</v>
          </cell>
        </row>
        <row r="20">
          <cell r="E20">
            <v>1311.06</v>
          </cell>
          <cell r="F20">
            <v>1355.9369999999999</v>
          </cell>
          <cell r="Q20">
            <v>2666.9969999999998</v>
          </cell>
          <cell r="S20">
            <v>0</v>
          </cell>
        </row>
        <row r="21">
          <cell r="E21">
            <v>2954.1509999999998</v>
          </cell>
          <cell r="F21">
            <v>2198.643</v>
          </cell>
          <cell r="Q21">
            <v>5152.7939999999999</v>
          </cell>
          <cell r="S21">
            <v>0</v>
          </cell>
        </row>
        <row r="22">
          <cell r="E22">
            <v>800</v>
          </cell>
          <cell r="F22">
            <v>450</v>
          </cell>
          <cell r="Q22">
            <v>1250</v>
          </cell>
          <cell r="S22">
            <v>0</v>
          </cell>
        </row>
        <row r="23">
          <cell r="E23">
            <v>1555.0309999999999</v>
          </cell>
          <cell r="F23">
            <v>1525.067</v>
          </cell>
          <cell r="Q23">
            <v>3080.098</v>
          </cell>
          <cell r="S23">
            <v>0</v>
          </cell>
        </row>
        <row r="24">
          <cell r="E24">
            <v>289.08999999999997</v>
          </cell>
          <cell r="F24">
            <v>255.51</v>
          </cell>
          <cell r="Q24">
            <v>544.59999999999991</v>
          </cell>
          <cell r="S24">
            <v>0</v>
          </cell>
        </row>
        <row r="25">
          <cell r="E25">
            <v>175.22900000000001</v>
          </cell>
          <cell r="F25">
            <v>286.774</v>
          </cell>
          <cell r="Q25">
            <v>462.00300000000004</v>
          </cell>
          <cell r="S25">
            <v>0</v>
          </cell>
        </row>
        <row r="26">
          <cell r="E26">
            <v>3221.82</v>
          </cell>
          <cell r="F26">
            <v>3221.82</v>
          </cell>
          <cell r="Q26">
            <v>6443.64</v>
          </cell>
          <cell r="S26">
            <v>0</v>
          </cell>
        </row>
        <row r="27">
          <cell r="E27">
            <v>0</v>
          </cell>
          <cell r="F27">
            <v>0</v>
          </cell>
          <cell r="Q27">
            <v>0</v>
          </cell>
          <cell r="S27">
            <v>0</v>
          </cell>
        </row>
        <row r="28">
          <cell r="E28">
            <v>1050.8399999999999</v>
          </cell>
          <cell r="F28">
            <v>138.52000000000001</v>
          </cell>
          <cell r="Q28">
            <v>1189.3599999999999</v>
          </cell>
          <cell r="S28">
            <v>0</v>
          </cell>
        </row>
        <row r="29">
          <cell r="E29">
            <v>62.219000000000001</v>
          </cell>
          <cell r="F29">
            <v>64.25</v>
          </cell>
          <cell r="Q29">
            <v>126.46899999999999</v>
          </cell>
          <cell r="S29">
            <v>0</v>
          </cell>
        </row>
        <row r="30">
          <cell r="E30">
            <v>6297.65</v>
          </cell>
          <cell r="F30">
            <v>5545.7610000000004</v>
          </cell>
          <cell r="Q30">
            <v>11843.411</v>
          </cell>
          <cell r="S30">
            <v>0</v>
          </cell>
        </row>
        <row r="31">
          <cell r="E31">
            <v>7875.04</v>
          </cell>
          <cell r="F31">
            <v>12385.5</v>
          </cell>
          <cell r="Q31">
            <v>20260.54</v>
          </cell>
          <cell r="S31">
            <v>0</v>
          </cell>
        </row>
        <row r="32">
          <cell r="E32">
            <v>0</v>
          </cell>
          <cell r="F32">
            <v>0</v>
          </cell>
          <cell r="Q32">
            <v>0</v>
          </cell>
          <cell r="S32">
            <v>0</v>
          </cell>
        </row>
        <row r="33">
          <cell r="E33">
            <v>-6631.1459999999997</v>
          </cell>
          <cell r="F33">
            <v>-18.065999999999999</v>
          </cell>
          <cell r="Q33">
            <v>-6649.2119999999995</v>
          </cell>
          <cell r="S33">
            <v>0</v>
          </cell>
        </row>
        <row r="34">
          <cell r="E34">
            <v>0</v>
          </cell>
          <cell r="F34">
            <v>0</v>
          </cell>
          <cell r="Q34">
            <v>0</v>
          </cell>
          <cell r="S34">
            <v>0</v>
          </cell>
        </row>
        <row r="35">
          <cell r="E35">
            <v>0</v>
          </cell>
          <cell r="F35">
            <v>0</v>
          </cell>
          <cell r="Q35">
            <v>0</v>
          </cell>
          <cell r="S35">
            <v>0</v>
          </cell>
        </row>
        <row r="36">
          <cell r="E36">
            <v>29082.875</v>
          </cell>
          <cell r="F36">
            <v>37214.999000000003</v>
          </cell>
          <cell r="Q36">
            <v>66297.873999999982</v>
          </cell>
          <cell r="S36">
            <v>0</v>
          </cell>
        </row>
        <row r="37">
          <cell r="E37">
            <v>117475.18999999999</v>
          </cell>
          <cell r="F37">
            <v>125685.614</v>
          </cell>
          <cell r="Q37">
            <v>243160.80399999995</v>
          </cell>
          <cell r="S37">
            <v>0</v>
          </cell>
        </row>
        <row r="38">
          <cell r="E38">
            <v>79957.017000000415</v>
          </cell>
          <cell r="F38">
            <v>47395.063999999373</v>
          </cell>
          <cell r="Q38">
            <v>127352.08099999983</v>
          </cell>
          <cell r="S38">
            <v>0</v>
          </cell>
        </row>
        <row r="39">
          <cell r="E39">
            <v>4689.8059999999996</v>
          </cell>
          <cell r="F39">
            <v>5550.3850000000002</v>
          </cell>
          <cell r="Q39">
            <v>10240.190999999999</v>
          </cell>
          <cell r="S39">
            <v>0</v>
          </cell>
        </row>
        <row r="40">
          <cell r="E40">
            <v>75267.211000000418</v>
          </cell>
          <cell r="F40">
            <v>41844.678999999371</v>
          </cell>
          <cell r="Q40">
            <v>117111.88999999984</v>
          </cell>
          <cell r="S40">
            <v>0</v>
          </cell>
        </row>
        <row r="41">
          <cell r="E41">
            <v>1.0160319411036954E-2</v>
          </cell>
          <cell r="F41">
            <v>6.1848646731213711E-3</v>
          </cell>
          <cell r="Q41">
            <v>8.2626689681285156E-3</v>
          </cell>
        </row>
        <row r="43">
          <cell r="E43">
            <v>920730.85338998202</v>
          </cell>
          <cell r="F43">
            <v>886130.8859870329</v>
          </cell>
          <cell r="Q43">
            <v>903139.27077742654</v>
          </cell>
        </row>
        <row r="44">
          <cell r="E44">
            <v>2.6651369945751794E-2</v>
          </cell>
          <cell r="F44">
            <v>2.5582238806566245E-2</v>
          </cell>
          <cell r="Q44">
            <v>2.6141029037967639E-2</v>
          </cell>
        </row>
        <row r="46">
          <cell r="E46">
            <v>1152972.7533904957</v>
          </cell>
          <cell r="F46">
            <v>1018096.1174357849</v>
          </cell>
        </row>
        <row r="47">
          <cell r="E47">
            <v>1122244.4500025136</v>
          </cell>
          <cell r="F47">
            <v>992050.9394315047</v>
          </cell>
        </row>
        <row r="49">
          <cell r="E49">
            <v>122164.99599999998</v>
          </cell>
          <cell r="F49">
            <v>131235.99900000001</v>
          </cell>
        </row>
        <row r="50">
          <cell r="E50">
            <v>152164.99599999998</v>
          </cell>
          <cell r="F50">
            <v>161235.99900000001</v>
          </cell>
        </row>
        <row r="52">
          <cell r="E52">
            <v>0.79857121573986001</v>
          </cell>
          <cell r="F52">
            <v>0.87038038040934229</v>
          </cell>
        </row>
        <row r="53">
          <cell r="E53">
            <v>0.20142878426013996</v>
          </cell>
          <cell r="F53">
            <v>0.12961961959065768</v>
          </cell>
        </row>
        <row r="55">
          <cell r="E55">
            <v>2.2005694548837273E-2</v>
          </cell>
          <cell r="F55">
            <v>1.5188168703492932E-2</v>
          </cell>
        </row>
        <row r="57">
          <cell r="E57">
            <v>2.2005694548837322E-2</v>
          </cell>
          <cell r="F57">
            <v>1.5188168703492945E-2</v>
          </cell>
        </row>
        <row r="58">
          <cell r="E58">
            <v>2.6651369945751794E-2</v>
          </cell>
          <cell r="F58">
            <v>2.5582238806566245E-2</v>
          </cell>
        </row>
        <row r="59">
          <cell r="E59">
            <v>2.7823178707229314E-2</v>
          </cell>
          <cell r="F59">
            <v>2.7130154457106714E-2</v>
          </cell>
        </row>
      </sheetData>
      <sheetData sheetId="1" refreshError="1"/>
      <sheetData sheetId="2">
        <row r="8">
          <cell r="G8">
            <v>6645.402</v>
          </cell>
        </row>
        <row r="9">
          <cell r="G9">
            <v>5888695.9620000003</v>
          </cell>
          <cell r="J9">
            <v>876962.01299999934</v>
          </cell>
        </row>
        <row r="10">
          <cell r="F10">
            <v>978125</v>
          </cell>
          <cell r="G10">
            <v>886130.8859870329</v>
          </cell>
        </row>
        <row r="11">
          <cell r="G11">
            <v>5728934.7309999997</v>
          </cell>
          <cell r="J11">
            <v>863642.56600000057</v>
          </cell>
        </row>
        <row r="15">
          <cell r="F15">
            <v>2.3317891373801917E-2</v>
          </cell>
          <cell r="G15">
            <v>2.7130154457106714E-2</v>
          </cell>
        </row>
        <row r="19">
          <cell r="M19">
            <v>88470.614999999991</v>
          </cell>
        </row>
        <row r="37">
          <cell r="M37">
            <v>37214.999000000003</v>
          </cell>
        </row>
        <row r="40">
          <cell r="M40">
            <v>5550.3850000000002</v>
          </cell>
        </row>
        <row r="41">
          <cell r="M41">
            <v>41844.678999999371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6946.7870000000003</v>
          </cell>
          <cell r="F3">
            <v>8382.34</v>
          </cell>
          <cell r="G3">
            <v>9838.5779999999995</v>
          </cell>
          <cell r="H3">
            <v>9357.5969999999998</v>
          </cell>
          <cell r="I3">
            <v>7344.996000000001</v>
          </cell>
          <cell r="J3">
            <v>7070.5</v>
          </cell>
          <cell r="K3">
            <v>6748.1729999999998</v>
          </cell>
          <cell r="L3">
            <v>6876.2449999999999</v>
          </cell>
          <cell r="M3">
            <v>6990.5029999999997</v>
          </cell>
          <cell r="N3">
            <v>9070.0450000000001</v>
          </cell>
          <cell r="O3">
            <v>10109.272999999999</v>
          </cell>
          <cell r="P3">
            <v>7811.91</v>
          </cell>
          <cell r="Q3">
            <v>96546.947000000015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E5">
            <v>6946.7870000000003</v>
          </cell>
          <cell r="F5">
            <v>8382.34</v>
          </cell>
          <cell r="G5">
            <v>9838.5779999999995</v>
          </cell>
          <cell r="H5">
            <v>9357.5969999999998</v>
          </cell>
          <cell r="I5">
            <v>7344.996000000001</v>
          </cell>
          <cell r="J5">
            <v>7070.5</v>
          </cell>
          <cell r="K5">
            <v>6748.1729999999998</v>
          </cell>
          <cell r="L5">
            <v>6876.2449999999999</v>
          </cell>
          <cell r="M5">
            <v>6990.5029999999997</v>
          </cell>
          <cell r="N5">
            <v>9070.0450000000001</v>
          </cell>
          <cell r="O5">
            <v>10109.272999999999</v>
          </cell>
          <cell r="P5">
            <v>7811.91</v>
          </cell>
          <cell r="Q5">
            <v>96546.947000000015</v>
          </cell>
        </row>
        <row r="6">
          <cell r="E6">
            <v>7633878.892</v>
          </cell>
          <cell r="F6">
            <v>8612745.1600000001</v>
          </cell>
          <cell r="G6">
            <v>10143312.152000001</v>
          </cell>
          <cell r="H6">
            <v>9809673.1050000004</v>
          </cell>
          <cell r="I6">
            <v>7820346.875</v>
          </cell>
          <cell r="J6">
            <v>7380909.7199999997</v>
          </cell>
          <cell r="K6">
            <v>6918593.4670000002</v>
          </cell>
          <cell r="L6">
            <v>6585336.0700000003</v>
          </cell>
          <cell r="M6">
            <v>7043799.8650000002</v>
          </cell>
          <cell r="N6">
            <v>8745728.6989999991</v>
          </cell>
          <cell r="O6">
            <v>9960126.6539999992</v>
          </cell>
          <cell r="P6">
            <v>7431793.6210000003</v>
          </cell>
          <cell r="Q6">
            <v>98086244.280000001</v>
          </cell>
        </row>
        <row r="7">
          <cell r="E7">
            <v>1179755.3999999994</v>
          </cell>
          <cell r="F7">
            <v>1176725.8440000005</v>
          </cell>
          <cell r="G7">
            <v>1216657.1129999999</v>
          </cell>
          <cell r="H7">
            <v>1598941.902999999</v>
          </cell>
          <cell r="I7">
            <v>1208776.7170000002</v>
          </cell>
          <cell r="J7">
            <v>1566179.6950000012</v>
          </cell>
          <cell r="K7">
            <v>1264884.152999999</v>
          </cell>
          <cell r="L7">
            <v>1514746.9619999994</v>
          </cell>
          <cell r="M7">
            <v>2351420.6799999997</v>
          </cell>
          <cell r="N7">
            <v>2568331.477</v>
          </cell>
          <cell r="O7">
            <v>2444753.5610000007</v>
          </cell>
          <cell r="P7">
            <v>2190959.5439999988</v>
          </cell>
          <cell r="Q7">
            <v>20282133.048999999</v>
          </cell>
        </row>
        <row r="8">
          <cell r="E8">
            <v>8813634.2919999994</v>
          </cell>
          <cell r="F8">
            <v>9789471.0040000007</v>
          </cell>
          <cell r="G8">
            <v>11359969.265000001</v>
          </cell>
          <cell r="H8">
            <v>11408615.007999999</v>
          </cell>
          <cell r="I8">
            <v>9029123.5920000002</v>
          </cell>
          <cell r="J8">
            <v>8947089.415000001</v>
          </cell>
          <cell r="K8">
            <v>8183477.6199999992</v>
          </cell>
          <cell r="L8">
            <v>8100083.0319999997</v>
          </cell>
          <cell r="M8">
            <v>9395220.5449999999</v>
          </cell>
          <cell r="N8">
            <v>11314060.175999999</v>
          </cell>
          <cell r="O8">
            <v>12404880.215</v>
          </cell>
          <cell r="P8">
            <v>9622753.1649999991</v>
          </cell>
          <cell r="Q8">
            <v>118368377.329</v>
          </cell>
        </row>
        <row r="9">
          <cell r="E9">
            <v>7485107.7220000001</v>
          </cell>
          <cell r="F9">
            <v>8443501.5480000004</v>
          </cell>
          <cell r="G9">
            <v>9963629.7699999996</v>
          </cell>
          <cell r="H9">
            <v>9601536.9480000008</v>
          </cell>
          <cell r="I9">
            <v>7676800.0590000004</v>
          </cell>
          <cell r="J9">
            <v>7205136.1809999999</v>
          </cell>
          <cell r="K9">
            <v>6747251.2889999999</v>
          </cell>
          <cell r="L9">
            <v>6439298.2439999999</v>
          </cell>
          <cell r="M9">
            <v>6942139.2149999999</v>
          </cell>
          <cell r="N9">
            <v>8609681.6109999996</v>
          </cell>
          <cell r="O9">
            <v>9798823.2119999994</v>
          </cell>
          <cell r="P9">
            <v>7281578.4900000002</v>
          </cell>
          <cell r="Q9">
            <v>96194484.28899999</v>
          </cell>
        </row>
        <row r="10">
          <cell r="E10">
            <v>1158746.892</v>
          </cell>
          <cell r="F10">
            <v>1146964.875</v>
          </cell>
          <cell r="G10">
            <v>1190045.8399999999</v>
          </cell>
          <cell r="H10">
            <v>1569971.4459999986</v>
          </cell>
          <cell r="I10">
            <v>1185012.4639999997</v>
          </cell>
          <cell r="J10">
            <v>1532762.3289999999</v>
          </cell>
          <cell r="K10">
            <v>1239279.3109999998</v>
          </cell>
          <cell r="L10">
            <v>1437906.8529999992</v>
          </cell>
          <cell r="M10">
            <v>2295822.2249999996</v>
          </cell>
          <cell r="N10">
            <v>2499384.3090000004</v>
          </cell>
          <cell r="O10">
            <v>2389967.6060000006</v>
          </cell>
          <cell r="P10">
            <v>2141540.9169999994</v>
          </cell>
          <cell r="Q10">
            <v>19787405.066999998</v>
          </cell>
        </row>
        <row r="11">
          <cell r="E11">
            <v>8643854.6140000001</v>
          </cell>
          <cell r="F11">
            <v>9590466.4230000004</v>
          </cell>
          <cell r="G11">
            <v>11153675.609999999</v>
          </cell>
          <cell r="H11">
            <v>11171508.393999999</v>
          </cell>
          <cell r="I11">
            <v>8861812.523</v>
          </cell>
          <cell r="J11">
            <v>8737898.5099999998</v>
          </cell>
          <cell r="K11">
            <v>7986530.5999999996</v>
          </cell>
          <cell r="L11">
            <v>7877205.0969999991</v>
          </cell>
          <cell r="M11">
            <v>9237961.4399999995</v>
          </cell>
          <cell r="N11">
            <v>11109065.92</v>
          </cell>
          <cell r="O11">
            <v>12188790.818</v>
          </cell>
          <cell r="P11">
            <v>9423119.4069999997</v>
          </cell>
          <cell r="Q11">
            <v>115981889.35599999</v>
          </cell>
          <cell r="S11"/>
        </row>
        <row r="12">
          <cell r="E12">
            <v>148771.16999999993</v>
          </cell>
          <cell r="F12">
            <v>169243.61199999973</v>
          </cell>
          <cell r="G12">
            <v>179682.38200000115</v>
          </cell>
          <cell r="H12">
            <v>208136.15699999966</v>
          </cell>
          <cell r="I12">
            <v>143546.81599999964</v>
          </cell>
          <cell r="J12">
            <v>175773.53899999987</v>
          </cell>
          <cell r="K12">
            <v>171342.17800000031</v>
          </cell>
          <cell r="L12">
            <v>146037.82600000035</v>
          </cell>
          <cell r="M12">
            <v>101660.65000000037</v>
          </cell>
          <cell r="N12">
            <v>136047.08799999952</v>
          </cell>
          <cell r="O12">
            <v>161303.44199999981</v>
          </cell>
          <cell r="P12">
            <v>150215.13100000005</v>
          </cell>
          <cell r="Q12">
            <v>1891759.9910000116</v>
          </cell>
        </row>
        <row r="13">
          <cell r="E13">
            <v>21008.507999999449</v>
          </cell>
          <cell r="F13">
            <v>29760.969000000507</v>
          </cell>
          <cell r="G13">
            <v>26611.273000000045</v>
          </cell>
          <cell r="H13">
            <v>28970.457000000402</v>
          </cell>
          <cell r="I13">
            <v>23764.253000000492</v>
          </cell>
          <cell r="J13">
            <v>33417.366000001319</v>
          </cell>
          <cell r="K13">
            <v>25604.841999999247</v>
          </cell>
          <cell r="L13">
            <v>76840.109000000171</v>
          </cell>
          <cell r="M13">
            <v>55598.455000000075</v>
          </cell>
          <cell r="N13">
            <v>68947.167999999598</v>
          </cell>
          <cell r="O13">
            <v>54785.955000000075</v>
          </cell>
          <cell r="P13">
            <v>49418.626999999397</v>
          </cell>
          <cell r="Q13">
            <v>494727.98200000077</v>
          </cell>
        </row>
        <row r="14">
          <cell r="E14">
            <v>169779.67799999937</v>
          </cell>
          <cell r="F14">
            <v>199004.58100000024</v>
          </cell>
          <cell r="G14">
            <v>206293.65500000119</v>
          </cell>
          <cell r="H14">
            <v>237106.61400000006</v>
          </cell>
          <cell r="I14">
            <v>167311.06900000013</v>
          </cell>
          <cell r="J14">
            <v>209190.90500000119</v>
          </cell>
          <cell r="K14">
            <v>196947.01999999955</v>
          </cell>
          <cell r="L14">
            <v>222877.93500000052</v>
          </cell>
          <cell r="M14">
            <v>157259.10500000045</v>
          </cell>
          <cell r="N14">
            <v>204994.25599999912</v>
          </cell>
          <cell r="O14">
            <v>216089.39699999988</v>
          </cell>
          <cell r="P14">
            <v>199633.75799999945</v>
          </cell>
          <cell r="Q14">
            <v>2386487.9730000049</v>
          </cell>
        </row>
        <row r="15">
          <cell r="E15">
            <v>68018.86</v>
          </cell>
          <cell r="F15">
            <v>57872.959999999999</v>
          </cell>
          <cell r="G15">
            <v>57872.959999999999</v>
          </cell>
          <cell r="H15">
            <v>60494.26</v>
          </cell>
          <cell r="I15">
            <v>59183.61</v>
          </cell>
          <cell r="J15">
            <v>59247.61</v>
          </cell>
          <cell r="K15">
            <v>59829.86</v>
          </cell>
          <cell r="L15">
            <v>59213.61</v>
          </cell>
          <cell r="M15">
            <v>73707.69</v>
          </cell>
          <cell r="N15">
            <v>64536.09</v>
          </cell>
          <cell r="O15">
            <v>62124.85</v>
          </cell>
          <cell r="P15">
            <v>66718.539999999994</v>
          </cell>
          <cell r="Q15">
            <v>748820.89999999991</v>
          </cell>
          <cell r="S15">
            <v>14494.080000000002</v>
          </cell>
        </row>
        <row r="16">
          <cell r="E16">
            <v>13203.15</v>
          </cell>
          <cell r="F16">
            <v>13203.15</v>
          </cell>
          <cell r="G16">
            <v>13547.645</v>
          </cell>
          <cell r="H16">
            <v>13640.01</v>
          </cell>
          <cell r="I16">
            <v>13421.58</v>
          </cell>
          <cell r="J16">
            <v>15399.922</v>
          </cell>
          <cell r="K16">
            <v>13421.58</v>
          </cell>
          <cell r="L16">
            <v>13421.58</v>
          </cell>
          <cell r="M16">
            <v>20552.3</v>
          </cell>
          <cell r="N16">
            <v>14225.32</v>
          </cell>
          <cell r="O16">
            <v>13823.45</v>
          </cell>
          <cell r="P16">
            <v>173422.27499999999</v>
          </cell>
          <cell r="Q16">
            <v>331281.96200000006</v>
          </cell>
          <cell r="S16">
            <v>7130.7199999999993</v>
          </cell>
        </row>
        <row r="17">
          <cell r="E17">
            <v>10023.587</v>
          </cell>
          <cell r="F17">
            <v>10023.587</v>
          </cell>
          <cell r="G17">
            <v>10023.587</v>
          </cell>
          <cell r="H17">
            <v>10023.587</v>
          </cell>
          <cell r="I17">
            <v>10023.587</v>
          </cell>
          <cell r="J17">
            <v>-17665.399000000001</v>
          </cell>
          <cell r="K17">
            <v>5431.1440000000002</v>
          </cell>
          <cell r="L17">
            <v>5431.1440000000002</v>
          </cell>
          <cell r="M17">
            <v>5431.1440000000002</v>
          </cell>
          <cell r="N17">
            <v>5431.1440000000002</v>
          </cell>
          <cell r="O17">
            <v>5431.1440000000002</v>
          </cell>
          <cell r="P17">
            <v>5431.1440000000002</v>
          </cell>
          <cell r="Q17">
            <v>65039.399999999994</v>
          </cell>
          <cell r="S17">
            <v>0</v>
          </cell>
        </row>
        <row r="18">
          <cell r="E18">
            <v>91245.596999999994</v>
          </cell>
          <cell r="F18">
            <v>81099.697</v>
          </cell>
          <cell r="G18">
            <v>81444.191999999995</v>
          </cell>
          <cell r="H18">
            <v>84157.857000000004</v>
          </cell>
          <cell r="I18">
            <v>82628.777000000002</v>
          </cell>
          <cell r="J18">
            <v>56982.133000000002</v>
          </cell>
          <cell r="K18">
            <v>78682.584000000003</v>
          </cell>
          <cell r="L18">
            <v>78066.334000000003</v>
          </cell>
          <cell r="M18">
            <v>99691.134000000005</v>
          </cell>
          <cell r="N18">
            <v>84192.554000000004</v>
          </cell>
          <cell r="O18">
            <v>81379.444000000003</v>
          </cell>
          <cell r="P18">
            <v>245571.959</v>
          </cell>
          <cell r="Q18">
            <v>1145142.2619999999</v>
          </cell>
          <cell r="S18">
            <v>21624.800000000003</v>
          </cell>
        </row>
        <row r="19">
          <cell r="E19">
            <v>8853.2999999999993</v>
          </cell>
          <cell r="F19">
            <v>8215.0580000000009</v>
          </cell>
          <cell r="G19">
            <v>10573.141</v>
          </cell>
          <cell r="H19">
            <v>9315.3089999999993</v>
          </cell>
          <cell r="I19">
            <v>12068.662</v>
          </cell>
          <cell r="J19">
            <v>11560.502</v>
          </cell>
          <cell r="K19">
            <v>8576.44</v>
          </cell>
          <cell r="L19">
            <v>9188.5049999999992</v>
          </cell>
          <cell r="M19">
            <v>17894.521000000001</v>
          </cell>
          <cell r="N19">
            <v>8445.65</v>
          </cell>
          <cell r="O19">
            <v>9103.768</v>
          </cell>
          <cell r="P19">
            <v>16197.186</v>
          </cell>
          <cell r="Q19">
            <v>129992.04199999999</v>
          </cell>
          <cell r="S19">
            <v>8706.0160000000014</v>
          </cell>
        </row>
        <row r="20">
          <cell r="E20">
            <v>1489.835</v>
          </cell>
          <cell r="F20">
            <v>333.82299999999998</v>
          </cell>
          <cell r="G20">
            <v>2674.819</v>
          </cell>
          <cell r="H20">
            <v>244.21</v>
          </cell>
          <cell r="I20">
            <v>2198.2269999999999</v>
          </cell>
          <cell r="J20">
            <v>1556.777</v>
          </cell>
          <cell r="K20">
            <v>1645.8869999999999</v>
          </cell>
          <cell r="L20">
            <v>1973.6420000000001</v>
          </cell>
          <cell r="M20">
            <v>1353.9110000000001</v>
          </cell>
          <cell r="N20">
            <v>1449.5989999999999</v>
          </cell>
          <cell r="O20">
            <v>1575.578</v>
          </cell>
          <cell r="P20">
            <v>1484.79</v>
          </cell>
          <cell r="Q20">
            <v>17981.098000000002</v>
          </cell>
          <cell r="S20">
            <v>-619.73099999999999</v>
          </cell>
        </row>
        <row r="21">
          <cell r="E21">
            <v>6183.6850000000004</v>
          </cell>
          <cell r="F21">
            <v>2137.9989999999998</v>
          </cell>
          <cell r="G21">
            <v>1577.913</v>
          </cell>
          <cell r="H21">
            <v>2325.3049999999998</v>
          </cell>
          <cell r="I21">
            <v>2338.663</v>
          </cell>
          <cell r="J21">
            <v>1551.461</v>
          </cell>
          <cell r="K21">
            <v>1657.126</v>
          </cell>
          <cell r="L21">
            <v>2356.9940000000001</v>
          </cell>
          <cell r="M21">
            <v>2277.34</v>
          </cell>
          <cell r="N21">
            <v>1340.874</v>
          </cell>
          <cell r="O21">
            <v>1966.6559999999999</v>
          </cell>
          <cell r="P21">
            <v>2623.8960000000002</v>
          </cell>
          <cell r="Q21">
            <v>28337.912</v>
          </cell>
          <cell r="S21">
            <v>-79.653999999999996</v>
          </cell>
        </row>
        <row r="22"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0</v>
          </cell>
        </row>
        <row r="23">
          <cell r="E23">
            <v>1216.431</v>
          </cell>
          <cell r="F23">
            <v>1185.2560000000001</v>
          </cell>
          <cell r="G23">
            <v>1398.5619999999999</v>
          </cell>
          <cell r="H23">
            <v>1688.877</v>
          </cell>
          <cell r="I23">
            <v>1356.771</v>
          </cell>
          <cell r="J23">
            <v>1328.327</v>
          </cell>
          <cell r="K23">
            <v>1450.317</v>
          </cell>
          <cell r="L23">
            <v>1408.7639999999999</v>
          </cell>
          <cell r="M23">
            <v>1723.355</v>
          </cell>
          <cell r="N23">
            <v>1506.6369999999999</v>
          </cell>
          <cell r="O23">
            <v>1543.3969999999999</v>
          </cell>
          <cell r="P23">
            <v>1743.175</v>
          </cell>
          <cell r="Q23">
            <v>17549.868999999999</v>
          </cell>
          <cell r="S23">
            <v>314.59100000000012</v>
          </cell>
        </row>
        <row r="24">
          <cell r="E24">
            <v>425.12700000000001</v>
          </cell>
          <cell r="F24">
            <v>414.267</v>
          </cell>
          <cell r="G24">
            <v>581.41099999999994</v>
          </cell>
          <cell r="H24">
            <v>354.17</v>
          </cell>
          <cell r="I24">
            <v>122.072</v>
          </cell>
          <cell r="J24">
            <v>809.43100000000004</v>
          </cell>
          <cell r="K24">
            <v>212.411</v>
          </cell>
          <cell r="L24">
            <v>622.27599999999995</v>
          </cell>
          <cell r="M24">
            <v>784.721</v>
          </cell>
          <cell r="N24">
            <v>369.101</v>
          </cell>
          <cell r="O24">
            <v>230.227</v>
          </cell>
          <cell r="P24">
            <v>757.14300000000003</v>
          </cell>
          <cell r="Q24">
            <v>5682.357</v>
          </cell>
          <cell r="S24">
            <v>162.44500000000005</v>
          </cell>
        </row>
        <row r="25">
          <cell r="E25">
            <v>175.22900000000001</v>
          </cell>
          <cell r="F25">
            <v>70.728999999999999</v>
          </cell>
          <cell r="G25">
            <v>279.72899999999998</v>
          </cell>
          <cell r="H25">
            <v>175.22900000000001</v>
          </cell>
          <cell r="I25">
            <v>175.22900000000001</v>
          </cell>
          <cell r="J25">
            <v>175.22900000000001</v>
          </cell>
          <cell r="K25">
            <v>175.22900000000001</v>
          </cell>
          <cell r="L25">
            <v>175.22900000000001</v>
          </cell>
          <cell r="M25">
            <v>175.22900000000001</v>
          </cell>
          <cell r="N25">
            <v>175.22900000000001</v>
          </cell>
          <cell r="O25">
            <v>175.22900000000001</v>
          </cell>
          <cell r="P25">
            <v>249.68299999999999</v>
          </cell>
          <cell r="Q25">
            <v>2177.2020000000002</v>
          </cell>
          <cell r="S25">
            <v>0</v>
          </cell>
        </row>
        <row r="26">
          <cell r="E26">
            <v>2820.68</v>
          </cell>
          <cell r="F26">
            <v>2879</v>
          </cell>
          <cell r="G26">
            <v>2849.84</v>
          </cell>
          <cell r="H26">
            <v>2849.84</v>
          </cell>
          <cell r="I26">
            <v>2849.84</v>
          </cell>
          <cell r="J26">
            <v>2849.84</v>
          </cell>
          <cell r="K26">
            <v>3087.45</v>
          </cell>
          <cell r="L26">
            <v>3087.45</v>
          </cell>
          <cell r="M26">
            <v>3087.45</v>
          </cell>
          <cell r="N26">
            <v>3087.45</v>
          </cell>
          <cell r="O26">
            <v>3087.45</v>
          </cell>
          <cell r="P26">
            <v>3087.45</v>
          </cell>
          <cell r="Q26">
            <v>35623.740000000005</v>
          </cell>
          <cell r="S26">
            <v>0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>
            <v>0</v>
          </cell>
        </row>
        <row r="28">
          <cell r="E28">
            <v>-35000</v>
          </cell>
          <cell r="F28">
            <v>5901.9</v>
          </cell>
          <cell r="G28">
            <v>36192.639999999999</v>
          </cell>
          <cell r="H28">
            <v>1357.86</v>
          </cell>
          <cell r="I28">
            <v>-4991.3</v>
          </cell>
          <cell r="J28">
            <v>-2603.0500000000002</v>
          </cell>
          <cell r="K28">
            <v>0</v>
          </cell>
          <cell r="L28">
            <v>95.32</v>
          </cell>
          <cell r="M28">
            <v>534.14</v>
          </cell>
          <cell r="N28">
            <v>157.91999999999999</v>
          </cell>
          <cell r="O28">
            <v>987.95</v>
          </cell>
          <cell r="P28">
            <v>37</v>
          </cell>
          <cell r="Q28">
            <v>2670.380000000001</v>
          </cell>
          <cell r="S28">
            <v>438.82</v>
          </cell>
        </row>
        <row r="29">
          <cell r="E29">
            <v>211.9</v>
          </cell>
          <cell r="F29">
            <v>164.1</v>
          </cell>
          <cell r="G29">
            <v>34</v>
          </cell>
          <cell r="H29">
            <v>136.55000000000001</v>
          </cell>
          <cell r="I29">
            <v>178.85</v>
          </cell>
          <cell r="J29">
            <v>34</v>
          </cell>
          <cell r="K29">
            <v>50.2</v>
          </cell>
          <cell r="L29">
            <v>135.82</v>
          </cell>
          <cell r="M29">
            <v>127.5</v>
          </cell>
          <cell r="N29">
            <v>89.9</v>
          </cell>
          <cell r="O29">
            <v>109.6</v>
          </cell>
          <cell r="P29">
            <v>753.62</v>
          </cell>
          <cell r="Q29">
            <v>2026.04</v>
          </cell>
          <cell r="S29">
            <v>-8.3199999999999932</v>
          </cell>
        </row>
        <row r="30">
          <cell r="E30">
            <v>5344.1390000000001</v>
          </cell>
          <cell r="F30">
            <v>5827.9459999999999</v>
          </cell>
          <cell r="G30">
            <v>5358.2640000000001</v>
          </cell>
          <cell r="H30">
            <v>6770.1710000000003</v>
          </cell>
          <cell r="I30">
            <v>5796.6880000000001</v>
          </cell>
          <cell r="J30">
            <v>6551.1279999999997</v>
          </cell>
          <cell r="K30">
            <v>6267.8890000000001</v>
          </cell>
          <cell r="L30">
            <v>8607.7019999999993</v>
          </cell>
          <cell r="M30">
            <v>9684.8060000000005</v>
          </cell>
          <cell r="N30">
            <v>5261.9049999999997</v>
          </cell>
          <cell r="O30">
            <v>5983.1509999999998</v>
          </cell>
          <cell r="P30">
            <v>5539.7560000000003</v>
          </cell>
          <cell r="Q30">
            <v>76993.544999999984</v>
          </cell>
          <cell r="S30">
            <v>1077.1040000000012</v>
          </cell>
        </row>
        <row r="31">
          <cell r="E31">
            <v>9096.84</v>
          </cell>
          <cell r="F31">
            <v>10403.799999999999</v>
          </cell>
          <cell r="G31">
            <v>4857.93</v>
          </cell>
          <cell r="H31">
            <v>7289.1</v>
          </cell>
          <cell r="I31">
            <v>4829.8</v>
          </cell>
          <cell r="J31">
            <v>7006.57</v>
          </cell>
          <cell r="K31">
            <v>4568.26</v>
          </cell>
          <cell r="L31">
            <v>10804.71</v>
          </cell>
          <cell r="M31">
            <v>14963.21</v>
          </cell>
          <cell r="N31">
            <v>8082</v>
          </cell>
          <cell r="O31">
            <v>6982.91</v>
          </cell>
          <cell r="P31">
            <v>4112</v>
          </cell>
          <cell r="Q31">
            <v>92997.13</v>
          </cell>
          <cell r="S31">
            <v>4158.5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>
            <v>0</v>
          </cell>
        </row>
        <row r="33">
          <cell r="E33">
            <v>453.71100000000001</v>
          </cell>
          <cell r="F33">
            <v>266.036</v>
          </cell>
          <cell r="G33">
            <v>1015.593</v>
          </cell>
          <cell r="H33">
            <v>1165.703</v>
          </cell>
          <cell r="I33">
            <v>691.78899999999999</v>
          </cell>
          <cell r="J33">
            <v>1562.796</v>
          </cell>
          <cell r="K33">
            <v>-17.216999999999999</v>
          </cell>
          <cell r="L33">
            <v>226.33</v>
          </cell>
          <cell r="M33">
            <v>1618.807</v>
          </cell>
          <cell r="N33">
            <v>605.9</v>
          </cell>
          <cell r="O33">
            <v>454.50200000000001</v>
          </cell>
          <cell r="P33">
            <v>-209.75200000000001</v>
          </cell>
          <cell r="Q33">
            <v>7834.1980000000003</v>
          </cell>
          <cell r="S33">
            <v>1392.4770000000001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S35">
            <v>0</v>
          </cell>
        </row>
        <row r="36">
          <cell r="E36">
            <v>1270.8770000000011</v>
          </cell>
          <cell r="F36">
            <v>37799.913999999997</v>
          </cell>
          <cell r="G36">
            <v>67393.84199999999</v>
          </cell>
          <cell r="H36">
            <v>33672.324000000001</v>
          </cell>
          <cell r="I36">
            <v>27615.291000000001</v>
          </cell>
          <cell r="J36">
            <v>32383.010999999999</v>
          </cell>
          <cell r="K36">
            <v>27673.992000000002</v>
          </cell>
          <cell r="L36">
            <v>38682.741999999998</v>
          </cell>
          <cell r="M36">
            <v>54224.99</v>
          </cell>
          <cell r="N36">
            <v>30572.165000000001</v>
          </cell>
          <cell r="O36">
            <v>32200.418000000001</v>
          </cell>
          <cell r="P36">
            <v>36375.947</v>
          </cell>
          <cell r="Q36">
            <v>419865.51299999992</v>
          </cell>
          <cell r="S36">
            <v>15542.248</v>
          </cell>
        </row>
        <row r="37">
          <cell r="E37">
            <v>92516.474000000002</v>
          </cell>
          <cell r="F37">
            <v>118899.611</v>
          </cell>
          <cell r="G37">
            <v>148838.03399999999</v>
          </cell>
          <cell r="H37">
            <v>117830.18100000001</v>
          </cell>
          <cell r="I37">
            <v>110244.068</v>
          </cell>
          <cell r="J37">
            <v>89365.144</v>
          </cell>
          <cell r="K37">
            <v>106356.576</v>
          </cell>
          <cell r="L37">
            <v>116749.076</v>
          </cell>
          <cell r="M37">
            <v>153916.12400000001</v>
          </cell>
          <cell r="N37">
            <v>114764.71900000001</v>
          </cell>
          <cell r="O37">
            <v>113579.86200000001</v>
          </cell>
          <cell r="P37">
            <v>281947.90600000002</v>
          </cell>
          <cell r="Q37">
            <v>1565007.7749999999</v>
          </cell>
          <cell r="S37">
            <v>37167.04800000001</v>
          </cell>
        </row>
        <row r="38">
          <cell r="E38">
            <v>77263.203999999372</v>
          </cell>
          <cell r="F38">
            <v>80104.970000000234</v>
          </cell>
          <cell r="G38">
            <v>57455.621000001207</v>
          </cell>
          <cell r="H38">
            <v>119276.43300000005</v>
          </cell>
          <cell r="I38">
            <v>57067.001000000135</v>
          </cell>
          <cell r="J38">
            <v>119825.76100000119</v>
          </cell>
          <cell r="K38">
            <v>90590.443999999552</v>
          </cell>
          <cell r="L38">
            <v>106128.85900000052</v>
          </cell>
          <cell r="M38">
            <v>3342.9810000004363</v>
          </cell>
          <cell r="N38">
            <v>90229.536999999109</v>
          </cell>
          <cell r="O38">
            <v>102509.53499999987</v>
          </cell>
          <cell r="P38">
            <v>-82314.148000000569</v>
          </cell>
          <cell r="Q38">
            <v>821480.19800000498</v>
          </cell>
          <cell r="S38">
            <v>-102785.87800000008</v>
          </cell>
        </row>
        <row r="39">
          <cell r="E39">
            <v>2864.27</v>
          </cell>
          <cell r="F39">
            <v>2877.7269999999999</v>
          </cell>
          <cell r="G39">
            <v>2877.7240000000002</v>
          </cell>
          <cell r="H39">
            <v>2877.7269999999999</v>
          </cell>
          <cell r="I39">
            <v>2800.7159999999999</v>
          </cell>
          <cell r="J39">
            <v>2800.7190000000001</v>
          </cell>
          <cell r="K39">
            <v>2800.721</v>
          </cell>
          <cell r="L39">
            <v>1478.7239999999999</v>
          </cell>
          <cell r="M39">
            <v>4908.1000000000004</v>
          </cell>
          <cell r="N39">
            <v>4908.1000000000004</v>
          </cell>
          <cell r="O39">
            <v>4319.4059999999999</v>
          </cell>
          <cell r="P39">
            <v>4319.4089999999997</v>
          </cell>
          <cell r="Q39">
            <v>39833.343000000001</v>
          </cell>
          <cell r="S39">
            <v>3429.3760000000002</v>
          </cell>
        </row>
        <row r="40">
          <cell r="E40">
            <v>74398.933999999368</v>
          </cell>
          <cell r="F40">
            <v>77227.243000000235</v>
          </cell>
          <cell r="G40">
            <v>54577.897000001205</v>
          </cell>
          <cell r="H40">
            <v>116398.70600000005</v>
          </cell>
          <cell r="I40">
            <v>54266.285000000134</v>
          </cell>
          <cell r="J40">
            <v>117025.04200000119</v>
          </cell>
          <cell r="K40">
            <v>87789.722999999547</v>
          </cell>
          <cell r="L40">
            <v>104650.13500000052</v>
          </cell>
          <cell r="M40">
            <v>-1565.118999999564</v>
          </cell>
          <cell r="N40">
            <v>85321.436999999103</v>
          </cell>
          <cell r="O40">
            <v>98190.12899999987</v>
          </cell>
          <cell r="P40">
            <v>-86633.557000000568</v>
          </cell>
          <cell r="Q40">
            <v>781646.85500000499</v>
          </cell>
          <cell r="S40">
            <v>-106215.25400000009</v>
          </cell>
        </row>
        <row r="41">
          <cell r="E41">
            <v>8.4413457076985988E-3</v>
          </cell>
          <cell r="F41">
            <v>7.8888065523096199E-3</v>
          </cell>
          <cell r="G41">
            <v>4.8044053400879694E-3</v>
          </cell>
          <cell r="H41">
            <v>1.0202702599603758E-2</v>
          </cell>
          <cell r="I41">
            <v>6.0101386858943031E-3</v>
          </cell>
          <cell r="J41">
            <v>1.307967726396095E-2</v>
          </cell>
          <cell r="K41">
            <v>1.0727679243045275E-2</v>
          </cell>
          <cell r="L41">
            <v>1.2919637315638881E-2</v>
          </cell>
          <cell r="M41">
            <v>-1.6658672273877568E-4</v>
          </cell>
          <cell r="N41">
            <v>7.5411864240379047E-3</v>
          </cell>
          <cell r="O41">
            <v>7.9154435430394739E-3</v>
          </cell>
          <cell r="P41">
            <v>-9.0029906737195808E-3</v>
          </cell>
          <cell r="Q41">
            <v>6.6035107740596123E-3</v>
          </cell>
        </row>
        <row r="43">
          <cell r="E43">
            <v>1098907.8680546847</v>
          </cell>
          <cell r="F43">
            <v>1027486.9738044508</v>
          </cell>
          <cell r="G43">
            <v>1030973.3939193247</v>
          </cell>
          <cell r="H43">
            <v>1048311.1321207784</v>
          </cell>
          <cell r="I43">
            <v>1064717.6492676102</v>
          </cell>
          <cell r="J43">
            <v>1043902.0889611768</v>
          </cell>
          <cell r="K43">
            <v>1025254.3120930659</v>
          </cell>
          <cell r="L43">
            <v>957693.63511625899</v>
          </cell>
          <cell r="M43">
            <v>1007624.1816933632</v>
          </cell>
          <cell r="N43">
            <v>964243.14311560732</v>
          </cell>
          <cell r="O43">
            <v>985246.58044154115</v>
          </cell>
          <cell r="P43">
            <v>951341.4287927025</v>
          </cell>
          <cell r="Q43">
            <v>1015943.5106736206</v>
          </cell>
        </row>
        <row r="44">
          <cell r="E44">
            <v>1.9263299607757241E-2</v>
          </cell>
          <cell r="F44">
            <v>2.0328430506478493E-2</v>
          </cell>
          <cell r="G44">
            <v>1.815970186077798E-2</v>
          </cell>
          <cell r="H44">
            <v>2.0783119934692784E-2</v>
          </cell>
          <cell r="I44">
            <v>1.8530156032889104E-2</v>
          </cell>
          <cell r="J44">
            <v>2.338088905753952E-2</v>
          </cell>
          <cell r="K44">
            <v>2.4066421287530761E-2</v>
          </cell>
          <cell r="L44">
            <v>2.751551238666371E-2</v>
          </cell>
          <cell r="M44">
            <v>1.6738202604907604E-2</v>
          </cell>
          <cell r="N44">
            <v>1.8118540365804674E-2</v>
          </cell>
          <cell r="O44">
            <v>1.7419708473984639E-2</v>
          </cell>
          <cell r="P44">
            <v>2.0746012557623313E-2</v>
          </cell>
          <cell r="Q44">
            <v>2.0161533230846448E-2</v>
          </cell>
        </row>
        <row r="46">
          <cell r="E46">
            <v>1268735.3580871271</v>
          </cell>
          <cell r="F46">
            <v>1167868.5192917492</v>
          </cell>
          <cell r="G46">
            <v>1154635.2801187327</v>
          </cell>
          <cell r="H46">
            <v>1219182.1263514552</v>
          </cell>
          <cell r="I46">
            <v>1229289.1094835177</v>
          </cell>
          <cell r="J46">
            <v>1265411.1328760344</v>
          </cell>
          <cell r="K46">
            <v>1212695.2910069139</v>
          </cell>
          <cell r="L46">
            <v>1177980.5739906009</v>
          </cell>
          <cell r="M46">
            <v>1343997.7845657172</v>
          </cell>
          <cell r="N46">
            <v>1247409.4865019964</v>
          </cell>
          <cell r="O46">
            <v>1227079.3572396354</v>
          </cell>
          <cell r="P46">
            <v>1231805.4310661538</v>
          </cell>
          <cell r="Q46"/>
          <cell r="R46"/>
          <cell r="S46"/>
          <cell r="T46"/>
        </row>
        <row r="47">
          <cell r="E47">
            <v>1244295.3287613394</v>
          </cell>
          <cell r="F47">
            <v>1144127.5852566229</v>
          </cell>
          <cell r="G47">
            <v>1133667.4476738407</v>
          </cell>
          <cell r="H47">
            <v>1193843.7179972592</v>
          </cell>
          <cell r="I47">
            <v>1206510.1904752566</v>
          </cell>
          <cell r="J47">
            <v>1235824.6955660842</v>
          </cell>
          <cell r="K47">
            <v>1183510.0552401368</v>
          </cell>
          <cell r="L47">
            <v>1145567.8349157134</v>
          </cell>
          <cell r="M47">
            <v>1321501.6773471094</v>
          </cell>
          <cell r="N47">
            <v>1224808.2473681222</v>
          </cell>
          <cell r="O47">
            <v>1205703.9925620765</v>
          </cell>
          <cell r="P47">
            <v>1206250.380124707</v>
          </cell>
          <cell r="Q47"/>
          <cell r="R47"/>
          <cell r="S47"/>
          <cell r="T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</row>
        <row r="49">
          <cell r="E49">
            <v>95380.744000000006</v>
          </cell>
          <cell r="F49">
            <v>121777.338</v>
          </cell>
          <cell r="G49">
            <v>151715.75799999997</v>
          </cell>
          <cell r="H49">
            <v>120707.90800000001</v>
          </cell>
          <cell r="I49">
            <v>113044.784</v>
          </cell>
          <cell r="J49">
            <v>92165.862999999998</v>
          </cell>
          <cell r="K49">
            <v>109157.29700000001</v>
          </cell>
          <cell r="L49">
            <v>118227.8</v>
          </cell>
          <cell r="M49">
            <v>158824.22400000002</v>
          </cell>
          <cell r="N49">
            <v>119672.81900000002</v>
          </cell>
          <cell r="O49">
            <v>117899.26800000001</v>
          </cell>
          <cell r="P49">
            <v>286267.315</v>
          </cell>
          <cell r="Q49"/>
          <cell r="R49"/>
          <cell r="S49"/>
          <cell r="T49"/>
        </row>
        <row r="50">
          <cell r="E50">
            <v>125380.74400000001</v>
          </cell>
          <cell r="F50">
            <v>151777.33799999999</v>
          </cell>
          <cell r="G50">
            <v>181715.75799999997</v>
          </cell>
          <cell r="H50">
            <v>150707.908</v>
          </cell>
          <cell r="I50">
            <v>143044.78399999999</v>
          </cell>
          <cell r="J50">
            <v>122165.863</v>
          </cell>
          <cell r="K50">
            <v>139157.29700000002</v>
          </cell>
          <cell r="L50">
            <v>148227.79999999999</v>
          </cell>
          <cell r="M50">
            <v>188824.22400000002</v>
          </cell>
          <cell r="N50">
            <v>149672.81900000002</v>
          </cell>
          <cell r="O50">
            <v>147899.26800000001</v>
          </cell>
          <cell r="P50">
            <v>316267.315</v>
          </cell>
          <cell r="Q50"/>
          <cell r="R50"/>
          <cell r="S50"/>
          <cell r="T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</row>
        <row r="52">
          <cell r="E52">
            <v>0.86614427591228227</v>
          </cell>
          <cell r="F52">
            <v>0.87979678947726725</v>
          </cell>
          <cell r="G52">
            <v>0.89289961225964642</v>
          </cell>
          <cell r="H52">
            <v>0.85984785165607025</v>
          </cell>
          <cell r="I52">
            <v>0.86612469032199291</v>
          </cell>
          <cell r="J52">
            <v>0.82495092846906559</v>
          </cell>
          <cell r="K52">
            <v>0.84543439699661582</v>
          </cell>
          <cell r="L52">
            <v>0.81299611917360903</v>
          </cell>
          <cell r="M52">
            <v>0.74972160911630847</v>
          </cell>
          <cell r="N52">
            <v>0.772996480746312</v>
          </cell>
          <cell r="O52">
            <v>0.80292001868395302</v>
          </cell>
          <cell r="P52">
            <v>0.77231468931688019</v>
          </cell>
          <cell r="Q52"/>
          <cell r="R52"/>
          <cell r="S52"/>
          <cell r="T52"/>
        </row>
        <row r="53">
          <cell r="E53">
            <v>0.13385572408771773</v>
          </cell>
          <cell r="F53">
            <v>0.12020321052273281</v>
          </cell>
          <cell r="G53">
            <v>0.10710038774035362</v>
          </cell>
          <cell r="H53">
            <v>0.14015214834392972</v>
          </cell>
          <cell r="I53">
            <v>0.13387530967800715</v>
          </cell>
          <cell r="J53">
            <v>0.17504907153093441</v>
          </cell>
          <cell r="K53">
            <v>0.15456560300338418</v>
          </cell>
          <cell r="L53">
            <v>0.18700388082639094</v>
          </cell>
          <cell r="M53">
            <v>0.25027839088369158</v>
          </cell>
          <cell r="N53">
            <v>0.22700351925368795</v>
          </cell>
          <cell r="O53">
            <v>0.19707998131604698</v>
          </cell>
          <cell r="P53">
            <v>0.22768531068311976</v>
          </cell>
          <cell r="Q53"/>
          <cell r="R53"/>
          <cell r="S53"/>
          <cell r="T53"/>
        </row>
        <row r="54"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E55">
            <v>1.7807511624866823E-2</v>
          </cell>
          <cell r="F55">
            <v>2.5291336254530727E-2</v>
          </cell>
          <cell r="G55">
            <v>2.1872450927757803E-2</v>
          </cell>
          <cell r="H55">
            <v>1.8118517593193939E-2</v>
          </cell>
          <cell r="I55">
            <v>1.9659754085088355E-2</v>
          </cell>
          <cell r="J55">
            <v>2.1336865818581074E-2</v>
          </cell>
          <cell r="K55">
            <v>2.0242835629864397E-2</v>
          </cell>
          <cell r="L55">
            <v>5.0728016578124868E-2</v>
          </cell>
          <cell r="M55">
            <v>2.3644622790337966E-2</v>
          </cell>
          <cell r="N55">
            <v>2.684512050622645E-2</v>
          </cell>
          <cell r="O55">
            <v>2.2409602290379915E-2</v>
          </cell>
          <cell r="P55">
            <v>2.2555700371252208E-2</v>
          </cell>
          <cell r="Q55"/>
          <cell r="R55"/>
          <cell r="S55"/>
        </row>
        <row r="56"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E57">
            <v>1.7807511624866865E-2</v>
          </cell>
          <cell r="F57">
            <v>2.5291336254530748E-2</v>
          </cell>
          <cell r="G57">
            <v>2.1872450927757858E-2</v>
          </cell>
          <cell r="H57">
            <v>1.811851759319389E-2</v>
          </cell>
          <cell r="I57">
            <v>1.9659754085088396E-2</v>
          </cell>
          <cell r="J57">
            <v>2.1336865818581113E-2</v>
          </cell>
          <cell r="K57">
            <v>2.0242835629864411E-2</v>
          </cell>
          <cell r="L57">
            <v>5.072801657812482E-2</v>
          </cell>
          <cell r="M57">
            <v>2.3644622790338E-2</v>
          </cell>
          <cell r="N57">
            <v>2.6845120506226464E-2</v>
          </cell>
          <cell r="O57">
            <v>2.2409602290379919E-2</v>
          </cell>
          <cell r="P57">
            <v>2.2555700371252232E-2</v>
          </cell>
          <cell r="Q57"/>
          <cell r="R57"/>
          <cell r="S57"/>
        </row>
        <row r="58">
          <cell r="E58">
            <v>1.9263299607757241E-2</v>
          </cell>
          <cell r="F58">
            <v>2.0328430506478493E-2</v>
          </cell>
          <cell r="G58">
            <v>1.815970186077798E-2</v>
          </cell>
          <cell r="H58">
            <v>2.0783119934692784E-2</v>
          </cell>
          <cell r="I58">
            <v>1.8530156032889104E-2</v>
          </cell>
          <cell r="J58">
            <v>2.338088905753952E-2</v>
          </cell>
          <cell r="K58">
            <v>2.4066421287530761E-2</v>
          </cell>
          <cell r="L58">
            <v>2.751551238666371E-2</v>
          </cell>
          <cell r="M58">
            <v>1.6738202604907604E-2</v>
          </cell>
          <cell r="N58">
            <v>1.8118540365804674E-2</v>
          </cell>
          <cell r="O58">
            <v>1.7419708473984639E-2</v>
          </cell>
          <cell r="P58">
            <v>2.0746012557623313E-2</v>
          </cell>
          <cell r="Q58"/>
          <cell r="R58"/>
          <cell r="S58"/>
        </row>
        <row r="59">
          <cell r="E59">
            <v>1.9488280087323125E-2</v>
          </cell>
          <cell r="F59">
            <v>1.9650368013442967E-2</v>
          </cell>
          <cell r="G59">
            <v>1.7714369754910125E-2</v>
          </cell>
          <cell r="H59">
            <v>2.1217440660067709E-2</v>
          </cell>
          <cell r="I59">
            <v>1.8355556127425569E-2</v>
          </cell>
          <cell r="J59">
            <v>2.3814617122833455E-2</v>
          </cell>
          <cell r="K59">
            <v>2.4765464081284817E-2</v>
          </cell>
          <cell r="L59">
            <v>2.2176214614966543E-2</v>
          </cell>
          <cell r="M59">
            <v>1.4432643168234078E-2</v>
          </cell>
          <cell r="N59">
            <v>1.555583218760895E-2</v>
          </cell>
          <cell r="O59">
            <v>1.6194918759915581E-2</v>
          </cell>
          <cell r="P59">
            <v>2.0212500327718673E-2</v>
          </cell>
        </row>
      </sheetData>
      <sheetData sheetId="1">
        <row r="8">
          <cell r="G8">
            <v>6946.7870000000003</v>
          </cell>
        </row>
      </sheetData>
      <sheetData sheetId="2">
        <row r="8">
          <cell r="G8">
            <v>8382.34</v>
          </cell>
        </row>
        <row r="10">
          <cell r="G10">
            <v>1027486.9738044508</v>
          </cell>
        </row>
        <row r="15">
          <cell r="G15">
            <v>1.9650368013442967E-2</v>
          </cell>
        </row>
      </sheetData>
      <sheetData sheetId="3">
        <row r="8">
          <cell r="G8">
            <v>9838.5779999999995</v>
          </cell>
        </row>
      </sheetData>
      <sheetData sheetId="4">
        <row r="8">
          <cell r="G8">
            <v>9357.5969999999998</v>
          </cell>
        </row>
      </sheetData>
      <sheetData sheetId="5">
        <row r="8">
          <cell r="G8">
            <v>7344.996000000001</v>
          </cell>
        </row>
      </sheetData>
      <sheetData sheetId="6">
        <row r="8">
          <cell r="G8">
            <v>7070.5</v>
          </cell>
        </row>
      </sheetData>
      <sheetData sheetId="7">
        <row r="8">
          <cell r="G8">
            <v>6748.1729999999998</v>
          </cell>
        </row>
      </sheetData>
      <sheetData sheetId="8">
        <row r="8">
          <cell r="G8">
            <v>6876.2449999999999</v>
          </cell>
        </row>
      </sheetData>
      <sheetData sheetId="9">
        <row r="8">
          <cell r="G8">
            <v>6990.5029999999997</v>
          </cell>
        </row>
      </sheetData>
      <sheetData sheetId="10">
        <row r="8">
          <cell r="G8">
            <v>9070.0450000000001</v>
          </cell>
        </row>
      </sheetData>
      <sheetData sheetId="11">
        <row r="8">
          <cell r="G8">
            <v>10109.272999999999</v>
          </cell>
        </row>
      </sheetData>
      <sheetData sheetId="12">
        <row r="8">
          <cell r="G8">
            <v>7811.91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모래장(당월)"/>
      <sheetName val="서부산크라샤(당월)"/>
      <sheetName val="부산크라샤(당월)"/>
      <sheetName val="부산모래장(누계)"/>
      <sheetName val="서부산크라샤(누계)"/>
      <sheetName val="부산크라샤(누계)"/>
    </sheetNames>
    <sheetDataSet>
      <sheetData sheetId="0">
        <row r="47">
          <cell r="Q47">
            <v>6500</v>
          </cell>
          <cell r="R47">
            <v>6862</v>
          </cell>
        </row>
        <row r="48">
          <cell r="Q48">
            <v>11567.897800162975</v>
          </cell>
          <cell r="R48">
            <v>11761</v>
          </cell>
        </row>
        <row r="53">
          <cell r="R53">
            <v>194060</v>
          </cell>
        </row>
        <row r="54">
          <cell r="R54">
            <v>341512</v>
          </cell>
        </row>
        <row r="64">
          <cell r="R64">
            <v>3633</v>
          </cell>
        </row>
        <row r="65">
          <cell r="R65">
            <v>3472</v>
          </cell>
        </row>
        <row r="66">
          <cell r="R66">
            <v>1568</v>
          </cell>
        </row>
        <row r="76">
          <cell r="R76">
            <v>116256</v>
          </cell>
        </row>
        <row r="77">
          <cell r="R77">
            <v>97216</v>
          </cell>
        </row>
        <row r="78">
          <cell r="R78">
            <v>43120</v>
          </cell>
        </row>
        <row r="79">
          <cell r="R79">
            <v>77880</v>
          </cell>
        </row>
        <row r="80">
          <cell r="R80">
            <v>7040</v>
          </cell>
        </row>
        <row r="81">
          <cell r="I81">
            <v>33694.012542892327</v>
          </cell>
        </row>
        <row r="82">
          <cell r="R82">
            <v>36816.125</v>
          </cell>
        </row>
      </sheetData>
      <sheetData sheetId="1">
        <row r="59">
          <cell r="F59">
            <v>9008</v>
          </cell>
          <cell r="I59">
            <v>1776</v>
          </cell>
          <cell r="N59">
            <v>0</v>
          </cell>
          <cell r="O59">
            <v>10784</v>
          </cell>
        </row>
        <row r="60">
          <cell r="F60">
            <v>864</v>
          </cell>
          <cell r="I60">
            <v>0</v>
          </cell>
        </row>
        <row r="61">
          <cell r="F61">
            <v>10150</v>
          </cell>
          <cell r="I61">
            <v>0</v>
          </cell>
        </row>
        <row r="62">
          <cell r="F62">
            <v>864</v>
          </cell>
          <cell r="I62">
            <v>0</v>
          </cell>
        </row>
        <row r="63">
          <cell r="F63">
            <v>0</v>
          </cell>
          <cell r="I63">
            <v>0</v>
          </cell>
        </row>
        <row r="64">
          <cell r="F64">
            <v>0</v>
          </cell>
          <cell r="I64">
            <v>384</v>
          </cell>
        </row>
        <row r="65">
          <cell r="F65">
            <v>0</v>
          </cell>
          <cell r="I65">
            <v>0</v>
          </cell>
        </row>
        <row r="66">
          <cell r="F66">
            <v>11878</v>
          </cell>
          <cell r="I66">
            <v>384</v>
          </cell>
          <cell r="N66">
            <v>11137.8</v>
          </cell>
          <cell r="O66">
            <v>12262</v>
          </cell>
        </row>
        <row r="71">
          <cell r="F71">
            <v>107752</v>
          </cell>
          <cell r="I71">
            <v>14224</v>
          </cell>
        </row>
        <row r="72">
          <cell r="F72">
            <v>193286</v>
          </cell>
          <cell r="I72">
            <v>3456</v>
          </cell>
        </row>
        <row r="86">
          <cell r="F86">
            <v>-7913.8822370346152</v>
          </cell>
          <cell r="I86">
            <v>4801.7069686657633</v>
          </cell>
        </row>
        <row r="87">
          <cell r="F87">
            <v>38957.506993334115</v>
          </cell>
          <cell r="I87">
            <v>1405.290803035401</v>
          </cell>
        </row>
      </sheetData>
      <sheetData sheetId="2">
        <row r="59">
          <cell r="F59">
            <v>3808</v>
          </cell>
          <cell r="I59">
            <v>2096</v>
          </cell>
          <cell r="N59">
            <v>21000</v>
          </cell>
          <cell r="O59">
            <v>5904</v>
          </cell>
        </row>
        <row r="60">
          <cell r="F60">
            <v>8447</v>
          </cell>
          <cell r="I60">
            <v>5924</v>
          </cell>
        </row>
        <row r="61">
          <cell r="F61">
            <v>0</v>
          </cell>
          <cell r="I61">
            <v>3200</v>
          </cell>
        </row>
        <row r="62">
          <cell r="F62">
            <v>0</v>
          </cell>
          <cell r="I62">
            <v>0</v>
          </cell>
        </row>
        <row r="63">
          <cell r="F63">
            <v>0</v>
          </cell>
          <cell r="I63">
            <v>128</v>
          </cell>
        </row>
        <row r="64">
          <cell r="F64">
            <v>0</v>
          </cell>
          <cell r="I64">
            <v>0</v>
          </cell>
        </row>
        <row r="65">
          <cell r="F65">
            <v>0</v>
          </cell>
          <cell r="I65">
            <v>0</v>
          </cell>
        </row>
        <row r="66">
          <cell r="F66">
            <v>8447</v>
          </cell>
          <cell r="I66">
            <v>9252</v>
          </cell>
          <cell r="N66">
            <v>16656.38338633901</v>
          </cell>
          <cell r="O66">
            <v>17699</v>
          </cell>
        </row>
        <row r="71">
          <cell r="F71">
            <v>49504</v>
          </cell>
          <cell r="I71">
            <v>39824</v>
          </cell>
        </row>
        <row r="72">
          <cell r="F72">
            <v>147822.5</v>
          </cell>
          <cell r="I72">
            <v>205646</v>
          </cell>
        </row>
        <row r="86">
          <cell r="F86">
            <v>-20028.567650707337</v>
          </cell>
          <cell r="I86">
            <v>1333.9053738277003</v>
          </cell>
        </row>
        <row r="87">
          <cell r="F87">
            <v>-7760.6306931670433</v>
          </cell>
          <cell r="I87">
            <v>34690.023220046671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골재(당월)"/>
      <sheetName val="부산골재(누계)"/>
      <sheetName val="서부산골재(당월)"/>
      <sheetName val="서부산골재(누계)"/>
      <sheetName val="부산크라샤(당월)"/>
      <sheetName val="부산크라샤(누계)"/>
    </sheetNames>
    <sheetDataSet>
      <sheetData sheetId="0">
        <row r="10">
          <cell r="I10">
            <v>2487</v>
          </cell>
        </row>
        <row r="47">
          <cell r="R47">
            <v>10264</v>
          </cell>
        </row>
        <row r="48">
          <cell r="R48">
            <v>15488</v>
          </cell>
        </row>
      </sheetData>
      <sheetData sheetId="1"/>
      <sheetData sheetId="2">
        <row r="8">
          <cell r="F8">
            <v>32100</v>
          </cell>
        </row>
        <row r="59">
          <cell r="O59">
            <v>10224</v>
          </cell>
        </row>
        <row r="66">
          <cell r="O66">
            <v>28772</v>
          </cell>
        </row>
      </sheetData>
      <sheetData sheetId="3"/>
      <sheetData sheetId="4">
        <row r="8">
          <cell r="F8"/>
        </row>
        <row r="59">
          <cell r="O59">
            <v>0</v>
          </cell>
        </row>
        <row r="66">
          <cell r="O66">
            <v>0</v>
          </cell>
        </row>
      </sheetData>
      <sheetData sheetId="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100243.87229629695</v>
          </cell>
          <cell r="R85">
            <v>100912.98333484432</v>
          </cell>
        </row>
        <row r="89">
          <cell r="Q89">
            <v>77540.078886045827</v>
          </cell>
          <cell r="R89">
            <v>80371.425295388792</v>
          </cell>
        </row>
      </sheetData>
      <sheetData sheetId="1">
        <row r="85">
          <cell r="Q85">
            <v>96435.176387280269</v>
          </cell>
          <cell r="R85">
            <v>98745.595728138811</v>
          </cell>
        </row>
        <row r="89">
          <cell r="Q89">
            <v>79468.243932454454</v>
          </cell>
          <cell r="R89">
            <v>81932.740732853854</v>
          </cell>
        </row>
      </sheetData>
      <sheetData sheetId="2">
        <row r="85">
          <cell r="Q85">
            <v>101827.79193896716</v>
          </cell>
          <cell r="R85">
            <v>102063.49666047168</v>
          </cell>
        </row>
        <row r="89">
          <cell r="Q89">
            <v>75955.894146025516</v>
          </cell>
          <cell r="R89">
            <v>79702.413499584232</v>
          </cell>
        </row>
      </sheetData>
      <sheetData sheetId="3">
        <row r="85">
          <cell r="Q85">
            <v>105222.29919178082</v>
          </cell>
          <cell r="R85">
            <v>102758.58762493733</v>
          </cell>
        </row>
        <row r="89">
          <cell r="Q89">
            <v>77302.393695431339</v>
          </cell>
          <cell r="R89">
            <v>78542.727122031429</v>
          </cell>
        </row>
      </sheetData>
      <sheetData sheetId="4">
        <row r="2">
          <cell r="N2">
            <v>73000</v>
          </cell>
        </row>
        <row r="85">
          <cell r="Q85">
            <v>96733.253424657538</v>
          </cell>
          <cell r="R85">
            <v>97581.336480059414</v>
          </cell>
        </row>
        <row r="89">
          <cell r="Q89">
            <v>80010.74875960339</v>
          </cell>
          <cell r="R89">
            <v>80540.047562012682</v>
          </cell>
        </row>
      </sheetData>
      <sheetData sheetId="5">
        <row r="2">
          <cell r="N2">
            <v>52000</v>
          </cell>
        </row>
        <row r="85">
          <cell r="Q85">
            <v>97666.50115384614</v>
          </cell>
          <cell r="R85">
            <v>98834.294926697534</v>
          </cell>
        </row>
        <row r="89">
          <cell r="Q89">
            <v>82036.165816285356</v>
          </cell>
          <cell r="R89">
            <v>83169.15364884671</v>
          </cell>
        </row>
      </sheetData>
      <sheetData sheetId="6">
        <row r="2">
          <cell r="N2">
            <v>41000</v>
          </cell>
        </row>
        <row r="85">
          <cell r="Q85">
            <v>96044.046225843165</v>
          </cell>
          <cell r="R85">
            <v>102073.71103204571</v>
          </cell>
        </row>
        <row r="89">
          <cell r="Q89">
            <v>77932.526803461849</v>
          </cell>
          <cell r="R89">
            <v>84198.572673152317</v>
          </cell>
        </row>
      </sheetData>
      <sheetData sheetId="7">
        <row r="2">
          <cell r="N2">
            <v>18000</v>
          </cell>
        </row>
        <row r="85">
          <cell r="Q85">
            <v>92560.055555555547</v>
          </cell>
          <cell r="R85">
            <v>94719.931080838855</v>
          </cell>
        </row>
        <row r="89">
          <cell r="Q89">
            <v>73347.666818433223</v>
          </cell>
          <cell r="R89">
            <v>78222.8405511811</v>
          </cell>
        </row>
      </sheetData>
      <sheetData sheetId="8">
        <row r="2">
          <cell r="N2">
            <v>34000</v>
          </cell>
        </row>
        <row r="85">
          <cell r="Q85">
            <v>107599.90173529413</v>
          </cell>
          <cell r="R85">
            <v>108582.84359322871</v>
          </cell>
        </row>
        <row r="89">
          <cell r="Q89">
            <v>78563.752803048483</v>
          </cell>
          <cell r="R89">
            <v>84409.345412832728</v>
          </cell>
        </row>
      </sheetData>
      <sheetData sheetId="9">
        <row r="2">
          <cell r="N2">
            <v>40000</v>
          </cell>
        </row>
        <row r="85">
          <cell r="Q85">
            <v>103538.495</v>
          </cell>
          <cell r="R85">
            <v>99821.369291551135</v>
          </cell>
        </row>
        <row r="89">
          <cell r="Q89">
            <v>77640.399692591571</v>
          </cell>
          <cell r="R89">
            <v>80640.021839954847</v>
          </cell>
        </row>
      </sheetData>
      <sheetData sheetId="10">
        <row r="2">
          <cell r="N2">
            <v>21000</v>
          </cell>
        </row>
        <row r="85">
          <cell r="Q85">
            <v>100999.6</v>
          </cell>
          <cell r="R85">
            <v>100865.56806257751</v>
          </cell>
        </row>
        <row r="89">
          <cell r="Q89">
            <v>76784.213073296007</v>
          </cell>
          <cell r="R89">
            <v>81962.048125536574</v>
          </cell>
        </row>
      </sheetData>
      <sheetData sheetId="11">
        <row r="2">
          <cell r="N2">
            <v>34000</v>
          </cell>
        </row>
        <row r="85">
          <cell r="Q85">
            <v>104000</v>
          </cell>
          <cell r="R85">
            <v>101698.64914852515</v>
          </cell>
        </row>
        <row r="89">
          <cell r="Q89">
            <v>78960.711024048345</v>
          </cell>
          <cell r="R89">
            <v>82925.774713462146</v>
          </cell>
        </row>
      </sheetData>
      <sheetData sheetId="12">
        <row r="2">
          <cell r="N2">
            <v>20000</v>
          </cell>
        </row>
        <row r="85">
          <cell r="Q85">
            <v>96184.323199999984</v>
          </cell>
          <cell r="R85">
            <v>95487.248313551361</v>
          </cell>
        </row>
        <row r="89">
          <cell r="Q89">
            <v>71621.087323373329</v>
          </cell>
          <cell r="R89">
            <v>72690.595209631982</v>
          </cell>
        </row>
      </sheetData>
      <sheetData sheetId="13">
        <row r="2">
          <cell r="N2">
            <v>28000</v>
          </cell>
        </row>
        <row r="85">
          <cell r="Q85">
            <v>99586</v>
          </cell>
          <cell r="R85">
            <v>103216.68395996094</v>
          </cell>
        </row>
        <row r="89">
          <cell r="Q89">
            <v>72372.547562232838</v>
          </cell>
          <cell r="R89">
            <v>75624.313676439182</v>
          </cell>
        </row>
      </sheetData>
      <sheetData sheetId="14">
        <row r="2">
          <cell r="N2">
            <v>27000</v>
          </cell>
        </row>
        <row r="85">
          <cell r="Q85">
            <v>97800</v>
          </cell>
          <cell r="R85">
            <v>101091.26828165486</v>
          </cell>
        </row>
        <row r="89">
          <cell r="Q89">
            <v>71441.174251090255</v>
          </cell>
          <cell r="R89">
            <v>74548.294705728942</v>
          </cell>
        </row>
      </sheetData>
      <sheetData sheetId="15">
        <row r="2">
          <cell r="N2">
            <v>9000</v>
          </cell>
        </row>
        <row r="85">
          <cell r="Q85">
            <v>97744.128888888881</v>
          </cell>
          <cell r="R85">
            <v>103065.20670500908</v>
          </cell>
        </row>
        <row r="89">
          <cell r="Q89">
            <v>79658.270861093348</v>
          </cell>
          <cell r="R89">
            <v>84815.78491771064</v>
          </cell>
        </row>
      </sheetData>
      <sheetData sheetId="16">
        <row r="2">
          <cell r="N2">
            <v>30000</v>
          </cell>
        </row>
        <row r="85">
          <cell r="Q85">
            <v>100999.83</v>
          </cell>
          <cell r="R85">
            <v>98328.096145292802</v>
          </cell>
        </row>
        <row r="89">
          <cell r="Q89">
            <v>77928.567490965012</v>
          </cell>
          <cell r="R89">
            <v>81310.324983943487</v>
          </cell>
        </row>
      </sheetData>
      <sheetData sheetId="17">
        <row r="2">
          <cell r="N2">
            <v>7000</v>
          </cell>
        </row>
        <row r="85">
          <cell r="Q85">
            <v>107900</v>
          </cell>
          <cell r="R85">
            <v>111948.06453946892</v>
          </cell>
        </row>
        <row r="89">
          <cell r="Q89">
            <v>75418.706203608861</v>
          </cell>
          <cell r="R89">
            <v>74467.080963750806</v>
          </cell>
        </row>
      </sheetData>
      <sheetData sheetId="18">
        <row r="2">
          <cell r="N2">
            <v>8000</v>
          </cell>
        </row>
        <row r="85">
          <cell r="Q85">
            <v>108421.005</v>
          </cell>
          <cell r="R85">
            <v>102935.68630486955</v>
          </cell>
        </row>
        <row r="89">
          <cell r="Q89">
            <v>70400.341559139779</v>
          </cell>
          <cell r="R89">
            <v>70126.652318649838</v>
          </cell>
        </row>
      </sheetData>
      <sheetData sheetId="19">
        <row r="2">
          <cell r="N2">
            <v>20000</v>
          </cell>
        </row>
        <row r="85">
          <cell r="Q85">
            <v>100748.24505000001</v>
          </cell>
          <cell r="R85">
            <v>99013.673386183465</v>
          </cell>
        </row>
        <row r="89">
          <cell r="Q89">
            <v>74730.01422784575</v>
          </cell>
          <cell r="R89">
            <v>74049.869422423566</v>
          </cell>
        </row>
      </sheetData>
      <sheetData sheetId="20">
        <row r="2">
          <cell r="N2">
            <v>8000</v>
          </cell>
        </row>
        <row r="85">
          <cell r="Q85">
            <v>126700</v>
          </cell>
          <cell r="R85">
            <v>128655.78180212015</v>
          </cell>
        </row>
        <row r="89">
          <cell r="Q89">
            <v>89935.469322780293</v>
          </cell>
          <cell r="R89">
            <v>89930.057722859681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92907.359960258313</v>
          </cell>
        </row>
        <row r="89">
          <cell r="Q89">
            <v>70935.184890768098</v>
          </cell>
        </row>
      </sheetData>
      <sheetData sheetId="1">
        <row r="85">
          <cell r="Q85">
            <v>89231.065160012033</v>
          </cell>
        </row>
        <row r="89">
          <cell r="Q89">
            <v>72628.734217137826</v>
          </cell>
        </row>
      </sheetData>
      <sheetData sheetId="2">
        <row r="85">
          <cell r="Q85">
            <v>94875.186279636284</v>
          </cell>
        </row>
        <row r="89">
          <cell r="Q89">
            <v>70305.515219030232</v>
          </cell>
        </row>
      </sheetData>
      <sheetData sheetId="3">
        <row r="85">
          <cell r="Q85">
            <v>95552.188253332308</v>
          </cell>
        </row>
        <row r="89">
          <cell r="Q89">
            <v>68859.740946264938</v>
          </cell>
        </row>
      </sheetData>
      <sheetData sheetId="4">
        <row r="85">
          <cell r="Q85">
            <v>90281.444347933982</v>
          </cell>
        </row>
        <row r="89">
          <cell r="Q89">
            <v>72366.173998331491</v>
          </cell>
        </row>
      </sheetData>
      <sheetData sheetId="5">
        <row r="85">
          <cell r="Q85">
            <v>89899.903024116371</v>
          </cell>
        </row>
        <row r="89">
          <cell r="Q89">
            <v>74059.991723544037</v>
          </cell>
        </row>
      </sheetData>
      <sheetData sheetId="6">
        <row r="85">
          <cell r="Q85">
            <v>88117.568738362927</v>
          </cell>
        </row>
        <row r="89">
          <cell r="Q89">
            <v>74065.536876074722</v>
          </cell>
        </row>
      </sheetData>
      <sheetData sheetId="7">
        <row r="85">
          <cell r="Q85">
            <v>84942.819027618389</v>
          </cell>
        </row>
        <row r="89">
          <cell r="Q89">
            <v>66403.818465971519</v>
          </cell>
        </row>
      </sheetData>
      <sheetData sheetId="8">
        <row r="85">
          <cell r="Q85">
            <v>102500.94742783422</v>
          </cell>
        </row>
        <row r="89">
          <cell r="Q89">
            <v>73050.537158800464</v>
          </cell>
        </row>
      </sheetData>
      <sheetData sheetId="9">
        <row r="85">
          <cell r="Q85">
            <v>93238.372041583716</v>
          </cell>
        </row>
        <row r="89">
          <cell r="Q89">
            <v>70765.656404812456</v>
          </cell>
        </row>
      </sheetData>
      <sheetData sheetId="10">
        <row r="85">
          <cell r="Q85">
            <v>93950.901933641901</v>
          </cell>
        </row>
        <row r="89">
          <cell r="Q89">
            <v>72645.114374702593</v>
          </cell>
        </row>
      </sheetData>
      <sheetData sheetId="11">
        <row r="85">
          <cell r="Q85">
            <v>98860.645379550828</v>
          </cell>
        </row>
        <row r="89">
          <cell r="Q89">
            <v>72586.639733790886</v>
          </cell>
        </row>
      </sheetData>
      <sheetData sheetId="12">
        <row r="85">
          <cell r="Q85">
            <v>92825.002284843868</v>
          </cell>
        </row>
        <row r="89">
          <cell r="Q89">
            <v>68117.553240091365</v>
          </cell>
        </row>
      </sheetData>
      <sheetData sheetId="13">
        <row r="85">
          <cell r="Q85">
            <v>92591.101595341912</v>
          </cell>
        </row>
        <row r="89">
          <cell r="Q89">
            <v>66457.6916629677</v>
          </cell>
        </row>
      </sheetData>
      <sheetData sheetId="14">
        <row r="85">
          <cell r="Q85">
            <v>87898.834783433296</v>
          </cell>
        </row>
        <row r="89">
          <cell r="Q89">
            <v>65838.358739716932</v>
          </cell>
        </row>
      </sheetData>
      <sheetData sheetId="15">
        <row r="85">
          <cell r="Q85">
            <v>94701.757488369563</v>
          </cell>
        </row>
        <row r="89">
          <cell r="Q89">
            <v>75041.896804025571</v>
          </cell>
        </row>
      </sheetData>
      <sheetData sheetId="16">
        <row r="85">
          <cell r="Q85">
            <v>92889.303246538446</v>
          </cell>
        </row>
        <row r="89">
          <cell r="Q89">
            <v>68706.455047951997</v>
          </cell>
        </row>
      </sheetData>
      <sheetData sheetId="17">
        <row r="85">
          <cell r="Q85">
            <v>96857.343251859711</v>
          </cell>
        </row>
        <row r="89">
          <cell r="Q89">
            <v>66452.039057524933</v>
          </cell>
        </row>
      </sheetData>
      <sheetData sheetId="18">
        <row r="85">
          <cell r="Q85">
            <v>90481.439056056202</v>
          </cell>
        </row>
        <row r="89">
          <cell r="Q89">
            <v>63006.040286891497</v>
          </cell>
        </row>
      </sheetData>
      <sheetData sheetId="19">
        <row r="85">
          <cell r="Q85">
            <v>87420.351447532943</v>
          </cell>
        </row>
        <row r="89">
          <cell r="Q89">
            <v>66224.912955660286</v>
          </cell>
        </row>
      </sheetData>
      <sheetData sheetId="20">
        <row r="85">
          <cell r="Q85">
            <v>117535.41825248415</v>
          </cell>
        </row>
        <row r="89">
          <cell r="Q89">
            <v>78806.71777948887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시참고"/>
      <sheetName val="손익"/>
      <sheetName val="판매계획"/>
      <sheetName val="매입계획"/>
      <sheetName val="비율"/>
      <sheetName val="판매4"/>
      <sheetName val="판매6"/>
      <sheetName val="판매"/>
      <sheetName val="인원수"/>
      <sheetName val="계정통제"/>
      <sheetName val="본사산출"/>
    </sheetNames>
    <sheetDataSet>
      <sheetData sheetId="0"/>
      <sheetData sheetId="1">
        <row r="5">
          <cell r="E5"/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금액</v>
          </cell>
          <cell r="T5" t="str">
            <v>단위당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6900</v>
          </cell>
          <cell r="H6">
            <v>6400</v>
          </cell>
          <cell r="I6">
            <v>7300</v>
          </cell>
          <cell r="J6">
            <v>7300</v>
          </cell>
          <cell r="K6">
            <v>7600</v>
          </cell>
          <cell r="L6">
            <v>6100</v>
          </cell>
          <cell r="M6">
            <v>7100</v>
          </cell>
          <cell r="N6">
            <v>8100</v>
          </cell>
          <cell r="O6">
            <v>6500</v>
          </cell>
          <cell r="P6">
            <v>8900</v>
          </cell>
          <cell r="Q6">
            <v>9200</v>
          </cell>
          <cell r="R6">
            <v>8600</v>
          </cell>
          <cell r="S6">
            <v>90000</v>
          </cell>
          <cell r="T6"/>
          <cell r="U6"/>
          <cell r="V6">
            <v>13300</v>
          </cell>
          <cell r="W6">
            <v>20600</v>
          </cell>
          <cell r="X6">
            <v>27900</v>
          </cell>
          <cell r="Y6">
            <v>35500</v>
          </cell>
          <cell r="Z6">
            <v>41600</v>
          </cell>
          <cell r="AA6">
            <v>48700</v>
          </cell>
          <cell r="AB6">
            <v>56800</v>
          </cell>
          <cell r="AC6">
            <v>63300</v>
          </cell>
          <cell r="AD6">
            <v>72200</v>
          </cell>
          <cell r="AE6">
            <v>81400</v>
          </cell>
          <cell r="AF6">
            <v>90000</v>
          </cell>
        </row>
        <row r="7">
          <cell r="G7">
            <v>8447943.157894738</v>
          </cell>
          <cell r="H7">
            <v>7830197.8947368432</v>
          </cell>
          <cell r="I7">
            <v>8929315.7894736845</v>
          </cell>
          <cell r="J7">
            <v>8929315.7894736845</v>
          </cell>
          <cell r="K7">
            <v>9285688.4210526329</v>
          </cell>
          <cell r="L7">
            <v>7443825.2631578958</v>
          </cell>
          <cell r="M7">
            <v>8684490.5263157897</v>
          </cell>
          <cell r="N7">
            <v>9915846.3157894723</v>
          </cell>
          <cell r="O7">
            <v>7946920.0000000009</v>
          </cell>
          <cell r="P7">
            <v>10873416.842105264</v>
          </cell>
          <cell r="Q7">
            <v>11242202.105263157</v>
          </cell>
          <cell r="R7">
            <v>10504631.578947367</v>
          </cell>
          <cell r="S7">
            <v>110033793.68421054</v>
          </cell>
          <cell r="T7">
            <v>1222597.7076023393</v>
          </cell>
          <cell r="U7"/>
          <cell r="V7">
            <v>16278141.052631581</v>
          </cell>
          <cell r="W7">
            <v>25207456.842105266</v>
          </cell>
          <cell r="X7">
            <v>34136772.631578952</v>
          </cell>
          <cell r="Y7">
            <v>43422461.052631587</v>
          </cell>
          <cell r="Z7">
            <v>50866286.315789483</v>
          </cell>
          <cell r="AA7">
            <v>59550776.842105269</v>
          </cell>
          <cell r="AB7">
            <v>69466623.157894745</v>
          </cell>
          <cell r="AC7">
            <v>77413543.157894745</v>
          </cell>
          <cell r="AD7">
            <v>88286960.000000015</v>
          </cell>
          <cell r="AE7">
            <v>99529162.105263174</v>
          </cell>
          <cell r="AF7">
            <v>110033793.68421054</v>
          </cell>
        </row>
        <row r="8">
          <cell r="G8">
            <v>1224339.5881006867</v>
          </cell>
          <cell r="H8">
            <v>1223468.4210526319</v>
          </cell>
          <cell r="I8">
            <v>1223193.9437635185</v>
          </cell>
          <cell r="J8">
            <v>1223193.9437635185</v>
          </cell>
          <cell r="K8">
            <v>1221801.1080332412</v>
          </cell>
          <cell r="L8">
            <v>1220299.2234685076</v>
          </cell>
          <cell r="M8">
            <v>1223167.6797627872</v>
          </cell>
          <cell r="N8">
            <v>1224178.5575048733</v>
          </cell>
          <cell r="O8">
            <v>1222603.076923077</v>
          </cell>
          <cell r="P8">
            <v>1221732.2294500296</v>
          </cell>
          <cell r="Q8">
            <v>1221978.4897025169</v>
          </cell>
          <cell r="R8">
            <v>1221468.788249694</v>
          </cell>
          <cell r="S8">
            <v>14671425.049775083</v>
          </cell>
          <cell r="T8">
            <v>163015.8338863898</v>
          </cell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</row>
        <row r="9">
          <cell r="G9">
            <v>8231946.9948631572</v>
          </cell>
          <cell r="H9">
            <v>7629616.4119578954</v>
          </cell>
          <cell r="I9">
            <v>8700442.2863157876</v>
          </cell>
          <cell r="J9">
            <v>8700442.2863157876</v>
          </cell>
          <cell r="K9">
            <v>9048062.5777684227</v>
          </cell>
          <cell r="L9">
            <v>7254031.1205052622</v>
          </cell>
          <cell r="M9">
            <v>8462695.4458105247</v>
          </cell>
          <cell r="N9">
            <v>9662374.0809263159</v>
          </cell>
          <cell r="O9">
            <v>7743493.0223999992</v>
          </cell>
          <cell r="P9">
            <v>10595361.504336843</v>
          </cell>
          <cell r="Q9">
            <v>10954962.716042105</v>
          </cell>
          <cell r="R9">
            <v>10235760.29263158</v>
          </cell>
          <cell r="S9">
            <v>107219188.73987368</v>
          </cell>
          <cell r="T9">
            <v>1191324.3193319298</v>
          </cell>
          <cell r="U9"/>
          <cell r="V9">
            <v>15861563.406821053</v>
          </cell>
          <cell r="W9">
            <v>24562005.693136841</v>
          </cell>
          <cell r="X9">
            <v>33262447.979452629</v>
          </cell>
          <cell r="Y9">
            <v>42310510.557221055</v>
          </cell>
          <cell r="Z9">
            <v>49564541.677726313</v>
          </cell>
          <cell r="AA9">
            <v>58027237.12353684</v>
          </cell>
          <cell r="AB9">
            <v>67689611.204463154</v>
          </cell>
          <cell r="AC9">
            <v>75433104.226863146</v>
          </cell>
          <cell r="AD9">
            <v>86028465.731199995</v>
          </cell>
          <cell r="AE9">
            <v>96983428.447242096</v>
          </cell>
          <cell r="AF9">
            <v>107219188.73987368</v>
          </cell>
        </row>
        <row r="10">
          <cell r="G10">
            <v>1193035.7963569793</v>
          </cell>
          <cell r="H10">
            <v>1192127.5643684212</v>
          </cell>
          <cell r="I10">
            <v>1191841.4090843543</v>
          </cell>
          <cell r="J10">
            <v>1191841.4090843543</v>
          </cell>
          <cell r="K10">
            <v>1190534.5497063713</v>
          </cell>
          <cell r="L10">
            <v>1189185.4295910266</v>
          </cell>
          <cell r="M10">
            <v>1191928.9360296514</v>
          </cell>
          <cell r="N10">
            <v>1192885.6890032489</v>
          </cell>
          <cell r="O10">
            <v>1191306.6188307691</v>
          </cell>
          <cell r="P10">
            <v>1190490.0566670611</v>
          </cell>
          <cell r="Q10">
            <v>1190756.8169610985</v>
          </cell>
          <cell r="R10">
            <v>1190204.6851897184</v>
          </cell>
          <cell r="S10">
            <v>14296138.960873054</v>
          </cell>
          <cell r="T10">
            <v>158845.98845414503</v>
          </cell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</row>
        <row r="11">
          <cell r="G11">
            <v>215996.16303158086</v>
          </cell>
          <cell r="H11">
            <v>200581.4827789478</v>
          </cell>
          <cell r="I11">
            <v>228873.50315789692</v>
          </cell>
          <cell r="J11">
            <v>228873.50315789692</v>
          </cell>
          <cell r="K11">
            <v>237625.84328421019</v>
          </cell>
          <cell r="L11">
            <v>189794.1426526336</v>
          </cell>
          <cell r="M11">
            <v>221795.08050526492</v>
          </cell>
          <cell r="N11">
            <v>253472.23486315645</v>
          </cell>
          <cell r="O11">
            <v>203426.97760000173</v>
          </cell>
          <cell r="P11">
            <v>278055.33776842058</v>
          </cell>
          <cell r="Q11">
            <v>287239.38922105171</v>
          </cell>
          <cell r="R11">
            <v>268871.28631578758</v>
          </cell>
          <cell r="S11">
            <v>2814604.9443368493</v>
          </cell>
          <cell r="T11">
            <v>31273.388270409439</v>
          </cell>
          <cell r="U11"/>
          <cell r="V11">
            <v>416577.64581052773</v>
          </cell>
          <cell r="W11">
            <v>645451.14896842465</v>
          </cell>
          <cell r="X11">
            <v>874324.65212632343</v>
          </cell>
          <cell r="Y11">
            <v>1111950.4954105318</v>
          </cell>
          <cell r="Z11">
            <v>1301744.63806317</v>
          </cell>
          <cell r="AA11">
            <v>1523539.7185684294</v>
          </cell>
          <cell r="AB11">
            <v>1777011.9534315914</v>
          </cell>
          <cell r="AC11">
            <v>1980438.9310315996</v>
          </cell>
          <cell r="AD11">
            <v>2258494.2688000202</v>
          </cell>
          <cell r="AE11">
            <v>2545733.6580210775</v>
          </cell>
          <cell r="AF11">
            <v>2814604.9443368614</v>
          </cell>
        </row>
        <row r="12">
          <cell r="G12">
            <v>31303.79174370737</v>
          </cell>
          <cell r="H12">
            <v>31340.856684210594</v>
          </cell>
          <cell r="I12">
            <v>31352.534679163964</v>
          </cell>
          <cell r="J12">
            <v>31352.534679163964</v>
          </cell>
          <cell r="K12">
            <v>31266.558326869763</v>
          </cell>
          <cell r="L12">
            <v>31113.793877480919</v>
          </cell>
          <cell r="M12">
            <v>31238.743733135907</v>
          </cell>
          <cell r="N12">
            <v>31292.868501624253</v>
          </cell>
          <cell r="O12">
            <v>31296.458092307959</v>
          </cell>
          <cell r="P12">
            <v>31242.172782968606</v>
          </cell>
          <cell r="Q12">
            <v>31221.672741418664</v>
          </cell>
          <cell r="R12">
            <v>31264.103059975303</v>
          </cell>
          <cell r="S12">
            <v>375286.08890202729</v>
          </cell>
          <cell r="T12">
            <v>4169.8454322447478</v>
          </cell>
          <cell r="U12"/>
          <cell r="V12">
            <v>31321.627504550957</v>
          </cell>
          <cell r="W12"/>
          <cell r="X12"/>
          <cell r="Y12"/>
          <cell r="Z12"/>
          <cell r="AA12"/>
          <cell r="AB12"/>
          <cell r="AC12"/>
          <cell r="AD12"/>
          <cell r="AE12"/>
          <cell r="AF12"/>
        </row>
        <row r="13">
          <cell r="G13">
            <v>2.5567899664396886E-2</v>
          </cell>
          <cell r="H13">
            <v>2.5616400182397806E-2</v>
          </cell>
          <cell r="I13">
            <v>2.5631695479703408E-2</v>
          </cell>
          <cell r="J13">
            <v>2.5631695479703408E-2</v>
          </cell>
          <cell r="K13">
            <v>2.5590546711158412E-2</v>
          </cell>
          <cell r="L13">
            <v>2.5496856245671353E-2</v>
          </cell>
          <cell r="M13">
            <v>2.5539216127092347E-2</v>
          </cell>
          <cell r="N13">
            <v>2.5562339995078443E-2</v>
          </cell>
          <cell r="O13">
            <v>2.5598216365585874E-2</v>
          </cell>
          <cell r="P13">
            <v>2.5572029639450915E-2</v>
          </cell>
          <cell r="Q13">
            <v>2.55501001077518E-2</v>
          </cell>
          <cell r="R13">
            <v>2.5595498927791074E-2</v>
          </cell>
          <cell r="S13">
            <v>2.5579459274253261E-2</v>
          </cell>
          <cell r="T13"/>
          <cell r="U13"/>
          <cell r="V13">
            <v>2.5591229641248398E-2</v>
          </cell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G14">
            <v>116337.58</v>
          </cell>
          <cell r="H14">
            <v>124492.19</v>
          </cell>
          <cell r="I14">
            <v>129557.48000000001</v>
          </cell>
          <cell r="J14">
            <v>116595.95999999999</v>
          </cell>
          <cell r="K14">
            <v>119169.95999999999</v>
          </cell>
          <cell r="L14">
            <v>119422.94</v>
          </cell>
          <cell r="M14">
            <v>116595.95999999999</v>
          </cell>
          <cell r="N14">
            <v>116595.95999999999</v>
          </cell>
          <cell r="O14">
            <v>137627.18</v>
          </cell>
          <cell r="P14">
            <v>117362.95999999999</v>
          </cell>
          <cell r="Q14">
            <v>116595.95999999999</v>
          </cell>
          <cell r="R14">
            <v>124922.94</v>
          </cell>
          <cell r="S14">
            <v>1455277.0699999996</v>
          </cell>
          <cell r="T14">
            <v>16169.745222222218</v>
          </cell>
          <cell r="U14"/>
          <cell r="V14">
            <v>240829.77000000002</v>
          </cell>
          <cell r="W14">
            <v>370387.25</v>
          </cell>
          <cell r="X14">
            <v>486983.20999999996</v>
          </cell>
          <cell r="Y14">
            <v>606153.17000000004</v>
          </cell>
          <cell r="Z14">
            <v>725576.11</v>
          </cell>
          <cell r="AA14">
            <v>842172.07</v>
          </cell>
          <cell r="AB14">
            <v>958768.02999999991</v>
          </cell>
          <cell r="AC14">
            <v>1096395.21</v>
          </cell>
          <cell r="AD14">
            <v>1213758.17</v>
          </cell>
          <cell r="AE14">
            <v>1330354.1299999999</v>
          </cell>
          <cell r="AF14">
            <v>1455277.0699999998</v>
          </cell>
        </row>
        <row r="15">
          <cell r="G15">
            <v>82217.06</v>
          </cell>
          <cell r="H15">
            <v>82217.06</v>
          </cell>
          <cell r="I15">
            <v>83504.47</v>
          </cell>
          <cell r="J15">
            <v>83504.47</v>
          </cell>
          <cell r="K15">
            <v>83504.47</v>
          </cell>
          <cell r="L15">
            <v>83504.47</v>
          </cell>
          <cell r="M15">
            <v>83504.47</v>
          </cell>
          <cell r="N15">
            <v>83504.47</v>
          </cell>
          <cell r="O15">
            <v>83504.47</v>
          </cell>
          <cell r="P15">
            <v>83504.47</v>
          </cell>
          <cell r="Q15">
            <v>83504.47</v>
          </cell>
          <cell r="R15">
            <v>83504.47</v>
          </cell>
          <cell r="S15">
            <v>999478.81999999983</v>
          </cell>
          <cell r="T15">
            <v>11105.320222222221</v>
          </cell>
          <cell r="U15"/>
          <cell r="V15">
            <v>164434.12</v>
          </cell>
          <cell r="W15">
            <v>247938.59</v>
          </cell>
          <cell r="X15">
            <v>331443.06</v>
          </cell>
          <cell r="Y15">
            <v>414947.53</v>
          </cell>
          <cell r="Z15">
            <v>498452</v>
          </cell>
          <cell r="AA15">
            <v>581956.47</v>
          </cell>
          <cell r="AB15">
            <v>665460.93999999994</v>
          </cell>
          <cell r="AC15">
            <v>748965.40999999992</v>
          </cell>
          <cell r="AD15">
            <v>832469.87999999989</v>
          </cell>
          <cell r="AE15">
            <v>915974.34999999986</v>
          </cell>
          <cell r="AF15">
            <v>999478.81999999983</v>
          </cell>
        </row>
        <row r="16">
          <cell r="G16">
            <v>34120.520000000004</v>
          </cell>
          <cell r="H16">
            <v>42275.130000000005</v>
          </cell>
          <cell r="I16">
            <v>46053.01</v>
          </cell>
          <cell r="J16">
            <v>33091.49</v>
          </cell>
          <cell r="K16">
            <v>35665.49</v>
          </cell>
          <cell r="L16">
            <v>35918.47</v>
          </cell>
          <cell r="M16">
            <v>33091.49</v>
          </cell>
          <cell r="N16">
            <v>33091.49</v>
          </cell>
          <cell r="O16">
            <v>54122.71</v>
          </cell>
          <cell r="P16">
            <v>33858.49</v>
          </cell>
          <cell r="Q16">
            <v>33091.49</v>
          </cell>
          <cell r="R16">
            <v>41418.47</v>
          </cell>
          <cell r="S16">
            <v>455798.25</v>
          </cell>
          <cell r="T16">
            <v>5064.4250000000002</v>
          </cell>
          <cell r="U16"/>
          <cell r="V16">
            <v>76395.650000000009</v>
          </cell>
          <cell r="W16">
            <v>122448.66</v>
          </cell>
          <cell r="X16">
            <v>155540.15</v>
          </cell>
          <cell r="Y16">
            <v>191205.63999999998</v>
          </cell>
          <cell r="Z16">
            <v>227124.11</v>
          </cell>
          <cell r="AA16">
            <v>260215.59999999998</v>
          </cell>
          <cell r="AB16">
            <v>293307.08999999997</v>
          </cell>
          <cell r="AC16">
            <v>347429.8</v>
          </cell>
          <cell r="AD16">
            <v>381288.29</v>
          </cell>
          <cell r="AE16">
            <v>414379.77999999997</v>
          </cell>
          <cell r="AF16">
            <v>455798.25</v>
          </cell>
        </row>
        <row r="17">
          <cell r="G17">
            <v>99658.583031580856</v>
          </cell>
          <cell r="H17">
            <v>76089.292778947798</v>
          </cell>
          <cell r="I17">
            <v>99316.023157896911</v>
          </cell>
          <cell r="J17">
            <v>112277.54315789693</v>
          </cell>
          <cell r="K17">
            <v>118455.8832842102</v>
          </cell>
          <cell r="L17">
            <v>70371.202652633598</v>
          </cell>
          <cell r="M17">
            <v>105199.12050526493</v>
          </cell>
          <cell r="N17">
            <v>136876.27486315646</v>
          </cell>
          <cell r="O17">
            <v>65799.797600001737</v>
          </cell>
          <cell r="P17">
            <v>160692.37776842059</v>
          </cell>
          <cell r="Q17">
            <v>170643.42922105172</v>
          </cell>
          <cell r="R17">
            <v>143948.34631578758</v>
          </cell>
          <cell r="S17">
            <v>1359327.8743368497</v>
          </cell>
          <cell r="T17">
            <v>15103.643048187218</v>
          </cell>
          <cell r="U17"/>
          <cell r="V17">
            <v>175747.87581052771</v>
          </cell>
          <cell r="W17">
            <v>275063.89896842465</v>
          </cell>
          <cell r="X17">
            <v>387341.44212632347</v>
          </cell>
          <cell r="Y17">
            <v>505797.32541053172</v>
          </cell>
          <cell r="Z17">
            <v>576168.52806317003</v>
          </cell>
          <cell r="AA17">
            <v>681367.6485684294</v>
          </cell>
          <cell r="AB17">
            <v>818243.92343159148</v>
          </cell>
          <cell r="AC17">
            <v>884043.72103159968</v>
          </cell>
          <cell r="AD17">
            <v>1044736.0988000203</v>
          </cell>
          <cell r="AE17">
            <v>1215379.5280210776</v>
          </cell>
          <cell r="AF17">
            <v>1359327.8743368615</v>
          </cell>
        </row>
        <row r="18">
          <cell r="G18">
            <v>1.1796786646042749E-2</v>
          </cell>
          <cell r="H18">
            <v>9.7174163158880167E-3</v>
          </cell>
          <cell r="I18">
            <v>1.1122467331144846E-2</v>
          </cell>
          <cell r="J18">
            <v>1.2574036556110516E-2</v>
          </cell>
          <cell r="K18">
            <v>1.2756822963782145E-2</v>
          </cell>
          <cell r="L18">
            <v>9.453634410378409E-3</v>
          </cell>
          <cell r="M18">
            <v>1.2113447551873076E-2</v>
          </cell>
          <cell r="N18">
            <v>1.3803791477203703E-2</v>
          </cell>
          <cell r="O18">
            <v>8.2799119155599569E-3</v>
          </cell>
          <cell r="P18">
            <v>1.4778462014458007E-2</v>
          </cell>
          <cell r="Q18">
            <v>1.5178825965169509E-2</v>
          </cell>
          <cell r="R18">
            <v>1.3703321742789969E-2</v>
          </cell>
          <cell r="S18">
            <v>1.2353730875062145E-2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</row>
        <row r="19">
          <cell r="G19">
            <v>4908.0999999999995</v>
          </cell>
          <cell r="H19">
            <v>4908.0999999999995</v>
          </cell>
          <cell r="I19">
            <v>4908.0999999999995</v>
          </cell>
          <cell r="J19">
            <v>4908.0999999999995</v>
          </cell>
          <cell r="K19">
            <v>4908.0999999999995</v>
          </cell>
          <cell r="L19">
            <v>4908.0999999999995</v>
          </cell>
          <cell r="M19">
            <v>4908.0999999999995</v>
          </cell>
          <cell r="N19">
            <v>4908.0999999999995</v>
          </cell>
          <cell r="O19">
            <v>4908.0999999999995</v>
          </cell>
          <cell r="P19">
            <v>4908.0999999999995</v>
          </cell>
          <cell r="Q19">
            <v>4908.0999999999995</v>
          </cell>
          <cell r="R19">
            <v>4908.0999999999995</v>
          </cell>
          <cell r="S19">
            <v>58897.19999999999</v>
          </cell>
          <cell r="T19">
            <v>654.41333333333318</v>
          </cell>
          <cell r="U19"/>
          <cell r="V19">
            <v>9816.1999999999989</v>
          </cell>
          <cell r="W19">
            <v>14724.3</v>
          </cell>
          <cell r="X19">
            <v>19632.399999999998</v>
          </cell>
          <cell r="Y19">
            <v>24540.499999999996</v>
          </cell>
          <cell r="Z19">
            <v>29448.599999999995</v>
          </cell>
          <cell r="AA19">
            <v>34356.699999999997</v>
          </cell>
          <cell r="AB19">
            <v>39264.799999999996</v>
          </cell>
          <cell r="AC19">
            <v>44172.899999999994</v>
          </cell>
          <cell r="AD19">
            <v>49080.999999999993</v>
          </cell>
          <cell r="AE19">
            <v>53989.099999999991</v>
          </cell>
          <cell r="AF19">
            <v>58897.19999999999</v>
          </cell>
        </row>
        <row r="20">
          <cell r="G20">
            <v>4908.0999999999995</v>
          </cell>
          <cell r="H20">
            <v>4908.0999999999995</v>
          </cell>
          <cell r="I20">
            <v>4908.0999999999995</v>
          </cell>
          <cell r="J20">
            <v>4908.0999999999995</v>
          </cell>
          <cell r="K20">
            <v>4908.0999999999995</v>
          </cell>
          <cell r="L20">
            <v>4908.0999999999995</v>
          </cell>
          <cell r="M20">
            <v>4908.0999999999995</v>
          </cell>
          <cell r="N20">
            <v>4908.0999999999995</v>
          </cell>
          <cell r="O20">
            <v>4908.0999999999995</v>
          </cell>
          <cell r="P20">
            <v>4908.0999999999995</v>
          </cell>
          <cell r="Q20">
            <v>4908.0999999999995</v>
          </cell>
          <cell r="R20">
            <v>4908.0999999999995</v>
          </cell>
          <cell r="S20">
            <v>58897.19999999999</v>
          </cell>
          <cell r="T20">
            <v>654.41333333333318</v>
          </cell>
          <cell r="U20"/>
          <cell r="V20">
            <v>9816.1999999999989</v>
          </cell>
          <cell r="W20">
            <v>14724.3</v>
          </cell>
          <cell r="X20">
            <v>19632.399999999998</v>
          </cell>
          <cell r="Y20">
            <v>24540.499999999996</v>
          </cell>
          <cell r="Z20">
            <v>29448.599999999995</v>
          </cell>
          <cell r="AA20">
            <v>34356.699999999997</v>
          </cell>
          <cell r="AB20">
            <v>39264.799999999996</v>
          </cell>
          <cell r="AC20">
            <v>44172.899999999994</v>
          </cell>
          <cell r="AD20">
            <v>49080.999999999993</v>
          </cell>
          <cell r="AE20">
            <v>53989.099999999991</v>
          </cell>
          <cell r="AF20">
            <v>58897.19999999999</v>
          </cell>
        </row>
        <row r="21">
          <cell r="G21">
            <v>94750.48303158085</v>
          </cell>
          <cell r="H21">
            <v>71181.192778947792</v>
          </cell>
          <cell r="I21">
            <v>94407.923157896905</v>
          </cell>
          <cell r="J21">
            <v>107369.44315789692</v>
          </cell>
          <cell r="K21">
            <v>113547.78328421019</v>
          </cell>
          <cell r="L21">
            <v>65463.102652633599</v>
          </cell>
          <cell r="M21">
            <v>100291.02050526493</v>
          </cell>
          <cell r="N21">
            <v>131968.17486315646</v>
          </cell>
          <cell r="O21">
            <v>60891.697600001738</v>
          </cell>
          <cell r="P21">
            <v>155784.27776842058</v>
          </cell>
          <cell r="Q21">
            <v>165735.32922105171</v>
          </cell>
          <cell r="R21">
            <v>139040.24631578758</v>
          </cell>
          <cell r="S21">
            <v>1300430.674336849</v>
          </cell>
          <cell r="T21">
            <v>14449.229714853878</v>
          </cell>
          <cell r="U21"/>
          <cell r="V21">
            <v>165931.6758105277</v>
          </cell>
          <cell r="W21">
            <v>260339.59896842466</v>
          </cell>
          <cell r="X21">
            <v>367709.04212632345</v>
          </cell>
          <cell r="Y21">
            <v>481256.82541053172</v>
          </cell>
          <cell r="Z21">
            <v>546719.92806317005</v>
          </cell>
          <cell r="AA21">
            <v>647010.94856842945</v>
          </cell>
          <cell r="AB21">
            <v>778979.12343159143</v>
          </cell>
          <cell r="AC21">
            <v>839870.82103159965</v>
          </cell>
          <cell r="AD21">
            <v>995655.09880002029</v>
          </cell>
          <cell r="AE21">
            <v>1161390.4280210775</v>
          </cell>
          <cell r="AF21">
            <v>1300430.6743368616</v>
          </cell>
        </row>
        <row r="22">
          <cell r="G22">
            <v>1.1215804990713629E-2</v>
          </cell>
          <cell r="H22">
            <v>9.0905994632387317E-3</v>
          </cell>
          <cell r="I22">
            <v>1.0572805955545843E-2</v>
          </cell>
          <cell r="J22">
            <v>1.2024375180511511E-2</v>
          </cell>
          <cell r="K22">
            <v>1.2228256876116282E-2</v>
          </cell>
          <cell r="L22">
            <v>8.7942825547818095E-3</v>
          </cell>
          <cell r="M22">
            <v>1.1548290622387408E-2</v>
          </cell>
          <cell r="N22">
            <v>1.3308816076850371E-2</v>
          </cell>
          <cell r="O22">
            <v>7.6623015709232929E-3</v>
          </cell>
          <cell r="P22">
            <v>1.4327076762584438E-2</v>
          </cell>
          <cell r="Q22">
            <v>1.4742247797116274E-2</v>
          </cell>
          <cell r="R22">
            <v>1.3236089744874262E-2</v>
          </cell>
          <cell r="S22">
            <v>1.1818466225648786E-2</v>
          </cell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S23"/>
        </row>
        <row r="24">
          <cell r="G24">
            <v>6900</v>
          </cell>
          <cell r="H24">
            <v>6400</v>
          </cell>
          <cell r="I24">
            <v>7300</v>
          </cell>
          <cell r="J24">
            <v>7300</v>
          </cell>
          <cell r="K24">
            <v>7600</v>
          </cell>
          <cell r="L24">
            <v>6100</v>
          </cell>
          <cell r="M24">
            <v>7100</v>
          </cell>
          <cell r="N24">
            <v>8100</v>
          </cell>
          <cell r="O24">
            <v>6500</v>
          </cell>
          <cell r="P24">
            <v>8900</v>
          </cell>
          <cell r="Q24">
            <v>9200</v>
          </cell>
          <cell r="R24">
            <v>8600</v>
          </cell>
          <cell r="S24">
            <v>90000</v>
          </cell>
          <cell r="T24"/>
          <cell r="U24"/>
          <cell r="V24">
            <v>13300</v>
          </cell>
          <cell r="W24">
            <v>20600</v>
          </cell>
          <cell r="X24">
            <v>27900</v>
          </cell>
          <cell r="Y24">
            <v>35500</v>
          </cell>
          <cell r="Z24">
            <v>41600</v>
          </cell>
          <cell r="AA24">
            <v>48700</v>
          </cell>
          <cell r="AB24">
            <v>56800</v>
          </cell>
          <cell r="AC24">
            <v>63300</v>
          </cell>
          <cell r="AD24">
            <v>72200</v>
          </cell>
          <cell r="AE24">
            <v>81400</v>
          </cell>
          <cell r="AF24">
            <v>90000</v>
          </cell>
        </row>
        <row r="25">
          <cell r="G25">
            <v>976086.95652173914</v>
          </cell>
          <cell r="H25">
            <v>978125</v>
          </cell>
          <cell r="I25">
            <v>978767.12328767125</v>
          </cell>
          <cell r="J25">
            <v>978767.12328767125</v>
          </cell>
          <cell r="K25">
            <v>977631.57894736843</v>
          </cell>
          <cell r="L25">
            <v>974590.16393442615</v>
          </cell>
          <cell r="M25">
            <v>975352.11267605633</v>
          </cell>
          <cell r="N25">
            <v>975925.92592592596</v>
          </cell>
          <cell r="O25">
            <v>977692.30769230775</v>
          </cell>
          <cell r="P25">
            <v>976966.29213483143</v>
          </cell>
          <cell r="Q25">
            <v>976086.95652173914</v>
          </cell>
          <cell r="R25">
            <v>977906.97674418602</v>
          </cell>
          <cell r="S25">
            <v>977000</v>
          </cell>
          <cell r="T25"/>
          <cell r="U25"/>
          <cell r="V25">
            <v>977067.66917293239</v>
          </cell>
          <cell r="W25">
            <v>977669.90291262139</v>
          </cell>
          <cell r="X25">
            <v>977956.98924731184</v>
          </cell>
          <cell r="Y25">
            <v>977887.32394366199</v>
          </cell>
          <cell r="Z25">
            <v>977403.84615384624</v>
          </cell>
          <cell r="AA25">
            <v>977104.72279260785</v>
          </cell>
          <cell r="AB25">
            <v>976936.61971830984</v>
          </cell>
          <cell r="AC25">
            <v>977014.21800947865</v>
          </cell>
          <cell r="AD25">
            <v>977008.31024930743</v>
          </cell>
          <cell r="AE25">
            <v>976904.17690417694</v>
          </cell>
          <cell r="AF25">
            <v>977000</v>
          </cell>
        </row>
        <row r="26">
          <cell r="G26">
            <v>6735000</v>
          </cell>
          <cell r="H26">
            <v>6260000</v>
          </cell>
          <cell r="I26">
            <v>7145000</v>
          </cell>
          <cell r="J26">
            <v>7145000</v>
          </cell>
          <cell r="K26">
            <v>7430000</v>
          </cell>
          <cell r="L26">
            <v>5945000</v>
          </cell>
          <cell r="M26">
            <v>6925000</v>
          </cell>
          <cell r="N26">
            <v>7905000</v>
          </cell>
          <cell r="O26">
            <v>6355000</v>
          </cell>
          <cell r="P26">
            <v>8695000</v>
          </cell>
          <cell r="Q26">
            <v>8980000</v>
          </cell>
          <cell r="R26">
            <v>8410000</v>
          </cell>
          <cell r="S26">
            <v>87930000</v>
          </cell>
          <cell r="T26"/>
          <cell r="U26"/>
          <cell r="V26">
            <v>12995000</v>
          </cell>
          <cell r="W26">
            <v>20140000</v>
          </cell>
          <cell r="X26">
            <v>27285000</v>
          </cell>
          <cell r="Y26">
            <v>34715000</v>
          </cell>
          <cell r="Z26">
            <v>40660000</v>
          </cell>
          <cell r="AA26">
            <v>47585000</v>
          </cell>
          <cell r="AB26">
            <v>55490000</v>
          </cell>
          <cell r="AC26">
            <v>61845000</v>
          </cell>
          <cell r="AD26">
            <v>70540000</v>
          </cell>
          <cell r="AE26">
            <v>79520000</v>
          </cell>
          <cell r="AF26">
            <v>87930000</v>
          </cell>
        </row>
        <row r="27">
          <cell r="G27">
            <v>1712943.157894738</v>
          </cell>
          <cell r="H27">
            <v>1570197.8947368432</v>
          </cell>
          <cell r="I27">
            <v>1784315.7894736845</v>
          </cell>
          <cell r="J27">
            <v>1784315.7894736845</v>
          </cell>
          <cell r="K27">
            <v>1855688.4210526329</v>
          </cell>
          <cell r="L27">
            <v>1498825.2631578958</v>
          </cell>
          <cell r="M27">
            <v>1759490.5263157897</v>
          </cell>
          <cell r="N27">
            <v>2010846.3157894723</v>
          </cell>
          <cell r="O27">
            <v>1591920.0000000009</v>
          </cell>
          <cell r="P27">
            <v>2178416.8421052638</v>
          </cell>
          <cell r="Q27">
            <v>2262202.1052631568</v>
          </cell>
          <cell r="R27">
            <v>2094631.5789473671</v>
          </cell>
          <cell r="S27">
            <v>22103793.684210531</v>
          </cell>
          <cell r="T27"/>
          <cell r="U27"/>
          <cell r="V27">
            <v>3283141.0526315812</v>
          </cell>
          <cell r="W27">
            <v>5067456.8421052657</v>
          </cell>
          <cell r="X27">
            <v>6851772.6315789502</v>
          </cell>
          <cell r="Y27">
            <v>8707461.0526315831</v>
          </cell>
          <cell r="Z27">
            <v>10206286.31578948</v>
          </cell>
          <cell r="AA27">
            <v>11965776.842105269</v>
          </cell>
          <cell r="AB27">
            <v>13976623.157894742</v>
          </cell>
          <cell r="AC27">
            <v>15568543.157894742</v>
          </cell>
          <cell r="AD27">
            <v>17746960.000000007</v>
          </cell>
          <cell r="AE27">
            <v>20009162.105263166</v>
          </cell>
          <cell r="AF27">
            <v>22103793.684210531</v>
          </cell>
        </row>
        <row r="28">
          <cell r="G28">
            <v>8447943.157894738</v>
          </cell>
          <cell r="H28">
            <v>7830197.8947368432</v>
          </cell>
          <cell r="I28">
            <v>8929315.7894736845</v>
          </cell>
          <cell r="J28">
            <v>8929315.7894736845</v>
          </cell>
          <cell r="K28">
            <v>9285688.4210526329</v>
          </cell>
          <cell r="L28">
            <v>7443825.2631578958</v>
          </cell>
          <cell r="M28">
            <v>8684490.5263157897</v>
          </cell>
          <cell r="N28">
            <v>9915846.3157894723</v>
          </cell>
          <cell r="O28">
            <v>7946920.0000000009</v>
          </cell>
          <cell r="P28">
            <v>10873416.842105264</v>
          </cell>
          <cell r="Q28">
            <v>11242202.105263157</v>
          </cell>
          <cell r="R28">
            <v>10504631.578947367</v>
          </cell>
          <cell r="S28">
            <v>110033793.68421054</v>
          </cell>
          <cell r="T28"/>
          <cell r="U28"/>
          <cell r="V28">
            <v>16278141.052631581</v>
          </cell>
          <cell r="W28">
            <v>25207456.842105266</v>
          </cell>
          <cell r="X28">
            <v>34136772.631578952</v>
          </cell>
          <cell r="Y28">
            <v>43422461.052631587</v>
          </cell>
          <cell r="Z28">
            <v>50866286.315789476</v>
          </cell>
          <cell r="AA28">
            <v>59550776.842105269</v>
          </cell>
          <cell r="AB28">
            <v>69466623.157894745</v>
          </cell>
          <cell r="AC28">
            <v>77413543.157894745</v>
          </cell>
          <cell r="AD28">
            <v>88286960</v>
          </cell>
          <cell r="AE28">
            <v>99529162.105263174</v>
          </cell>
          <cell r="AF28">
            <v>110033793.68421054</v>
          </cell>
        </row>
        <row r="29">
          <cell r="G29">
            <v>6578580</v>
          </cell>
          <cell r="H29">
            <v>6114030</v>
          </cell>
          <cell r="I29">
            <v>6978185</v>
          </cell>
          <cell r="J29">
            <v>6978185</v>
          </cell>
          <cell r="K29">
            <v>7256915</v>
          </cell>
          <cell r="L29">
            <v>5807335</v>
          </cell>
          <cell r="M29">
            <v>6764400</v>
          </cell>
          <cell r="N29">
            <v>7721465</v>
          </cell>
          <cell r="O29">
            <v>6206940</v>
          </cell>
          <cell r="P29">
            <v>8492710</v>
          </cell>
          <cell r="Q29">
            <v>8771440</v>
          </cell>
          <cell r="R29">
            <v>8213980</v>
          </cell>
          <cell r="S29">
            <v>85884165</v>
          </cell>
          <cell r="T29"/>
          <cell r="U29"/>
          <cell r="V29">
            <v>12692610</v>
          </cell>
          <cell r="W29">
            <v>19670795</v>
          </cell>
          <cell r="X29">
            <v>26648980</v>
          </cell>
          <cell r="Y29">
            <v>33905895</v>
          </cell>
          <cell r="Z29">
            <v>39713230</v>
          </cell>
          <cell r="AA29">
            <v>46477630</v>
          </cell>
          <cell r="AB29">
            <v>54199095</v>
          </cell>
          <cell r="AC29">
            <v>60406035</v>
          </cell>
          <cell r="AD29">
            <v>68898745</v>
          </cell>
          <cell r="AE29">
            <v>77670185</v>
          </cell>
          <cell r="AF29">
            <v>85884165</v>
          </cell>
        </row>
        <row r="30">
          <cell r="G30">
            <v>1653366.9948631572</v>
          </cell>
          <cell r="H30">
            <v>1515586.4119578954</v>
          </cell>
          <cell r="I30">
            <v>1722257.2863157876</v>
          </cell>
          <cell r="J30">
            <v>1722257.2863157876</v>
          </cell>
          <cell r="K30">
            <v>1791147.5777684227</v>
          </cell>
          <cell r="L30">
            <v>1446696.1205052622</v>
          </cell>
          <cell r="M30">
            <v>1698295.4458105247</v>
          </cell>
          <cell r="N30">
            <v>1940909.0809263159</v>
          </cell>
          <cell r="O30">
            <v>1536553.0223999992</v>
          </cell>
          <cell r="P30">
            <v>2102651.5043368433</v>
          </cell>
          <cell r="Q30">
            <v>2183522.7160421051</v>
          </cell>
          <cell r="R30">
            <v>2021780.2926315796</v>
          </cell>
          <cell r="S30">
            <v>21335023.739873677</v>
          </cell>
          <cell r="T30"/>
          <cell r="U30"/>
          <cell r="V30">
            <v>3168953.4068210525</v>
          </cell>
          <cell r="W30">
            <v>4891210.6931368401</v>
          </cell>
          <cell r="X30">
            <v>6613467.9794526277</v>
          </cell>
          <cell r="Y30">
            <v>8404615.5572210513</v>
          </cell>
          <cell r="Z30">
            <v>9851311.6777263135</v>
          </cell>
          <cell r="AA30">
            <v>11549607.123536838</v>
          </cell>
          <cell r="AB30">
            <v>13490516.204463154</v>
          </cell>
          <cell r="AC30">
            <v>15027069.226863153</v>
          </cell>
          <cell r="AD30">
            <v>17129720.731199995</v>
          </cell>
          <cell r="AE30">
            <v>19313243.4472421</v>
          </cell>
          <cell r="AF30">
            <v>21335023.739873677</v>
          </cell>
        </row>
        <row r="31">
          <cell r="G31">
            <v>8231946.9948631572</v>
          </cell>
          <cell r="H31">
            <v>7629616.4119578954</v>
          </cell>
          <cell r="I31">
            <v>8700442.2863157876</v>
          </cell>
          <cell r="J31">
            <v>8700442.2863157876</v>
          </cell>
          <cell r="K31">
            <v>9048062.5777684227</v>
          </cell>
          <cell r="L31">
            <v>7254031.1205052622</v>
          </cell>
          <cell r="M31">
            <v>8462695.4458105247</v>
          </cell>
          <cell r="N31">
            <v>9662374.0809263159</v>
          </cell>
          <cell r="O31">
            <v>7743493.0223999992</v>
          </cell>
          <cell r="P31">
            <v>10595361.504336843</v>
          </cell>
          <cell r="Q31">
            <v>10954962.716042105</v>
          </cell>
          <cell r="R31">
            <v>10235760.29263158</v>
          </cell>
          <cell r="S31">
            <v>107219188.73987368</v>
          </cell>
          <cell r="T31"/>
          <cell r="U31"/>
          <cell r="V31">
            <v>15861563.406821053</v>
          </cell>
          <cell r="W31">
            <v>24562005.693136841</v>
          </cell>
          <cell r="X31">
            <v>33262447.979452629</v>
          </cell>
          <cell r="Y31">
            <v>42310510.557221055</v>
          </cell>
          <cell r="Z31">
            <v>49564541.677726313</v>
          </cell>
          <cell r="AA31">
            <v>58027237.12353684</v>
          </cell>
          <cell r="AB31">
            <v>67689611.204463154</v>
          </cell>
          <cell r="AC31">
            <v>75433104.226863146</v>
          </cell>
          <cell r="AD31">
            <v>86028465.731199995</v>
          </cell>
          <cell r="AE31">
            <v>96983428.447242096</v>
          </cell>
          <cell r="AF31">
            <v>107219188.73987368</v>
          </cell>
        </row>
        <row r="32">
          <cell r="G32">
            <v>156420</v>
          </cell>
          <cell r="H32">
            <v>145970</v>
          </cell>
          <cell r="I32">
            <v>166815</v>
          </cell>
          <cell r="J32">
            <v>166815</v>
          </cell>
          <cell r="K32">
            <v>173085</v>
          </cell>
          <cell r="L32">
            <v>137665</v>
          </cell>
          <cell r="M32">
            <v>160600</v>
          </cell>
          <cell r="N32">
            <v>183535</v>
          </cell>
          <cell r="O32">
            <v>148060</v>
          </cell>
          <cell r="P32">
            <v>202290</v>
          </cell>
          <cell r="Q32">
            <v>208560</v>
          </cell>
          <cell r="R32">
            <v>196020</v>
          </cell>
          <cell r="S32">
            <v>2045835</v>
          </cell>
          <cell r="T32"/>
          <cell r="U32"/>
          <cell r="V32">
            <v>302390</v>
          </cell>
          <cell r="W32">
            <v>469205</v>
          </cell>
          <cell r="X32">
            <v>636020</v>
          </cell>
          <cell r="Y32">
            <v>809105</v>
          </cell>
          <cell r="Z32">
            <v>946770</v>
          </cell>
          <cell r="AA32">
            <v>1107370</v>
          </cell>
          <cell r="AB32">
            <v>1290905</v>
          </cell>
          <cell r="AC32">
            <v>1438965</v>
          </cell>
          <cell r="AD32">
            <v>1641255</v>
          </cell>
          <cell r="AE32">
            <v>1849815</v>
          </cell>
          <cell r="AF32">
            <v>2045835</v>
          </cell>
        </row>
        <row r="33">
          <cell r="G33">
            <v>2.3224944320712693E-2</v>
          </cell>
          <cell r="H33">
            <v>2.3317891373801917E-2</v>
          </cell>
          <cell r="I33">
            <v>2.3347095871238628E-2</v>
          </cell>
          <cell r="J33">
            <v>2.3347095871238628E-2</v>
          </cell>
          <cell r="K33">
            <v>2.329542395693136E-2</v>
          </cell>
          <cell r="L33">
            <v>2.3156433978132884E-2</v>
          </cell>
          <cell r="M33">
            <v>2.3191335740072202E-2</v>
          </cell>
          <cell r="N33">
            <v>2.3217583807716637E-2</v>
          </cell>
          <cell r="O33">
            <v>2.3298190401258852E-2</v>
          </cell>
          <cell r="P33">
            <v>2.3265094882116158E-2</v>
          </cell>
          <cell r="Q33">
            <v>2.3224944320712693E-2</v>
          </cell>
          <cell r="R33">
            <v>2.330796670630202E-2</v>
          </cell>
          <cell r="S33">
            <v>2.3266632548618219E-2</v>
          </cell>
          <cell r="T33"/>
          <cell r="U33"/>
          <cell r="V33">
            <v>2.3269719122739514E-2</v>
          </cell>
          <cell r="W33">
            <v>2.3297169811320753E-2</v>
          </cell>
          <cell r="X33">
            <v>2.3310243723657687E-2</v>
          </cell>
          <cell r="Y33">
            <v>2.3307071870949159E-2</v>
          </cell>
          <cell r="Z33">
            <v>2.3285046728971963E-2</v>
          </cell>
          <cell r="AA33">
            <v>2.3271409057476097E-2</v>
          </cell>
          <cell r="AB33">
            <v>2.3263741214633267E-2</v>
          </cell>
          <cell r="AC33">
            <v>2.3267281105990783E-2</v>
          </cell>
          <cell r="AD33">
            <v>2.3267011624610149E-2</v>
          </cell>
          <cell r="AE33">
            <v>2.326226106639839E-2</v>
          </cell>
          <cell r="AF33">
            <v>2.3266632548618219E-2</v>
          </cell>
        </row>
        <row r="34">
          <cell r="G34">
            <v>59576.163031580858</v>
          </cell>
          <cell r="H34">
            <v>54611.4827789478</v>
          </cell>
          <cell r="I34">
            <v>62058.503157896921</v>
          </cell>
          <cell r="J34">
            <v>62058.503157896921</v>
          </cell>
          <cell r="K34">
            <v>64540.84328421019</v>
          </cell>
          <cell r="L34">
            <v>52129.1426526336</v>
          </cell>
          <cell r="M34">
            <v>61195.080505264923</v>
          </cell>
          <cell r="N34">
            <v>69937.234863156453</v>
          </cell>
          <cell r="O34">
            <v>55366.97760000173</v>
          </cell>
          <cell r="P34">
            <v>75765.337768420577</v>
          </cell>
          <cell r="Q34">
            <v>78679.389221051708</v>
          </cell>
          <cell r="R34">
            <v>72851.286315787584</v>
          </cell>
          <cell r="S34">
            <v>768769.94433685392</v>
          </cell>
          <cell r="T34"/>
          <cell r="U34"/>
          <cell r="V34">
            <v>114187.64581052866</v>
          </cell>
          <cell r="W34">
            <v>176246.14896842558</v>
          </cell>
          <cell r="X34">
            <v>238304.6521263225</v>
          </cell>
          <cell r="Y34">
            <v>302845.49541053176</v>
          </cell>
          <cell r="Z34">
            <v>354974.63806316629</v>
          </cell>
          <cell r="AA34">
            <v>416169.71856843121</v>
          </cell>
          <cell r="AB34">
            <v>486106.95343158767</v>
          </cell>
          <cell r="AC34">
            <v>541473.93103158846</v>
          </cell>
          <cell r="AD34">
            <v>617239.26880001277</v>
          </cell>
          <cell r="AE34">
            <v>695918.65802106634</v>
          </cell>
          <cell r="AF34">
            <v>768769.94433685392</v>
          </cell>
        </row>
        <row r="35">
          <cell r="G35">
            <v>3.4780000000001095E-2</v>
          </cell>
          <cell r="H35">
            <v>3.4780000000000248E-2</v>
          </cell>
          <cell r="I35">
            <v>3.478000000000122E-2</v>
          </cell>
          <cell r="J35">
            <v>3.478000000000122E-2</v>
          </cell>
          <cell r="K35">
            <v>3.4779999999999797E-2</v>
          </cell>
          <cell r="L35">
            <v>3.4780000000001324E-2</v>
          </cell>
          <cell r="M35">
            <v>3.4780000000000998E-2</v>
          </cell>
          <cell r="N35">
            <v>3.4779999999999305E-2</v>
          </cell>
          <cell r="O35">
            <v>3.4780000000001067E-2</v>
          </cell>
          <cell r="P35">
            <v>3.4779999999999769E-2</v>
          </cell>
          <cell r="Q35">
            <v>3.477999999999961E-2</v>
          </cell>
          <cell r="R35">
            <v>3.4779999999999117E-2</v>
          </cell>
          <cell r="S35">
            <v>3.4780000000000526E-2</v>
          </cell>
          <cell r="T35"/>
          <cell r="U35"/>
          <cell r="V35">
            <v>3.4780000000000692E-2</v>
          </cell>
          <cell r="W35">
            <v>3.4780000000000873E-2</v>
          </cell>
          <cell r="X35">
            <v>3.4780000000000963E-2</v>
          </cell>
          <cell r="Y35">
            <v>3.4780000000000609E-2</v>
          </cell>
          <cell r="Z35">
            <v>3.4780000000000803E-2</v>
          </cell>
          <cell r="AA35">
            <v>3.4780000000000831E-2</v>
          </cell>
          <cell r="AB35">
            <v>3.4780000000000609E-2</v>
          </cell>
          <cell r="AC35">
            <v>3.4780000000000602E-2</v>
          </cell>
          <cell r="AD35">
            <v>3.4780000000000706E-2</v>
          </cell>
          <cell r="AE35">
            <v>3.4780000000000671E-2</v>
          </cell>
          <cell r="AF35">
            <v>3.4780000000000526E-2</v>
          </cell>
        </row>
        <row r="36">
          <cell r="G36">
            <v>215996.16303158086</v>
          </cell>
          <cell r="H36">
            <v>200581.4827789478</v>
          </cell>
          <cell r="I36">
            <v>228873.50315789692</v>
          </cell>
          <cell r="J36">
            <v>228873.50315789692</v>
          </cell>
          <cell r="K36">
            <v>237625.84328421019</v>
          </cell>
          <cell r="L36">
            <v>189794.1426526336</v>
          </cell>
          <cell r="M36">
            <v>221795.08050526492</v>
          </cell>
          <cell r="N36">
            <v>253472.23486315645</v>
          </cell>
          <cell r="O36">
            <v>203426.97760000173</v>
          </cell>
          <cell r="P36">
            <v>278055.33776842058</v>
          </cell>
          <cell r="Q36">
            <v>287239.38922105171</v>
          </cell>
          <cell r="R36">
            <v>268871.28631578758</v>
          </cell>
          <cell r="S36">
            <v>2814604.9443368539</v>
          </cell>
          <cell r="T36"/>
          <cell r="U36"/>
          <cell r="V36">
            <v>416577.64581052866</v>
          </cell>
          <cell r="W36">
            <v>645451.14896842558</v>
          </cell>
          <cell r="X36">
            <v>874324.6521263225</v>
          </cell>
          <cell r="Y36">
            <v>1111950.4954105318</v>
          </cell>
          <cell r="Z36">
            <v>1301744.6380631663</v>
          </cell>
          <cell r="AA36">
            <v>1523539.7185684312</v>
          </cell>
          <cell r="AB36">
            <v>1777011.9534315877</v>
          </cell>
          <cell r="AC36">
            <v>1980438.9310315885</v>
          </cell>
          <cell r="AD36">
            <v>2258494.2688000128</v>
          </cell>
          <cell r="AE36">
            <v>2545733.6580210663</v>
          </cell>
          <cell r="AF36">
            <v>2814604.9443368539</v>
          </cell>
        </row>
        <row r="37">
          <cell r="G37">
            <v>2.5567899664396886E-2</v>
          </cell>
          <cell r="H37">
            <v>2.5616400182397806E-2</v>
          </cell>
          <cell r="I37">
            <v>2.5631695479703408E-2</v>
          </cell>
          <cell r="J37">
            <v>2.5631695479703408E-2</v>
          </cell>
          <cell r="K37">
            <v>2.5590546711158412E-2</v>
          </cell>
          <cell r="L37">
            <v>2.5496856245671353E-2</v>
          </cell>
          <cell r="M37">
            <v>2.5539216127092347E-2</v>
          </cell>
          <cell r="N37">
            <v>2.5562339995078443E-2</v>
          </cell>
          <cell r="O37">
            <v>2.5598216365585874E-2</v>
          </cell>
          <cell r="P37">
            <v>2.5572029639450915E-2</v>
          </cell>
          <cell r="Q37">
            <v>2.55501001077518E-2</v>
          </cell>
          <cell r="R37">
            <v>2.5595498927791074E-2</v>
          </cell>
          <cell r="S37">
            <v>2.5579459274253303E-2</v>
          </cell>
          <cell r="T37"/>
          <cell r="U37"/>
          <cell r="V37">
            <v>2.5591229641248457E-2</v>
          </cell>
          <cell r="W37">
            <v>2.560556398098425E-2</v>
          </cell>
          <cell r="X37">
            <v>2.561239931971512E-2</v>
          </cell>
          <cell r="Y37">
            <v>2.5607726242479818E-2</v>
          </cell>
          <cell r="Z37">
            <v>2.5591501411792467E-2</v>
          </cell>
          <cell r="AA37">
            <v>2.5583876472476428E-2</v>
          </cell>
          <cell r="AB37">
            <v>2.5580802299724766E-2</v>
          </cell>
          <cell r="AC37">
            <v>2.5582589948017646E-2</v>
          </cell>
          <cell r="AD37">
            <v>2.5581289341030801E-2</v>
          </cell>
          <cell r="AE37">
            <v>2.5577766397035167E-2</v>
          </cell>
          <cell r="AF37">
            <v>2.5579459274253303E-2</v>
          </cell>
        </row>
      </sheetData>
      <sheetData sheetId="2">
        <row r="5">
          <cell r="E5"/>
        </row>
      </sheetData>
      <sheetData sheetId="3">
        <row r="5">
          <cell r="E5"/>
        </row>
      </sheetData>
      <sheetData sheetId="4"/>
      <sheetData sheetId="5">
        <row r="4">
          <cell r="E4" t="str">
            <v>계정</v>
          </cell>
          <cell r="G4" t="str">
            <v>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  <cell r="O4" t="str">
            <v>9월</v>
          </cell>
          <cell r="P4" t="str">
            <v>10월</v>
          </cell>
          <cell r="Q4" t="str">
            <v>11월</v>
          </cell>
          <cell r="R4" t="str">
            <v>12월</v>
          </cell>
          <cell r="S4" t="str">
            <v>합계</v>
          </cell>
        </row>
        <row r="5"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G6">
            <v>62176.27</v>
          </cell>
          <cell r="H6">
            <v>62176.27</v>
          </cell>
          <cell r="I6">
            <v>63213.82</v>
          </cell>
          <cell r="J6">
            <v>63213.82</v>
          </cell>
          <cell r="K6">
            <v>63213.82</v>
          </cell>
          <cell r="L6">
            <v>63213.82</v>
          </cell>
          <cell r="M6">
            <v>63213.82</v>
          </cell>
          <cell r="N6">
            <v>63213.82</v>
          </cell>
          <cell r="O6">
            <v>63213.82</v>
          </cell>
          <cell r="P6">
            <v>63213.82</v>
          </cell>
          <cell r="Q6">
            <v>63213.82</v>
          </cell>
          <cell r="R6">
            <v>63213.82</v>
          </cell>
          <cell r="S6">
            <v>756490.73999999987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G8">
            <v>14150.15</v>
          </cell>
          <cell r="H8">
            <v>14150.15</v>
          </cell>
          <cell r="I8">
            <v>14400.01</v>
          </cell>
          <cell r="J8">
            <v>14400.01</v>
          </cell>
          <cell r="K8">
            <v>14400.01</v>
          </cell>
          <cell r="L8">
            <v>14400.01</v>
          </cell>
          <cell r="M8">
            <v>14400.01</v>
          </cell>
          <cell r="N8">
            <v>14400.01</v>
          </cell>
          <cell r="O8">
            <v>14400.01</v>
          </cell>
          <cell r="P8">
            <v>14400.01</v>
          </cell>
          <cell r="Q8">
            <v>14400.01</v>
          </cell>
          <cell r="R8">
            <v>14400.01</v>
          </cell>
          <cell r="S8">
            <v>172300.4</v>
          </cell>
        </row>
        <row r="9">
          <cell r="G9">
            <v>5890.64</v>
          </cell>
          <cell r="H9">
            <v>5890.64</v>
          </cell>
          <cell r="I9">
            <v>5890.64</v>
          </cell>
          <cell r="J9">
            <v>5890.64</v>
          </cell>
          <cell r="K9">
            <v>5890.64</v>
          </cell>
          <cell r="L9">
            <v>5890.64</v>
          </cell>
          <cell r="M9">
            <v>5890.64</v>
          </cell>
          <cell r="N9">
            <v>5890.64</v>
          </cell>
          <cell r="O9">
            <v>5890.64</v>
          </cell>
          <cell r="P9">
            <v>5890.64</v>
          </cell>
          <cell r="Q9">
            <v>5890.64</v>
          </cell>
          <cell r="R9">
            <v>5890.64</v>
          </cell>
          <cell r="S9">
            <v>70687.680000000008</v>
          </cell>
        </row>
        <row r="10">
          <cell r="G10">
            <v>82217.06</v>
          </cell>
          <cell r="H10">
            <v>82217.06</v>
          </cell>
          <cell r="I10">
            <v>83504.47</v>
          </cell>
          <cell r="J10">
            <v>83504.47</v>
          </cell>
          <cell r="K10">
            <v>83504.47</v>
          </cell>
          <cell r="L10">
            <v>83504.47</v>
          </cell>
          <cell r="M10">
            <v>83504.47</v>
          </cell>
          <cell r="N10">
            <v>83504.47</v>
          </cell>
          <cell r="O10">
            <v>83504.47</v>
          </cell>
          <cell r="P10">
            <v>83504.47</v>
          </cell>
          <cell r="Q10">
            <v>83504.47</v>
          </cell>
          <cell r="R10">
            <v>83504.47</v>
          </cell>
          <cell r="S10">
            <v>999478.82</v>
          </cell>
        </row>
        <row r="11">
          <cell r="G11">
            <v>10419.07</v>
          </cell>
          <cell r="H11">
            <v>10573.68</v>
          </cell>
          <cell r="I11">
            <v>22317.5</v>
          </cell>
          <cell r="J11">
            <v>9355.98</v>
          </cell>
          <cell r="K11">
            <v>11929.98</v>
          </cell>
          <cell r="L11">
            <v>12182.96</v>
          </cell>
          <cell r="M11">
            <v>9355.98</v>
          </cell>
          <cell r="N11">
            <v>9355.98</v>
          </cell>
          <cell r="O11">
            <v>21937.200000000001</v>
          </cell>
          <cell r="P11">
            <v>10122.98</v>
          </cell>
          <cell r="Q11">
            <v>9355.98</v>
          </cell>
          <cell r="R11">
            <v>17682.96</v>
          </cell>
          <cell r="S11">
            <v>154590.24999999997</v>
          </cell>
        </row>
        <row r="12">
          <cell r="G12">
            <v>1500</v>
          </cell>
          <cell r="H12">
            <v>1500</v>
          </cell>
          <cell r="I12">
            <v>1500</v>
          </cell>
          <cell r="J12">
            <v>1500</v>
          </cell>
          <cell r="K12">
            <v>1500</v>
          </cell>
          <cell r="L12">
            <v>1500</v>
          </cell>
          <cell r="M12">
            <v>1500</v>
          </cell>
          <cell r="N12">
            <v>1500</v>
          </cell>
          <cell r="O12">
            <v>1500</v>
          </cell>
          <cell r="P12">
            <v>1500</v>
          </cell>
          <cell r="Q12">
            <v>1500</v>
          </cell>
          <cell r="R12">
            <v>1500</v>
          </cell>
          <cell r="S12">
            <v>18000</v>
          </cell>
        </row>
        <row r="13">
          <cell r="G13">
            <v>2250</v>
          </cell>
          <cell r="H13">
            <v>2250</v>
          </cell>
          <cell r="I13">
            <v>2250</v>
          </cell>
          <cell r="J13">
            <v>2250</v>
          </cell>
          <cell r="K13">
            <v>2250</v>
          </cell>
          <cell r="L13">
            <v>2250</v>
          </cell>
          <cell r="M13">
            <v>2250</v>
          </cell>
          <cell r="N13">
            <v>2250</v>
          </cell>
          <cell r="O13">
            <v>2250</v>
          </cell>
          <cell r="P13">
            <v>2250</v>
          </cell>
          <cell r="Q13">
            <v>2250</v>
          </cell>
          <cell r="R13">
            <v>2250</v>
          </cell>
          <cell r="S13">
            <v>27000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G15">
            <v>1690</v>
          </cell>
          <cell r="H15">
            <v>1690</v>
          </cell>
          <cell r="I15">
            <v>1690</v>
          </cell>
          <cell r="J15">
            <v>1690</v>
          </cell>
          <cell r="K15">
            <v>1690</v>
          </cell>
          <cell r="L15">
            <v>1690</v>
          </cell>
          <cell r="M15">
            <v>1690</v>
          </cell>
          <cell r="N15">
            <v>1690</v>
          </cell>
          <cell r="O15">
            <v>1690</v>
          </cell>
          <cell r="P15">
            <v>1690</v>
          </cell>
          <cell r="Q15">
            <v>1690</v>
          </cell>
          <cell r="R15">
            <v>1690</v>
          </cell>
          <cell r="S15">
            <v>20280</v>
          </cell>
        </row>
        <row r="16">
          <cell r="G16">
            <v>500</v>
          </cell>
          <cell r="H16">
            <v>500</v>
          </cell>
          <cell r="I16">
            <v>500</v>
          </cell>
          <cell r="J16">
            <v>500</v>
          </cell>
          <cell r="K16">
            <v>500</v>
          </cell>
          <cell r="L16">
            <v>500</v>
          </cell>
          <cell r="M16">
            <v>500</v>
          </cell>
          <cell r="N16">
            <v>500</v>
          </cell>
          <cell r="O16">
            <v>500</v>
          </cell>
          <cell r="P16">
            <v>500</v>
          </cell>
          <cell r="Q16">
            <v>500</v>
          </cell>
          <cell r="R16">
            <v>500</v>
          </cell>
          <cell r="S16">
            <v>6000</v>
          </cell>
        </row>
        <row r="17">
          <cell r="G17">
            <v>404</v>
          </cell>
          <cell r="H17">
            <v>404</v>
          </cell>
          <cell r="I17">
            <v>404</v>
          </cell>
          <cell r="J17">
            <v>404</v>
          </cell>
          <cell r="K17">
            <v>404</v>
          </cell>
          <cell r="L17">
            <v>404</v>
          </cell>
          <cell r="M17">
            <v>404</v>
          </cell>
          <cell r="N17">
            <v>404</v>
          </cell>
          <cell r="O17">
            <v>404</v>
          </cell>
          <cell r="P17">
            <v>404</v>
          </cell>
          <cell r="Q17">
            <v>404</v>
          </cell>
          <cell r="R17">
            <v>404</v>
          </cell>
          <cell r="S17">
            <v>4848</v>
          </cell>
        </row>
        <row r="18">
          <cell r="G18">
            <v>3087.45</v>
          </cell>
          <cell r="H18">
            <v>3087.45</v>
          </cell>
          <cell r="I18">
            <v>3121.51</v>
          </cell>
          <cell r="J18">
            <v>3121.51</v>
          </cell>
          <cell r="K18">
            <v>3121.51</v>
          </cell>
          <cell r="L18">
            <v>3121.51</v>
          </cell>
          <cell r="M18">
            <v>3121.51</v>
          </cell>
          <cell r="N18">
            <v>3121.51</v>
          </cell>
          <cell r="O18">
            <v>3121.51</v>
          </cell>
          <cell r="P18">
            <v>3121.51</v>
          </cell>
          <cell r="Q18">
            <v>3121.51</v>
          </cell>
          <cell r="R18">
            <v>3121.51</v>
          </cell>
          <cell r="S18">
            <v>37390.000000000015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G20">
            <v>1000</v>
          </cell>
          <cell r="H20">
            <v>1000</v>
          </cell>
          <cell r="I20">
            <v>1000</v>
          </cell>
          <cell r="J20">
            <v>1000</v>
          </cell>
          <cell r="K20">
            <v>1000</v>
          </cell>
          <cell r="L20">
            <v>1000</v>
          </cell>
          <cell r="M20">
            <v>1000</v>
          </cell>
          <cell r="N20">
            <v>1000</v>
          </cell>
          <cell r="O20">
            <v>1000</v>
          </cell>
          <cell r="P20">
            <v>1000</v>
          </cell>
          <cell r="Q20">
            <v>1000</v>
          </cell>
          <cell r="R20">
            <v>1000</v>
          </cell>
          <cell r="S20">
            <v>12000</v>
          </cell>
        </row>
        <row r="21">
          <cell r="G21">
            <v>640</v>
          </cell>
          <cell r="H21">
            <v>640</v>
          </cell>
          <cell r="I21">
            <v>640</v>
          </cell>
          <cell r="J21">
            <v>640</v>
          </cell>
          <cell r="K21">
            <v>640</v>
          </cell>
          <cell r="L21">
            <v>640</v>
          </cell>
          <cell r="M21">
            <v>640</v>
          </cell>
          <cell r="N21">
            <v>640</v>
          </cell>
          <cell r="O21">
            <v>640</v>
          </cell>
          <cell r="P21">
            <v>640</v>
          </cell>
          <cell r="Q21">
            <v>640</v>
          </cell>
          <cell r="R21">
            <v>640</v>
          </cell>
          <cell r="S21">
            <v>7680</v>
          </cell>
        </row>
        <row r="22">
          <cell r="G22">
            <v>6370</v>
          </cell>
          <cell r="H22">
            <v>6370</v>
          </cell>
          <cell r="I22">
            <v>6370</v>
          </cell>
          <cell r="J22">
            <v>6370</v>
          </cell>
          <cell r="K22">
            <v>6370</v>
          </cell>
          <cell r="L22">
            <v>6370</v>
          </cell>
          <cell r="M22">
            <v>6370</v>
          </cell>
          <cell r="N22">
            <v>6370</v>
          </cell>
          <cell r="O22">
            <v>6370</v>
          </cell>
          <cell r="P22">
            <v>6370</v>
          </cell>
          <cell r="Q22">
            <v>6370</v>
          </cell>
          <cell r="R22">
            <v>6370</v>
          </cell>
          <cell r="S22">
            <v>76440</v>
          </cell>
        </row>
        <row r="23">
          <cell r="G23">
            <v>6000</v>
          </cell>
          <cell r="H23">
            <v>14000</v>
          </cell>
          <cell r="I23">
            <v>6000</v>
          </cell>
          <cell r="J23">
            <v>6000</v>
          </cell>
          <cell r="K23">
            <v>6000</v>
          </cell>
          <cell r="L23">
            <v>6000</v>
          </cell>
          <cell r="M23">
            <v>6000</v>
          </cell>
          <cell r="N23">
            <v>6000</v>
          </cell>
          <cell r="O23">
            <v>14000</v>
          </cell>
          <cell r="P23">
            <v>6000</v>
          </cell>
          <cell r="Q23">
            <v>6000</v>
          </cell>
          <cell r="R23">
            <v>6000</v>
          </cell>
          <cell r="S23">
            <v>88000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G28">
            <v>260</v>
          </cell>
          <cell r="H28">
            <v>260</v>
          </cell>
          <cell r="I28">
            <v>260</v>
          </cell>
          <cell r="J28">
            <v>260</v>
          </cell>
          <cell r="K28">
            <v>260</v>
          </cell>
          <cell r="L28">
            <v>260</v>
          </cell>
          <cell r="M28">
            <v>260</v>
          </cell>
          <cell r="N28">
            <v>260</v>
          </cell>
          <cell r="O28">
            <v>710</v>
          </cell>
          <cell r="P28">
            <v>260</v>
          </cell>
          <cell r="Q28">
            <v>260</v>
          </cell>
          <cell r="R28">
            <v>260</v>
          </cell>
          <cell r="S28">
            <v>3570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G34">
            <v>34120.520000000004</v>
          </cell>
          <cell r="H34">
            <v>42275.130000000005</v>
          </cell>
          <cell r="I34">
            <v>46053.01</v>
          </cell>
          <cell r="J34">
            <v>33091.49</v>
          </cell>
          <cell r="K34">
            <v>35665.49</v>
          </cell>
          <cell r="L34">
            <v>35918.47</v>
          </cell>
          <cell r="M34">
            <v>33091.49</v>
          </cell>
          <cell r="N34">
            <v>33091.49</v>
          </cell>
          <cell r="O34">
            <v>54122.71</v>
          </cell>
          <cell r="P34">
            <v>33858.49</v>
          </cell>
          <cell r="Q34">
            <v>33091.49</v>
          </cell>
          <cell r="R34">
            <v>41418.47</v>
          </cell>
          <cell r="S34">
            <v>455798.25</v>
          </cell>
        </row>
        <row r="35">
          <cell r="G35">
            <v>116337.58</v>
          </cell>
          <cell r="H35">
            <v>124492.19</v>
          </cell>
          <cell r="I35">
            <v>129557.48000000001</v>
          </cell>
          <cell r="J35">
            <v>116595.95999999999</v>
          </cell>
          <cell r="K35">
            <v>119169.95999999999</v>
          </cell>
          <cell r="L35">
            <v>119422.94</v>
          </cell>
          <cell r="M35">
            <v>116595.95999999999</v>
          </cell>
          <cell r="N35">
            <v>116595.95999999999</v>
          </cell>
          <cell r="O35">
            <v>137627.18</v>
          </cell>
          <cell r="P35">
            <v>117362.95999999999</v>
          </cell>
          <cell r="Q35">
            <v>116595.95999999999</v>
          </cell>
          <cell r="R35">
            <v>124922.94</v>
          </cell>
          <cell r="S35">
            <v>1455277.0699999998</v>
          </cell>
        </row>
        <row r="36"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G37">
            <v>4908.0999999999995</v>
          </cell>
          <cell r="H37">
            <v>4908.0999999999995</v>
          </cell>
          <cell r="I37">
            <v>4908.0999999999995</v>
          </cell>
          <cell r="J37">
            <v>4908.0999999999995</v>
          </cell>
          <cell r="K37">
            <v>4908.0999999999995</v>
          </cell>
          <cell r="L37">
            <v>4908.0999999999995</v>
          </cell>
          <cell r="M37">
            <v>4908.0999999999995</v>
          </cell>
          <cell r="N37">
            <v>4908.0999999999995</v>
          </cell>
          <cell r="O37">
            <v>4908.0999999999995</v>
          </cell>
          <cell r="P37">
            <v>4908.0999999999995</v>
          </cell>
          <cell r="Q37">
            <v>4908.0999999999995</v>
          </cell>
          <cell r="R37">
            <v>4908.0999999999995</v>
          </cell>
          <cell r="S37">
            <v>58897.19999999999</v>
          </cell>
        </row>
        <row r="38">
          <cell r="G38">
            <v>121245.68000000001</v>
          </cell>
          <cell r="H38">
            <v>129400.29000000001</v>
          </cell>
          <cell r="I38">
            <v>134465.58000000002</v>
          </cell>
          <cell r="J38">
            <v>121504.06</v>
          </cell>
          <cell r="K38">
            <v>124078.06</v>
          </cell>
          <cell r="L38">
            <v>124331.04000000001</v>
          </cell>
          <cell r="M38">
            <v>121504.06</v>
          </cell>
          <cell r="N38">
            <v>121504.06</v>
          </cell>
          <cell r="O38">
            <v>142535.28</v>
          </cell>
          <cell r="P38">
            <v>122271.06</v>
          </cell>
          <cell r="Q38">
            <v>121504.06</v>
          </cell>
          <cell r="R38">
            <v>129831.04000000001</v>
          </cell>
          <cell r="S38">
            <v>1514174.2699999998</v>
          </cell>
        </row>
        <row r="39"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판매계획"/>
      <sheetName val="원가"/>
      <sheetName val="제조4"/>
      <sheetName val="제조6"/>
      <sheetName val="제조4_원본"/>
      <sheetName val="제조6_원본"/>
      <sheetName val="판매4"/>
      <sheetName val="판매6"/>
      <sheetName val="본사산출"/>
      <sheetName val="제조"/>
      <sheetName val="판매"/>
      <sheetName val="인원수"/>
      <sheetName val="계정통제"/>
    </sheetNames>
    <sheetDataSet>
      <sheetData sheetId="0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3300</v>
          </cell>
          <cell r="L6">
            <v>3300</v>
          </cell>
          <cell r="M6">
            <v>3300</v>
          </cell>
          <cell r="N6">
            <v>3300</v>
          </cell>
          <cell r="O6">
            <v>3300</v>
          </cell>
          <cell r="P6">
            <v>3300</v>
          </cell>
          <cell r="Q6">
            <v>3300</v>
          </cell>
          <cell r="R6">
            <v>3300</v>
          </cell>
          <cell r="S6">
            <v>26400</v>
          </cell>
        </row>
        <row r="7">
          <cell r="G7">
            <v>11456.2</v>
          </cell>
          <cell r="H7">
            <v>10301.799999999999</v>
          </cell>
          <cell r="I7">
            <v>0</v>
          </cell>
          <cell r="J7">
            <v>0</v>
          </cell>
          <cell r="K7">
            <v>16581.599999999999</v>
          </cell>
          <cell r="L7">
            <v>15916.6</v>
          </cell>
          <cell r="M7">
            <v>16335.6</v>
          </cell>
          <cell r="N7">
            <v>16282.333333333332</v>
          </cell>
          <cell r="O7">
            <v>12472.133333333333</v>
          </cell>
          <cell r="P7">
            <v>16598.866666666665</v>
          </cell>
          <cell r="Q7">
            <v>16653.733333333334</v>
          </cell>
          <cell r="R7">
            <v>16515.466666666667</v>
          </cell>
          <cell r="S7">
            <v>149114.33333333334</v>
          </cell>
        </row>
        <row r="8">
          <cell r="G8">
            <v>11456.2</v>
          </cell>
          <cell r="H8">
            <v>10301.799999999999</v>
          </cell>
          <cell r="I8">
            <v>0</v>
          </cell>
          <cell r="J8">
            <v>0</v>
          </cell>
          <cell r="K8">
            <v>19881.599999999999</v>
          </cell>
          <cell r="L8">
            <v>19216.599999999999</v>
          </cell>
          <cell r="M8">
            <v>19635.599999999999</v>
          </cell>
          <cell r="N8">
            <v>19582.333333333332</v>
          </cell>
          <cell r="O8">
            <v>15772.133333333333</v>
          </cell>
          <cell r="P8">
            <v>19898.866666666665</v>
          </cell>
          <cell r="Q8">
            <v>19953.733333333334</v>
          </cell>
          <cell r="R8">
            <v>19815.466666666667</v>
          </cell>
          <cell r="S8">
            <v>175514.33333333331</v>
          </cell>
          <cell r="U8"/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7000</v>
          </cell>
          <cell r="L9">
            <v>7000</v>
          </cell>
          <cell r="M9">
            <v>7000</v>
          </cell>
          <cell r="N9">
            <v>7000</v>
          </cell>
          <cell r="O9">
            <v>7000</v>
          </cell>
          <cell r="P9">
            <v>7000</v>
          </cell>
          <cell r="Q9">
            <v>7000</v>
          </cell>
          <cell r="R9">
            <v>6311</v>
          </cell>
          <cell r="S9">
            <v>55311</v>
          </cell>
          <cell r="U9"/>
        </row>
        <row r="10">
          <cell r="G10">
            <v>915.60000000000014</v>
          </cell>
          <cell r="H10">
            <v>836</v>
          </cell>
          <cell r="I10">
            <v>0</v>
          </cell>
          <cell r="J10">
            <v>0</v>
          </cell>
          <cell r="K10">
            <v>2344.4292266666662</v>
          </cell>
          <cell r="L10">
            <v>2021.0734933333333</v>
          </cell>
          <cell r="M10">
            <v>1975.5641599999999</v>
          </cell>
          <cell r="N10">
            <v>1994.6633333333334</v>
          </cell>
          <cell r="O10">
            <v>1897.4966666666667</v>
          </cell>
          <cell r="P10">
            <v>2454.0966666666664</v>
          </cell>
          <cell r="Q10">
            <v>2421.83</v>
          </cell>
          <cell r="R10">
            <v>2313.2966666666671</v>
          </cell>
          <cell r="S10">
            <v>19174.050213333336</v>
          </cell>
          <cell r="U10"/>
        </row>
        <row r="11">
          <cell r="G11">
            <v>915.60000000000014</v>
          </cell>
          <cell r="H11">
            <v>836</v>
          </cell>
          <cell r="I11">
            <v>0</v>
          </cell>
          <cell r="J11">
            <v>0</v>
          </cell>
          <cell r="K11">
            <v>9344.4292266666671</v>
          </cell>
          <cell r="L11">
            <v>9021.0734933333333</v>
          </cell>
          <cell r="M11">
            <v>8975.5641599999999</v>
          </cell>
          <cell r="N11">
            <v>8994.6633333333339</v>
          </cell>
          <cell r="O11">
            <v>8897.496666666666</v>
          </cell>
          <cell r="P11">
            <v>9454.0966666666664</v>
          </cell>
          <cell r="Q11">
            <v>9421.83</v>
          </cell>
          <cell r="R11">
            <v>8624.2966666666671</v>
          </cell>
          <cell r="S11">
            <v>74485.050213333321</v>
          </cell>
          <cell r="U11"/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22000</v>
          </cell>
          <cell r="L12">
            <v>22000</v>
          </cell>
          <cell r="M12">
            <v>22000</v>
          </cell>
          <cell r="N12">
            <v>22000</v>
          </cell>
          <cell r="O12">
            <v>22000</v>
          </cell>
          <cell r="P12">
            <v>22000</v>
          </cell>
          <cell r="Q12">
            <v>22000</v>
          </cell>
          <cell r="R12">
            <v>22000</v>
          </cell>
          <cell r="S12">
            <v>176000</v>
          </cell>
          <cell r="U12"/>
        </row>
        <row r="13"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>
            <v>0</v>
          </cell>
          <cell r="U13"/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22000</v>
          </cell>
          <cell r="L14">
            <v>22000</v>
          </cell>
          <cell r="M14">
            <v>22000</v>
          </cell>
          <cell r="N14">
            <v>22000</v>
          </cell>
          <cell r="O14">
            <v>22000</v>
          </cell>
          <cell r="P14">
            <v>22000</v>
          </cell>
          <cell r="Q14">
            <v>22000</v>
          </cell>
          <cell r="R14">
            <v>22000</v>
          </cell>
          <cell r="S14">
            <v>176000</v>
          </cell>
          <cell r="U14"/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32300</v>
          </cell>
          <cell r="L15">
            <v>32300</v>
          </cell>
          <cell r="M15">
            <v>32300</v>
          </cell>
          <cell r="N15">
            <v>32300</v>
          </cell>
          <cell r="O15">
            <v>32300</v>
          </cell>
          <cell r="P15">
            <v>32300</v>
          </cell>
          <cell r="Q15">
            <v>32300</v>
          </cell>
          <cell r="R15">
            <v>31611</v>
          </cell>
          <cell r="S15">
            <v>257711</v>
          </cell>
        </row>
        <row r="16">
          <cell r="G16">
            <v>12371.800000000001</v>
          </cell>
          <cell r="H16">
            <v>11137.8</v>
          </cell>
          <cell r="I16">
            <v>0</v>
          </cell>
          <cell r="J16">
            <v>0</v>
          </cell>
          <cell r="K16">
            <v>18926.029226666666</v>
          </cell>
          <cell r="L16">
            <v>17937.673493333336</v>
          </cell>
          <cell r="M16">
            <v>18311.16416</v>
          </cell>
          <cell r="N16">
            <v>18276.996666666666</v>
          </cell>
          <cell r="O16">
            <v>14369.63</v>
          </cell>
          <cell r="P16">
            <v>19052.963333333333</v>
          </cell>
          <cell r="Q16">
            <v>19075.563333333332</v>
          </cell>
          <cell r="R16">
            <v>18828.763333333336</v>
          </cell>
          <cell r="S16">
            <v>168288.38354666668</v>
          </cell>
        </row>
        <row r="17">
          <cell r="G17">
            <v>12371.800000000001</v>
          </cell>
          <cell r="H17">
            <v>11137.8</v>
          </cell>
          <cell r="I17">
            <v>0</v>
          </cell>
          <cell r="J17">
            <v>0</v>
          </cell>
          <cell r="K17">
            <v>51226.029226666666</v>
          </cell>
          <cell r="L17">
            <v>50237.673493333336</v>
          </cell>
          <cell r="M17">
            <v>50611.16416</v>
          </cell>
          <cell r="N17">
            <v>50576.996666666666</v>
          </cell>
          <cell r="O17">
            <v>46669.63</v>
          </cell>
          <cell r="P17">
            <v>51352.963333333333</v>
          </cell>
          <cell r="Q17">
            <v>51375.563333333332</v>
          </cell>
          <cell r="R17">
            <v>50439.763333333336</v>
          </cell>
          <cell r="S17">
            <v>425999.38354666671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37950</v>
          </cell>
          <cell r="L18">
            <v>37950</v>
          </cell>
          <cell r="M18">
            <v>37950</v>
          </cell>
          <cell r="N18">
            <v>37950</v>
          </cell>
          <cell r="O18">
            <v>37950</v>
          </cell>
          <cell r="P18">
            <v>37950</v>
          </cell>
          <cell r="Q18">
            <v>37950</v>
          </cell>
          <cell r="R18">
            <v>37950</v>
          </cell>
          <cell r="S18">
            <v>303600</v>
          </cell>
          <cell r="U18"/>
        </row>
        <row r="19">
          <cell r="G19">
            <v>183299.20000000001</v>
          </cell>
          <cell r="H19">
            <v>164828.79999999999</v>
          </cell>
          <cell r="I19">
            <v>0</v>
          </cell>
          <cell r="J19">
            <v>0</v>
          </cell>
          <cell r="K19">
            <v>251304</v>
          </cell>
          <cell r="L19">
            <v>241006</v>
          </cell>
          <cell r="M19">
            <v>248708.80000000002</v>
          </cell>
          <cell r="N19">
            <v>248207.33333333331</v>
          </cell>
          <cell r="O19">
            <v>186904.53333333333</v>
          </cell>
          <cell r="P19">
            <v>251258.26666666666</v>
          </cell>
          <cell r="Q19">
            <v>251806.93333333335</v>
          </cell>
          <cell r="R19">
            <v>249935.46666666667</v>
          </cell>
          <cell r="S19">
            <v>2277259.333333333</v>
          </cell>
          <cell r="U19"/>
        </row>
        <row r="20">
          <cell r="G20">
            <v>183299.20000000001</v>
          </cell>
          <cell r="H20">
            <v>164828.79999999999</v>
          </cell>
          <cell r="I20">
            <v>0</v>
          </cell>
          <cell r="J20">
            <v>0</v>
          </cell>
          <cell r="K20">
            <v>289254</v>
          </cell>
          <cell r="L20">
            <v>278956</v>
          </cell>
          <cell r="M20">
            <v>286658.80000000005</v>
          </cell>
          <cell r="N20">
            <v>286157.33333333331</v>
          </cell>
          <cell r="O20">
            <v>224854.53333333333</v>
          </cell>
          <cell r="P20">
            <v>289208.26666666666</v>
          </cell>
          <cell r="Q20">
            <v>289756.93333333335</v>
          </cell>
          <cell r="R20">
            <v>287885.46666666667</v>
          </cell>
          <cell r="S20">
            <v>2580859.333333333</v>
          </cell>
          <cell r="U20"/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105000</v>
          </cell>
          <cell r="L21">
            <v>105000</v>
          </cell>
          <cell r="M21">
            <v>105000</v>
          </cell>
          <cell r="N21">
            <v>105000</v>
          </cell>
          <cell r="O21">
            <v>105000</v>
          </cell>
          <cell r="P21">
            <v>105000</v>
          </cell>
          <cell r="Q21">
            <v>105000</v>
          </cell>
          <cell r="R21">
            <v>94665</v>
          </cell>
          <cell r="S21">
            <v>829665</v>
          </cell>
          <cell r="U21"/>
        </row>
        <row r="22">
          <cell r="G22">
            <v>9613.8000000000011</v>
          </cell>
          <cell r="H22">
            <v>8778</v>
          </cell>
          <cell r="I22">
            <v>0</v>
          </cell>
          <cell r="J22">
            <v>0</v>
          </cell>
          <cell r="K22">
            <v>43671.905066666659</v>
          </cell>
          <cell r="L22">
            <v>37292.76906666666</v>
          </cell>
          <cell r="M22">
            <v>36864.929066666664</v>
          </cell>
          <cell r="N22">
            <v>37151.416666666664</v>
          </cell>
          <cell r="O22">
            <v>33773.583333333336</v>
          </cell>
          <cell r="P22">
            <v>45341.183333333334</v>
          </cell>
          <cell r="Q22">
            <v>44857.183333333334</v>
          </cell>
          <cell r="R22">
            <v>42695.316666666673</v>
          </cell>
          <cell r="S22">
            <v>340040.08653333335</v>
          </cell>
          <cell r="U22"/>
        </row>
        <row r="23">
          <cell r="G23">
            <v>9613.8000000000011</v>
          </cell>
          <cell r="H23">
            <v>8778</v>
          </cell>
          <cell r="I23">
            <v>0</v>
          </cell>
          <cell r="J23">
            <v>0</v>
          </cell>
          <cell r="K23">
            <v>148671.90506666666</v>
          </cell>
          <cell r="L23">
            <v>142292.76906666666</v>
          </cell>
          <cell r="M23">
            <v>141864.92906666666</v>
          </cell>
          <cell r="N23">
            <v>142151.41666666666</v>
          </cell>
          <cell r="O23">
            <v>138773.58333333334</v>
          </cell>
          <cell r="P23">
            <v>150341.18333333335</v>
          </cell>
          <cell r="Q23">
            <v>149857.18333333335</v>
          </cell>
          <cell r="R23">
            <v>137360.31666666668</v>
          </cell>
          <cell r="S23">
            <v>1169705.0865333334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198000</v>
          </cell>
          <cell r="L24">
            <v>198000</v>
          </cell>
          <cell r="M24">
            <v>198000</v>
          </cell>
          <cell r="N24">
            <v>198000</v>
          </cell>
          <cell r="O24">
            <v>198000</v>
          </cell>
          <cell r="P24">
            <v>198000</v>
          </cell>
          <cell r="Q24">
            <v>198000</v>
          </cell>
          <cell r="R24">
            <v>198000</v>
          </cell>
          <cell r="S24">
            <v>1584000</v>
          </cell>
          <cell r="U24"/>
        </row>
        <row r="25"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>
            <v>0</v>
          </cell>
          <cell r="U25"/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198000</v>
          </cell>
          <cell r="L26">
            <v>198000</v>
          </cell>
          <cell r="M26">
            <v>198000</v>
          </cell>
          <cell r="N26">
            <v>198000</v>
          </cell>
          <cell r="O26">
            <v>198000</v>
          </cell>
          <cell r="P26">
            <v>198000</v>
          </cell>
          <cell r="Q26">
            <v>198000</v>
          </cell>
          <cell r="R26">
            <v>198000</v>
          </cell>
          <cell r="S26">
            <v>1584000</v>
          </cell>
          <cell r="U26"/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340950</v>
          </cell>
          <cell r="L27">
            <v>340950</v>
          </cell>
          <cell r="M27">
            <v>340950</v>
          </cell>
          <cell r="N27">
            <v>340950</v>
          </cell>
          <cell r="O27">
            <v>340950</v>
          </cell>
          <cell r="P27">
            <v>340950</v>
          </cell>
          <cell r="Q27">
            <v>340950</v>
          </cell>
          <cell r="R27">
            <v>330615</v>
          </cell>
          <cell r="S27">
            <v>2717265</v>
          </cell>
        </row>
        <row r="28">
          <cell r="G28">
            <v>192913</v>
          </cell>
          <cell r="H28">
            <v>173606.8</v>
          </cell>
          <cell r="I28">
            <v>0</v>
          </cell>
          <cell r="J28">
            <v>0</v>
          </cell>
          <cell r="K28">
            <v>294975.90506666666</v>
          </cell>
          <cell r="L28">
            <v>278298.76906666666</v>
          </cell>
          <cell r="M28">
            <v>285573.72906666668</v>
          </cell>
          <cell r="N28">
            <v>285358.75</v>
          </cell>
          <cell r="O28">
            <v>220678.11666666667</v>
          </cell>
          <cell r="P28">
            <v>296599.45</v>
          </cell>
          <cell r="Q28">
            <v>296664.1166666667</v>
          </cell>
          <cell r="R28">
            <v>292630.78333333333</v>
          </cell>
          <cell r="S28">
            <v>2617299.4198666667</v>
          </cell>
          <cell r="U28">
            <v>814305.97734126251</v>
          </cell>
        </row>
        <row r="29">
          <cell r="G29">
            <v>192913</v>
          </cell>
          <cell r="H29">
            <v>173606.8</v>
          </cell>
          <cell r="I29">
            <v>0</v>
          </cell>
          <cell r="J29">
            <v>0</v>
          </cell>
          <cell r="K29">
            <v>635925.90506666666</v>
          </cell>
          <cell r="L29">
            <v>619248.76906666672</v>
          </cell>
          <cell r="M29">
            <v>626523.72906666668</v>
          </cell>
          <cell r="N29">
            <v>626308.75</v>
          </cell>
          <cell r="O29">
            <v>561628.1166666667</v>
          </cell>
          <cell r="P29">
            <v>637549.44999999995</v>
          </cell>
          <cell r="Q29">
            <v>637614.1166666667</v>
          </cell>
          <cell r="R29">
            <v>623245.78333333333</v>
          </cell>
          <cell r="S29">
            <v>5334564.4198666662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33679.403189772958</v>
          </cell>
          <cell r="L30">
            <v>32212.10621767243</v>
          </cell>
          <cell r="M30">
            <v>36788.620455554446</v>
          </cell>
          <cell r="N30">
            <v>31237.513971272445</v>
          </cell>
          <cell r="O30">
            <v>36652.559748170279</v>
          </cell>
          <cell r="P30">
            <v>31401.992510785971</v>
          </cell>
          <cell r="Q30">
            <v>34972.707128142429</v>
          </cell>
          <cell r="R30">
            <v>33343.426670849432</v>
          </cell>
          <cell r="S30">
            <v>270288.32989222038</v>
          </cell>
          <cell r="U30"/>
        </row>
        <row r="31">
          <cell r="G31">
            <v>102483.09749801969</v>
          </cell>
          <cell r="H31">
            <v>72595.243094506994</v>
          </cell>
          <cell r="I31">
            <v>0</v>
          </cell>
          <cell r="J31">
            <v>0</v>
          </cell>
          <cell r="K31">
            <v>169229.81573683006</v>
          </cell>
          <cell r="L31">
            <v>155365.82115885001</v>
          </cell>
          <cell r="M31">
            <v>182110.36009507734</v>
          </cell>
          <cell r="N31">
            <v>154127.15605603484</v>
          </cell>
          <cell r="O31">
            <v>138525.94308701399</v>
          </cell>
          <cell r="P31">
            <v>157950.75356187925</v>
          </cell>
          <cell r="Q31">
            <v>176492.76922934849</v>
          </cell>
          <cell r="R31">
            <v>166873.40961662368</v>
          </cell>
          <cell r="S31">
            <v>1475754.3691341844</v>
          </cell>
          <cell r="U31"/>
        </row>
        <row r="32">
          <cell r="G32">
            <v>102483.09749801969</v>
          </cell>
          <cell r="H32">
            <v>72595.243094506994</v>
          </cell>
          <cell r="I32">
            <v>0</v>
          </cell>
          <cell r="J32">
            <v>0</v>
          </cell>
          <cell r="K32">
            <v>202909.21892660303</v>
          </cell>
          <cell r="L32">
            <v>187577.92737652245</v>
          </cell>
          <cell r="M32">
            <v>218898.98055063179</v>
          </cell>
          <cell r="N32">
            <v>185364.67002730729</v>
          </cell>
          <cell r="O32">
            <v>175178.50283518428</v>
          </cell>
          <cell r="P32">
            <v>189352.74607266521</v>
          </cell>
          <cell r="Q32">
            <v>211465.47635749093</v>
          </cell>
          <cell r="R32">
            <v>200216.83628747312</v>
          </cell>
          <cell r="S32">
            <v>1746042.6990264049</v>
          </cell>
          <cell r="U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71441.158281336582</v>
          </cell>
          <cell r="L33">
            <v>68328.710158699061</v>
          </cell>
          <cell r="M33">
            <v>78036.467632994274</v>
          </cell>
          <cell r="N33">
            <v>66261.393272396104</v>
          </cell>
          <cell r="O33">
            <v>77747.854011270305</v>
          </cell>
          <cell r="P33">
            <v>66610.287144091446</v>
          </cell>
          <cell r="Q33">
            <v>74184.530271817261</v>
          </cell>
          <cell r="R33">
            <v>63766.77749082751</v>
          </cell>
          <cell r="S33">
            <v>566377.17826343246</v>
          </cell>
          <cell r="U33"/>
        </row>
        <row r="34">
          <cell r="G34">
            <v>8190.6325019803116</v>
          </cell>
          <cell r="H34">
            <v>5891.1669054930062</v>
          </cell>
          <cell r="I34">
            <v>0</v>
          </cell>
          <cell r="J34">
            <v>0</v>
          </cell>
          <cell r="K34">
            <v>23926.96278024069</v>
          </cell>
          <cell r="L34">
            <v>19728.192133628967</v>
          </cell>
          <cell r="M34">
            <v>22023.721232677646</v>
          </cell>
          <cell r="N34">
            <v>18881.310225146928</v>
          </cell>
          <cell r="O34">
            <v>21075.18483241029</v>
          </cell>
          <cell r="P34">
            <v>23352.583378003481</v>
          </cell>
          <cell r="Q34">
            <v>25666.045849742175</v>
          </cell>
          <cell r="R34">
            <v>23373.708416036498</v>
          </cell>
          <cell r="S34">
            <v>192109.50825535998</v>
          </cell>
          <cell r="U34"/>
        </row>
        <row r="35">
          <cell r="G35">
            <v>8190.6325019803116</v>
          </cell>
          <cell r="H35">
            <v>5891.1669054930062</v>
          </cell>
          <cell r="I35">
            <v>0</v>
          </cell>
          <cell r="J35">
            <v>0</v>
          </cell>
          <cell r="K35">
            <v>95368.121061577272</v>
          </cell>
          <cell r="L35">
            <v>88056.902292328028</v>
          </cell>
          <cell r="M35">
            <v>100060.18886567192</v>
          </cell>
          <cell r="N35">
            <v>85142.703497543029</v>
          </cell>
          <cell r="O35">
            <v>98823.038843680595</v>
          </cell>
          <cell r="P35">
            <v>89962.87052209492</v>
          </cell>
          <cell r="Q35">
            <v>99850.576121559439</v>
          </cell>
          <cell r="R35">
            <v>87140.485906864007</v>
          </cell>
          <cell r="S35">
            <v>758486.68651879265</v>
          </cell>
          <cell r="U35"/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156329.35459848633</v>
          </cell>
          <cell r="L36">
            <v>146547.37478448282</v>
          </cell>
          <cell r="M36">
            <v>177057.46970369629</v>
          </cell>
          <cell r="N36">
            <v>140050.09314181635</v>
          </cell>
          <cell r="O36">
            <v>176150.39832113523</v>
          </cell>
          <cell r="P36">
            <v>141146.61673857315</v>
          </cell>
          <cell r="Q36">
            <v>164951.38085428294</v>
          </cell>
          <cell r="R36">
            <v>154089.5111389962</v>
          </cell>
          <cell r="S36">
            <v>1256322.1992814692</v>
          </cell>
          <cell r="U36"/>
        </row>
        <row r="37"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>
            <v>0</v>
          </cell>
          <cell r="U37"/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156329.35459848633</v>
          </cell>
          <cell r="L38">
            <v>146547.37478448282</v>
          </cell>
          <cell r="M38">
            <v>177057.46970369629</v>
          </cell>
          <cell r="N38">
            <v>140050.09314181635</v>
          </cell>
          <cell r="O38">
            <v>176150.39832113523</v>
          </cell>
          <cell r="P38">
            <v>141146.61673857315</v>
          </cell>
          <cell r="Q38">
            <v>164951.38085428294</v>
          </cell>
          <cell r="R38">
            <v>154089.5111389962</v>
          </cell>
          <cell r="S38">
            <v>1256322.1992814692</v>
          </cell>
          <cell r="U38"/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261449.91606959587</v>
          </cell>
          <cell r="L39">
            <v>247088.1911608543</v>
          </cell>
          <cell r="M39">
            <v>291882.557792245</v>
          </cell>
          <cell r="N39">
            <v>237549.00038548489</v>
          </cell>
          <cell r="O39">
            <v>290550.81208057585</v>
          </cell>
          <cell r="P39">
            <v>239158.89639345056</v>
          </cell>
          <cell r="Q39">
            <v>274108.61825424264</v>
          </cell>
          <cell r="R39">
            <v>251199.71530067315</v>
          </cell>
          <cell r="S39">
            <v>2092987.7074371225</v>
          </cell>
          <cell r="U39"/>
        </row>
        <row r="40">
          <cell r="G40">
            <v>110673.73000000001</v>
          </cell>
          <cell r="H40">
            <v>78486.41</v>
          </cell>
          <cell r="I40">
            <v>0</v>
          </cell>
          <cell r="J40">
            <v>0</v>
          </cell>
          <cell r="K40">
            <v>193156.77851707075</v>
          </cell>
          <cell r="L40">
            <v>175094.01329247898</v>
          </cell>
          <cell r="M40">
            <v>204134.08132775498</v>
          </cell>
          <cell r="N40">
            <v>173008.46628118178</v>
          </cell>
          <cell r="O40">
            <v>159601.12791942427</v>
          </cell>
          <cell r="P40">
            <v>181303.33693988272</v>
          </cell>
          <cell r="Q40">
            <v>202158.81507909065</v>
          </cell>
          <cell r="R40">
            <v>190247.11803266019</v>
          </cell>
          <cell r="S40">
            <v>1667863.8773895442</v>
          </cell>
          <cell r="U40"/>
        </row>
        <row r="41">
          <cell r="G41">
            <v>110673.73000000001</v>
          </cell>
          <cell r="H41">
            <v>78486.41</v>
          </cell>
          <cell r="I41">
            <v>0</v>
          </cell>
          <cell r="J41">
            <v>0</v>
          </cell>
          <cell r="K41">
            <v>454606.69458666665</v>
          </cell>
          <cell r="L41">
            <v>422182.20445333328</v>
          </cell>
          <cell r="M41">
            <v>496016.63911999995</v>
          </cell>
          <cell r="N41">
            <v>410557.46666666667</v>
          </cell>
          <cell r="O41">
            <v>450151.94000000012</v>
          </cell>
          <cell r="P41">
            <v>420462.23333333328</v>
          </cell>
          <cell r="Q41">
            <v>476267.43333333329</v>
          </cell>
          <cell r="R41">
            <v>441446.83333333337</v>
          </cell>
          <cell r="S41">
            <v>3760851.5848266664</v>
          </cell>
          <cell r="U41"/>
        </row>
        <row r="42">
          <cell r="G42">
            <v>0</v>
          </cell>
          <cell r="H42">
            <v>0</v>
          </cell>
          <cell r="I42">
            <v>38227.43</v>
          </cell>
          <cell r="J42">
            <v>38227.43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76454.86</v>
          </cell>
          <cell r="U42"/>
        </row>
        <row r="43">
          <cell r="G43">
            <v>0</v>
          </cell>
          <cell r="H43">
            <v>0</v>
          </cell>
          <cell r="I43">
            <v>41897.1</v>
          </cell>
          <cell r="J43">
            <v>44590.06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86487.16</v>
          </cell>
          <cell r="U43"/>
        </row>
        <row r="44">
          <cell r="G44">
            <v>0</v>
          </cell>
          <cell r="H44">
            <v>0</v>
          </cell>
          <cell r="I44">
            <v>80124.53</v>
          </cell>
          <cell r="J44">
            <v>82817.489999999991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162942.01999999999</v>
          </cell>
          <cell r="T44">
            <v>1410770.8150399998</v>
          </cell>
          <cell r="U44"/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4270.5968102270417</v>
          </cell>
          <cell r="L45">
            <v>5737.8937823275701</v>
          </cell>
          <cell r="M45">
            <v>1161.3795444455536</v>
          </cell>
          <cell r="N45">
            <v>6712.4860287275551</v>
          </cell>
          <cell r="O45">
            <v>1297.4402518297211</v>
          </cell>
          <cell r="P45">
            <v>6548.0074892140292</v>
          </cell>
          <cell r="Q45">
            <v>2977.2928718575713</v>
          </cell>
          <cell r="R45">
            <v>4606.5733291505676</v>
          </cell>
          <cell r="S45">
            <v>33311.67010777961</v>
          </cell>
        </row>
        <row r="46">
          <cell r="G46">
            <v>80816.10250198032</v>
          </cell>
          <cell r="H46">
            <v>92233.556905492995</v>
          </cell>
          <cell r="I46">
            <v>0</v>
          </cell>
          <cell r="J46">
            <v>0</v>
          </cell>
          <cell r="K46">
            <v>82074.18426316994</v>
          </cell>
          <cell r="L46">
            <v>85640.178841149987</v>
          </cell>
          <cell r="M46">
            <v>66598.439904922678</v>
          </cell>
          <cell r="N46">
            <v>94080.17727729847</v>
          </cell>
          <cell r="O46">
            <v>48378.590246319334</v>
          </cell>
          <cell r="P46">
            <v>93307.513104787417</v>
          </cell>
          <cell r="Q46">
            <v>75314.164103984862</v>
          </cell>
          <cell r="R46">
            <v>83062.057050042989</v>
          </cell>
          <cell r="S46">
            <v>801504.96419914905</v>
          </cell>
        </row>
        <row r="47">
          <cell r="G47">
            <v>80816.10250198032</v>
          </cell>
          <cell r="H47">
            <v>92233.556905492995</v>
          </cell>
          <cell r="I47">
            <v>0</v>
          </cell>
          <cell r="J47">
            <v>0</v>
          </cell>
          <cell r="K47">
            <v>86344.781073396982</v>
          </cell>
          <cell r="L47">
            <v>91378.07262347755</v>
          </cell>
          <cell r="M47">
            <v>67759.819449368224</v>
          </cell>
          <cell r="N47">
            <v>100792.66330602602</v>
          </cell>
          <cell r="O47">
            <v>49676.030498149055</v>
          </cell>
          <cell r="P47">
            <v>99855.520594001442</v>
          </cell>
          <cell r="Q47">
            <v>78291.456975842433</v>
          </cell>
          <cell r="R47">
            <v>87668.63037919355</v>
          </cell>
          <cell r="S47">
            <v>834816.63430692861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33558.841718663418</v>
          </cell>
          <cell r="L48">
            <v>36671.289841300939</v>
          </cell>
          <cell r="M48">
            <v>26963.532367005726</v>
          </cell>
          <cell r="N48">
            <v>38738.606727603896</v>
          </cell>
          <cell r="O48">
            <v>27252.145988729695</v>
          </cell>
          <cell r="P48">
            <v>38389.712855908554</v>
          </cell>
          <cell r="Q48">
            <v>30815.469728182739</v>
          </cell>
          <cell r="R48">
            <v>30898.22250917249</v>
          </cell>
          <cell r="S48">
            <v>263287.82173656748</v>
          </cell>
        </row>
        <row r="49">
          <cell r="G49">
            <v>1423.1674980196894</v>
          </cell>
          <cell r="H49">
            <v>2886.8330945069938</v>
          </cell>
          <cell r="I49">
            <v>0</v>
          </cell>
          <cell r="J49">
            <v>0</v>
          </cell>
          <cell r="K49">
            <v>19744.942286425969</v>
          </cell>
          <cell r="L49">
            <v>17564.576933037693</v>
          </cell>
          <cell r="M49">
            <v>14841.207833989018</v>
          </cell>
          <cell r="N49">
            <v>18270.106441519736</v>
          </cell>
          <cell r="O49">
            <v>12698.398500923046</v>
          </cell>
          <cell r="P49">
            <v>21988.599955329853</v>
          </cell>
          <cell r="Q49">
            <v>19191.137483591159</v>
          </cell>
          <cell r="R49">
            <v>19321.608250630175</v>
          </cell>
          <cell r="S49">
            <v>147930.57827797331</v>
          </cell>
        </row>
        <row r="50">
          <cell r="G50">
            <v>1423.1674980196894</v>
          </cell>
          <cell r="H50">
            <v>2886.8330945069938</v>
          </cell>
          <cell r="I50">
            <v>0</v>
          </cell>
          <cell r="J50">
            <v>0</v>
          </cell>
          <cell r="K50">
            <v>53303.784005089386</v>
          </cell>
          <cell r="L50">
            <v>54235.866774338632</v>
          </cell>
          <cell r="M50">
            <v>41804.74020099474</v>
          </cell>
          <cell r="N50">
            <v>57008.713169123628</v>
          </cell>
          <cell r="O50">
            <v>39950.544489652741</v>
          </cell>
          <cell r="P50">
            <v>60378.312811238407</v>
          </cell>
          <cell r="Q50">
            <v>50006.607211773895</v>
          </cell>
          <cell r="R50">
            <v>50219.830759802666</v>
          </cell>
          <cell r="S50">
            <v>411218.40001454082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41670.64540151367</v>
          </cell>
          <cell r="L51">
            <v>51452.625215517182</v>
          </cell>
          <cell r="M51">
            <v>20942.53029630371</v>
          </cell>
          <cell r="N51">
            <v>57949.906858183647</v>
          </cell>
          <cell r="O51">
            <v>21849.601678864768</v>
          </cell>
          <cell r="P51">
            <v>56853.383261426847</v>
          </cell>
          <cell r="Q51">
            <v>33048.619145717064</v>
          </cell>
          <cell r="R51">
            <v>43910.488861003803</v>
          </cell>
          <cell r="S51">
            <v>327677.80071853066</v>
          </cell>
          <cell r="U51"/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U52"/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41670.64540151367</v>
          </cell>
          <cell r="L53">
            <v>51452.625215517182</v>
          </cell>
          <cell r="M53">
            <v>20942.53029630371</v>
          </cell>
          <cell r="N53">
            <v>57949.906858183647</v>
          </cell>
          <cell r="O53">
            <v>21849.601678864768</v>
          </cell>
          <cell r="P53">
            <v>56853.383261426847</v>
          </cell>
          <cell r="Q53">
            <v>33048.619145717064</v>
          </cell>
          <cell r="R53">
            <v>43910.488861003803</v>
          </cell>
          <cell r="S53">
            <v>327677.80071853066</v>
          </cell>
          <cell r="U53"/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79500.083930404129</v>
          </cell>
          <cell r="L54">
            <v>93861.808839145699</v>
          </cell>
          <cell r="M54">
            <v>49067.44220775499</v>
          </cell>
          <cell r="N54">
            <v>103400.99961451509</v>
          </cell>
          <cell r="O54">
            <v>50399.187919424185</v>
          </cell>
          <cell r="P54">
            <v>101791.10360654943</v>
          </cell>
          <cell r="Q54">
            <v>66841.381745757375</v>
          </cell>
          <cell r="R54">
            <v>79415.284699326861</v>
          </cell>
          <cell r="S54">
            <v>624277.29256287776</v>
          </cell>
        </row>
        <row r="55">
          <cell r="G55">
            <v>82239.27</v>
          </cell>
          <cell r="H55">
            <v>95120.389999999985</v>
          </cell>
          <cell r="I55">
            <v>0</v>
          </cell>
          <cell r="J55">
            <v>0</v>
          </cell>
          <cell r="K55">
            <v>101819.12654959591</v>
          </cell>
          <cell r="L55">
            <v>103204.75577418768</v>
          </cell>
          <cell r="M55">
            <v>81439.647738911692</v>
          </cell>
          <cell r="N55">
            <v>112350.2837188182</v>
          </cell>
          <cell r="O55">
            <v>61076.98874724238</v>
          </cell>
          <cell r="P55">
            <v>115296.11306011726</v>
          </cell>
          <cell r="Q55">
            <v>94505.301587576017</v>
          </cell>
          <cell r="R55">
            <v>102383.66530067316</v>
          </cell>
          <cell r="S55">
            <v>949435.54247712228</v>
          </cell>
        </row>
        <row r="56">
          <cell r="G56">
            <v>0</v>
          </cell>
          <cell r="H56">
            <v>0</v>
          </cell>
          <cell r="I56">
            <v>-80124.53</v>
          </cell>
          <cell r="J56">
            <v>-82817.489999999991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-162942.01999999999</v>
          </cell>
        </row>
        <row r="57">
          <cell r="G57">
            <v>82239.27</v>
          </cell>
          <cell r="H57">
            <v>95120.389999999985</v>
          </cell>
          <cell r="I57">
            <v>-80124.53</v>
          </cell>
          <cell r="J57">
            <v>-82817.489999999991</v>
          </cell>
          <cell r="K57">
            <v>181319.21048000004</v>
          </cell>
          <cell r="L57">
            <v>197066.56461333338</v>
          </cell>
          <cell r="M57">
            <v>130507.08994666667</v>
          </cell>
          <cell r="N57">
            <v>215751.2833333333</v>
          </cell>
          <cell r="O57">
            <v>111476.17666666656</v>
          </cell>
          <cell r="P57">
            <v>217087.21666666667</v>
          </cell>
          <cell r="Q57">
            <v>161346.68333333341</v>
          </cell>
          <cell r="R57">
            <v>181798.95</v>
          </cell>
          <cell r="S57">
            <v>1410770.8150399998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793.99831909725128</v>
          </cell>
          <cell r="L58">
            <v>809.61912190056853</v>
          </cell>
          <cell r="M58">
            <v>807.26683749400922</v>
          </cell>
          <cell r="N58">
            <v>807.81218984994439</v>
          </cell>
          <cell r="O58">
            <v>2348.5661753335808</v>
          </cell>
          <cell r="P58">
            <v>2134.3795434330341</v>
          </cell>
          <cell r="Q58">
            <v>2140.1315586547666</v>
          </cell>
          <cell r="R58">
            <v>2179.8370406046706</v>
          </cell>
          <cell r="S58">
            <v>12021.610786367826</v>
          </cell>
          <cell r="U58"/>
        </row>
        <row r="59">
          <cell r="G59">
            <v>11348.805700137051</v>
          </cell>
          <cell r="H59">
            <v>11335.904110580386</v>
          </cell>
          <cell r="I59">
            <v>0</v>
          </cell>
          <cell r="J59">
            <v>0</v>
          </cell>
          <cell r="K59">
            <v>3989.6250084675708</v>
          </cell>
          <cell r="L59">
            <v>3904.9647623159358</v>
          </cell>
          <cell r="M59">
            <v>3996.1176213839808</v>
          </cell>
          <cell r="N59">
            <v>3985.7779835959832</v>
          </cell>
          <cell r="O59">
            <v>8876.2516608839796</v>
          </cell>
          <cell r="P59">
            <v>10735.84286591085</v>
          </cell>
          <cell r="Q59">
            <v>10800.357659420457</v>
          </cell>
          <cell r="R59">
            <v>10909.401812991442</v>
          </cell>
          <cell r="S59">
            <v>79883.049185687647</v>
          </cell>
          <cell r="U59"/>
        </row>
        <row r="60">
          <cell r="G60">
            <v>11348.805700137051</v>
          </cell>
          <cell r="H60">
            <v>11335.904110580386</v>
          </cell>
          <cell r="I60">
            <v>0</v>
          </cell>
          <cell r="J60">
            <v>0</v>
          </cell>
          <cell r="K60">
            <v>4783.6233275648219</v>
          </cell>
          <cell r="L60">
            <v>4714.583884216504</v>
          </cell>
          <cell r="M60">
            <v>4803.3844588779903</v>
          </cell>
          <cell r="N60">
            <v>4793.5901734459276</v>
          </cell>
          <cell r="O60">
            <v>11224.81783621756</v>
          </cell>
          <cell r="P60">
            <v>12870.222409343885</v>
          </cell>
          <cell r="Q60">
            <v>12940.489218075223</v>
          </cell>
          <cell r="R60">
            <v>13089.238853596113</v>
          </cell>
          <cell r="S60">
            <v>91904.659972055451</v>
          </cell>
          <cell r="U60"/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1684.2388586911393</v>
          </cell>
          <cell r="L61">
            <v>1717.3738949405997</v>
          </cell>
          <cell r="M61">
            <v>1712.3842007448677</v>
          </cell>
          <cell r="N61">
            <v>1713.5410087726093</v>
          </cell>
          <cell r="O61">
            <v>4981.8070385863848</v>
          </cell>
          <cell r="P61">
            <v>4527.4717587973446</v>
          </cell>
          <cell r="Q61">
            <v>4539.67300320708</v>
          </cell>
          <cell r="R61">
            <v>4168.7732009866895</v>
          </cell>
          <cell r="S61">
            <v>25045.262964726713</v>
          </cell>
          <cell r="U61"/>
        </row>
        <row r="62">
          <cell r="G62">
            <v>907.01685541850577</v>
          </cell>
          <cell r="H62">
            <v>919.91844497516956</v>
          </cell>
          <cell r="I62">
            <v>0</v>
          </cell>
          <cell r="J62">
            <v>0</v>
          </cell>
          <cell r="K62">
            <v>564.08268642903101</v>
          </cell>
          <cell r="L62">
            <v>495.84840817243872</v>
          </cell>
          <cell r="M62">
            <v>483.27497930597229</v>
          </cell>
          <cell r="N62">
            <v>488.27677433739075</v>
          </cell>
          <cell r="O62">
            <v>1350.4231785277429</v>
          </cell>
          <cell r="P62">
            <v>1587.2647645274333</v>
          </cell>
          <cell r="Q62">
            <v>1570.6166099081431</v>
          </cell>
          <cell r="R62">
            <v>1528.0635636082777</v>
          </cell>
          <cell r="S62">
            <v>9894.7862652101048</v>
          </cell>
          <cell r="U62"/>
        </row>
        <row r="63">
          <cell r="G63">
            <v>907.01685541850577</v>
          </cell>
          <cell r="H63">
            <v>919.91844497516956</v>
          </cell>
          <cell r="I63">
            <v>0</v>
          </cell>
          <cell r="J63">
            <v>0</v>
          </cell>
          <cell r="K63">
            <v>2248.3215451201704</v>
          </cell>
          <cell r="L63">
            <v>2213.2223031130384</v>
          </cell>
          <cell r="M63">
            <v>2195.65918005084</v>
          </cell>
          <cell r="N63">
            <v>2201.8177831100002</v>
          </cell>
          <cell r="O63">
            <v>6332.2302171141273</v>
          </cell>
          <cell r="P63">
            <v>6114.7365233247783</v>
          </cell>
          <cell r="Q63">
            <v>6110.2896131152229</v>
          </cell>
          <cell r="R63">
            <v>5696.8367645949675</v>
          </cell>
          <cell r="S63">
            <v>34940.04922993682</v>
          </cell>
          <cell r="U63"/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5293.3221273150093</v>
          </cell>
          <cell r="L64">
            <v>5397.4608126704561</v>
          </cell>
          <cell r="M64">
            <v>5381.7789166267285</v>
          </cell>
          <cell r="N64">
            <v>5385.4145989996296</v>
          </cell>
          <cell r="O64">
            <v>15657.107835557206</v>
          </cell>
          <cell r="P64">
            <v>14229.196956220227</v>
          </cell>
          <cell r="Q64">
            <v>14267.543724365112</v>
          </cell>
          <cell r="R64">
            <v>14532.246937364471</v>
          </cell>
          <cell r="S64">
            <v>80144.071909118837</v>
          </cell>
          <cell r="U64"/>
        </row>
        <row r="65"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>
            <v>0</v>
          </cell>
          <cell r="U65"/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5293.3221273150093</v>
          </cell>
          <cell r="L66">
            <v>5397.4608126704561</v>
          </cell>
          <cell r="M66">
            <v>5381.7789166267285</v>
          </cell>
          <cell r="N66">
            <v>5385.4145989996296</v>
          </cell>
          <cell r="O66">
            <v>15657.107835557206</v>
          </cell>
          <cell r="P66">
            <v>14229.196956220227</v>
          </cell>
          <cell r="Q66">
            <v>14267.543724365112</v>
          </cell>
          <cell r="R66">
            <v>14532.246937364471</v>
          </cell>
          <cell r="S66">
            <v>80144.071909118837</v>
          </cell>
          <cell r="U66"/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7771.5593051033993</v>
          </cell>
          <cell r="L67">
            <v>7924.4538295116245</v>
          </cell>
          <cell r="M67">
            <v>7901.4299548656054</v>
          </cell>
          <cell r="N67">
            <v>7906.767797622183</v>
          </cell>
          <cell r="O67">
            <v>22987.481049477174</v>
          </cell>
          <cell r="P67">
            <v>20891.048258450606</v>
          </cell>
          <cell r="Q67">
            <v>20947.348286226959</v>
          </cell>
          <cell r="R67">
            <v>20880.85717895583</v>
          </cell>
          <cell r="S67">
            <v>117210.94566021339</v>
          </cell>
          <cell r="U67"/>
        </row>
        <row r="68">
          <cell r="G68">
            <v>12255.822555555556</v>
          </cell>
          <cell r="H68">
            <v>12255.822555555556</v>
          </cell>
          <cell r="I68">
            <v>0</v>
          </cell>
          <cell r="J68">
            <v>0</v>
          </cell>
          <cell r="K68">
            <v>4553.7076948966014</v>
          </cell>
          <cell r="L68">
            <v>4400.8131704883745</v>
          </cell>
          <cell r="M68">
            <v>4479.3926006899528</v>
          </cell>
          <cell r="N68">
            <v>4474.0547579333743</v>
          </cell>
          <cell r="O68">
            <v>10226.674839411722</v>
          </cell>
          <cell r="P68">
            <v>12323.107630438284</v>
          </cell>
          <cell r="Q68">
            <v>12370.974269328601</v>
          </cell>
          <cell r="R68">
            <v>12437.465376599719</v>
          </cell>
          <cell r="S68">
            <v>89777.83545089775</v>
          </cell>
          <cell r="U68"/>
        </row>
        <row r="69">
          <cell r="G69">
            <v>0</v>
          </cell>
          <cell r="H69">
            <v>0</v>
          </cell>
          <cell r="I69">
            <v>12255.822555555556</v>
          </cell>
          <cell r="J69">
            <v>12255.822555555556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24511.645111111113</v>
          </cell>
          <cell r="U69"/>
        </row>
        <row r="70">
          <cell r="G70">
            <v>12255.822555555556</v>
          </cell>
          <cell r="H70">
            <v>12255.822555555556</v>
          </cell>
          <cell r="I70">
            <v>12255.822555555556</v>
          </cell>
          <cell r="J70">
            <v>12255.822555555556</v>
          </cell>
          <cell r="K70">
            <v>12325.267</v>
          </cell>
          <cell r="L70">
            <v>12325.267</v>
          </cell>
          <cell r="M70">
            <v>12380.822555555558</v>
          </cell>
          <cell r="N70">
            <v>12380.822555555558</v>
          </cell>
          <cell r="O70">
            <v>33214.155888888898</v>
          </cell>
          <cell r="P70">
            <v>33214.15588888889</v>
          </cell>
          <cell r="Q70">
            <v>33318.322555555562</v>
          </cell>
          <cell r="R70">
            <v>33318.322555555547</v>
          </cell>
          <cell r="S70">
            <v>231500.42622222225</v>
          </cell>
          <cell r="T70">
            <v>1179270.3888177776</v>
          </cell>
          <cell r="U70"/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615.80834369209754</v>
          </cell>
          <cell r="L71">
            <v>614.32687455750545</v>
          </cell>
          <cell r="M71">
            <v>602.79821088901463</v>
          </cell>
          <cell r="N71">
            <v>602.25936241054126</v>
          </cell>
          <cell r="O71">
            <v>702.06304359986075</v>
          </cell>
          <cell r="P71">
            <v>587.64650140677611</v>
          </cell>
          <cell r="Q71">
            <v>581.2421254163105</v>
          </cell>
          <cell r="R71">
            <v>625.09061859389863</v>
          </cell>
          <cell r="S71">
            <v>4931.2350805660044</v>
          </cell>
          <cell r="U71"/>
        </row>
        <row r="72">
          <cell r="G72">
            <v>4049.524864517994</v>
          </cell>
          <cell r="H72">
            <v>4457.2279153007412</v>
          </cell>
          <cell r="I72">
            <v>0</v>
          </cell>
          <cell r="J72">
            <v>0</v>
          </cell>
          <cell r="K72">
            <v>4077.8682477786269</v>
          </cell>
          <cell r="L72">
            <v>3901.3560666562889</v>
          </cell>
          <cell r="M72">
            <v>3950.4932719987823</v>
          </cell>
          <cell r="N72">
            <v>3939.0036974691434</v>
          </cell>
          <cell r="O72">
            <v>3457.6749811491859</v>
          </cell>
          <cell r="P72">
            <v>3890.6730265137667</v>
          </cell>
          <cell r="Q72">
            <v>3856.6744960534879</v>
          </cell>
          <cell r="R72">
            <v>4116.7935564485215</v>
          </cell>
          <cell r="S72">
            <v>39697.290123886538</v>
          </cell>
          <cell r="U72"/>
        </row>
        <row r="73">
          <cell r="G73">
            <v>4049.524864517994</v>
          </cell>
          <cell r="H73">
            <v>4457.2279153007412</v>
          </cell>
          <cell r="I73">
            <v>0</v>
          </cell>
          <cell r="J73">
            <v>0</v>
          </cell>
          <cell r="K73">
            <v>4693.6765914707248</v>
          </cell>
          <cell r="L73">
            <v>4515.682941213794</v>
          </cell>
          <cell r="M73">
            <v>4553.2914828877965</v>
          </cell>
          <cell r="N73">
            <v>4541.263059879685</v>
          </cell>
          <cell r="O73">
            <v>4159.7380247490464</v>
          </cell>
          <cell r="P73">
            <v>4478.3195279205429</v>
          </cell>
          <cell r="Q73">
            <v>4437.916621469798</v>
          </cell>
          <cell r="R73">
            <v>4741.8841750424199</v>
          </cell>
          <cell r="S73">
            <v>44628.525204452548</v>
          </cell>
          <cell r="U73"/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1703.8175517172663</v>
          </cell>
          <cell r="L74">
            <v>1699.7186252579202</v>
          </cell>
          <cell r="M74">
            <v>1667.8211368470763</v>
          </cell>
          <cell r="N74">
            <v>1666.3302517287702</v>
          </cell>
          <cell r="O74">
            <v>1942.4669190509978</v>
          </cell>
          <cell r="P74">
            <v>1625.8994110068904</v>
          </cell>
          <cell r="Q74">
            <v>1608.1797936419657</v>
          </cell>
          <cell r="R74">
            <v>1559.2675470142665</v>
          </cell>
          <cell r="S74">
            <v>13473.501236265154</v>
          </cell>
          <cell r="U74"/>
        </row>
        <row r="75">
          <cell r="G75">
            <v>212.39220979962323</v>
          </cell>
          <cell r="H75">
            <v>237.3708152975081</v>
          </cell>
          <cell r="I75">
            <v>0</v>
          </cell>
          <cell r="J75">
            <v>0</v>
          </cell>
          <cell r="K75">
            <v>708.65674637635095</v>
          </cell>
          <cell r="L75">
            <v>603.68775400053096</v>
          </cell>
          <cell r="M75">
            <v>585.56293243576022</v>
          </cell>
          <cell r="N75">
            <v>589.5859951071152</v>
          </cell>
          <cell r="O75">
            <v>624.80065107440134</v>
          </cell>
          <cell r="P75">
            <v>702.09717405735341</v>
          </cell>
          <cell r="Q75">
            <v>687.03253177485544</v>
          </cell>
          <cell r="R75">
            <v>703.25275115228089</v>
          </cell>
          <cell r="S75">
            <v>5654.4395610757801</v>
          </cell>
          <cell r="U75"/>
        </row>
        <row r="76">
          <cell r="G76">
            <v>212.39220979962323</v>
          </cell>
          <cell r="H76">
            <v>237.3708152975081</v>
          </cell>
          <cell r="I76">
            <v>0</v>
          </cell>
          <cell r="J76">
            <v>0</v>
          </cell>
          <cell r="K76">
            <v>2412.4742980936171</v>
          </cell>
          <cell r="L76">
            <v>2303.4063792584511</v>
          </cell>
          <cell r="M76">
            <v>2253.3840692828367</v>
          </cell>
          <cell r="N76">
            <v>2255.9162468358854</v>
          </cell>
          <cell r="O76">
            <v>2567.2675701253993</v>
          </cell>
          <cell r="P76">
            <v>2327.9965850642438</v>
          </cell>
          <cell r="Q76">
            <v>2295.2123254168209</v>
          </cell>
          <cell r="R76">
            <v>2262.5202981665475</v>
          </cell>
          <cell r="S76">
            <v>19127.940797340932</v>
          </cell>
          <cell r="U76"/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3212.9130975239877</v>
          </cell>
          <cell r="L77">
            <v>3205.183693343507</v>
          </cell>
          <cell r="M77">
            <v>3145.0341437687725</v>
          </cell>
          <cell r="N77">
            <v>3142.222760402824</v>
          </cell>
          <cell r="O77">
            <v>3662.9376187818816</v>
          </cell>
          <cell r="P77">
            <v>3065.9817464701359</v>
          </cell>
          <cell r="Q77">
            <v>3032.5676108677067</v>
          </cell>
          <cell r="R77">
            <v>3261.3423578812099</v>
          </cell>
          <cell r="S77">
            <v>25728.183029040028</v>
          </cell>
          <cell r="U77"/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U78"/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3212.9130975239877</v>
          </cell>
          <cell r="L79">
            <v>3205.183693343507</v>
          </cell>
          <cell r="M79">
            <v>3145.0341437687725</v>
          </cell>
          <cell r="N79">
            <v>3142.222760402824</v>
          </cell>
          <cell r="O79">
            <v>3662.9376187818816</v>
          </cell>
          <cell r="P79">
            <v>3065.9817464701359</v>
          </cell>
          <cell r="Q79">
            <v>3032.5676108677067</v>
          </cell>
          <cell r="R79">
            <v>3261.3423578812099</v>
          </cell>
          <cell r="S79">
            <v>25728.183029040028</v>
          </cell>
          <cell r="U79"/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5532.5389929333514</v>
          </cell>
          <cell r="L80">
            <v>5519.2291931589325</v>
          </cell>
          <cell r="M80">
            <v>5415.6534915048633</v>
          </cell>
          <cell r="N80">
            <v>5410.8123745421353</v>
          </cell>
          <cell r="O80">
            <v>6307.4675814327402</v>
          </cell>
          <cell r="P80">
            <v>5279.5276588838024</v>
          </cell>
          <cell r="Q80">
            <v>5221.9895299259824</v>
          </cell>
          <cell r="R80">
            <v>5445.700523489375</v>
          </cell>
          <cell r="S80">
            <v>44132.919345871182</v>
          </cell>
          <cell r="U80"/>
        </row>
        <row r="81">
          <cell r="G81">
            <v>4261.9170743176173</v>
          </cell>
          <cell r="H81">
            <v>4694.5987305982489</v>
          </cell>
          <cell r="I81">
            <v>0</v>
          </cell>
          <cell r="J81">
            <v>0</v>
          </cell>
          <cell r="K81">
            <v>4786.5249941549782</v>
          </cell>
          <cell r="L81">
            <v>4505.0438206568197</v>
          </cell>
          <cell r="M81">
            <v>4536.0562044345425</v>
          </cell>
          <cell r="N81">
            <v>4528.589692576259</v>
          </cell>
          <cell r="O81">
            <v>4082.4756322235871</v>
          </cell>
          <cell r="P81">
            <v>4592.7702005711199</v>
          </cell>
          <cell r="Q81">
            <v>4543.7070278283436</v>
          </cell>
          <cell r="R81">
            <v>4820.0463076008027</v>
          </cell>
          <cell r="S81">
            <v>45351.729684962316</v>
          </cell>
          <cell r="U81"/>
        </row>
        <row r="82">
          <cell r="G82">
            <v>4261.9170743176173</v>
          </cell>
          <cell r="H82">
            <v>4694.5987305982489</v>
          </cell>
          <cell r="I82">
            <v>0</v>
          </cell>
          <cell r="J82">
            <v>0</v>
          </cell>
          <cell r="K82">
            <v>10319.06398708833</v>
          </cell>
          <cell r="L82">
            <v>10024.273013815753</v>
          </cell>
          <cell r="M82">
            <v>9951.7096959394057</v>
          </cell>
          <cell r="N82">
            <v>9939.4020671183935</v>
          </cell>
          <cell r="O82">
            <v>10389.943213656326</v>
          </cell>
          <cell r="P82">
            <v>9872.2978594549222</v>
          </cell>
          <cell r="Q82">
            <v>9765.6965577543269</v>
          </cell>
          <cell r="R82">
            <v>10265.746831090179</v>
          </cell>
          <cell r="S82">
            <v>89484.649030833505</v>
          </cell>
          <cell r="U82"/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2860.7901474376931</v>
          </cell>
          <cell r="L83">
            <v>4313.9477858694963</v>
          </cell>
          <cell r="M83">
            <v>-248.68550393747023</v>
          </cell>
          <cell r="N83">
            <v>5302.4144764670691</v>
          </cell>
          <cell r="O83">
            <v>-1753.1889671037204</v>
          </cell>
          <cell r="P83">
            <v>3825.9814443742189</v>
          </cell>
          <cell r="Q83">
            <v>255.91918778649415</v>
          </cell>
          <cell r="R83">
            <v>1801.6456699519983</v>
          </cell>
          <cell r="S83">
            <v>16358.824240845777</v>
          </cell>
        </row>
        <row r="84">
          <cell r="G84">
            <v>65417.771937325277</v>
          </cell>
          <cell r="H84">
            <v>76440.424879611863</v>
          </cell>
          <cell r="I84">
            <v>0</v>
          </cell>
          <cell r="J84">
            <v>0</v>
          </cell>
          <cell r="K84">
            <v>74006.691006923749</v>
          </cell>
          <cell r="L84">
            <v>77833.858012177763</v>
          </cell>
          <cell r="M84">
            <v>58651.829011539914</v>
          </cell>
          <cell r="N84">
            <v>86155.395596233342</v>
          </cell>
          <cell r="O84">
            <v>36044.663604286172</v>
          </cell>
          <cell r="P84">
            <v>78680.997212362796</v>
          </cell>
          <cell r="Q84">
            <v>60657.13194851092</v>
          </cell>
          <cell r="R84">
            <v>68035.861680603019</v>
          </cell>
          <cell r="S84">
            <v>681924.62488957471</v>
          </cell>
        </row>
        <row r="85">
          <cell r="G85">
            <v>65417.771937325277</v>
          </cell>
          <cell r="H85">
            <v>76440.424879611863</v>
          </cell>
          <cell r="I85">
            <v>0</v>
          </cell>
          <cell r="J85">
            <v>0</v>
          </cell>
          <cell r="K85">
            <v>76867.481154361449</v>
          </cell>
          <cell r="L85">
            <v>82147.805798047266</v>
          </cell>
          <cell r="M85">
            <v>58403.143507602443</v>
          </cell>
          <cell r="N85">
            <v>91457.810072700406</v>
          </cell>
          <cell r="O85">
            <v>34291.474637182451</v>
          </cell>
          <cell r="P85">
            <v>82506.978656737017</v>
          </cell>
          <cell r="Q85">
            <v>60913.051136297414</v>
          </cell>
          <cell r="R85">
            <v>69837.50735055501</v>
          </cell>
          <cell r="S85">
            <v>698283.44913042057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30170.78530825501</v>
          </cell>
          <cell r="L86">
            <v>33254.197321102423</v>
          </cell>
          <cell r="M86">
            <v>23583.32702941378</v>
          </cell>
          <cell r="N86">
            <v>35358.73546710251</v>
          </cell>
          <cell r="O86">
            <v>20327.872031092313</v>
          </cell>
          <cell r="P86">
            <v>32236.341686104322</v>
          </cell>
          <cell r="Q86">
            <v>24667.616931333694</v>
          </cell>
          <cell r="R86">
            <v>25170.181761171534</v>
          </cell>
          <cell r="S86">
            <v>224769.05753557559</v>
          </cell>
        </row>
        <row r="87">
          <cell r="G87">
            <v>303.75843280156045</v>
          </cell>
          <cell r="H87">
            <v>1729.5438342343159</v>
          </cell>
          <cell r="I87">
            <v>0</v>
          </cell>
          <cell r="J87">
            <v>0</v>
          </cell>
          <cell r="K87">
            <v>18472.202853620587</v>
          </cell>
          <cell r="L87">
            <v>16465.040770864725</v>
          </cell>
          <cell r="M87">
            <v>13772.369922247286</v>
          </cell>
          <cell r="N87">
            <v>17192.24367207523</v>
          </cell>
          <cell r="O87">
            <v>10723.174671320901</v>
          </cell>
          <cell r="P87">
            <v>19699.238016745065</v>
          </cell>
          <cell r="Q87">
            <v>16933.488341908163</v>
          </cell>
          <cell r="R87">
            <v>17090.291935869616</v>
          </cell>
          <cell r="S87">
            <v>132381.35245168745</v>
          </cell>
        </row>
        <row r="88">
          <cell r="G88">
            <v>303.75843280156045</v>
          </cell>
          <cell r="H88">
            <v>1729.5438342343159</v>
          </cell>
          <cell r="I88">
            <v>0</v>
          </cell>
          <cell r="J88">
            <v>0</v>
          </cell>
          <cell r="K88">
            <v>48642.988161875597</v>
          </cell>
          <cell r="L88">
            <v>49719.238091967149</v>
          </cell>
          <cell r="M88">
            <v>37355.69695166107</v>
          </cell>
          <cell r="N88">
            <v>52550.97913917774</v>
          </cell>
          <cell r="O88">
            <v>31051.046702413216</v>
          </cell>
          <cell r="P88">
            <v>51935.579702849383</v>
          </cell>
          <cell r="Q88">
            <v>41601.105273241861</v>
          </cell>
          <cell r="R88">
            <v>42260.473697041147</v>
          </cell>
          <cell r="S88">
            <v>357150.40998726303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33164.410176674668</v>
          </cell>
          <cell r="L89">
            <v>42849.980709503223</v>
          </cell>
          <cell r="M89">
            <v>12415.717235908209</v>
          </cell>
          <cell r="N89">
            <v>49422.269498781192</v>
          </cell>
          <cell r="O89">
            <v>2529.5562245256806</v>
          </cell>
          <cell r="P89">
            <v>39558.204558736485</v>
          </cell>
          <cell r="Q89">
            <v>15748.507810484247</v>
          </cell>
          <cell r="R89">
            <v>26116.899565758122</v>
          </cell>
          <cell r="S89">
            <v>221805.54578037179</v>
          </cell>
          <cell r="U89"/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U90"/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33164.410176674668</v>
          </cell>
          <cell r="L91">
            <v>42849.980709503223</v>
          </cell>
          <cell r="M91">
            <v>12415.717235908209</v>
          </cell>
          <cell r="N91">
            <v>49422.269498781192</v>
          </cell>
          <cell r="O91">
            <v>2529.5562245256806</v>
          </cell>
          <cell r="P91">
            <v>39558.204558736485</v>
          </cell>
          <cell r="Q91">
            <v>15748.507810484247</v>
          </cell>
          <cell r="R91">
            <v>26116.899565758122</v>
          </cell>
          <cell r="S91">
            <v>221805.54578037179</v>
          </cell>
          <cell r="U91"/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66195.985632367374</v>
          </cell>
          <cell r="L92">
            <v>80418.125816475134</v>
          </cell>
          <cell r="M92">
            <v>35750.358761384516</v>
          </cell>
          <cell r="N92">
            <v>90083.419442350772</v>
          </cell>
          <cell r="O92">
            <v>21104.239288514273</v>
          </cell>
          <cell r="P92">
            <v>75620.527689215029</v>
          </cell>
          <cell r="Q92">
            <v>40672.043929604435</v>
          </cell>
          <cell r="R92">
            <v>53088.726996881654</v>
          </cell>
          <cell r="S92">
            <v>462933.42755679321</v>
          </cell>
        </row>
        <row r="93">
          <cell r="G93">
            <v>65721.530370126842</v>
          </cell>
          <cell r="H93">
            <v>78169.968713846174</v>
          </cell>
          <cell r="I93">
            <v>0</v>
          </cell>
          <cell r="J93">
            <v>0</v>
          </cell>
          <cell r="K93">
            <v>92478.89386054434</v>
          </cell>
          <cell r="L93">
            <v>94298.898783042489</v>
          </cell>
          <cell r="M93">
            <v>72424.198933787207</v>
          </cell>
          <cell r="N93">
            <v>103347.63926830857</v>
          </cell>
          <cell r="O93">
            <v>46767.838275607071</v>
          </cell>
          <cell r="P93">
            <v>98380.235229107857</v>
          </cell>
          <cell r="Q93">
            <v>77590.620290419087</v>
          </cell>
          <cell r="R93">
            <v>85126.153616472642</v>
          </cell>
          <cell r="S93">
            <v>814305.97734126227</v>
          </cell>
          <cell r="U93">
            <v>-602519.07835086714</v>
          </cell>
        </row>
        <row r="94">
          <cell r="G94">
            <v>0</v>
          </cell>
          <cell r="H94">
            <v>0</v>
          </cell>
          <cell r="I94">
            <v>-92380.352555555553</v>
          </cell>
          <cell r="J94">
            <v>-95073.312555555545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-187453.6651111111</v>
          </cell>
        </row>
        <row r="95">
          <cell r="G95">
            <v>65721.530370126842</v>
          </cell>
          <cell r="H95">
            <v>78169.968713846174</v>
          </cell>
          <cell r="I95">
            <v>-92380.352555555553</v>
          </cell>
          <cell r="J95">
            <v>-95073.312555555545</v>
          </cell>
          <cell r="K95">
            <v>158674.87949291171</v>
          </cell>
          <cell r="L95">
            <v>174717.02459951764</v>
          </cell>
          <cell r="M95">
            <v>108174.55769517172</v>
          </cell>
          <cell r="N95">
            <v>193431.05871065933</v>
          </cell>
          <cell r="O95">
            <v>67872.07756412134</v>
          </cell>
          <cell r="P95">
            <v>174000.76291832287</v>
          </cell>
          <cell r="Q95">
            <v>118262.66422002352</v>
          </cell>
          <cell r="R95">
            <v>138214.8806133543</v>
          </cell>
          <cell r="S95">
            <v>1089785.7397869446</v>
          </cell>
        </row>
        <row r="97">
          <cell r="R97">
            <v>-4820.0463076007873</v>
          </cell>
          <cell r="T97"/>
        </row>
        <row r="98">
          <cell r="T98"/>
        </row>
        <row r="99">
          <cell r="T99"/>
        </row>
        <row r="100">
          <cell r="T100"/>
        </row>
        <row r="101">
          <cell r="T101"/>
        </row>
        <row r="102">
          <cell r="T102"/>
        </row>
        <row r="103">
          <cell r="T103"/>
        </row>
        <row r="104">
          <cell r="T104"/>
        </row>
        <row r="105">
          <cell r="T105"/>
        </row>
        <row r="106">
          <cell r="T106"/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U5"/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3300</v>
          </cell>
          <cell r="L6">
            <v>3300</v>
          </cell>
          <cell r="M6">
            <v>3300</v>
          </cell>
          <cell r="N6">
            <v>3300</v>
          </cell>
          <cell r="O6">
            <v>3300</v>
          </cell>
          <cell r="P6">
            <v>3300</v>
          </cell>
          <cell r="Q6">
            <v>3300</v>
          </cell>
          <cell r="R6">
            <v>3300</v>
          </cell>
          <cell r="S6">
            <v>26400</v>
          </cell>
          <cell r="U6"/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U7"/>
        </row>
        <row r="8">
          <cell r="G8">
            <v>11456.2</v>
          </cell>
          <cell r="H8">
            <v>10301.799999999999</v>
          </cell>
          <cell r="I8">
            <v>0</v>
          </cell>
          <cell r="J8">
            <v>0</v>
          </cell>
          <cell r="K8">
            <v>14248</v>
          </cell>
          <cell r="L8">
            <v>13640</v>
          </cell>
          <cell r="M8">
            <v>14225.466666666667</v>
          </cell>
          <cell r="N8">
            <v>14230.666666666666</v>
          </cell>
          <cell r="O8">
            <v>10363.866666666667</v>
          </cell>
          <cell r="P8">
            <v>14211.6</v>
          </cell>
          <cell r="Q8">
            <v>14211.6</v>
          </cell>
          <cell r="R8">
            <v>14130.133333333333</v>
          </cell>
          <cell r="S8">
            <v>131019.33333333334</v>
          </cell>
          <cell r="U8"/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1328</v>
          </cell>
          <cell r="L9">
            <v>1328</v>
          </cell>
          <cell r="M9">
            <v>1217.3333333333333</v>
          </cell>
          <cell r="N9">
            <v>1328</v>
          </cell>
          <cell r="O9">
            <v>1328</v>
          </cell>
          <cell r="P9">
            <v>1438.6666666666667</v>
          </cell>
          <cell r="Q9">
            <v>1549.3333333333333</v>
          </cell>
          <cell r="R9">
            <v>1549.3333333333333</v>
          </cell>
          <cell r="S9">
            <v>11066.666666666668</v>
          </cell>
          <cell r="U9"/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/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/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1005.6</v>
          </cell>
          <cell r="L12">
            <v>948.6</v>
          </cell>
          <cell r="M12">
            <v>892.8</v>
          </cell>
          <cell r="N12">
            <v>723.66666666666663</v>
          </cell>
          <cell r="O12">
            <v>780.26666666666665</v>
          </cell>
          <cell r="P12">
            <v>948.6</v>
          </cell>
          <cell r="Q12">
            <v>892.8</v>
          </cell>
          <cell r="R12">
            <v>836</v>
          </cell>
          <cell r="S12">
            <v>7028.3333333333339</v>
          </cell>
          <cell r="U12"/>
        </row>
        <row r="13">
          <cell r="G13">
            <v>11456.2</v>
          </cell>
          <cell r="H13">
            <v>10301.799999999999</v>
          </cell>
          <cell r="I13">
            <v>0</v>
          </cell>
          <cell r="J13">
            <v>0</v>
          </cell>
          <cell r="K13">
            <v>16581.599999999999</v>
          </cell>
          <cell r="L13">
            <v>15916.6</v>
          </cell>
          <cell r="M13">
            <v>16335.6</v>
          </cell>
          <cell r="N13">
            <v>16282.333333333332</v>
          </cell>
          <cell r="O13">
            <v>12472.133333333333</v>
          </cell>
          <cell r="P13">
            <v>16598.866666666665</v>
          </cell>
          <cell r="Q13">
            <v>16653.733333333334</v>
          </cell>
          <cell r="R13">
            <v>16515.466666666667</v>
          </cell>
          <cell r="S13">
            <v>149114.33333333334</v>
          </cell>
          <cell r="U13"/>
        </row>
        <row r="14">
          <cell r="G14">
            <v>11456.2</v>
          </cell>
          <cell r="H14">
            <v>10301.799999999999</v>
          </cell>
          <cell r="I14">
            <v>0</v>
          </cell>
          <cell r="J14">
            <v>0</v>
          </cell>
          <cell r="K14">
            <v>19881.599999999999</v>
          </cell>
          <cell r="L14">
            <v>19216.599999999999</v>
          </cell>
          <cell r="M14">
            <v>19635.599999999999</v>
          </cell>
          <cell r="N14">
            <v>19582.333333333332</v>
          </cell>
          <cell r="O14">
            <v>15772.133333333333</v>
          </cell>
          <cell r="P14">
            <v>19898.866666666665</v>
          </cell>
          <cell r="Q14">
            <v>19953.733333333334</v>
          </cell>
          <cell r="R14">
            <v>19815.466666666667</v>
          </cell>
          <cell r="S14">
            <v>175514.33333333334</v>
          </cell>
          <cell r="U14"/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7000</v>
          </cell>
          <cell r="L15">
            <v>7000</v>
          </cell>
          <cell r="M15">
            <v>7000</v>
          </cell>
          <cell r="N15">
            <v>7000</v>
          </cell>
          <cell r="O15">
            <v>7000</v>
          </cell>
          <cell r="P15">
            <v>7000</v>
          </cell>
          <cell r="Q15">
            <v>7000</v>
          </cell>
          <cell r="R15">
            <v>6311</v>
          </cell>
          <cell r="S15">
            <v>55311</v>
          </cell>
          <cell r="U15"/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U16"/>
        </row>
        <row r="17">
          <cell r="G17">
            <v>915.60000000000014</v>
          </cell>
          <cell r="H17">
            <v>836</v>
          </cell>
          <cell r="I17">
            <v>0</v>
          </cell>
          <cell r="J17">
            <v>0</v>
          </cell>
          <cell r="K17">
            <v>1215.0666666666666</v>
          </cell>
          <cell r="L17">
            <v>996.66666666666663</v>
          </cell>
          <cell r="M17">
            <v>1033.0666666666666</v>
          </cell>
          <cell r="N17">
            <v>1033.0666666666666</v>
          </cell>
          <cell r="O17">
            <v>758.73333333333335</v>
          </cell>
          <cell r="P17">
            <v>1218.5333333333333</v>
          </cell>
          <cell r="Q17">
            <v>1218.5333333333333</v>
          </cell>
          <cell r="R17">
            <v>1142.2666666666669</v>
          </cell>
          <cell r="S17">
            <v>10367.533333333333</v>
          </cell>
          <cell r="U17"/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U18"/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/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548.56255999999996</v>
          </cell>
          <cell r="L20">
            <v>475.87349333333333</v>
          </cell>
          <cell r="M20">
            <v>426.23082666666664</v>
          </cell>
          <cell r="N20">
            <v>542.13</v>
          </cell>
          <cell r="O20">
            <v>687.03</v>
          </cell>
          <cell r="P20">
            <v>687.03</v>
          </cell>
          <cell r="Q20">
            <v>687.03</v>
          </cell>
          <cell r="R20">
            <v>687.03</v>
          </cell>
          <cell r="S20">
            <v>4740.9168799999989</v>
          </cell>
          <cell r="U20"/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580.79999999999995</v>
          </cell>
          <cell r="L21">
            <v>548.5333333333333</v>
          </cell>
          <cell r="M21">
            <v>516.26666666666665</v>
          </cell>
          <cell r="N21">
            <v>419.46666666666664</v>
          </cell>
          <cell r="O21">
            <v>451.73333333333335</v>
          </cell>
          <cell r="P21">
            <v>548.5333333333333</v>
          </cell>
          <cell r="Q21">
            <v>516.26666666666665</v>
          </cell>
          <cell r="R21">
            <v>484</v>
          </cell>
          <cell r="S21">
            <v>4065.6000000000004</v>
          </cell>
          <cell r="U21"/>
        </row>
        <row r="22">
          <cell r="G22">
            <v>915.60000000000014</v>
          </cell>
          <cell r="H22">
            <v>836</v>
          </cell>
          <cell r="I22">
            <v>0</v>
          </cell>
          <cell r="J22">
            <v>0</v>
          </cell>
          <cell r="K22">
            <v>2344.4292266666662</v>
          </cell>
          <cell r="L22">
            <v>2021.0734933333333</v>
          </cell>
          <cell r="M22">
            <v>1975.5641599999999</v>
          </cell>
          <cell r="N22">
            <v>1994.6633333333334</v>
          </cell>
          <cell r="O22">
            <v>1897.4966666666667</v>
          </cell>
          <cell r="P22">
            <v>2454.0966666666664</v>
          </cell>
          <cell r="Q22">
            <v>2421.83</v>
          </cell>
          <cell r="R22">
            <v>2313.2966666666671</v>
          </cell>
          <cell r="S22">
            <v>19174.050213333332</v>
          </cell>
          <cell r="U22"/>
        </row>
        <row r="23">
          <cell r="G23">
            <v>915.60000000000014</v>
          </cell>
          <cell r="H23">
            <v>836</v>
          </cell>
          <cell r="I23">
            <v>0</v>
          </cell>
          <cell r="J23">
            <v>0</v>
          </cell>
          <cell r="K23">
            <v>9344.4292266666671</v>
          </cell>
          <cell r="L23">
            <v>9021.0734933333333</v>
          </cell>
          <cell r="M23">
            <v>8975.5641599999999</v>
          </cell>
          <cell r="N23">
            <v>8994.6633333333339</v>
          </cell>
          <cell r="O23">
            <v>8897.496666666666</v>
          </cell>
          <cell r="P23">
            <v>9454.0966666666664</v>
          </cell>
          <cell r="Q23">
            <v>9421.83</v>
          </cell>
          <cell r="R23">
            <v>8624.2966666666671</v>
          </cell>
          <cell r="S23">
            <v>74485.050213333336</v>
          </cell>
          <cell r="U23"/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22000</v>
          </cell>
          <cell r="L24">
            <v>22000</v>
          </cell>
          <cell r="M24">
            <v>22000</v>
          </cell>
          <cell r="N24">
            <v>22000</v>
          </cell>
          <cell r="O24">
            <v>22000</v>
          </cell>
          <cell r="P24">
            <v>22000</v>
          </cell>
          <cell r="Q24">
            <v>22000</v>
          </cell>
          <cell r="R24">
            <v>22000</v>
          </cell>
          <cell r="S24">
            <v>176000</v>
          </cell>
          <cell r="U24"/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32300</v>
          </cell>
          <cell r="L25">
            <v>32300</v>
          </cell>
          <cell r="M25">
            <v>32300</v>
          </cell>
          <cell r="N25">
            <v>32300</v>
          </cell>
          <cell r="O25">
            <v>32300</v>
          </cell>
          <cell r="P25">
            <v>32300</v>
          </cell>
          <cell r="Q25">
            <v>32300</v>
          </cell>
          <cell r="R25">
            <v>31611</v>
          </cell>
          <cell r="S25">
            <v>257711</v>
          </cell>
          <cell r="U25"/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U26"/>
        </row>
        <row r="27">
          <cell r="G27">
            <v>12371.800000000001</v>
          </cell>
          <cell r="H27">
            <v>11137.8</v>
          </cell>
          <cell r="I27">
            <v>0</v>
          </cell>
          <cell r="J27">
            <v>0</v>
          </cell>
          <cell r="K27">
            <v>15463.066666666666</v>
          </cell>
          <cell r="L27">
            <v>14636.666666666666</v>
          </cell>
          <cell r="M27">
            <v>15258.533333333333</v>
          </cell>
          <cell r="N27">
            <v>15263.733333333334</v>
          </cell>
          <cell r="O27">
            <v>11122.6</v>
          </cell>
          <cell r="P27">
            <v>15430.133333333333</v>
          </cell>
          <cell r="Q27">
            <v>15430.133333333333</v>
          </cell>
          <cell r="R27">
            <v>15272.4</v>
          </cell>
          <cell r="S27">
            <v>141386.86666666667</v>
          </cell>
          <cell r="U27"/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1328</v>
          </cell>
          <cell r="L28">
            <v>1328</v>
          </cell>
          <cell r="M28">
            <v>1217.3333333333333</v>
          </cell>
          <cell r="N28">
            <v>1328</v>
          </cell>
          <cell r="O28">
            <v>1328</v>
          </cell>
          <cell r="P28">
            <v>1438.6666666666667</v>
          </cell>
          <cell r="Q28">
            <v>1549.3333333333333</v>
          </cell>
          <cell r="R28">
            <v>1549.3333333333333</v>
          </cell>
          <cell r="S28">
            <v>11066.666666666668</v>
          </cell>
          <cell r="U28"/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/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548.56255999999996</v>
          </cell>
          <cell r="L30">
            <v>475.87349333333333</v>
          </cell>
          <cell r="M30">
            <v>426.23082666666664</v>
          </cell>
          <cell r="N30">
            <v>542.13</v>
          </cell>
          <cell r="O30">
            <v>687.03</v>
          </cell>
          <cell r="P30">
            <v>687.03</v>
          </cell>
          <cell r="Q30">
            <v>687.03</v>
          </cell>
          <cell r="R30">
            <v>687.03</v>
          </cell>
          <cell r="S30">
            <v>4740.9168799999989</v>
          </cell>
          <cell r="U30"/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1586.4</v>
          </cell>
          <cell r="L31">
            <v>1497.1333333333332</v>
          </cell>
          <cell r="M31">
            <v>1409.0666666666666</v>
          </cell>
          <cell r="N31">
            <v>1143.1333333333332</v>
          </cell>
          <cell r="O31">
            <v>1232</v>
          </cell>
          <cell r="P31">
            <v>1497.1333333333332</v>
          </cell>
          <cell r="Q31">
            <v>1409.0666666666666</v>
          </cell>
          <cell r="R31">
            <v>1320</v>
          </cell>
          <cell r="S31">
            <v>11093.933333333334</v>
          </cell>
          <cell r="U31"/>
        </row>
        <row r="32">
          <cell r="G32">
            <v>12371.800000000001</v>
          </cell>
          <cell r="H32">
            <v>11137.8</v>
          </cell>
          <cell r="I32">
            <v>0</v>
          </cell>
          <cell r="J32">
            <v>0</v>
          </cell>
          <cell r="K32">
            <v>18926.029226666666</v>
          </cell>
          <cell r="L32">
            <v>17937.673493333336</v>
          </cell>
          <cell r="M32">
            <v>18311.164159999997</v>
          </cell>
          <cell r="N32">
            <v>18276.996666666666</v>
          </cell>
          <cell r="O32">
            <v>14369.630000000001</v>
          </cell>
          <cell r="P32">
            <v>19052.963333333333</v>
          </cell>
          <cell r="Q32">
            <v>19075.563333333332</v>
          </cell>
          <cell r="R32">
            <v>18828.763333333332</v>
          </cell>
          <cell r="S32">
            <v>168288.38354666665</v>
          </cell>
          <cell r="U32"/>
        </row>
        <row r="33">
          <cell r="G33">
            <v>12371.800000000001</v>
          </cell>
          <cell r="H33">
            <v>11137.8</v>
          </cell>
          <cell r="I33">
            <v>0</v>
          </cell>
          <cell r="J33">
            <v>0</v>
          </cell>
          <cell r="K33">
            <v>51226.029226666666</v>
          </cell>
          <cell r="L33">
            <v>50237.673493333336</v>
          </cell>
          <cell r="M33">
            <v>50611.16416</v>
          </cell>
          <cell r="N33">
            <v>50576.996666666666</v>
          </cell>
          <cell r="O33">
            <v>46669.630000000005</v>
          </cell>
          <cell r="P33">
            <v>51352.963333333333</v>
          </cell>
          <cell r="Q33">
            <v>51375.563333333332</v>
          </cell>
          <cell r="R33">
            <v>50439.763333333336</v>
          </cell>
          <cell r="S33">
            <v>425999.38354666665</v>
          </cell>
          <cell r="U33"/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11500</v>
          </cell>
          <cell r="L34">
            <v>11500</v>
          </cell>
          <cell r="M34">
            <v>11500</v>
          </cell>
          <cell r="N34">
            <v>11500</v>
          </cell>
          <cell r="O34">
            <v>11500</v>
          </cell>
          <cell r="P34">
            <v>11500</v>
          </cell>
          <cell r="Q34">
            <v>11500</v>
          </cell>
          <cell r="R34">
            <v>11500</v>
          </cell>
          <cell r="S34">
            <v>11500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G36">
            <v>16000</v>
          </cell>
          <cell r="H36">
            <v>16000</v>
          </cell>
          <cell r="I36">
            <v>0</v>
          </cell>
          <cell r="J36">
            <v>0</v>
          </cell>
          <cell r="K36">
            <v>16000</v>
          </cell>
          <cell r="L36">
            <v>16000</v>
          </cell>
          <cell r="M36">
            <v>16000</v>
          </cell>
          <cell r="N36">
            <v>16000</v>
          </cell>
          <cell r="O36">
            <v>16000</v>
          </cell>
          <cell r="P36">
            <v>16000</v>
          </cell>
          <cell r="Q36">
            <v>16000</v>
          </cell>
          <cell r="R36">
            <v>16000</v>
          </cell>
          <cell r="S36">
            <v>16000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10000</v>
          </cell>
          <cell r="L37">
            <v>10000</v>
          </cell>
          <cell r="M37">
            <v>10000</v>
          </cell>
          <cell r="N37">
            <v>10000</v>
          </cell>
          <cell r="O37">
            <v>10000</v>
          </cell>
          <cell r="P37">
            <v>10000</v>
          </cell>
          <cell r="Q37">
            <v>10000</v>
          </cell>
          <cell r="R37">
            <v>10000</v>
          </cell>
          <cell r="S37">
            <v>9999.9999999999982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10000</v>
          </cell>
          <cell r="L40">
            <v>10000</v>
          </cell>
          <cell r="M40">
            <v>10000</v>
          </cell>
          <cell r="N40">
            <v>10000</v>
          </cell>
          <cell r="O40">
            <v>10000</v>
          </cell>
          <cell r="P40">
            <v>10000</v>
          </cell>
          <cell r="Q40">
            <v>10000</v>
          </cell>
          <cell r="R40">
            <v>10000</v>
          </cell>
          <cell r="S40">
            <v>9999.9999999999982</v>
          </cell>
        </row>
        <row r="41">
          <cell r="G41">
            <v>16000</v>
          </cell>
          <cell r="H41">
            <v>16000</v>
          </cell>
          <cell r="I41">
            <v>0</v>
          </cell>
          <cell r="J41">
            <v>0</v>
          </cell>
          <cell r="K41">
            <v>15155.59415255464</v>
          </cell>
          <cell r="L41">
            <v>15141.801641053993</v>
          </cell>
          <cell r="M41">
            <v>15224.956536643895</v>
          </cell>
          <cell r="N41">
            <v>15243.965852560033</v>
          </cell>
          <cell r="O41">
            <v>14985.770945360857</v>
          </cell>
          <cell r="P41">
            <v>15137.073615467723</v>
          </cell>
          <cell r="Q41">
            <v>15120.149235806988</v>
          </cell>
          <cell r="R41">
            <v>15133.418371465939</v>
          </cell>
          <cell r="S41">
            <v>15271.900979785087</v>
          </cell>
        </row>
        <row r="42">
          <cell r="G42">
            <v>16000</v>
          </cell>
          <cell r="H42">
            <v>16000</v>
          </cell>
          <cell r="I42">
            <v>0</v>
          </cell>
          <cell r="J42">
            <v>0</v>
          </cell>
          <cell r="K42">
            <v>14548.829068083054</v>
          </cell>
          <cell r="L42">
            <v>14516.407689185393</v>
          </cell>
          <cell r="M42">
            <v>14598.932551080694</v>
          </cell>
          <cell r="N42">
            <v>14613.0355592626</v>
          </cell>
          <cell r="O42">
            <v>14256.443854562054</v>
          </cell>
          <cell r="P42">
            <v>14533.906453633877</v>
          </cell>
          <cell r="Q42">
            <v>14521.439596934242</v>
          </cell>
          <cell r="R42">
            <v>14528.321311298918</v>
          </cell>
          <cell r="S42">
            <v>14704.550245658949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15000</v>
          </cell>
          <cell r="L43">
            <v>15000</v>
          </cell>
          <cell r="M43">
            <v>15000</v>
          </cell>
          <cell r="N43">
            <v>15000</v>
          </cell>
          <cell r="O43">
            <v>15000</v>
          </cell>
          <cell r="P43">
            <v>15000</v>
          </cell>
          <cell r="Q43">
            <v>15000</v>
          </cell>
          <cell r="R43">
            <v>15000</v>
          </cell>
          <cell r="S43">
            <v>15000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3500</v>
          </cell>
          <cell r="U44">
            <v>3500</v>
          </cell>
        </row>
        <row r="45">
          <cell r="G45">
            <v>10500</v>
          </cell>
          <cell r="H45">
            <v>10500</v>
          </cell>
          <cell r="I45">
            <v>0</v>
          </cell>
          <cell r="J45">
            <v>0</v>
          </cell>
          <cell r="K45">
            <v>22000</v>
          </cell>
          <cell r="L45">
            <v>22000</v>
          </cell>
          <cell r="M45">
            <v>22000</v>
          </cell>
          <cell r="N45">
            <v>22000</v>
          </cell>
          <cell r="O45">
            <v>22000</v>
          </cell>
          <cell r="P45">
            <v>22000</v>
          </cell>
          <cell r="Q45">
            <v>22000</v>
          </cell>
          <cell r="R45">
            <v>22000</v>
          </cell>
          <cell r="S45">
            <v>20057.069183926746</v>
          </cell>
          <cell r="U45">
            <v>22000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3500</v>
          </cell>
          <cell r="U46">
            <v>3500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8000</v>
          </cell>
          <cell r="U47">
            <v>8000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15000</v>
          </cell>
          <cell r="L48">
            <v>15000</v>
          </cell>
          <cell r="M48">
            <v>15000</v>
          </cell>
          <cell r="N48">
            <v>15000</v>
          </cell>
          <cell r="O48">
            <v>15000</v>
          </cell>
          <cell r="P48">
            <v>15000</v>
          </cell>
          <cell r="Q48">
            <v>15000</v>
          </cell>
          <cell r="R48">
            <v>15000</v>
          </cell>
          <cell r="S48">
            <v>15000.000000000002</v>
          </cell>
          <cell r="T48">
            <v>5000</v>
          </cell>
          <cell r="U48">
            <v>20000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15000</v>
          </cell>
          <cell r="L49">
            <v>15000</v>
          </cell>
          <cell r="M49">
            <v>15000</v>
          </cell>
          <cell r="N49">
            <v>15000</v>
          </cell>
          <cell r="O49">
            <v>15000</v>
          </cell>
          <cell r="P49">
            <v>15000</v>
          </cell>
          <cell r="Q49">
            <v>15000</v>
          </cell>
          <cell r="R49">
            <v>15000</v>
          </cell>
          <cell r="S49">
            <v>14999.999999999998</v>
          </cell>
          <cell r="T49">
            <v>7000</v>
          </cell>
          <cell r="U49">
            <v>22000</v>
          </cell>
        </row>
        <row r="50">
          <cell r="G50">
            <v>10500</v>
          </cell>
          <cell r="H50">
            <v>10500</v>
          </cell>
          <cell r="I50">
            <v>0</v>
          </cell>
          <cell r="J50">
            <v>0</v>
          </cell>
          <cell r="K50">
            <v>18627.947719607568</v>
          </cell>
          <cell r="L50">
            <v>18451.960895870303</v>
          </cell>
          <cell r="M50">
            <v>18660.456497989246</v>
          </cell>
          <cell r="N50">
            <v>18625.407128019931</v>
          </cell>
          <cell r="O50">
            <v>17799.021166484261</v>
          </cell>
          <cell r="P50">
            <v>18475.712040682996</v>
          </cell>
          <cell r="Q50">
            <v>18522.019850003235</v>
          </cell>
          <cell r="R50">
            <v>18456.481298694936</v>
          </cell>
          <cell r="S50">
            <v>17734.390113199701</v>
          </cell>
        </row>
        <row r="51">
          <cell r="G51">
            <v>10500</v>
          </cell>
          <cell r="H51">
            <v>10500</v>
          </cell>
          <cell r="I51">
            <v>0</v>
          </cell>
          <cell r="J51">
            <v>0</v>
          </cell>
          <cell r="K51">
            <v>15910.217891360788</v>
          </cell>
          <cell r="L51">
            <v>15773.374329764909</v>
          </cell>
          <cell r="M51">
            <v>15805.683803018648</v>
          </cell>
          <cell r="N51">
            <v>15803.973022521872</v>
          </cell>
          <cell r="O51">
            <v>15596.924453282554</v>
          </cell>
          <cell r="P51">
            <v>15902.226160158438</v>
          </cell>
          <cell r="Q51">
            <v>15905.315987799966</v>
          </cell>
          <cell r="R51">
            <v>15927.132608688091</v>
          </cell>
          <cell r="S51">
            <v>15703.890689247974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9000</v>
          </cell>
          <cell r="L52">
            <v>9000</v>
          </cell>
          <cell r="M52">
            <v>9000</v>
          </cell>
          <cell r="N52">
            <v>9000</v>
          </cell>
          <cell r="O52">
            <v>9000</v>
          </cell>
          <cell r="P52">
            <v>9000</v>
          </cell>
          <cell r="Q52">
            <v>9000</v>
          </cell>
          <cell r="R52">
            <v>9000</v>
          </cell>
          <cell r="S52">
            <v>72000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10555.727554179568</v>
          </cell>
          <cell r="L53">
            <v>10555.727554179568</v>
          </cell>
          <cell r="M53">
            <v>10555.727554179568</v>
          </cell>
          <cell r="N53">
            <v>10555.727554179568</v>
          </cell>
          <cell r="O53">
            <v>10555.727554179568</v>
          </cell>
          <cell r="P53">
            <v>10555.727554179568</v>
          </cell>
          <cell r="Q53">
            <v>10555.727554179568</v>
          </cell>
          <cell r="R53">
            <v>10458.859257853279</v>
          </cell>
          <cell r="S53">
            <v>10543.845625526268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G55">
            <v>15592.961412243973</v>
          </cell>
          <cell r="H55">
            <v>15587.171613783692</v>
          </cell>
          <cell r="I55">
            <v>0</v>
          </cell>
          <cell r="J55">
            <v>0</v>
          </cell>
          <cell r="K55">
            <v>16471.471808093265</v>
          </cell>
          <cell r="L55">
            <v>16408.562969710772</v>
          </cell>
          <cell r="M55">
            <v>16406.225150516872</v>
          </cell>
          <cell r="N55">
            <v>16406.086759027934</v>
          </cell>
          <cell r="O55">
            <v>16409.292791253843</v>
          </cell>
          <cell r="P55">
            <v>16473.826106492925</v>
          </cell>
          <cell r="Q55">
            <v>16473.826106492925</v>
          </cell>
          <cell r="R55">
            <v>16448.75723527409</v>
          </cell>
          <cell r="S55">
            <v>16297.494392454177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  <cell r="P56">
            <v>10000</v>
          </cell>
          <cell r="Q56">
            <v>10000</v>
          </cell>
          <cell r="R56">
            <v>10000</v>
          </cell>
          <cell r="S56">
            <v>9999.9999999999982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15000</v>
          </cell>
          <cell r="L58">
            <v>15000.000000000002</v>
          </cell>
          <cell r="M58">
            <v>15000</v>
          </cell>
          <cell r="N58">
            <v>15000</v>
          </cell>
          <cell r="O58">
            <v>15000.000000000002</v>
          </cell>
          <cell r="P58">
            <v>15000.000000000002</v>
          </cell>
          <cell r="Q58">
            <v>15000.000000000002</v>
          </cell>
          <cell r="R58">
            <v>15000.000000000002</v>
          </cell>
          <cell r="S58">
            <v>15000.000000000002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11830.559757942512</v>
          </cell>
          <cell r="L59">
            <v>11831.945495836488</v>
          </cell>
          <cell r="M59">
            <v>11831.945495836488</v>
          </cell>
          <cell r="N59">
            <v>11834.723275208493</v>
          </cell>
          <cell r="O59">
            <v>11833.333333333334</v>
          </cell>
          <cell r="P59">
            <v>11831.945495836488</v>
          </cell>
          <cell r="Q59">
            <v>11831.945495836488</v>
          </cell>
          <cell r="R59">
            <v>11833.333333333334</v>
          </cell>
          <cell r="S59">
            <v>11832.352817455787</v>
          </cell>
        </row>
        <row r="60">
          <cell r="G60">
            <v>15592.961412243973</v>
          </cell>
          <cell r="H60">
            <v>15587.171613783692</v>
          </cell>
          <cell r="I60">
            <v>0</v>
          </cell>
          <cell r="J60">
            <v>0</v>
          </cell>
          <cell r="K60">
            <v>15585.725961526432</v>
          </cell>
          <cell r="L60">
            <v>15514.763894554017</v>
          </cell>
          <cell r="M60">
            <v>15595.60749777401</v>
          </cell>
          <cell r="N60">
            <v>15613.000057084508</v>
          </cell>
          <cell r="O60">
            <v>15357.258096879785</v>
          </cell>
          <cell r="P60">
            <v>15567.103384967764</v>
          </cell>
          <cell r="Q60">
            <v>15552.050101097935</v>
          </cell>
          <cell r="R60">
            <v>15541.688965587933</v>
          </cell>
          <cell r="S60">
            <v>15552.466336102665</v>
          </cell>
        </row>
        <row r="61">
          <cell r="G61">
            <v>15592.961412243973</v>
          </cell>
          <cell r="H61">
            <v>15587.171613783692</v>
          </cell>
          <cell r="I61">
            <v>0</v>
          </cell>
          <cell r="J61">
            <v>0</v>
          </cell>
          <cell r="K61">
            <v>12414.11670330332</v>
          </cell>
          <cell r="L61">
            <v>12326.382294531266</v>
          </cell>
          <cell r="M61">
            <v>12379.160595595094</v>
          </cell>
          <cell r="N61">
            <v>12383.272856784235</v>
          </cell>
          <cell r="O61">
            <v>12034.124047408703</v>
          </cell>
          <cell r="P61">
            <v>12415.046934324919</v>
          </cell>
          <cell r="Q61">
            <v>12410.84428660604</v>
          </cell>
          <cell r="R61">
            <v>12356.239247487878</v>
          </cell>
          <cell r="S61">
            <v>12522.469810762728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37950</v>
          </cell>
          <cell r="L62">
            <v>37950</v>
          </cell>
          <cell r="M62">
            <v>37950</v>
          </cell>
          <cell r="N62">
            <v>37950</v>
          </cell>
          <cell r="O62">
            <v>37950</v>
          </cell>
          <cell r="P62">
            <v>37950</v>
          </cell>
          <cell r="Q62">
            <v>37950</v>
          </cell>
          <cell r="R62">
            <v>37950</v>
          </cell>
          <cell r="S62">
            <v>303600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G64">
            <v>183299.20000000001</v>
          </cell>
          <cell r="H64">
            <v>164828.79999999999</v>
          </cell>
          <cell r="I64">
            <v>0</v>
          </cell>
          <cell r="J64">
            <v>0</v>
          </cell>
          <cell r="K64">
            <v>227968</v>
          </cell>
          <cell r="L64">
            <v>218240</v>
          </cell>
          <cell r="M64">
            <v>227607.46666666667</v>
          </cell>
          <cell r="N64">
            <v>227690.66666666666</v>
          </cell>
          <cell r="O64">
            <v>165821.86666666667</v>
          </cell>
          <cell r="P64">
            <v>227385.60000000001</v>
          </cell>
          <cell r="Q64">
            <v>227385.60000000001</v>
          </cell>
          <cell r="R64">
            <v>226082.13333333333</v>
          </cell>
          <cell r="S64">
            <v>2096309.3333333335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13280</v>
          </cell>
          <cell r="L65">
            <v>13280</v>
          </cell>
          <cell r="M65">
            <v>12173.333333333332</v>
          </cell>
          <cell r="N65">
            <v>13280</v>
          </cell>
          <cell r="O65">
            <v>13280</v>
          </cell>
          <cell r="P65">
            <v>14386.666666666668</v>
          </cell>
          <cell r="Q65">
            <v>15493.333333333332</v>
          </cell>
          <cell r="R65">
            <v>15493.333333333332</v>
          </cell>
          <cell r="S65">
            <v>110666.66666666666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10056</v>
          </cell>
          <cell r="L68">
            <v>9486</v>
          </cell>
          <cell r="M68">
            <v>8928</v>
          </cell>
          <cell r="N68">
            <v>7236.6666666666661</v>
          </cell>
          <cell r="O68">
            <v>7802.666666666667</v>
          </cell>
          <cell r="P68">
            <v>9486</v>
          </cell>
          <cell r="Q68">
            <v>8928</v>
          </cell>
          <cell r="R68">
            <v>8360</v>
          </cell>
          <cell r="S68">
            <v>70283.333333333328</v>
          </cell>
        </row>
        <row r="69">
          <cell r="G69">
            <v>183299.20000000001</v>
          </cell>
          <cell r="H69">
            <v>164828.79999999999</v>
          </cell>
          <cell r="I69">
            <v>0</v>
          </cell>
          <cell r="J69">
            <v>0</v>
          </cell>
          <cell r="K69">
            <v>251304</v>
          </cell>
          <cell r="L69">
            <v>241006</v>
          </cell>
          <cell r="M69">
            <v>248708.80000000002</v>
          </cell>
          <cell r="N69">
            <v>248207.33333333331</v>
          </cell>
          <cell r="O69">
            <v>186904.53333333333</v>
          </cell>
          <cell r="P69">
            <v>251258.26666666666</v>
          </cell>
          <cell r="Q69">
            <v>251806.93333333335</v>
          </cell>
          <cell r="R69">
            <v>249935.46666666667</v>
          </cell>
          <cell r="S69">
            <v>2277259.3333333335</v>
          </cell>
        </row>
        <row r="70">
          <cell r="G70">
            <v>183299.20000000001</v>
          </cell>
          <cell r="H70">
            <v>164828.79999999999</v>
          </cell>
          <cell r="I70">
            <v>0</v>
          </cell>
          <cell r="J70">
            <v>0</v>
          </cell>
          <cell r="K70">
            <v>289254</v>
          </cell>
          <cell r="L70">
            <v>278956</v>
          </cell>
          <cell r="M70">
            <v>286658.80000000005</v>
          </cell>
          <cell r="N70">
            <v>286157.33333333331</v>
          </cell>
          <cell r="O70">
            <v>224854.53333333333</v>
          </cell>
          <cell r="P70">
            <v>289208.26666666666</v>
          </cell>
          <cell r="Q70">
            <v>289756.93333333335</v>
          </cell>
          <cell r="R70">
            <v>287885.46666666667</v>
          </cell>
          <cell r="S70">
            <v>2580859.3333333335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105000</v>
          </cell>
          <cell r="L71">
            <v>105000</v>
          </cell>
          <cell r="M71">
            <v>105000</v>
          </cell>
          <cell r="N71">
            <v>105000</v>
          </cell>
          <cell r="O71">
            <v>105000</v>
          </cell>
          <cell r="P71">
            <v>105000</v>
          </cell>
          <cell r="Q71">
            <v>105000</v>
          </cell>
          <cell r="R71">
            <v>94665</v>
          </cell>
          <cell r="S71">
            <v>829665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G73">
            <v>9613.8000000000011</v>
          </cell>
          <cell r="H73">
            <v>8778</v>
          </cell>
          <cell r="I73">
            <v>0</v>
          </cell>
          <cell r="J73">
            <v>0</v>
          </cell>
          <cell r="K73">
            <v>26731.466666666664</v>
          </cell>
          <cell r="L73">
            <v>21926.666666666664</v>
          </cell>
          <cell r="M73">
            <v>22727.466666666664</v>
          </cell>
          <cell r="N73">
            <v>22727.466666666664</v>
          </cell>
          <cell r="O73">
            <v>16692.133333333335</v>
          </cell>
          <cell r="P73">
            <v>26807.733333333334</v>
          </cell>
          <cell r="Q73">
            <v>26807.733333333334</v>
          </cell>
          <cell r="R73">
            <v>25129.866666666672</v>
          </cell>
          <cell r="S73">
            <v>207942.33333333331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8228.4383999999991</v>
          </cell>
          <cell r="L76">
            <v>7138.1024000000007</v>
          </cell>
          <cell r="M76">
            <v>6393.4623999999994</v>
          </cell>
          <cell r="N76">
            <v>8131.95</v>
          </cell>
          <cell r="O76">
            <v>10305.450000000001</v>
          </cell>
          <cell r="P76">
            <v>10305.450000000001</v>
          </cell>
          <cell r="Q76">
            <v>10305.450000000001</v>
          </cell>
          <cell r="R76">
            <v>10305.450000000001</v>
          </cell>
          <cell r="S76">
            <v>71113.753199999992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8712</v>
          </cell>
          <cell r="L77">
            <v>8228</v>
          </cell>
          <cell r="M77">
            <v>7744</v>
          </cell>
          <cell r="N77">
            <v>6292</v>
          </cell>
          <cell r="O77">
            <v>6776</v>
          </cell>
          <cell r="P77">
            <v>8228</v>
          </cell>
          <cell r="Q77">
            <v>7744</v>
          </cell>
          <cell r="R77">
            <v>7260</v>
          </cell>
          <cell r="S77">
            <v>60984</v>
          </cell>
        </row>
        <row r="78">
          <cell r="G78">
            <v>9613.8000000000011</v>
          </cell>
          <cell r="H78">
            <v>8778</v>
          </cell>
          <cell r="I78">
            <v>0</v>
          </cell>
          <cell r="J78">
            <v>0</v>
          </cell>
          <cell r="K78">
            <v>43671.905066666659</v>
          </cell>
          <cell r="L78">
            <v>37292.76906666666</v>
          </cell>
          <cell r="M78">
            <v>36864.929066666664</v>
          </cell>
          <cell r="N78">
            <v>37151.416666666664</v>
          </cell>
          <cell r="O78">
            <v>33773.583333333336</v>
          </cell>
          <cell r="P78">
            <v>45341.183333333334</v>
          </cell>
          <cell r="Q78">
            <v>44857.183333333334</v>
          </cell>
          <cell r="R78">
            <v>42695.316666666673</v>
          </cell>
          <cell r="S78">
            <v>340040.08653333329</v>
          </cell>
        </row>
        <row r="79">
          <cell r="G79">
            <v>9613.8000000000011</v>
          </cell>
          <cell r="H79">
            <v>8778</v>
          </cell>
          <cell r="I79">
            <v>0</v>
          </cell>
          <cell r="J79">
            <v>0</v>
          </cell>
          <cell r="K79">
            <v>148671.90506666666</v>
          </cell>
          <cell r="L79">
            <v>142292.76906666666</v>
          </cell>
          <cell r="M79">
            <v>141864.92906666666</v>
          </cell>
          <cell r="N79">
            <v>142151.41666666666</v>
          </cell>
          <cell r="O79">
            <v>138773.58333333334</v>
          </cell>
          <cell r="P79">
            <v>150341.18333333335</v>
          </cell>
          <cell r="Q79">
            <v>149857.18333333335</v>
          </cell>
          <cell r="R79">
            <v>137360.31666666668</v>
          </cell>
          <cell r="S79">
            <v>1169705.0865333332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198000</v>
          </cell>
          <cell r="L80">
            <v>198000</v>
          </cell>
          <cell r="M80">
            <v>198000</v>
          </cell>
          <cell r="N80">
            <v>198000</v>
          </cell>
          <cell r="O80">
            <v>198000</v>
          </cell>
          <cell r="P80">
            <v>198000</v>
          </cell>
          <cell r="Q80">
            <v>198000</v>
          </cell>
          <cell r="R80">
            <v>198000</v>
          </cell>
          <cell r="S80">
            <v>1584000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340950</v>
          </cell>
          <cell r="L81">
            <v>340950</v>
          </cell>
          <cell r="M81">
            <v>340950</v>
          </cell>
          <cell r="N81">
            <v>340950</v>
          </cell>
          <cell r="O81">
            <v>340950</v>
          </cell>
          <cell r="P81">
            <v>340950</v>
          </cell>
          <cell r="Q81">
            <v>340950</v>
          </cell>
          <cell r="R81">
            <v>330615</v>
          </cell>
          <cell r="S81">
            <v>2717265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G83">
            <v>192913</v>
          </cell>
          <cell r="H83">
            <v>173606.8</v>
          </cell>
          <cell r="I83">
            <v>0</v>
          </cell>
          <cell r="J83">
            <v>0</v>
          </cell>
          <cell r="K83">
            <v>254699.46666666667</v>
          </cell>
          <cell r="L83">
            <v>240166.66666666666</v>
          </cell>
          <cell r="M83">
            <v>250334.93333333335</v>
          </cell>
          <cell r="N83">
            <v>250418.13333333333</v>
          </cell>
          <cell r="O83">
            <v>182514</v>
          </cell>
          <cell r="P83">
            <v>254193.33333333334</v>
          </cell>
          <cell r="Q83">
            <v>254193.33333333334</v>
          </cell>
          <cell r="R83">
            <v>251212</v>
          </cell>
          <cell r="S83">
            <v>2304251.6666666665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13280</v>
          </cell>
          <cell r="L84">
            <v>13280</v>
          </cell>
          <cell r="M84">
            <v>12173.333333333332</v>
          </cell>
          <cell r="N84">
            <v>13280</v>
          </cell>
          <cell r="O84">
            <v>13280</v>
          </cell>
          <cell r="P84">
            <v>14386.666666666668</v>
          </cell>
          <cell r="Q84">
            <v>15493.333333333332</v>
          </cell>
          <cell r="R84">
            <v>15493.333333333332</v>
          </cell>
          <cell r="S84">
            <v>110666.66666666666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8228.4383999999991</v>
          </cell>
          <cell r="L86">
            <v>7138.1024000000007</v>
          </cell>
          <cell r="M86">
            <v>6393.4623999999994</v>
          </cell>
          <cell r="N86">
            <v>8131.95</v>
          </cell>
          <cell r="O86">
            <v>10305.450000000001</v>
          </cell>
          <cell r="P86">
            <v>10305.450000000001</v>
          </cell>
          <cell r="Q86">
            <v>10305.450000000001</v>
          </cell>
          <cell r="R86">
            <v>10305.450000000001</v>
          </cell>
          <cell r="S86">
            <v>71113.753199999992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18768</v>
          </cell>
          <cell r="L87">
            <v>17714</v>
          </cell>
          <cell r="M87">
            <v>16672</v>
          </cell>
          <cell r="N87">
            <v>13528.666666666666</v>
          </cell>
          <cell r="O87">
            <v>14578.666666666668</v>
          </cell>
          <cell r="P87">
            <v>17714</v>
          </cell>
          <cell r="Q87">
            <v>16672</v>
          </cell>
          <cell r="R87">
            <v>15620</v>
          </cell>
          <cell r="S87">
            <v>131267.33333333334</v>
          </cell>
        </row>
        <row r="88">
          <cell r="G88">
            <v>192913</v>
          </cell>
          <cell r="H88">
            <v>173606.8</v>
          </cell>
          <cell r="I88">
            <v>0</v>
          </cell>
          <cell r="J88">
            <v>0</v>
          </cell>
          <cell r="K88">
            <v>294975.90506666666</v>
          </cell>
          <cell r="L88">
            <v>278298.76906666666</v>
          </cell>
          <cell r="M88">
            <v>285573.72906666668</v>
          </cell>
          <cell r="N88">
            <v>285358.75</v>
          </cell>
          <cell r="O88">
            <v>220678.11666666667</v>
          </cell>
          <cell r="P88">
            <v>296599.45</v>
          </cell>
          <cell r="Q88">
            <v>296664.1166666667</v>
          </cell>
          <cell r="R88">
            <v>292630.78333333333</v>
          </cell>
          <cell r="S88">
            <v>2617299.4198666667</v>
          </cell>
        </row>
        <row r="89">
          <cell r="G89">
            <v>192913</v>
          </cell>
          <cell r="H89">
            <v>173606.8</v>
          </cell>
          <cell r="I89">
            <v>0</v>
          </cell>
          <cell r="J89">
            <v>0</v>
          </cell>
          <cell r="K89">
            <v>635925.90506666666</v>
          </cell>
          <cell r="L89">
            <v>619248.76906666672</v>
          </cell>
          <cell r="M89">
            <v>626523.72906666668</v>
          </cell>
          <cell r="N89">
            <v>626308.75</v>
          </cell>
          <cell r="O89">
            <v>561628.1166666667</v>
          </cell>
          <cell r="P89">
            <v>637549.44999999995</v>
          </cell>
          <cell r="Q89">
            <v>637614.1166666667</v>
          </cell>
          <cell r="R89">
            <v>623245.78333333333</v>
          </cell>
          <cell r="S89">
            <v>5334564.4198666662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33679.403189772958</v>
          </cell>
          <cell r="L90">
            <v>32212.10621767243</v>
          </cell>
          <cell r="M90">
            <v>36788.620455554446</v>
          </cell>
          <cell r="N90">
            <v>31237.513971272445</v>
          </cell>
          <cell r="O90">
            <v>36652.559748170279</v>
          </cell>
          <cell r="P90">
            <v>31401.992510785971</v>
          </cell>
          <cell r="Q90">
            <v>34972.707128142429</v>
          </cell>
          <cell r="R90">
            <v>33343.426670849432</v>
          </cell>
          <cell r="S90">
            <v>270288.32989222038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G92">
            <v>102483.09749801969</v>
          </cell>
          <cell r="H92">
            <v>72595.243094506994</v>
          </cell>
          <cell r="I92">
            <v>0</v>
          </cell>
          <cell r="J92">
            <v>0</v>
          </cell>
          <cell r="K92">
            <v>145413.37474178334</v>
          </cell>
          <cell r="L92">
            <v>133143.37236637939</v>
          </cell>
          <cell r="M92">
            <v>158586.45272822463</v>
          </cell>
          <cell r="N92">
            <v>134706.25721833971</v>
          </cell>
          <cell r="O92">
            <v>115109.77037032436</v>
          </cell>
          <cell r="P92">
            <v>135234.10811099573</v>
          </cell>
          <cell r="Q92">
            <v>150611.55291585124</v>
          </cell>
          <cell r="R92">
            <v>142771.83777252282</v>
          </cell>
          <cell r="S92">
            <v>1290655.0668169481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13553.408313944996</v>
          </cell>
          <cell r="L93">
            <v>12962.932441536057</v>
          </cell>
          <cell r="M93">
            <v>13570.913323604529</v>
          </cell>
          <cell r="N93">
            <v>12570.732895106003</v>
          </cell>
          <cell r="O93">
            <v>14749.878589566708</v>
          </cell>
          <cell r="P93">
            <v>13689.999967328511</v>
          </cell>
          <cell r="Q93">
            <v>16419.509366828894</v>
          </cell>
          <cell r="R93">
            <v>15654.570420819005</v>
          </cell>
          <cell r="S93">
            <v>113171.9453187347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10263.032681101722</v>
          </cell>
          <cell r="L96">
            <v>9259.5163509345675</v>
          </cell>
          <cell r="M96">
            <v>9952.9940432481853</v>
          </cell>
          <cell r="N96">
            <v>6850.1659425891394</v>
          </cell>
          <cell r="O96">
            <v>8666.2941271229301</v>
          </cell>
          <cell r="P96">
            <v>9026.645483555023</v>
          </cell>
          <cell r="Q96">
            <v>9461.7069466683533</v>
          </cell>
          <cell r="R96">
            <v>8447.0014232818558</v>
          </cell>
          <cell r="S96">
            <v>71927.356998501768</v>
          </cell>
        </row>
        <row r="97">
          <cell r="G97">
            <v>102483.09749801969</v>
          </cell>
          <cell r="H97">
            <v>72595.243094506994</v>
          </cell>
          <cell r="I97">
            <v>0</v>
          </cell>
          <cell r="J97">
            <v>0</v>
          </cell>
          <cell r="K97">
            <v>169229.81573683006</v>
          </cell>
          <cell r="L97">
            <v>155365.82115885001</v>
          </cell>
          <cell r="M97">
            <v>182110.36009507734</v>
          </cell>
          <cell r="N97">
            <v>154127.15605603484</v>
          </cell>
          <cell r="O97">
            <v>138525.94308701399</v>
          </cell>
          <cell r="P97">
            <v>157950.75356187925</v>
          </cell>
          <cell r="Q97">
            <v>176492.76922934849</v>
          </cell>
          <cell r="R97">
            <v>166873.40961662368</v>
          </cell>
          <cell r="S97">
            <v>1475754.3691341847</v>
          </cell>
        </row>
        <row r="98">
          <cell r="G98">
            <v>102483.09749801969</v>
          </cell>
          <cell r="H98">
            <v>72595.243094506994</v>
          </cell>
          <cell r="I98">
            <v>0</v>
          </cell>
          <cell r="J98">
            <v>0</v>
          </cell>
          <cell r="K98">
            <v>202909.21892660303</v>
          </cell>
          <cell r="L98">
            <v>187577.92737652245</v>
          </cell>
          <cell r="M98">
            <v>218898.98055063179</v>
          </cell>
          <cell r="N98">
            <v>185364.67002730729</v>
          </cell>
          <cell r="O98">
            <v>175178.50283518428</v>
          </cell>
          <cell r="P98">
            <v>189352.74607266521</v>
          </cell>
          <cell r="Q98">
            <v>211465.47635749093</v>
          </cell>
          <cell r="R98">
            <v>200216.83628747312</v>
          </cell>
          <cell r="S98">
            <v>1746042.6990264051</v>
          </cell>
        </row>
        <row r="99">
          <cell r="G99">
            <v>8945.6449344476951</v>
          </cell>
          <cell r="H99">
            <v>7046.8503654222559</v>
          </cell>
          <cell r="I99">
            <v>0</v>
          </cell>
          <cell r="J99">
            <v>0</v>
          </cell>
          <cell r="K99">
            <v>10205.879754476653</v>
          </cell>
          <cell r="L99">
            <v>9761.2443083855851</v>
          </cell>
          <cell r="M99">
            <v>11148.06680471347</v>
          </cell>
          <cell r="N99">
            <v>9465.9133246280144</v>
          </cell>
          <cell r="O99">
            <v>11106.836287324328</v>
          </cell>
          <cell r="P99">
            <v>9515.755306298779</v>
          </cell>
          <cell r="Q99">
            <v>10597.790038831041</v>
          </cell>
          <cell r="R99">
            <v>10104.068688136191</v>
          </cell>
          <cell r="S99">
            <v>9948.1487686270921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71441.158281336582</v>
          </cell>
          <cell r="L100">
            <v>68328.710158699061</v>
          </cell>
          <cell r="M100">
            <v>78036.467632994274</v>
          </cell>
          <cell r="N100">
            <v>66261.393272396104</v>
          </cell>
          <cell r="O100">
            <v>77747.854011270305</v>
          </cell>
          <cell r="P100">
            <v>66610.287144091446</v>
          </cell>
          <cell r="Q100">
            <v>74184.530271817261</v>
          </cell>
          <cell r="R100">
            <v>63766.77749082751</v>
          </cell>
          <cell r="S100">
            <v>566377.17826343246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G102">
            <v>8190.6325019803116</v>
          </cell>
          <cell r="H102">
            <v>5891.1669054930062</v>
          </cell>
          <cell r="I102">
            <v>0</v>
          </cell>
          <cell r="J102">
            <v>0</v>
          </cell>
          <cell r="K102">
            <v>12400.824293672764</v>
          </cell>
          <cell r="L102">
            <v>9728.7068273576297</v>
          </cell>
          <cell r="M102">
            <v>11516.69621372266</v>
          </cell>
          <cell r="N102">
            <v>9778.9195252290465</v>
          </cell>
          <cell r="O102">
            <v>8427.1269190692146</v>
          </cell>
          <cell r="P102">
            <v>11595.265032568606</v>
          </cell>
          <cell r="Q102">
            <v>12913.760421983581</v>
          </cell>
          <cell r="R102">
            <v>11541.54086016837</v>
          </cell>
          <cell r="S102">
            <v>101984.6395012452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5598.5635251678841</v>
          </cell>
          <cell r="L105">
            <v>4645.1174283115643</v>
          </cell>
          <cell r="M105">
            <v>4751.6497299082466</v>
          </cell>
          <cell r="N105">
            <v>5131.7555906805856</v>
          </cell>
          <cell r="O105">
            <v>7630.7297344804338</v>
          </cell>
          <cell r="P105">
            <v>6537.6093680864496</v>
          </cell>
          <cell r="Q105">
            <v>7280.9996903780884</v>
          </cell>
          <cell r="R105">
            <v>6941.798310810208</v>
          </cell>
          <cell r="S105">
            <v>48518.223377823466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5927.5749614000397</v>
          </cell>
          <cell r="L106">
            <v>5354.3678779597712</v>
          </cell>
          <cell r="M106">
            <v>5755.3752890467395</v>
          </cell>
          <cell r="N106">
            <v>3970.6351092372975</v>
          </cell>
          <cell r="O106">
            <v>5017.3281788606437</v>
          </cell>
          <cell r="P106">
            <v>5219.708977348424</v>
          </cell>
          <cell r="Q106">
            <v>5471.2857373805045</v>
          </cell>
          <cell r="R106">
            <v>4890.3692450579174</v>
          </cell>
          <cell r="S106">
            <v>41606.645376291337</v>
          </cell>
        </row>
        <row r="107">
          <cell r="G107">
            <v>8190.6325019803116</v>
          </cell>
          <cell r="H107">
            <v>5891.1669054930062</v>
          </cell>
          <cell r="I107">
            <v>0</v>
          </cell>
          <cell r="J107">
            <v>0</v>
          </cell>
          <cell r="K107">
            <v>23926.96278024069</v>
          </cell>
          <cell r="L107">
            <v>19728.192133628967</v>
          </cell>
          <cell r="M107">
            <v>22023.721232677646</v>
          </cell>
          <cell r="N107">
            <v>18881.310225146928</v>
          </cell>
          <cell r="O107">
            <v>21075.18483241029</v>
          </cell>
          <cell r="P107">
            <v>23352.583378003481</v>
          </cell>
          <cell r="Q107">
            <v>25666.045849742175</v>
          </cell>
          <cell r="R107">
            <v>23373.708416036498</v>
          </cell>
          <cell r="S107">
            <v>192109.50825535998</v>
          </cell>
        </row>
        <row r="108">
          <cell r="G108">
            <v>8190.6325019803116</v>
          </cell>
          <cell r="H108">
            <v>5891.1669054930062</v>
          </cell>
          <cell r="I108">
            <v>0</v>
          </cell>
          <cell r="J108">
            <v>0</v>
          </cell>
          <cell r="K108">
            <v>95368.121061577272</v>
          </cell>
          <cell r="L108">
            <v>88056.902292328028</v>
          </cell>
          <cell r="M108">
            <v>100060.18886567192</v>
          </cell>
          <cell r="N108">
            <v>85142.703497543029</v>
          </cell>
          <cell r="O108">
            <v>98823.038843680595</v>
          </cell>
          <cell r="P108">
            <v>89962.87052209492</v>
          </cell>
          <cell r="Q108">
            <v>99850.576121559439</v>
          </cell>
          <cell r="R108">
            <v>87140.485906864007</v>
          </cell>
          <cell r="S108">
            <v>758486.68651879241</v>
          </cell>
        </row>
        <row r="109">
          <cell r="G109">
            <v>8945.6449344476951</v>
          </cell>
          <cell r="H109">
            <v>7046.8503654222559</v>
          </cell>
          <cell r="I109">
            <v>0</v>
          </cell>
          <cell r="J109">
            <v>0</v>
          </cell>
          <cell r="K109">
            <v>10205.879754476653</v>
          </cell>
          <cell r="L109">
            <v>9761.2443083855815</v>
          </cell>
          <cell r="M109">
            <v>11148.066804713468</v>
          </cell>
          <cell r="N109">
            <v>9465.9133246280144</v>
          </cell>
          <cell r="O109">
            <v>11106.83628732433</v>
          </cell>
          <cell r="P109">
            <v>9515.755306298779</v>
          </cell>
          <cell r="Q109">
            <v>10597.790038831039</v>
          </cell>
          <cell r="R109">
            <v>10104.068688136193</v>
          </cell>
          <cell r="S109">
            <v>10183.072768916762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156329.35459848633</v>
          </cell>
          <cell r="L110">
            <v>146547.37478448282</v>
          </cell>
          <cell r="M110">
            <v>177057.46970369629</v>
          </cell>
          <cell r="N110">
            <v>140050.09314181635</v>
          </cell>
          <cell r="O110">
            <v>176150.39832113523</v>
          </cell>
          <cell r="P110">
            <v>141146.61673857315</v>
          </cell>
          <cell r="Q110">
            <v>164951.38085428294</v>
          </cell>
          <cell r="R110">
            <v>154089.5111389962</v>
          </cell>
          <cell r="S110">
            <v>1256322.1992814692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7105.8797544766521</v>
          </cell>
          <cell r="L111">
            <v>6661.2443083855824</v>
          </cell>
          <cell r="M111">
            <v>8048.0668047134677</v>
          </cell>
          <cell r="N111">
            <v>6365.9133246280153</v>
          </cell>
          <cell r="O111">
            <v>8006.8362873243277</v>
          </cell>
          <cell r="P111">
            <v>6415.7553062987799</v>
          </cell>
          <cell r="Q111">
            <v>7497.7900388310427</v>
          </cell>
          <cell r="R111">
            <v>7004.0686881361908</v>
          </cell>
          <cell r="S111">
            <v>7138.1943140992571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261449.91606959587</v>
          </cell>
          <cell r="L112">
            <v>247088.1911608543</v>
          </cell>
          <cell r="M112">
            <v>291882.557792245</v>
          </cell>
          <cell r="N112">
            <v>237549.00038548489</v>
          </cell>
          <cell r="O112">
            <v>290550.81208057585</v>
          </cell>
          <cell r="P112">
            <v>239158.89639345056</v>
          </cell>
          <cell r="Q112">
            <v>274108.61825424264</v>
          </cell>
          <cell r="R112">
            <v>251199.71530067315</v>
          </cell>
          <cell r="S112">
            <v>2092987.7074371225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G114">
            <v>110673.73000000001</v>
          </cell>
          <cell r="H114">
            <v>78486.41</v>
          </cell>
          <cell r="I114">
            <v>0</v>
          </cell>
          <cell r="J114">
            <v>0</v>
          </cell>
          <cell r="K114">
            <v>157814.19903545611</v>
          </cell>
          <cell r="L114">
            <v>142872.07919373701</v>
          </cell>
          <cell r="M114">
            <v>170103.14894194729</v>
          </cell>
          <cell r="N114">
            <v>144485.17674356877</v>
          </cell>
          <cell r="O114">
            <v>123536.89728939357</v>
          </cell>
          <cell r="P114">
            <v>146829.37314356433</v>
          </cell>
          <cell r="Q114">
            <v>163525.31333783481</v>
          </cell>
          <cell r="R114">
            <v>154313.37863269119</v>
          </cell>
          <cell r="S114">
            <v>1392639.7063181931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13553.408313944996</v>
          </cell>
          <cell r="L115">
            <v>12962.932441536057</v>
          </cell>
          <cell r="M115">
            <v>13570.913323604529</v>
          </cell>
          <cell r="N115">
            <v>12570.732895106003</v>
          </cell>
          <cell r="O115">
            <v>14749.878589566708</v>
          </cell>
          <cell r="P115">
            <v>13689.999967328511</v>
          </cell>
          <cell r="Q115">
            <v>16419.509366828894</v>
          </cell>
          <cell r="R115">
            <v>15654.570420819005</v>
          </cell>
          <cell r="S115">
            <v>113171.9453187347</v>
          </cell>
        </row>
        <row r="116"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5598.5635251678841</v>
          </cell>
          <cell r="L117">
            <v>4645.1174283115643</v>
          </cell>
          <cell r="M117">
            <v>4751.6497299082466</v>
          </cell>
          <cell r="N117">
            <v>5131.7555906805856</v>
          </cell>
          <cell r="O117">
            <v>7630.7297344804338</v>
          </cell>
          <cell r="P117">
            <v>6537.6093680864496</v>
          </cell>
          <cell r="Q117">
            <v>7280.9996903780884</v>
          </cell>
          <cell r="R117">
            <v>6941.798310810208</v>
          </cell>
          <cell r="S117">
            <v>48518.223377823466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16190.607642501762</v>
          </cell>
          <cell r="L118">
            <v>14613.884228894338</v>
          </cell>
          <cell r="M118">
            <v>15708.369332294926</v>
          </cell>
          <cell r="N118">
            <v>10820.801051826436</v>
          </cell>
          <cell r="O118">
            <v>13683.622305983574</v>
          </cell>
          <cell r="P118">
            <v>14246.354460903447</v>
          </cell>
          <cell r="Q118">
            <v>14932.992684048859</v>
          </cell>
          <cell r="R118">
            <v>13337.370668339772</v>
          </cell>
          <cell r="S118">
            <v>113534.00237479311</v>
          </cell>
        </row>
        <row r="119">
          <cell r="G119">
            <v>110673.73000000001</v>
          </cell>
          <cell r="H119">
            <v>78486.41</v>
          </cell>
          <cell r="I119">
            <v>0</v>
          </cell>
          <cell r="J119">
            <v>0</v>
          </cell>
          <cell r="K119">
            <v>193156.77851707075</v>
          </cell>
          <cell r="L119">
            <v>175094.01329247895</v>
          </cell>
          <cell r="M119">
            <v>204134.081327755</v>
          </cell>
          <cell r="N119">
            <v>173008.46628118178</v>
          </cell>
          <cell r="O119">
            <v>159601.12791942427</v>
          </cell>
          <cell r="P119">
            <v>181303.33693988272</v>
          </cell>
          <cell r="Q119">
            <v>202158.81507909065</v>
          </cell>
          <cell r="R119">
            <v>190247.11803266019</v>
          </cell>
          <cell r="S119">
            <v>1667863.8773895444</v>
          </cell>
        </row>
        <row r="120">
          <cell r="G120">
            <v>110673.73000000001</v>
          </cell>
          <cell r="H120">
            <v>78486.41</v>
          </cell>
          <cell r="I120">
            <v>0</v>
          </cell>
          <cell r="J120">
            <v>0</v>
          </cell>
          <cell r="K120">
            <v>454606.69458666665</v>
          </cell>
          <cell r="L120">
            <v>422182.20445333328</v>
          </cell>
          <cell r="M120">
            <v>496016.63912000001</v>
          </cell>
          <cell r="N120">
            <v>410557.46666666667</v>
          </cell>
          <cell r="O120">
            <v>450151.94000000012</v>
          </cell>
          <cell r="P120">
            <v>420462.23333333328</v>
          </cell>
          <cell r="Q120">
            <v>476267.43333333329</v>
          </cell>
          <cell r="R120">
            <v>441446.83333333337</v>
          </cell>
          <cell r="S120">
            <v>3760851.5848266669</v>
          </cell>
        </row>
        <row r="121">
          <cell r="G121">
            <v>8945.6449344476951</v>
          </cell>
          <cell r="H121">
            <v>7046.8503654222568</v>
          </cell>
          <cell r="I121" t="e">
            <v>#DIV/0!</v>
          </cell>
          <cell r="J121" t="e">
            <v>#DIV/0!</v>
          </cell>
          <cell r="K121">
            <v>8874.5253428702727</v>
          </cell>
          <cell r="L121">
            <v>8403.6973668646879</v>
          </cell>
          <cell r="M121">
            <v>9800.538030540336</v>
          </cell>
          <cell r="N121">
            <v>8117.4742219766713</v>
          </cell>
          <cell r="O121">
            <v>9645.5005107175712</v>
          </cell>
          <cell r="P121">
            <v>8187.6917326874154</v>
          </cell>
          <cell r="Q121">
            <v>9270.3106775341766</v>
          </cell>
          <cell r="R121">
            <v>8751.9608372468574</v>
          </cell>
          <cell r="S121">
            <v>8828.3028804305286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4270.5968102270417</v>
          </cell>
          <cell r="L122">
            <v>5737.8937823275701</v>
          </cell>
          <cell r="M122">
            <v>1161.3795444455536</v>
          </cell>
          <cell r="N122">
            <v>6712.4860287275551</v>
          </cell>
          <cell r="O122">
            <v>1297.4402518297211</v>
          </cell>
          <cell r="P122">
            <v>6548.0074892140292</v>
          </cell>
          <cell r="Q122">
            <v>2977.2928718575713</v>
          </cell>
          <cell r="R122">
            <v>4606.5733291505676</v>
          </cell>
          <cell r="S122">
            <v>33311.67010777961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G124">
            <v>80816.10250198032</v>
          </cell>
          <cell r="H124">
            <v>92233.556905492995</v>
          </cell>
          <cell r="I124">
            <v>0</v>
          </cell>
          <cell r="J124">
            <v>0</v>
          </cell>
          <cell r="K124">
            <v>82554.625258216663</v>
          </cell>
          <cell r="L124">
            <v>85096.627633620607</v>
          </cell>
          <cell r="M124">
            <v>69021.013938442047</v>
          </cell>
          <cell r="N124">
            <v>92984.409448326944</v>
          </cell>
          <cell r="O124">
            <v>50712.096296342308</v>
          </cell>
          <cell r="P124">
            <v>92151.491889004275</v>
          </cell>
          <cell r="Q124">
            <v>76774.047084148769</v>
          </cell>
          <cell r="R124">
            <v>83310.295560810511</v>
          </cell>
          <cell r="S124">
            <v>805654.26651638537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-273.40831394499583</v>
          </cell>
          <cell r="L125">
            <v>317.06755846394299</v>
          </cell>
          <cell r="M125">
            <v>-1397.5799902711969</v>
          </cell>
          <cell r="N125">
            <v>709.26710489399738</v>
          </cell>
          <cell r="O125">
            <v>-1469.8785895667079</v>
          </cell>
          <cell r="P125">
            <v>696.66669933815683</v>
          </cell>
          <cell r="Q125">
            <v>-926.17603349556157</v>
          </cell>
          <cell r="R125">
            <v>-161.23708748567333</v>
          </cell>
          <cell r="S125">
            <v>-2505.2786520680384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-207.03268110172212</v>
          </cell>
          <cell r="L128">
            <v>226.48364906543247</v>
          </cell>
          <cell r="M128">
            <v>-1024.9940432481853</v>
          </cell>
          <cell r="N128">
            <v>386.50072407752668</v>
          </cell>
          <cell r="O128">
            <v>-863.62746045626318</v>
          </cell>
          <cell r="P128">
            <v>459.35451644497698</v>
          </cell>
          <cell r="Q128">
            <v>-533.70694666835334</v>
          </cell>
          <cell r="R128">
            <v>-87.00142328185575</v>
          </cell>
          <cell r="S128">
            <v>-1644.0236651684436</v>
          </cell>
        </row>
        <row r="129">
          <cell r="G129">
            <v>80816.10250198032</v>
          </cell>
          <cell r="H129">
            <v>92233.556905492995</v>
          </cell>
          <cell r="I129">
            <v>0</v>
          </cell>
          <cell r="J129">
            <v>0</v>
          </cell>
          <cell r="K129">
            <v>82074.18426316994</v>
          </cell>
          <cell r="L129">
            <v>85640.178841149973</v>
          </cell>
          <cell r="M129">
            <v>66598.439904922663</v>
          </cell>
          <cell r="N129">
            <v>94080.17727729847</v>
          </cell>
          <cell r="O129">
            <v>48378.590246319334</v>
          </cell>
          <cell r="P129">
            <v>93307.513104787402</v>
          </cell>
          <cell r="Q129">
            <v>75314.164103984862</v>
          </cell>
          <cell r="R129">
            <v>83062.057050042989</v>
          </cell>
          <cell r="S129">
            <v>801504.96419914893</v>
          </cell>
        </row>
        <row r="130">
          <cell r="G130">
            <v>80816.10250198032</v>
          </cell>
          <cell r="H130">
            <v>92233.556905492995</v>
          </cell>
          <cell r="I130">
            <v>0</v>
          </cell>
          <cell r="J130">
            <v>0</v>
          </cell>
          <cell r="K130">
            <v>86344.781073396982</v>
          </cell>
          <cell r="L130">
            <v>91378.07262347755</v>
          </cell>
          <cell r="M130">
            <v>67759.819449368224</v>
          </cell>
          <cell r="N130">
            <v>100792.66330602602</v>
          </cell>
          <cell r="O130">
            <v>49676.030498149055</v>
          </cell>
          <cell r="P130">
            <v>99855.520594001428</v>
          </cell>
          <cell r="Q130">
            <v>78291.456975842433</v>
          </cell>
          <cell r="R130">
            <v>87668.63037919355</v>
          </cell>
          <cell r="S130">
            <v>834816.63430692849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33558.841718663418</v>
          </cell>
          <cell r="L131">
            <v>36671.289841300939</v>
          </cell>
          <cell r="M131">
            <v>26963.532367005726</v>
          </cell>
          <cell r="N131">
            <v>38738.606727603896</v>
          </cell>
          <cell r="O131">
            <v>27252.145988729695</v>
          </cell>
          <cell r="P131">
            <v>38389.712855908554</v>
          </cell>
          <cell r="Q131">
            <v>30815.469728182739</v>
          </cell>
          <cell r="R131">
            <v>30898.22250917249</v>
          </cell>
          <cell r="S131">
            <v>263287.82173656748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</row>
        <row r="133">
          <cell r="G133">
            <v>1423.1674980196894</v>
          </cell>
          <cell r="H133">
            <v>2886.8330945069938</v>
          </cell>
          <cell r="I133">
            <v>0</v>
          </cell>
          <cell r="J133">
            <v>0</v>
          </cell>
          <cell r="K133">
            <v>14330.6423729939</v>
          </cell>
          <cell r="L133">
            <v>12197.959839309035</v>
          </cell>
          <cell r="M133">
            <v>11210.770452944003</v>
          </cell>
          <cell r="N133">
            <v>12948.547141437617</v>
          </cell>
          <cell r="O133">
            <v>8265.0064142641204</v>
          </cell>
          <cell r="P133">
            <v>15212.468300764727</v>
          </cell>
          <cell r="Q133">
            <v>13893.972911349752</v>
          </cell>
          <cell r="R133">
            <v>13588.325806498302</v>
          </cell>
          <cell r="S133">
            <v>105957.69383208815</v>
          </cell>
        </row>
        <row r="134"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2629.874874832115</v>
          </cell>
          <cell r="L136">
            <v>2492.9849716884364</v>
          </cell>
          <cell r="M136">
            <v>1641.8126700917528</v>
          </cell>
          <cell r="N136">
            <v>3000.1944093194143</v>
          </cell>
          <cell r="O136">
            <v>2674.720265519567</v>
          </cell>
          <cell r="P136">
            <v>3767.8406319135511</v>
          </cell>
          <cell r="Q136">
            <v>3024.4503096219123</v>
          </cell>
          <cell r="R136">
            <v>3363.6516891897927</v>
          </cell>
          <cell r="S136">
            <v>22595.529822176541</v>
          </cell>
        </row>
        <row r="137"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2784.4250385999603</v>
          </cell>
          <cell r="L137">
            <v>2873.6321220402288</v>
          </cell>
          <cell r="M137">
            <v>1988.6247109532605</v>
          </cell>
          <cell r="N137">
            <v>2321.3648907627025</v>
          </cell>
          <cell r="O137">
            <v>1758.6718211393563</v>
          </cell>
          <cell r="P137">
            <v>3008.291022651576</v>
          </cell>
          <cell r="Q137">
            <v>2272.7142626194955</v>
          </cell>
          <cell r="R137">
            <v>2369.6307549420826</v>
          </cell>
          <cell r="S137">
            <v>19377.354623708663</v>
          </cell>
        </row>
        <row r="138">
          <cell r="G138">
            <v>1423.1674980196894</v>
          </cell>
          <cell r="H138">
            <v>2886.8330945069938</v>
          </cell>
          <cell r="I138">
            <v>0</v>
          </cell>
          <cell r="J138">
            <v>0</v>
          </cell>
          <cell r="K138">
            <v>19744.942286425976</v>
          </cell>
          <cell r="L138">
            <v>17564.576933037701</v>
          </cell>
          <cell r="M138">
            <v>14841.207833989018</v>
          </cell>
          <cell r="N138">
            <v>18270.106441519732</v>
          </cell>
          <cell r="O138">
            <v>12698.398500923044</v>
          </cell>
          <cell r="P138">
            <v>21988.599955329853</v>
          </cell>
          <cell r="Q138">
            <v>19191.137483591159</v>
          </cell>
          <cell r="R138">
            <v>19321.608250630175</v>
          </cell>
          <cell r="S138">
            <v>147930.57827797334</v>
          </cell>
        </row>
        <row r="139">
          <cell r="G139">
            <v>1423.1674980196894</v>
          </cell>
          <cell r="H139">
            <v>2886.8330945069938</v>
          </cell>
          <cell r="I139">
            <v>0</v>
          </cell>
          <cell r="J139">
            <v>0</v>
          </cell>
          <cell r="K139">
            <v>53303.784005089394</v>
          </cell>
          <cell r="L139">
            <v>54235.86677433864</v>
          </cell>
          <cell r="M139">
            <v>41804.74020099474</v>
          </cell>
          <cell r="N139">
            <v>57008.713169123628</v>
          </cell>
          <cell r="O139">
            <v>39950.544489652741</v>
          </cell>
          <cell r="P139">
            <v>60378.312811238407</v>
          </cell>
          <cell r="Q139">
            <v>50006.607211773895</v>
          </cell>
          <cell r="R139">
            <v>50219.830759802666</v>
          </cell>
          <cell r="S139">
            <v>411218.40001454082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41670.64540151367</v>
          </cell>
          <cell r="L140">
            <v>51452.625215517182</v>
          </cell>
          <cell r="M140">
            <v>20942.53029630371</v>
          </cell>
          <cell r="N140">
            <v>57949.906858183647</v>
          </cell>
          <cell r="O140">
            <v>21849.601678864768</v>
          </cell>
          <cell r="P140">
            <v>56853.383261426847</v>
          </cell>
          <cell r="Q140">
            <v>33048.619145717064</v>
          </cell>
          <cell r="R140">
            <v>43910.488861003803</v>
          </cell>
          <cell r="S140">
            <v>327677.80071853066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79500.083930404129</v>
          </cell>
          <cell r="L141">
            <v>93861.808839145699</v>
          </cell>
          <cell r="M141">
            <v>49067.44220775499</v>
          </cell>
          <cell r="N141">
            <v>103400.99961451509</v>
          </cell>
          <cell r="O141">
            <v>50399.187919424185</v>
          </cell>
          <cell r="P141">
            <v>101791.10360654943</v>
          </cell>
          <cell r="Q141">
            <v>66841.381745757375</v>
          </cell>
          <cell r="R141">
            <v>79415.284699326861</v>
          </cell>
          <cell r="S141">
            <v>624277.29256287776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</row>
        <row r="143">
          <cell r="G143">
            <v>82239.27</v>
          </cell>
          <cell r="H143">
            <v>95120.389999999985</v>
          </cell>
          <cell r="I143">
            <v>0</v>
          </cell>
          <cell r="J143">
            <v>0</v>
          </cell>
          <cell r="K143">
            <v>96885.267631210561</v>
          </cell>
          <cell r="L143">
            <v>97294.587472929648</v>
          </cell>
          <cell r="M143">
            <v>80231.784391386056</v>
          </cell>
          <cell r="N143">
            <v>105932.95658976457</v>
          </cell>
          <cell r="O143">
            <v>58977.102710606428</v>
          </cell>
          <cell r="P143">
            <v>107363.960189769</v>
          </cell>
          <cell r="Q143">
            <v>90668.019995498529</v>
          </cell>
          <cell r="R143">
            <v>96898.621367308806</v>
          </cell>
          <cell r="S143">
            <v>911611.96034847363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-273.40831394499583</v>
          </cell>
          <cell r="L144">
            <v>317.06755846394299</v>
          </cell>
          <cell r="M144">
            <v>-1397.5799902711969</v>
          </cell>
          <cell r="N144">
            <v>709.26710489399738</v>
          </cell>
          <cell r="O144">
            <v>-1469.8785895667079</v>
          </cell>
          <cell r="P144">
            <v>696.66669933815683</v>
          </cell>
          <cell r="Q144">
            <v>-926.17603349556157</v>
          </cell>
          <cell r="R144">
            <v>-161.23708748567333</v>
          </cell>
          <cell r="S144">
            <v>-2505.2786520680384</v>
          </cell>
        </row>
        <row r="145"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2629.874874832115</v>
          </cell>
          <cell r="L146">
            <v>2492.9849716884364</v>
          </cell>
          <cell r="M146">
            <v>1641.8126700917528</v>
          </cell>
          <cell r="N146">
            <v>3000.1944093194143</v>
          </cell>
          <cell r="O146">
            <v>2674.720265519567</v>
          </cell>
          <cell r="P146">
            <v>3767.8406319135511</v>
          </cell>
          <cell r="Q146">
            <v>3024.4503096219123</v>
          </cell>
          <cell r="R146">
            <v>3363.6516891897927</v>
          </cell>
          <cell r="S146">
            <v>22595.529822176541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2577.3923574982382</v>
          </cell>
          <cell r="L147">
            <v>3100.1157711056612</v>
          </cell>
          <cell r="M147">
            <v>963.63066770507521</v>
          </cell>
          <cell r="N147">
            <v>2707.8656148402292</v>
          </cell>
          <cell r="O147">
            <v>895.04436068309315</v>
          </cell>
          <cell r="P147">
            <v>3467.645539096553</v>
          </cell>
          <cell r="Q147">
            <v>1739.0073159511421</v>
          </cell>
          <cell r="R147">
            <v>2282.6293316602269</v>
          </cell>
          <cell r="S147">
            <v>17733.33095854022</v>
          </cell>
        </row>
        <row r="148">
          <cell r="G148">
            <v>82239.27</v>
          </cell>
          <cell r="H148">
            <v>95120.389999999985</v>
          </cell>
          <cell r="I148">
            <v>0</v>
          </cell>
          <cell r="J148">
            <v>0</v>
          </cell>
          <cell r="K148">
            <v>101819.12654959591</v>
          </cell>
          <cell r="L148">
            <v>103204.75577418768</v>
          </cell>
          <cell r="M148">
            <v>81439.647738911677</v>
          </cell>
          <cell r="N148">
            <v>112350.2837188182</v>
          </cell>
          <cell r="O148">
            <v>61076.98874724238</v>
          </cell>
          <cell r="P148">
            <v>115296.11306011726</v>
          </cell>
          <cell r="Q148">
            <v>94505.301587576017</v>
          </cell>
          <cell r="R148">
            <v>102383.66530067315</v>
          </cell>
          <cell r="S148">
            <v>949435.54247712239</v>
          </cell>
        </row>
        <row r="149">
          <cell r="G149">
            <v>82239.27</v>
          </cell>
          <cell r="H149">
            <v>95120.389999999985</v>
          </cell>
          <cell r="I149">
            <v>0</v>
          </cell>
          <cell r="J149">
            <v>0</v>
          </cell>
          <cell r="K149">
            <v>181319.21048000004</v>
          </cell>
          <cell r="L149">
            <v>197066.56461333338</v>
          </cell>
          <cell r="M149">
            <v>130507.08994666667</v>
          </cell>
          <cell r="N149">
            <v>215751.2833333333</v>
          </cell>
          <cell r="O149">
            <v>111476.17666666656</v>
          </cell>
          <cell r="P149">
            <v>217087.21666666667</v>
          </cell>
          <cell r="Q149">
            <v>161346.68333333341</v>
          </cell>
          <cell r="R149">
            <v>181798.95</v>
          </cell>
          <cell r="S149">
            <v>1573712.8350400003</v>
          </cell>
          <cell r="T149">
            <v>1573712.8350399998</v>
          </cell>
        </row>
        <row r="150">
          <cell r="G150">
            <v>0</v>
          </cell>
          <cell r="H150">
            <v>0</v>
          </cell>
          <cell r="I150">
            <v>38227.43</v>
          </cell>
          <cell r="J150">
            <v>38227.43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76454.86</v>
          </cell>
        </row>
        <row r="151">
          <cell r="G151"/>
          <cell r="H151"/>
          <cell r="I151">
            <v>41897.1</v>
          </cell>
          <cell r="J151">
            <v>44590.06</v>
          </cell>
          <cell r="K151"/>
          <cell r="L151"/>
          <cell r="M151"/>
          <cell r="N151"/>
          <cell r="O151"/>
          <cell r="P151"/>
          <cell r="Q151"/>
          <cell r="R151"/>
          <cell r="S151">
            <v>86487.16</v>
          </cell>
          <cell r="T151"/>
        </row>
        <row r="152">
          <cell r="G152">
            <v>0</v>
          </cell>
          <cell r="H152">
            <v>0</v>
          </cell>
          <cell r="I152">
            <v>80124.53</v>
          </cell>
          <cell r="J152">
            <v>82817.489999999991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162942.01999999999</v>
          </cell>
        </row>
        <row r="153"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4270.5968102270417</v>
          </cell>
          <cell r="L153">
            <v>5737.8937823275701</v>
          </cell>
          <cell r="M153">
            <v>1161.3795444455536</v>
          </cell>
          <cell r="N153">
            <v>6712.4860287275551</v>
          </cell>
          <cell r="O153">
            <v>1297.4402518297211</v>
          </cell>
          <cell r="P153">
            <v>6548.0074892140292</v>
          </cell>
          <cell r="Q153">
            <v>2977.2928718575713</v>
          </cell>
          <cell r="R153">
            <v>4606.5733291505676</v>
          </cell>
          <cell r="S153">
            <v>33311.67010777961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G155">
            <v>80816.10250198032</v>
          </cell>
          <cell r="H155">
            <v>92233.556905492995</v>
          </cell>
          <cell r="I155">
            <v>0</v>
          </cell>
          <cell r="J155">
            <v>0</v>
          </cell>
          <cell r="K155">
            <v>82554.625258216663</v>
          </cell>
          <cell r="L155">
            <v>85096.627633620607</v>
          </cell>
          <cell r="M155">
            <v>69021.013938442047</v>
          </cell>
          <cell r="N155">
            <v>92984.409448326944</v>
          </cell>
          <cell r="O155">
            <v>50712.096296342308</v>
          </cell>
          <cell r="P155">
            <v>92151.491889004275</v>
          </cell>
          <cell r="Q155">
            <v>76774.047084148769</v>
          </cell>
          <cell r="R155">
            <v>83310.295560810511</v>
          </cell>
          <cell r="S155">
            <v>805654.26651638537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-273.40831394499583</v>
          </cell>
          <cell r="L156">
            <v>317.06755846394299</v>
          </cell>
          <cell r="M156">
            <v>-1397.5799902711969</v>
          </cell>
          <cell r="N156">
            <v>709.26710489399738</v>
          </cell>
          <cell r="O156">
            <v>-1469.8785895667079</v>
          </cell>
          <cell r="P156">
            <v>696.66669933815683</v>
          </cell>
          <cell r="Q156">
            <v>-926.17603349556157</v>
          </cell>
          <cell r="R156">
            <v>-161.23708748567333</v>
          </cell>
          <cell r="S156">
            <v>-2505.2786520680384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59"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-207.03268110172212</v>
          </cell>
          <cell r="L159">
            <v>226.48364906543247</v>
          </cell>
          <cell r="M159">
            <v>-1024.9940432481853</v>
          </cell>
          <cell r="N159">
            <v>386.50072407752668</v>
          </cell>
          <cell r="O159">
            <v>-863.62746045626318</v>
          </cell>
          <cell r="P159">
            <v>459.35451644497698</v>
          </cell>
          <cell r="Q159">
            <v>-533.70694666835334</v>
          </cell>
          <cell r="R159">
            <v>-87.00142328185575</v>
          </cell>
          <cell r="S159">
            <v>-1644.0236651684436</v>
          </cell>
        </row>
        <row r="160">
          <cell r="G160">
            <v>80816.10250198032</v>
          </cell>
          <cell r="H160">
            <v>92233.556905492995</v>
          </cell>
          <cell r="I160">
            <v>0</v>
          </cell>
          <cell r="J160">
            <v>0</v>
          </cell>
          <cell r="K160">
            <v>82074.18426316994</v>
          </cell>
          <cell r="L160">
            <v>85640.178841149973</v>
          </cell>
          <cell r="M160">
            <v>66598.439904922663</v>
          </cell>
          <cell r="N160">
            <v>94080.17727729847</v>
          </cell>
          <cell r="O160">
            <v>48378.590246319334</v>
          </cell>
          <cell r="P160">
            <v>93307.513104787402</v>
          </cell>
          <cell r="Q160">
            <v>75314.164103984862</v>
          </cell>
          <cell r="R160">
            <v>83062.057050042989</v>
          </cell>
          <cell r="S160">
            <v>801504.96419914893</v>
          </cell>
        </row>
        <row r="161">
          <cell r="G161">
            <v>80816.10250198032</v>
          </cell>
          <cell r="H161">
            <v>92233.556905492995</v>
          </cell>
          <cell r="I161">
            <v>0</v>
          </cell>
          <cell r="J161">
            <v>0</v>
          </cell>
          <cell r="K161">
            <v>86344.781073396982</v>
          </cell>
          <cell r="L161">
            <v>91378.07262347755</v>
          </cell>
          <cell r="M161">
            <v>67759.819449368224</v>
          </cell>
          <cell r="N161">
            <v>100792.66330602602</v>
          </cell>
          <cell r="O161">
            <v>49676.030498149055</v>
          </cell>
          <cell r="P161">
            <v>99855.520594001428</v>
          </cell>
          <cell r="Q161">
            <v>78291.456975842433</v>
          </cell>
          <cell r="R161">
            <v>87668.63037919355</v>
          </cell>
          <cell r="S161">
            <v>834816.63430692849</v>
          </cell>
        </row>
        <row r="162"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33558.841718663418</v>
          </cell>
          <cell r="L162">
            <v>36671.289841300939</v>
          </cell>
          <cell r="M162">
            <v>26963.532367005726</v>
          </cell>
          <cell r="N162">
            <v>38738.606727603896</v>
          </cell>
          <cell r="O162">
            <v>27252.145988729695</v>
          </cell>
          <cell r="P162">
            <v>38389.712855908554</v>
          </cell>
          <cell r="Q162">
            <v>30815.469728182739</v>
          </cell>
          <cell r="R162">
            <v>30898.22250917249</v>
          </cell>
          <cell r="S162">
            <v>263287.82173656748</v>
          </cell>
        </row>
        <row r="163"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</row>
        <row r="164">
          <cell r="G164">
            <v>1423.1674980196894</v>
          </cell>
          <cell r="H164">
            <v>2886.8330945069938</v>
          </cell>
          <cell r="I164">
            <v>0</v>
          </cell>
          <cell r="J164">
            <v>0</v>
          </cell>
          <cell r="K164">
            <v>14330.6423729939</v>
          </cell>
          <cell r="L164">
            <v>12197.959839309035</v>
          </cell>
          <cell r="M164">
            <v>11210.770452944003</v>
          </cell>
          <cell r="N164">
            <v>12948.547141437617</v>
          </cell>
          <cell r="O164">
            <v>8265.0064142641204</v>
          </cell>
          <cell r="P164">
            <v>15212.468300764727</v>
          </cell>
          <cell r="Q164">
            <v>13893.972911349752</v>
          </cell>
          <cell r="R164">
            <v>13588.325806498302</v>
          </cell>
          <cell r="S164">
            <v>105957.69383208815</v>
          </cell>
        </row>
        <row r="165"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2629.874874832115</v>
          </cell>
          <cell r="L167">
            <v>2492.9849716884364</v>
          </cell>
          <cell r="M167">
            <v>1641.8126700917528</v>
          </cell>
          <cell r="N167">
            <v>3000.1944093194143</v>
          </cell>
          <cell r="O167">
            <v>2674.720265519567</v>
          </cell>
          <cell r="P167">
            <v>3767.8406319135511</v>
          </cell>
          <cell r="Q167">
            <v>3024.4503096219123</v>
          </cell>
          <cell r="R167">
            <v>3363.6516891897927</v>
          </cell>
          <cell r="S167">
            <v>22595.529822176541</v>
          </cell>
        </row>
        <row r="168"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2784.4250385999603</v>
          </cell>
          <cell r="L168">
            <v>2873.6321220402288</v>
          </cell>
          <cell r="M168">
            <v>1988.6247109532605</v>
          </cell>
          <cell r="N168">
            <v>2321.3648907627025</v>
          </cell>
          <cell r="O168">
            <v>1758.6718211393563</v>
          </cell>
          <cell r="P168">
            <v>3008.291022651576</v>
          </cell>
          <cell r="Q168">
            <v>2272.7142626194955</v>
          </cell>
          <cell r="R168">
            <v>2369.6307549420826</v>
          </cell>
          <cell r="S168">
            <v>19377.354623708663</v>
          </cell>
        </row>
        <row r="169">
          <cell r="G169">
            <v>1423.1674980196894</v>
          </cell>
          <cell r="H169">
            <v>2886.8330945069938</v>
          </cell>
          <cell r="I169">
            <v>0</v>
          </cell>
          <cell r="J169">
            <v>0</v>
          </cell>
          <cell r="K169">
            <v>19744.942286425976</v>
          </cell>
          <cell r="L169">
            <v>17564.576933037701</v>
          </cell>
          <cell r="M169">
            <v>14841.207833989018</v>
          </cell>
          <cell r="N169">
            <v>18270.106441519732</v>
          </cell>
          <cell r="O169">
            <v>12698.398500923044</v>
          </cell>
          <cell r="P169">
            <v>21988.599955329853</v>
          </cell>
          <cell r="Q169">
            <v>19191.137483591159</v>
          </cell>
          <cell r="R169">
            <v>19321.608250630175</v>
          </cell>
          <cell r="S169">
            <v>147930.57827797334</v>
          </cell>
        </row>
        <row r="170">
          <cell r="G170">
            <v>1423.1674980196894</v>
          </cell>
          <cell r="H170">
            <v>2886.8330945069938</v>
          </cell>
          <cell r="I170">
            <v>0</v>
          </cell>
          <cell r="J170">
            <v>0</v>
          </cell>
          <cell r="K170">
            <v>53303.784005089394</v>
          </cell>
          <cell r="L170">
            <v>54235.86677433864</v>
          </cell>
          <cell r="M170">
            <v>41804.74020099474</v>
          </cell>
          <cell r="N170">
            <v>57008.713169123628</v>
          </cell>
          <cell r="O170">
            <v>39950.544489652741</v>
          </cell>
          <cell r="P170">
            <v>60378.312811238407</v>
          </cell>
          <cell r="Q170">
            <v>50006.607211773895</v>
          </cell>
          <cell r="R170">
            <v>50219.830759802666</v>
          </cell>
          <cell r="S170">
            <v>411218.40001454082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41670.64540151367</v>
          </cell>
          <cell r="L171">
            <v>51452.625215517182</v>
          </cell>
          <cell r="M171">
            <v>20942.53029630371</v>
          </cell>
          <cell r="N171">
            <v>57949.906858183647</v>
          </cell>
          <cell r="O171">
            <v>21849.601678864768</v>
          </cell>
          <cell r="P171">
            <v>56853.383261426847</v>
          </cell>
          <cell r="Q171">
            <v>33048.619145717064</v>
          </cell>
          <cell r="R171">
            <v>43910.488861003803</v>
          </cell>
          <cell r="S171">
            <v>327677.80071853066</v>
          </cell>
        </row>
        <row r="172">
          <cell r="G172">
            <v>0</v>
          </cell>
          <cell r="H172">
            <v>0</v>
          </cell>
          <cell r="I172">
            <v>-80124.53</v>
          </cell>
          <cell r="J172">
            <v>-82817.489999999991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-162942.01999999999</v>
          </cell>
          <cell r="T172"/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79500.083930404129</v>
          </cell>
          <cell r="L173">
            <v>93861.808839145699</v>
          </cell>
          <cell r="M173">
            <v>49067.44220775499</v>
          </cell>
          <cell r="N173">
            <v>103400.99961451509</v>
          </cell>
          <cell r="O173">
            <v>50399.187919424185</v>
          </cell>
          <cell r="P173">
            <v>101791.10360654943</v>
          </cell>
          <cell r="Q173">
            <v>66841.381745757375</v>
          </cell>
          <cell r="R173">
            <v>79415.284699326861</v>
          </cell>
          <cell r="S173">
            <v>624277.29256287776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G175">
            <v>82239.27</v>
          </cell>
          <cell r="H175">
            <v>95120.389999999985</v>
          </cell>
          <cell r="I175">
            <v>0</v>
          </cell>
          <cell r="J175">
            <v>0</v>
          </cell>
          <cell r="K175">
            <v>96885.267631210561</v>
          </cell>
          <cell r="L175">
            <v>97294.587472929648</v>
          </cell>
          <cell r="M175">
            <v>80231.784391386056</v>
          </cell>
          <cell r="N175">
            <v>105932.95658976457</v>
          </cell>
          <cell r="O175">
            <v>58977.102710606428</v>
          </cell>
          <cell r="P175">
            <v>107363.960189769</v>
          </cell>
          <cell r="Q175">
            <v>90668.019995498529</v>
          </cell>
          <cell r="R175">
            <v>96898.621367308806</v>
          </cell>
          <cell r="S175">
            <v>911611.96034847363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-273.40831394499583</v>
          </cell>
          <cell r="L176">
            <v>317.06755846394299</v>
          </cell>
          <cell r="M176">
            <v>-1397.5799902711969</v>
          </cell>
          <cell r="N176">
            <v>709.26710489399738</v>
          </cell>
          <cell r="O176">
            <v>-1469.8785895667079</v>
          </cell>
          <cell r="P176">
            <v>696.66669933815683</v>
          </cell>
          <cell r="Q176">
            <v>-926.17603349556157</v>
          </cell>
          <cell r="R176">
            <v>-161.23708748567333</v>
          </cell>
          <cell r="S176">
            <v>-2505.2786520680384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2629.874874832115</v>
          </cell>
          <cell r="L178">
            <v>2492.9849716884364</v>
          </cell>
          <cell r="M178">
            <v>1641.8126700917528</v>
          </cell>
          <cell r="N178">
            <v>3000.1944093194143</v>
          </cell>
          <cell r="O178">
            <v>2674.720265519567</v>
          </cell>
          <cell r="P178">
            <v>3767.8406319135511</v>
          </cell>
          <cell r="Q178">
            <v>3024.4503096219123</v>
          </cell>
          <cell r="R178">
            <v>3363.6516891897927</v>
          </cell>
          <cell r="S178">
            <v>22595.529822176541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2577.3923574982382</v>
          </cell>
          <cell r="L179">
            <v>3100.1157711056612</v>
          </cell>
          <cell r="M179">
            <v>963.63066770507521</v>
          </cell>
          <cell r="N179">
            <v>2707.8656148402292</v>
          </cell>
          <cell r="O179">
            <v>895.04436068309315</v>
          </cell>
          <cell r="P179">
            <v>3467.645539096553</v>
          </cell>
          <cell r="Q179">
            <v>1739.0073159511421</v>
          </cell>
          <cell r="R179">
            <v>2282.6293316602269</v>
          </cell>
          <cell r="S179">
            <v>17733.33095854022</v>
          </cell>
        </row>
        <row r="180">
          <cell r="G180">
            <v>82239.27</v>
          </cell>
          <cell r="H180">
            <v>95120.389999999985</v>
          </cell>
          <cell r="I180">
            <v>0</v>
          </cell>
          <cell r="J180">
            <v>0</v>
          </cell>
          <cell r="K180">
            <v>101819.12654959591</v>
          </cell>
          <cell r="L180">
            <v>103204.75577418768</v>
          </cell>
          <cell r="M180">
            <v>81439.647738911677</v>
          </cell>
          <cell r="N180">
            <v>112350.2837188182</v>
          </cell>
          <cell r="O180">
            <v>61076.98874724238</v>
          </cell>
          <cell r="P180">
            <v>115296.11306011726</v>
          </cell>
          <cell r="Q180">
            <v>94505.301587576017</v>
          </cell>
          <cell r="R180">
            <v>102383.66530067315</v>
          </cell>
          <cell r="S180">
            <v>949435.54247712239</v>
          </cell>
        </row>
        <row r="181">
          <cell r="G181">
            <v>0</v>
          </cell>
          <cell r="H181">
            <v>0</v>
          </cell>
          <cell r="I181">
            <v>-80124.53</v>
          </cell>
          <cell r="J181">
            <v>-82817.489999999991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-162942.01999999999</v>
          </cell>
          <cell r="T181"/>
        </row>
        <row r="182">
          <cell r="G182">
            <v>82239.27</v>
          </cell>
          <cell r="H182">
            <v>95120.389999999985</v>
          </cell>
          <cell r="I182">
            <v>-80124.53</v>
          </cell>
          <cell r="J182">
            <v>-82817.489999999991</v>
          </cell>
          <cell r="K182">
            <v>181319.21048000004</v>
          </cell>
          <cell r="L182">
            <v>197066.56461333338</v>
          </cell>
          <cell r="M182">
            <v>130507.08994666667</v>
          </cell>
          <cell r="N182">
            <v>215751.2833333333</v>
          </cell>
          <cell r="O182">
            <v>111476.17666666656</v>
          </cell>
          <cell r="P182">
            <v>217087.21666666667</v>
          </cell>
          <cell r="Q182">
            <v>161346.68333333341</v>
          </cell>
          <cell r="R182">
            <v>181798.95</v>
          </cell>
          <cell r="S182">
            <v>1410770.8150399998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793.99831909725128</v>
          </cell>
          <cell r="L183">
            <v>809.61912190056853</v>
          </cell>
          <cell r="M183">
            <v>807.26683749400922</v>
          </cell>
          <cell r="N183">
            <v>807.81218984994439</v>
          </cell>
          <cell r="O183">
            <v>2348.5661753335808</v>
          </cell>
          <cell r="P183">
            <v>2134.3795434330341</v>
          </cell>
          <cell r="Q183">
            <v>2140.1315586547666</v>
          </cell>
          <cell r="R183">
            <v>2179.8370406046706</v>
          </cell>
          <cell r="S183">
            <v>12021.610786367826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</row>
        <row r="185">
          <cell r="G185">
            <v>11348.805700137051</v>
          </cell>
          <cell r="H185">
            <v>11335.904110580386</v>
          </cell>
          <cell r="I185">
            <v>0</v>
          </cell>
          <cell r="J185">
            <v>0</v>
          </cell>
          <cell r="K185">
            <v>3428.1478940901929</v>
          </cell>
          <cell r="L185">
            <v>3346.425703855683</v>
          </cell>
          <cell r="M185">
            <v>3479.9234811746801</v>
          </cell>
          <cell r="N185">
            <v>3483.547273643821</v>
          </cell>
          <cell r="O185">
            <v>7375.8262724244005</v>
          </cell>
          <cell r="P185">
            <v>9191.8025210463347</v>
          </cell>
          <cell r="Q185">
            <v>9216.5738360539635</v>
          </cell>
          <cell r="R185">
            <v>9333.7539480856813</v>
          </cell>
          <cell r="S185">
            <v>71540.710741092204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319.52417204883324</v>
          </cell>
          <cell r="L186">
            <v>325.81036178301667</v>
          </cell>
          <cell r="M186">
            <v>297.79176672001222</v>
          </cell>
          <cell r="N186">
            <v>325.0832085214322</v>
          </cell>
          <cell r="O186">
            <v>945.11996389181684</v>
          </cell>
          <cell r="P186">
            <v>930.50324337949246</v>
          </cell>
          <cell r="Q186">
            <v>1004.7809580431672</v>
          </cell>
          <cell r="R186">
            <v>1023.42248128591</v>
          </cell>
          <cell r="S186">
            <v>5172.0361556736807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241.9529423285442</v>
          </cell>
          <cell r="L189">
            <v>232.72869667723614</v>
          </cell>
          <cell r="M189">
            <v>218.40237348928829</v>
          </cell>
          <cell r="N189">
            <v>177.14750143073022</v>
          </cell>
          <cell r="O189">
            <v>555.3054245677622</v>
          </cell>
          <cell r="P189">
            <v>613.53710148502307</v>
          </cell>
          <cell r="Q189">
            <v>579.00286532332598</v>
          </cell>
          <cell r="R189">
            <v>552.22538361984994</v>
          </cell>
          <cell r="S189">
            <v>3170.30228892176</v>
          </cell>
        </row>
        <row r="190">
          <cell r="G190">
            <v>11348.805700137051</v>
          </cell>
          <cell r="H190">
            <v>11335.904110580386</v>
          </cell>
          <cell r="I190">
            <v>0</v>
          </cell>
          <cell r="J190">
            <v>0</v>
          </cell>
          <cell r="K190">
            <v>3989.6250084675708</v>
          </cell>
          <cell r="L190">
            <v>3904.9647623159358</v>
          </cell>
          <cell r="M190">
            <v>3996.1176213839808</v>
          </cell>
          <cell r="N190">
            <v>3985.7779835959832</v>
          </cell>
          <cell r="O190">
            <v>8876.2516608839796</v>
          </cell>
          <cell r="P190">
            <v>10735.84286591085</v>
          </cell>
          <cell r="Q190">
            <v>10800.357659420457</v>
          </cell>
          <cell r="R190">
            <v>10909.401812991442</v>
          </cell>
          <cell r="S190">
            <v>79883.049185687632</v>
          </cell>
        </row>
        <row r="191">
          <cell r="G191">
            <v>11348.805700137051</v>
          </cell>
          <cell r="H191">
            <v>11335.904110580386</v>
          </cell>
          <cell r="I191">
            <v>0</v>
          </cell>
          <cell r="J191">
            <v>0</v>
          </cell>
          <cell r="K191">
            <v>4783.6233275648219</v>
          </cell>
          <cell r="L191">
            <v>4714.583884216504</v>
          </cell>
          <cell r="M191">
            <v>4803.3844588779903</v>
          </cell>
          <cell r="N191">
            <v>4793.5901734459276</v>
          </cell>
          <cell r="O191">
            <v>11224.81783621756</v>
          </cell>
          <cell r="P191">
            <v>12870.222409343885</v>
          </cell>
          <cell r="Q191">
            <v>12940.489218075223</v>
          </cell>
          <cell r="R191">
            <v>13089.238853596113</v>
          </cell>
          <cell r="S191">
            <v>91904.659972055466</v>
          </cell>
        </row>
        <row r="192">
          <cell r="G192">
            <v>990.62566122597809</v>
          </cell>
          <cell r="H192">
            <v>1100.3809150420691</v>
          </cell>
          <cell r="I192">
            <v>0</v>
          </cell>
          <cell r="J192">
            <v>0</v>
          </cell>
          <cell r="K192">
            <v>240.60555124159129</v>
          </cell>
          <cell r="L192">
            <v>245.33912784865711</v>
          </cell>
          <cell r="M192">
            <v>244.62631439212399</v>
          </cell>
          <cell r="N192">
            <v>244.79157268180134</v>
          </cell>
          <cell r="O192">
            <v>711.68671979805481</v>
          </cell>
          <cell r="P192">
            <v>646.78167982819207</v>
          </cell>
          <cell r="Q192">
            <v>648.52471474386869</v>
          </cell>
          <cell r="R192">
            <v>660.55667897111232</v>
          </cell>
          <cell r="S192">
            <v>523.63051054931202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1684.2388586911393</v>
          </cell>
          <cell r="L193">
            <v>1717.3738949405997</v>
          </cell>
          <cell r="M193">
            <v>1712.3842007448677</v>
          </cell>
          <cell r="N193">
            <v>1713.5410087726093</v>
          </cell>
          <cell r="O193">
            <v>4981.8070385863848</v>
          </cell>
          <cell r="P193">
            <v>4527.4717587973446</v>
          </cell>
          <cell r="Q193">
            <v>4539.67300320708</v>
          </cell>
          <cell r="R193">
            <v>4168.7732009866895</v>
          </cell>
          <cell r="S193">
            <v>25045.262964726713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G195">
            <v>907.01685541850577</v>
          </cell>
          <cell r="H195">
            <v>919.91844497516956</v>
          </cell>
          <cell r="I195">
            <v>0</v>
          </cell>
          <cell r="J195">
            <v>0</v>
          </cell>
          <cell r="K195">
            <v>292.35178512861626</v>
          </cell>
          <cell r="L195">
            <v>244.52133075582825</v>
          </cell>
          <cell r="M195">
            <v>252.71529118802351</v>
          </cell>
          <cell r="N195">
            <v>252.88601401847953</v>
          </cell>
          <cell r="O195">
            <v>539.98043720144415</v>
          </cell>
          <cell r="P195">
            <v>788.12503625997954</v>
          </cell>
          <cell r="Q195">
            <v>790.24898240589528</v>
          </cell>
          <cell r="R195">
            <v>754.53187583273598</v>
          </cell>
          <cell r="S195">
            <v>5742.2960531846784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131.9871971392985</v>
          </cell>
          <cell r="L198">
            <v>116.75038782069375</v>
          </cell>
          <cell r="M198">
            <v>104.2672762077749</v>
          </cell>
          <cell r="N198">
            <v>132.70885529798494</v>
          </cell>
          <cell r="O198">
            <v>488.95012710285761</v>
          </cell>
          <cell r="P198">
            <v>444.35841749236278</v>
          </cell>
          <cell r="Q198">
            <v>445.55593477048001</v>
          </cell>
          <cell r="R198">
            <v>453.82225515352332</v>
          </cell>
          <cell r="S198">
            <v>2318.400450984976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139.74370416111626</v>
          </cell>
          <cell r="L199">
            <v>134.57668959591672</v>
          </cell>
          <cell r="M199">
            <v>126.29241191017387</v>
          </cell>
          <cell r="N199">
            <v>102.68190502092625</v>
          </cell>
          <cell r="O199">
            <v>321.49261422344136</v>
          </cell>
          <cell r="P199">
            <v>354.78131077509096</v>
          </cell>
          <cell r="Q199">
            <v>334.81169273176789</v>
          </cell>
          <cell r="R199">
            <v>319.70943262201837</v>
          </cell>
          <cell r="S199">
            <v>1834.0897610404515</v>
          </cell>
        </row>
        <row r="200">
          <cell r="G200">
            <v>907.01685541850577</v>
          </cell>
          <cell r="H200">
            <v>919.91844497516956</v>
          </cell>
          <cell r="I200">
            <v>0</v>
          </cell>
          <cell r="J200">
            <v>0</v>
          </cell>
          <cell r="K200">
            <v>564.08268642903101</v>
          </cell>
          <cell r="L200">
            <v>495.84840817243872</v>
          </cell>
          <cell r="M200">
            <v>483.27497930597229</v>
          </cell>
          <cell r="N200">
            <v>488.27677433739075</v>
          </cell>
          <cell r="O200">
            <v>1350.4231785277429</v>
          </cell>
          <cell r="P200">
            <v>1587.2647645274333</v>
          </cell>
          <cell r="Q200">
            <v>1570.6166099081431</v>
          </cell>
          <cell r="R200">
            <v>1528.0635636082777</v>
          </cell>
          <cell r="S200">
            <v>9894.7862652101066</v>
          </cell>
        </row>
        <row r="201">
          <cell r="G201">
            <v>907.01685541850577</v>
          </cell>
          <cell r="H201">
            <v>919.91844497516956</v>
          </cell>
          <cell r="I201">
            <v>0</v>
          </cell>
          <cell r="J201">
            <v>0</v>
          </cell>
          <cell r="K201">
            <v>2248.3215451201704</v>
          </cell>
          <cell r="L201">
            <v>2213.2223031130384</v>
          </cell>
          <cell r="M201">
            <v>2195.65918005084</v>
          </cell>
          <cell r="N201">
            <v>2201.8177831100002</v>
          </cell>
          <cell r="O201">
            <v>6332.2302171141273</v>
          </cell>
          <cell r="P201">
            <v>6114.7365233247783</v>
          </cell>
          <cell r="Q201">
            <v>6110.2896131152229</v>
          </cell>
          <cell r="R201">
            <v>5696.8367645949675</v>
          </cell>
          <cell r="S201">
            <v>34940.04922993682</v>
          </cell>
        </row>
        <row r="202">
          <cell r="G202">
            <v>990.62566122597809</v>
          </cell>
          <cell r="H202">
            <v>1100.3809150420689</v>
          </cell>
          <cell r="I202">
            <v>0</v>
          </cell>
          <cell r="J202">
            <v>0</v>
          </cell>
          <cell r="K202">
            <v>240.60555124159134</v>
          </cell>
          <cell r="L202">
            <v>245.33912784865711</v>
          </cell>
          <cell r="M202">
            <v>244.62631439212396</v>
          </cell>
          <cell r="N202">
            <v>244.79157268180131</v>
          </cell>
          <cell r="O202">
            <v>711.68671979805492</v>
          </cell>
          <cell r="P202">
            <v>646.78167982819207</v>
          </cell>
          <cell r="Q202">
            <v>648.52471474386857</v>
          </cell>
          <cell r="R202">
            <v>660.55667897111232</v>
          </cell>
          <cell r="S202">
            <v>469.08808049218862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5293.3221273150093</v>
          </cell>
          <cell r="L203">
            <v>5397.4608126704561</v>
          </cell>
          <cell r="M203">
            <v>5381.7789166267285</v>
          </cell>
          <cell r="N203">
            <v>5385.4145989996296</v>
          </cell>
          <cell r="O203">
            <v>15657.107835557206</v>
          </cell>
          <cell r="P203">
            <v>14229.196956220227</v>
          </cell>
          <cell r="Q203">
            <v>14267.543724365112</v>
          </cell>
          <cell r="R203">
            <v>14532.246937364471</v>
          </cell>
          <cell r="S203">
            <v>80144.071909118837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240.60555124159131</v>
          </cell>
          <cell r="L204">
            <v>245.33912784865711</v>
          </cell>
          <cell r="M204">
            <v>244.62631439212399</v>
          </cell>
          <cell r="N204">
            <v>244.79157268180134</v>
          </cell>
          <cell r="O204">
            <v>711.68671979805481</v>
          </cell>
          <cell r="P204">
            <v>646.78167982819207</v>
          </cell>
          <cell r="Q204">
            <v>648.52471474386869</v>
          </cell>
          <cell r="R204">
            <v>660.55667897111232</v>
          </cell>
          <cell r="S204">
            <v>455.36404493817525</v>
          </cell>
        </row>
        <row r="205">
          <cell r="G205">
            <v>0</v>
          </cell>
          <cell r="H205">
            <v>0</v>
          </cell>
          <cell r="I205">
            <v>12255.822555555556</v>
          </cell>
          <cell r="J205">
            <v>12255.822555555556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24511.645111111113</v>
          </cell>
          <cell r="T205"/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7771.5593051033993</v>
          </cell>
          <cell r="L206">
            <v>7924.4538295116245</v>
          </cell>
          <cell r="M206">
            <v>7901.4299548656054</v>
          </cell>
          <cell r="N206">
            <v>7906.767797622183</v>
          </cell>
          <cell r="O206">
            <v>22987.481049477174</v>
          </cell>
          <cell r="P206">
            <v>20891.048258450606</v>
          </cell>
          <cell r="Q206">
            <v>20947.348286226959</v>
          </cell>
          <cell r="R206">
            <v>20880.85717895583</v>
          </cell>
          <cell r="S206">
            <v>117210.94566021339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08">
          <cell r="G208">
            <v>12255.822555555556</v>
          </cell>
          <cell r="H208">
            <v>12255.822555555556</v>
          </cell>
          <cell r="I208">
            <v>0</v>
          </cell>
          <cell r="J208">
            <v>0</v>
          </cell>
          <cell r="K208">
            <v>3720.4996792188094</v>
          </cell>
          <cell r="L208">
            <v>3590.9470346115113</v>
          </cell>
          <cell r="M208">
            <v>3732.6387723627035</v>
          </cell>
          <cell r="N208">
            <v>3736.4332876623007</v>
          </cell>
          <cell r="O208">
            <v>7915.8067096258446</v>
          </cell>
          <cell r="P208">
            <v>9979.9275573063151</v>
          </cell>
          <cell r="Q208">
            <v>10006.822818459859</v>
          </cell>
          <cell r="R208">
            <v>10088.285823918417</v>
          </cell>
          <cell r="S208">
            <v>77283.006794276866</v>
          </cell>
        </row>
        <row r="209"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319.52417204883324</v>
          </cell>
          <cell r="L209">
            <v>325.81036178301667</v>
          </cell>
          <cell r="M209">
            <v>297.79176672001222</v>
          </cell>
          <cell r="N209">
            <v>325.0832085214322</v>
          </cell>
          <cell r="O209">
            <v>945.11996389181684</v>
          </cell>
          <cell r="P209">
            <v>930.50324337949246</v>
          </cell>
          <cell r="Q209">
            <v>1004.7809580431672</v>
          </cell>
          <cell r="R209">
            <v>1023.42248128591</v>
          </cell>
          <cell r="S209">
            <v>5172.0361556736807</v>
          </cell>
        </row>
        <row r="210"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</row>
        <row r="211"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131.9871971392985</v>
          </cell>
          <cell r="L211">
            <v>116.75038782069375</v>
          </cell>
          <cell r="M211">
            <v>104.2672762077749</v>
          </cell>
          <cell r="N211">
            <v>132.70885529798494</v>
          </cell>
          <cell r="O211">
            <v>488.95012710285761</v>
          </cell>
          <cell r="P211">
            <v>444.35841749236278</v>
          </cell>
          <cell r="Q211">
            <v>445.55593477048001</v>
          </cell>
          <cell r="R211">
            <v>453.82225515352332</v>
          </cell>
          <cell r="S211">
            <v>2318.400450984976</v>
          </cell>
        </row>
        <row r="212"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381.69664648966045</v>
          </cell>
          <cell r="L212">
            <v>367.30538627315286</v>
          </cell>
          <cell r="M212">
            <v>344.69478539946215</v>
          </cell>
          <cell r="N212">
            <v>279.8294064516565</v>
          </cell>
          <cell r="O212">
            <v>876.79803879120357</v>
          </cell>
          <cell r="P212">
            <v>968.31841226011397</v>
          </cell>
          <cell r="Q212">
            <v>913.81455805509381</v>
          </cell>
          <cell r="R212">
            <v>871.93481624186825</v>
          </cell>
          <cell r="S212">
            <v>5004.3920499622118</v>
          </cell>
        </row>
        <row r="213">
          <cell r="G213">
            <v>12255.822555555556</v>
          </cell>
          <cell r="H213">
            <v>12255.822555555556</v>
          </cell>
          <cell r="I213">
            <v>0</v>
          </cell>
          <cell r="J213">
            <v>0</v>
          </cell>
          <cell r="K213">
            <v>4553.7076948966014</v>
          </cell>
          <cell r="L213">
            <v>4400.8131704883745</v>
          </cell>
          <cell r="M213">
            <v>4479.3926006899528</v>
          </cell>
          <cell r="N213">
            <v>4474.0547579333743</v>
          </cell>
          <cell r="O213">
            <v>10226.674839411722</v>
          </cell>
          <cell r="P213">
            <v>12323.107630438286</v>
          </cell>
          <cell r="Q213">
            <v>12370.974269328601</v>
          </cell>
          <cell r="R213">
            <v>12437.465376599719</v>
          </cell>
          <cell r="S213">
            <v>89777.835450897735</v>
          </cell>
        </row>
        <row r="214">
          <cell r="G214">
            <v>0</v>
          </cell>
          <cell r="H214">
            <v>0</v>
          </cell>
          <cell r="I214">
            <v>12255.822555555556</v>
          </cell>
          <cell r="J214">
            <v>12255.822555555556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24511.645111111113</v>
          </cell>
          <cell r="T214"/>
        </row>
        <row r="215">
          <cell r="G215">
            <v>12255.822555555556</v>
          </cell>
          <cell r="H215">
            <v>12255.822555555556</v>
          </cell>
          <cell r="I215">
            <v>12255.822555555556</v>
          </cell>
          <cell r="J215">
            <v>12255.822555555556</v>
          </cell>
          <cell r="K215">
            <v>12325.267</v>
          </cell>
          <cell r="L215">
            <v>12325.267</v>
          </cell>
          <cell r="M215">
            <v>12380.822555555558</v>
          </cell>
          <cell r="N215">
            <v>12380.822555555558</v>
          </cell>
          <cell r="O215">
            <v>33214.155888888898</v>
          </cell>
          <cell r="P215">
            <v>33214.15588888889</v>
          </cell>
          <cell r="Q215">
            <v>33318.322555555562</v>
          </cell>
          <cell r="R215">
            <v>33318.322555555547</v>
          </cell>
          <cell r="S215">
            <v>231500.42622222225</v>
          </cell>
        </row>
        <row r="216">
          <cell r="G216">
            <v>990.62566122597809</v>
          </cell>
          <cell r="H216">
            <v>1100.3809150420691</v>
          </cell>
          <cell r="I216" t="e">
            <v>#DIV/0!</v>
          </cell>
          <cell r="J216" t="e">
            <v>#DIV/0!</v>
          </cell>
          <cell r="K216">
            <v>240.60555124159131</v>
          </cell>
          <cell r="L216">
            <v>245.33912784865711</v>
          </cell>
          <cell r="M216">
            <v>244.62631439212399</v>
          </cell>
          <cell r="N216">
            <v>244.79157268180134</v>
          </cell>
          <cell r="O216">
            <v>711.68671979805492</v>
          </cell>
          <cell r="P216">
            <v>646.78167982819207</v>
          </cell>
          <cell r="Q216">
            <v>648.5247147438688</v>
          </cell>
          <cell r="R216">
            <v>660.55667897111221</v>
          </cell>
          <cell r="S216">
            <v>543.42901695035482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3476.5984911297905</v>
          </cell>
          <cell r="L217">
            <v>4928.2746604270014</v>
          </cell>
          <cell r="M217">
            <v>354.1127069515444</v>
          </cell>
          <cell r="N217">
            <v>5904.6738388776103</v>
          </cell>
          <cell r="O217">
            <v>-1051.1259235038597</v>
          </cell>
          <cell r="P217">
            <v>4413.6279457809951</v>
          </cell>
          <cell r="Q217">
            <v>837.16131320280465</v>
          </cell>
          <cell r="R217">
            <v>2426.736288545897</v>
          </cell>
          <cell r="S217">
            <v>21290.059321411783</v>
          </cell>
        </row>
        <row r="218"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</row>
        <row r="219">
          <cell r="G219">
            <v>69467.296801843273</v>
          </cell>
          <cell r="H219">
            <v>80897.652794912603</v>
          </cell>
          <cell r="I219">
            <v>0</v>
          </cell>
          <cell r="J219">
            <v>0</v>
          </cell>
          <cell r="K219">
            <v>79126.477364126476</v>
          </cell>
          <cell r="L219">
            <v>81750.201929764924</v>
          </cell>
          <cell r="M219">
            <v>65541.090457267361</v>
          </cell>
          <cell r="N219">
            <v>89500.86217468312</v>
          </cell>
          <cell r="O219">
            <v>43336.27002391791</v>
          </cell>
          <cell r="P219">
            <v>82959.689367957937</v>
          </cell>
          <cell r="Q219">
            <v>67557.473248094801</v>
          </cell>
          <cell r="R219">
            <v>73976.541612724832</v>
          </cell>
          <cell r="S219">
            <v>734113.55577529315</v>
          </cell>
        </row>
        <row r="220"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-592.932485993829</v>
          </cell>
          <cell r="L220">
            <v>-8.7428033190736869</v>
          </cell>
          <cell r="M220">
            <v>-1695.3717569912092</v>
          </cell>
          <cell r="N220">
            <v>384.18389637256519</v>
          </cell>
          <cell r="O220">
            <v>-2414.9985534585248</v>
          </cell>
          <cell r="P220">
            <v>-233.83654404133563</v>
          </cell>
          <cell r="Q220">
            <v>-1930.9569915387287</v>
          </cell>
          <cell r="R220">
            <v>-1184.6595687715833</v>
          </cell>
          <cell r="S220">
            <v>-7677.3148077417191</v>
          </cell>
        </row>
        <row r="221"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-448.98562343026629</v>
          </cell>
          <cell r="L223">
            <v>-6.2450476118036704</v>
          </cell>
          <cell r="M223">
            <v>-1243.3964167374736</v>
          </cell>
          <cell r="N223">
            <v>209.35322264679647</v>
          </cell>
          <cell r="O223">
            <v>-1418.9328850240254</v>
          </cell>
          <cell r="P223">
            <v>-154.18258504004609</v>
          </cell>
          <cell r="Q223">
            <v>-1112.7098119916793</v>
          </cell>
          <cell r="R223">
            <v>-639.22680690170569</v>
          </cell>
          <cell r="S223">
            <v>-4814.3259540902036</v>
          </cell>
        </row>
        <row r="224">
          <cell r="G224">
            <v>69467.296801843273</v>
          </cell>
          <cell r="H224">
            <v>80897.652794912603</v>
          </cell>
          <cell r="I224">
            <v>0</v>
          </cell>
          <cell r="J224">
            <v>0</v>
          </cell>
          <cell r="K224">
            <v>78084.55925470237</v>
          </cell>
          <cell r="L224">
            <v>81735.214078834033</v>
          </cell>
          <cell r="M224">
            <v>62602.322283538677</v>
          </cell>
          <cell r="N224">
            <v>90094.399293702474</v>
          </cell>
          <cell r="O224">
            <v>39502.338585435355</v>
          </cell>
          <cell r="P224">
            <v>82571.670238876555</v>
          </cell>
          <cell r="Q224">
            <v>64513.806444564398</v>
          </cell>
          <cell r="R224">
            <v>72152.655237051542</v>
          </cell>
          <cell r="S224">
            <v>721621.91501346126</v>
          </cell>
        </row>
        <row r="225">
          <cell r="G225">
            <v>69467.296801843273</v>
          </cell>
          <cell r="H225">
            <v>80897.652794912603</v>
          </cell>
          <cell r="I225">
            <v>0</v>
          </cell>
          <cell r="J225">
            <v>0</v>
          </cell>
          <cell r="K225">
            <v>81561.157745832155</v>
          </cell>
          <cell r="L225">
            <v>86663.48873926104</v>
          </cell>
          <cell r="M225">
            <v>62956.434990490219</v>
          </cell>
          <cell r="N225">
            <v>95999.073132580088</v>
          </cell>
          <cell r="O225">
            <v>38451.212661931495</v>
          </cell>
          <cell r="P225">
            <v>86985.298184657557</v>
          </cell>
          <cell r="Q225">
            <v>65350.967757767205</v>
          </cell>
          <cell r="R225">
            <v>74579.391525597443</v>
          </cell>
          <cell r="S225">
            <v>742911.97433487303</v>
          </cell>
        </row>
        <row r="226"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31874.602859972278</v>
          </cell>
          <cell r="L226">
            <v>34953.915946360343</v>
          </cell>
          <cell r="M226">
            <v>25251.148166260857</v>
          </cell>
          <cell r="N226">
            <v>37025.065718831283</v>
          </cell>
          <cell r="O226">
            <v>22270.338950143312</v>
          </cell>
          <cell r="P226">
            <v>33862.241097111211</v>
          </cell>
          <cell r="Q226">
            <v>26275.796724975658</v>
          </cell>
          <cell r="R226">
            <v>26729.449308185802</v>
          </cell>
          <cell r="S226">
            <v>238242.55877184076</v>
          </cell>
        </row>
        <row r="227"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G228">
            <v>516.15064260118368</v>
          </cell>
          <cell r="H228">
            <v>1966.9146495318241</v>
          </cell>
          <cell r="I228">
            <v>0</v>
          </cell>
          <cell r="J228">
            <v>0</v>
          </cell>
          <cell r="K228">
            <v>14038.290587865284</v>
          </cell>
          <cell r="L228">
            <v>11953.438508553207</v>
          </cell>
          <cell r="M228">
            <v>10958.055161755979</v>
          </cell>
          <cell r="N228">
            <v>12695.661127419138</v>
          </cell>
          <cell r="O228">
            <v>7725.0259770626762</v>
          </cell>
          <cell r="P228">
            <v>14424.343264504747</v>
          </cell>
          <cell r="Q228">
            <v>13103.723928943857</v>
          </cell>
          <cell r="R228">
            <v>12833.793930665566</v>
          </cell>
          <cell r="S228">
            <v>100215.39777890345</v>
          </cell>
        </row>
        <row r="229"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1"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2497.8876776928164</v>
          </cell>
          <cell r="L231">
            <v>2376.2345838677425</v>
          </cell>
          <cell r="M231">
            <v>1537.5453938839778</v>
          </cell>
          <cell r="N231">
            <v>2867.4855540214294</v>
          </cell>
          <cell r="O231">
            <v>2185.7701384167094</v>
          </cell>
          <cell r="P231">
            <v>3323.4822144211885</v>
          </cell>
          <cell r="Q231">
            <v>2578.8943748514321</v>
          </cell>
          <cell r="R231">
            <v>2909.8294340362695</v>
          </cell>
          <cell r="S231">
            <v>20277.129371191564</v>
          </cell>
        </row>
        <row r="232"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2644.6813344388443</v>
          </cell>
          <cell r="L232">
            <v>2739.0554324443119</v>
          </cell>
          <cell r="M232">
            <v>1862.3322990430868</v>
          </cell>
          <cell r="N232">
            <v>2218.6829857417761</v>
          </cell>
          <cell r="O232">
            <v>1437.1792069159151</v>
          </cell>
          <cell r="P232">
            <v>2653.5097118764852</v>
          </cell>
          <cell r="Q232">
            <v>1937.9025698877276</v>
          </cell>
          <cell r="R232">
            <v>2049.9213223200641</v>
          </cell>
          <cell r="S232">
            <v>17543.264862668209</v>
          </cell>
        </row>
        <row r="233">
          <cell r="G233">
            <v>516.15064260118368</v>
          </cell>
          <cell r="H233">
            <v>1966.9146495318241</v>
          </cell>
          <cell r="I233">
            <v>0</v>
          </cell>
          <cell r="J233">
            <v>0</v>
          </cell>
          <cell r="K233">
            <v>19180.859599996944</v>
          </cell>
          <cell r="L233">
            <v>17068.728524865262</v>
          </cell>
          <cell r="M233">
            <v>14357.932854683044</v>
          </cell>
          <cell r="N233">
            <v>17781.829667182345</v>
          </cell>
          <cell r="O233">
            <v>11347.975322395299</v>
          </cell>
          <cell r="P233">
            <v>20401.335190802423</v>
          </cell>
          <cell r="Q233">
            <v>17620.520873683017</v>
          </cell>
          <cell r="R233">
            <v>17793.544687021902</v>
          </cell>
          <cell r="S233">
            <v>138035.79201276324</v>
          </cell>
        </row>
        <row r="234">
          <cell r="G234">
            <v>516.15064260118368</v>
          </cell>
          <cell r="H234">
            <v>1966.9146495318241</v>
          </cell>
          <cell r="I234">
            <v>0</v>
          </cell>
          <cell r="J234">
            <v>0</v>
          </cell>
          <cell r="K234">
            <v>51055.462459969218</v>
          </cell>
          <cell r="L234">
            <v>52022.644471225605</v>
          </cell>
          <cell r="M234">
            <v>39609.081020943901</v>
          </cell>
          <cell r="N234">
            <v>54806.895386013624</v>
          </cell>
          <cell r="O234">
            <v>33618.314272538613</v>
          </cell>
          <cell r="P234">
            <v>54263.576287913631</v>
          </cell>
          <cell r="Q234">
            <v>43896.317598658672</v>
          </cell>
          <cell r="R234">
            <v>44522.993995207704</v>
          </cell>
          <cell r="S234">
            <v>376278.35078460397</v>
          </cell>
        </row>
        <row r="235"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36377.323274198658</v>
          </cell>
          <cell r="L235">
            <v>46055.164402846727</v>
          </cell>
          <cell r="M235">
            <v>15560.751379676982</v>
          </cell>
          <cell r="N235">
            <v>52564.492259184015</v>
          </cell>
          <cell r="O235">
            <v>6192.4938433075622</v>
          </cell>
          <cell r="P235">
            <v>42624.186305206618</v>
          </cell>
          <cell r="Q235">
            <v>18781.075421351954</v>
          </cell>
          <cell r="R235">
            <v>29378.241923639333</v>
          </cell>
          <cell r="S235">
            <v>247533.72880941187</v>
          </cell>
        </row>
        <row r="236">
          <cell r="G236">
            <v>0</v>
          </cell>
          <cell r="H236">
            <v>0</v>
          </cell>
          <cell r="I236">
            <v>-92380.352555555553</v>
          </cell>
          <cell r="J236">
            <v>-95073.312555555545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-187453.6651111111</v>
          </cell>
          <cell r="T236"/>
        </row>
        <row r="237"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71728.524625300721</v>
          </cell>
          <cell r="L237">
            <v>85937.355009634077</v>
          </cell>
          <cell r="M237">
            <v>41166.012252889384</v>
          </cell>
          <cell r="N237">
            <v>95494.231816892905</v>
          </cell>
          <cell r="O237">
            <v>27411.706869947015</v>
          </cell>
          <cell r="P237">
            <v>80900.055348098831</v>
          </cell>
          <cell r="Q237">
            <v>45894.033459530416</v>
          </cell>
          <cell r="R237">
            <v>58534.427520371028</v>
          </cell>
          <cell r="S237">
            <v>507066.3469026644</v>
          </cell>
        </row>
        <row r="238"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</row>
        <row r="239">
          <cell r="G239">
            <v>69983.44744444445</v>
          </cell>
          <cell r="H239">
            <v>82864.56744444443</v>
          </cell>
          <cell r="I239">
            <v>0</v>
          </cell>
          <cell r="J239">
            <v>0</v>
          </cell>
          <cell r="K239">
            <v>93164.767951991758</v>
          </cell>
          <cell r="L239">
            <v>93703.640438318136</v>
          </cell>
          <cell r="M239">
            <v>76499.145619023344</v>
          </cell>
          <cell r="N239">
            <v>102196.52330210226</v>
          </cell>
          <cell r="O239">
            <v>51061.296000980583</v>
          </cell>
          <cell r="P239">
            <v>97384.03263246268</v>
          </cell>
          <cell r="Q239">
            <v>80661.197177038659</v>
          </cell>
          <cell r="R239">
            <v>86810.335543390393</v>
          </cell>
          <cell r="S239">
            <v>834328.95355419663</v>
          </cell>
          <cell r="T239">
            <v>0.97053623405570744</v>
          </cell>
        </row>
        <row r="240"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-592.932485993829</v>
          </cell>
          <cell r="L240">
            <v>-8.7428033190736869</v>
          </cell>
          <cell r="M240">
            <v>-1695.3717569912092</v>
          </cell>
          <cell r="N240">
            <v>384.18389637256519</v>
          </cell>
          <cell r="O240">
            <v>-2414.9985534585248</v>
          </cell>
          <cell r="P240">
            <v>-233.83654404133563</v>
          </cell>
          <cell r="Q240">
            <v>-1930.9569915387287</v>
          </cell>
          <cell r="R240">
            <v>-1184.6595687715833</v>
          </cell>
          <cell r="S240">
            <v>-7677.3148077417191</v>
          </cell>
          <cell r="T240">
            <v>-8.9306647808690166E-3</v>
          </cell>
        </row>
        <row r="241"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/>
        </row>
        <row r="242"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2497.8876776928164</v>
          </cell>
          <cell r="L242">
            <v>2376.2345838677425</v>
          </cell>
          <cell r="M242">
            <v>1537.5453938839778</v>
          </cell>
          <cell r="N242">
            <v>2867.4855540214294</v>
          </cell>
          <cell r="O242">
            <v>2185.7701384167094</v>
          </cell>
          <cell r="P242">
            <v>3323.4822144211885</v>
          </cell>
          <cell r="Q242">
            <v>2578.8943748514321</v>
          </cell>
          <cell r="R242">
            <v>2909.8294340362695</v>
          </cell>
          <cell r="S242">
            <v>20277.129371191564</v>
          </cell>
          <cell r="T242">
            <v>2.3587445567533304E-2</v>
          </cell>
        </row>
        <row r="243"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2195.6957110085777</v>
          </cell>
          <cell r="L243">
            <v>2732.8103848325081</v>
          </cell>
          <cell r="M243">
            <v>618.93588230561318</v>
          </cell>
          <cell r="N243">
            <v>2428.0362083885725</v>
          </cell>
          <cell r="O243">
            <v>18.246321891889693</v>
          </cell>
          <cell r="P243">
            <v>2499.3271268364392</v>
          </cell>
          <cell r="Q243">
            <v>825.19275789604831</v>
          </cell>
          <cell r="R243">
            <v>1410.6945154183584</v>
          </cell>
          <cell r="S243">
            <v>12728.938908578004</v>
          </cell>
          <cell r="T243">
            <v>1.4806985157628206E-2</v>
          </cell>
        </row>
        <row r="244">
          <cell r="G244">
            <v>69983.44744444445</v>
          </cell>
          <cell r="H244">
            <v>82864.56744444443</v>
          </cell>
          <cell r="I244">
            <v>0</v>
          </cell>
          <cell r="J244">
            <v>0</v>
          </cell>
          <cell r="K244">
            <v>97265.418854699325</v>
          </cell>
          <cell r="L244">
            <v>98803.94260369931</v>
          </cell>
          <cell r="M244">
            <v>76960.255138221721</v>
          </cell>
          <cell r="N244">
            <v>107876.22896088482</v>
          </cell>
          <cell r="O244">
            <v>50850.313907830656</v>
          </cell>
          <cell r="P244">
            <v>102973.00542967897</v>
          </cell>
          <cell r="Q244">
            <v>82134.327318247408</v>
          </cell>
          <cell r="R244">
            <v>89946.199924073429</v>
          </cell>
          <cell r="S244">
            <v>859657.70702622458</v>
          </cell>
        </row>
        <row r="245">
          <cell r="G245">
            <v>0</v>
          </cell>
          <cell r="H245">
            <v>0</v>
          </cell>
          <cell r="I245">
            <v>-92380.352555555553</v>
          </cell>
          <cell r="J245">
            <v>-95073.312555555545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-187453.6651111111</v>
          </cell>
          <cell r="T245"/>
        </row>
        <row r="246">
          <cell r="G246">
            <v>69983.44744444445</v>
          </cell>
          <cell r="H246">
            <v>82864.56744444443</v>
          </cell>
          <cell r="I246">
            <v>-92380.352555555553</v>
          </cell>
          <cell r="J246">
            <v>-95073.312555555545</v>
          </cell>
          <cell r="K246">
            <v>168993.94348000005</v>
          </cell>
          <cell r="L246">
            <v>184741.29761333339</v>
          </cell>
          <cell r="M246">
            <v>118126.26739111111</v>
          </cell>
          <cell r="N246">
            <v>203370.46077777771</v>
          </cell>
          <cell r="O246">
            <v>78262.020777777667</v>
          </cell>
          <cell r="P246">
            <v>183873.06077777781</v>
          </cell>
          <cell r="Q246">
            <v>128028.36077777782</v>
          </cell>
          <cell r="R246">
            <v>148480.62744444446</v>
          </cell>
          <cell r="S246">
            <v>1179270.3888177779</v>
          </cell>
        </row>
      </sheetData>
      <sheetData sheetId="2">
        <row r="86">
          <cell r="H86">
            <v>10500</v>
          </cell>
        </row>
      </sheetData>
      <sheetData sheetId="3">
        <row r="4">
          <cell r="G4" t="str">
            <v>1월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판매계획"/>
      <sheetName val="원가"/>
      <sheetName val="제조4"/>
      <sheetName val="제조6"/>
      <sheetName val="판매6"/>
      <sheetName val="판매4"/>
      <sheetName val="본사산출"/>
      <sheetName val="제조"/>
      <sheetName val="판매"/>
      <sheetName val="인원수"/>
      <sheetName val="계정통제"/>
    </sheetNames>
    <sheetDataSet>
      <sheetData sheetId="0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6000</v>
          </cell>
          <cell r="H6">
            <v>6000</v>
          </cell>
          <cell r="I6">
            <v>6000</v>
          </cell>
          <cell r="J6">
            <v>6000</v>
          </cell>
          <cell r="K6">
            <v>6000</v>
          </cell>
          <cell r="L6">
            <v>6000</v>
          </cell>
          <cell r="M6">
            <v>5000</v>
          </cell>
          <cell r="N6">
            <v>5000</v>
          </cell>
          <cell r="O6">
            <v>5000</v>
          </cell>
          <cell r="P6">
            <v>5000</v>
          </cell>
          <cell r="Q6">
            <v>5000</v>
          </cell>
          <cell r="R6">
            <v>3406</v>
          </cell>
          <cell r="S6">
            <v>64406</v>
          </cell>
          <cell r="V6">
            <v>12000</v>
          </cell>
          <cell r="W6">
            <v>18000</v>
          </cell>
          <cell r="X6">
            <v>24000</v>
          </cell>
          <cell r="Y6">
            <v>30000</v>
          </cell>
          <cell r="Z6">
            <v>36000</v>
          </cell>
          <cell r="AA6">
            <v>41000</v>
          </cell>
          <cell r="AB6">
            <v>46000</v>
          </cell>
          <cell r="AC6">
            <v>51000</v>
          </cell>
          <cell r="AD6">
            <v>56000</v>
          </cell>
          <cell r="AE6">
            <v>61000</v>
          </cell>
          <cell r="AF6">
            <v>64406</v>
          </cell>
        </row>
        <row r="7">
          <cell r="G7">
            <v>9859.7553407028245</v>
          </cell>
          <cell r="H7">
            <v>8773.1544311774724</v>
          </cell>
          <cell r="I7">
            <v>10355.137027505783</v>
          </cell>
          <cell r="J7">
            <v>10863.361164706679</v>
          </cell>
          <cell r="K7">
            <v>10809.035882592707</v>
          </cell>
          <cell r="L7">
            <v>10640.559098179559</v>
          </cell>
          <cell r="M7">
            <v>12004.659668437012</v>
          </cell>
          <cell r="N7">
            <v>11885.30135375616</v>
          </cell>
          <cell r="O7">
            <v>11321.063847794539</v>
          </cell>
          <cell r="P7">
            <v>13075.643242034368</v>
          </cell>
          <cell r="Q7">
            <v>12959.425726877136</v>
          </cell>
          <cell r="R7">
            <v>13017.869549930658</v>
          </cell>
          <cell r="S7">
            <v>135564.9663336949</v>
          </cell>
          <cell r="V7">
            <v>18632.909771880295</v>
          </cell>
          <cell r="W7">
            <v>28988.04679938608</v>
          </cell>
          <cell r="X7">
            <v>39851.407964092759</v>
          </cell>
          <cell r="Y7">
            <v>50660.443846685463</v>
          </cell>
          <cell r="Z7">
            <v>61301.002944865024</v>
          </cell>
          <cell r="AA7">
            <v>73305.662613302033</v>
          </cell>
          <cell r="AB7">
            <v>85190.963967058196</v>
          </cell>
          <cell r="AC7">
            <v>96512.027814852743</v>
          </cell>
          <cell r="AD7">
            <v>109587.67105688711</v>
          </cell>
          <cell r="AE7">
            <v>122547.09678376424</v>
          </cell>
          <cell r="AF7">
            <v>135564.9663336949</v>
          </cell>
        </row>
        <row r="8">
          <cell r="G8">
            <v>15859.755340702824</v>
          </cell>
          <cell r="H8">
            <v>14773.154431177472</v>
          </cell>
          <cell r="I8">
            <v>16355.137027505783</v>
          </cell>
          <cell r="J8">
            <v>16863.361164706679</v>
          </cell>
          <cell r="K8">
            <v>16809.035882592707</v>
          </cell>
          <cell r="L8">
            <v>16640.559098179561</v>
          </cell>
          <cell r="M8">
            <v>17004.659668437012</v>
          </cell>
          <cell r="N8">
            <v>16885.30135375616</v>
          </cell>
          <cell r="O8">
            <v>16321.063847794539</v>
          </cell>
          <cell r="P8">
            <v>18075.64324203437</v>
          </cell>
          <cell r="Q8">
            <v>17959.425726877136</v>
          </cell>
          <cell r="R8">
            <v>16423.869549930656</v>
          </cell>
          <cell r="S8">
            <v>199970.9663336949</v>
          </cell>
          <cell r="U8"/>
          <cell r="V8">
            <v>30632.909771880295</v>
          </cell>
          <cell r="W8">
            <v>46988.04679938608</v>
          </cell>
          <cell r="X8">
            <v>63851.407964092759</v>
          </cell>
          <cell r="Y8">
            <v>80660.443846685463</v>
          </cell>
          <cell r="Z8">
            <v>97301.002944865031</v>
          </cell>
          <cell r="AA8">
            <v>114305.66261330203</v>
          </cell>
          <cell r="AB8">
            <v>131190.9639670582</v>
          </cell>
          <cell r="AC8">
            <v>147512.02781485274</v>
          </cell>
          <cell r="AD8">
            <v>165587.67105688711</v>
          </cell>
          <cell r="AE8">
            <v>183547.09678376425</v>
          </cell>
          <cell r="AF8">
            <v>199970.9663336949</v>
          </cell>
        </row>
        <row r="9">
          <cell r="G9">
            <v>15000</v>
          </cell>
          <cell r="H9">
            <v>15000</v>
          </cell>
          <cell r="I9">
            <v>16000</v>
          </cell>
          <cell r="J9">
            <v>15000</v>
          </cell>
          <cell r="K9">
            <v>15000</v>
          </cell>
          <cell r="L9">
            <v>15000</v>
          </cell>
          <cell r="M9">
            <v>15000</v>
          </cell>
          <cell r="N9">
            <v>15000</v>
          </cell>
          <cell r="O9">
            <v>15000</v>
          </cell>
          <cell r="P9">
            <v>14000</v>
          </cell>
          <cell r="Q9">
            <v>14000</v>
          </cell>
          <cell r="R9">
            <v>14000</v>
          </cell>
          <cell r="S9">
            <v>178000</v>
          </cell>
          <cell r="U9"/>
          <cell r="V9">
            <v>30000</v>
          </cell>
          <cell r="W9">
            <v>46000</v>
          </cell>
          <cell r="X9">
            <v>61000</v>
          </cell>
          <cell r="Y9">
            <v>76000</v>
          </cell>
          <cell r="Z9">
            <v>91000</v>
          </cell>
          <cell r="AA9">
            <v>106000</v>
          </cell>
          <cell r="AB9">
            <v>121000</v>
          </cell>
          <cell r="AC9">
            <v>136000</v>
          </cell>
          <cell r="AD9">
            <v>150000</v>
          </cell>
          <cell r="AE9">
            <v>164000</v>
          </cell>
          <cell r="AF9">
            <v>178000</v>
          </cell>
        </row>
        <row r="10">
          <cell r="G10">
            <v>8810.5446248949956</v>
          </cell>
          <cell r="H10">
            <v>7883.2289551615359</v>
          </cell>
          <cell r="I10">
            <v>9415.1908075191022</v>
          </cell>
          <cell r="J10">
            <v>9970.614085331119</v>
          </cell>
          <cell r="K10">
            <v>10001.05548943125</v>
          </cell>
          <cell r="L10">
            <v>10004.586446333693</v>
          </cell>
          <cell r="M10">
            <v>10794.850064192431</v>
          </cell>
          <cell r="N10">
            <v>10823.463365458369</v>
          </cell>
          <cell r="O10">
            <v>9795.2459202058471</v>
          </cell>
          <cell r="P10">
            <v>11490.084829884816</v>
          </cell>
          <cell r="Q10">
            <v>11530.90965901488</v>
          </cell>
          <cell r="R10">
            <v>11509.136509370845</v>
          </cell>
          <cell r="S10">
            <v>122028.9107567989</v>
          </cell>
          <cell r="U10"/>
          <cell r="V10">
            <v>16693.773580056532</v>
          </cell>
          <cell r="W10">
            <v>26108.964387575634</v>
          </cell>
          <cell r="X10">
            <v>36079.578472906753</v>
          </cell>
          <cell r="Y10">
            <v>46080.633962338004</v>
          </cell>
          <cell r="Z10">
            <v>56085.220408671696</v>
          </cell>
          <cell r="AA10">
            <v>66880.070472864129</v>
          </cell>
          <cell r="AB10">
            <v>77703.533838322503</v>
          </cell>
          <cell r="AC10">
            <v>87498.779758528355</v>
          </cell>
          <cell r="AD10">
            <v>98988.864588413169</v>
          </cell>
          <cell r="AE10">
            <v>110519.77424742805</v>
          </cell>
          <cell r="AF10">
            <v>122028.9107567989</v>
          </cell>
        </row>
        <row r="11">
          <cell r="G11">
            <v>23810.544624894996</v>
          </cell>
          <cell r="H11">
            <v>22883.228955161536</v>
          </cell>
          <cell r="I11">
            <v>25415.190807519102</v>
          </cell>
          <cell r="J11">
            <v>24970.614085331119</v>
          </cell>
          <cell r="K11">
            <v>25001.055489431252</v>
          </cell>
          <cell r="L11">
            <v>25004.586446333691</v>
          </cell>
          <cell r="M11">
            <v>25794.850064192433</v>
          </cell>
          <cell r="N11">
            <v>25823.463365458367</v>
          </cell>
          <cell r="O11">
            <v>24795.245920205845</v>
          </cell>
          <cell r="P11">
            <v>25490.084829884814</v>
          </cell>
          <cell r="Q11">
            <v>25530.90965901488</v>
          </cell>
          <cell r="R11">
            <v>25509.136509370845</v>
          </cell>
          <cell r="S11">
            <v>300028.91075679893</v>
          </cell>
          <cell r="U11"/>
          <cell r="V11">
            <v>46693.773580056528</v>
          </cell>
          <cell r="W11">
            <v>72108.96438757563</v>
          </cell>
          <cell r="X11">
            <v>97079.578472906753</v>
          </cell>
          <cell r="Y11">
            <v>122080.633962338</v>
          </cell>
          <cell r="Z11">
            <v>147085.22040867171</v>
          </cell>
          <cell r="AA11">
            <v>172880.07047286414</v>
          </cell>
          <cell r="AB11">
            <v>198703.5338383225</v>
          </cell>
          <cell r="AC11">
            <v>223498.77975852834</v>
          </cell>
          <cell r="AD11">
            <v>248988.86458841315</v>
          </cell>
          <cell r="AE11">
            <v>274519.77424742805</v>
          </cell>
          <cell r="AF11">
            <v>300028.91075679893</v>
          </cell>
        </row>
        <row r="12">
          <cell r="G12">
            <v>21000</v>
          </cell>
          <cell r="H12">
            <v>21000</v>
          </cell>
          <cell r="I12">
            <v>22000</v>
          </cell>
          <cell r="J12">
            <v>21000</v>
          </cell>
          <cell r="K12">
            <v>21000</v>
          </cell>
          <cell r="L12">
            <v>21000</v>
          </cell>
          <cell r="M12">
            <v>20000</v>
          </cell>
          <cell r="N12">
            <v>20000</v>
          </cell>
          <cell r="O12">
            <v>20000</v>
          </cell>
          <cell r="P12">
            <v>19000</v>
          </cell>
          <cell r="Q12">
            <v>19000</v>
          </cell>
          <cell r="R12">
            <v>17406</v>
          </cell>
          <cell r="S12">
            <v>242406</v>
          </cell>
          <cell r="V12">
            <v>42000</v>
          </cell>
          <cell r="W12">
            <v>64000</v>
          </cell>
          <cell r="X12">
            <v>85000</v>
          </cell>
          <cell r="Y12">
            <v>106000</v>
          </cell>
          <cell r="Z12">
            <v>127000</v>
          </cell>
          <cell r="AA12">
            <v>147000</v>
          </cell>
          <cell r="AB12">
            <v>167000</v>
          </cell>
          <cell r="AC12">
            <v>187000</v>
          </cell>
          <cell r="AD12">
            <v>206000</v>
          </cell>
          <cell r="AE12">
            <v>225000</v>
          </cell>
          <cell r="AF12">
            <v>242406</v>
          </cell>
        </row>
        <row r="13">
          <cell r="G13">
            <v>18670.29996559782</v>
          </cell>
          <cell r="H13">
            <v>16656.38338633901</v>
          </cell>
          <cell r="I13">
            <v>19770.327835024887</v>
          </cell>
          <cell r="J13">
            <v>20833.975250037798</v>
          </cell>
          <cell r="K13">
            <v>20810.091372023955</v>
          </cell>
          <cell r="L13">
            <v>20645.145544513252</v>
          </cell>
          <cell r="M13">
            <v>22799.509732629442</v>
          </cell>
          <cell r="N13">
            <v>22708.76471921453</v>
          </cell>
          <cell r="O13">
            <v>21116.309768000385</v>
          </cell>
          <cell r="P13">
            <v>24565.728071919184</v>
          </cell>
          <cell r="Q13">
            <v>24490.335385892016</v>
          </cell>
          <cell r="R13">
            <v>24527.0060593015</v>
          </cell>
          <cell r="S13">
            <v>257593.87709049374</v>
          </cell>
          <cell r="V13">
            <v>35326.683351936823</v>
          </cell>
          <cell r="W13">
            <v>55097.01118696171</v>
          </cell>
          <cell r="X13">
            <v>75930.986436999519</v>
          </cell>
          <cell r="Y13">
            <v>96741.077809023467</v>
          </cell>
          <cell r="Z13">
            <v>117386.22335353671</v>
          </cell>
          <cell r="AA13">
            <v>140185.73308616615</v>
          </cell>
          <cell r="AB13">
            <v>162894.4978053807</v>
          </cell>
          <cell r="AC13">
            <v>184010.80757338111</v>
          </cell>
          <cell r="AD13">
            <v>208576.53564530029</v>
          </cell>
          <cell r="AE13">
            <v>233066.87103119231</v>
          </cell>
          <cell r="AF13">
            <v>257593.8770904938</v>
          </cell>
        </row>
        <row r="14">
          <cell r="G14">
            <v>39670.29996559782</v>
          </cell>
          <cell r="H14">
            <v>37656.38338633901</v>
          </cell>
          <cell r="I14">
            <v>41770.327835024887</v>
          </cell>
          <cell r="J14">
            <v>41833.975250037794</v>
          </cell>
          <cell r="K14">
            <v>41810.091372023955</v>
          </cell>
          <cell r="L14">
            <v>41645.145544513252</v>
          </cell>
          <cell r="M14">
            <v>42799.509732629442</v>
          </cell>
          <cell r="N14">
            <v>42708.76471921453</v>
          </cell>
          <cell r="O14">
            <v>41116.309768000385</v>
          </cell>
          <cell r="P14">
            <v>43565.728071919184</v>
          </cell>
          <cell r="Q14">
            <v>43490.335385892016</v>
          </cell>
          <cell r="R14">
            <v>41933.0060593015</v>
          </cell>
          <cell r="S14">
            <v>499999.87709049374</v>
          </cell>
          <cell r="V14">
            <v>77326.683351936823</v>
          </cell>
          <cell r="W14">
            <v>119097.01118696171</v>
          </cell>
          <cell r="X14">
            <v>160930.98643699952</v>
          </cell>
          <cell r="Y14">
            <v>202741.07780902347</v>
          </cell>
          <cell r="Z14">
            <v>244386.22335353671</v>
          </cell>
          <cell r="AA14">
            <v>287185.73308616615</v>
          </cell>
          <cell r="AB14">
            <v>329894.49780538073</v>
          </cell>
          <cell r="AC14">
            <v>371010.80757338111</v>
          </cell>
          <cell r="AD14">
            <v>414576.53564530029</v>
          </cell>
          <cell r="AE14">
            <v>458066.87103119231</v>
          </cell>
          <cell r="AF14">
            <v>499999.8770904938</v>
          </cell>
        </row>
        <row r="15">
          <cell r="G15">
            <v>72000</v>
          </cell>
          <cell r="H15">
            <v>72000</v>
          </cell>
          <cell r="I15">
            <v>72000</v>
          </cell>
          <cell r="J15">
            <v>72000</v>
          </cell>
          <cell r="K15">
            <v>72000</v>
          </cell>
          <cell r="L15">
            <v>72000</v>
          </cell>
          <cell r="M15">
            <v>60000</v>
          </cell>
          <cell r="N15">
            <v>60000</v>
          </cell>
          <cell r="O15">
            <v>60000</v>
          </cell>
          <cell r="P15">
            <v>60000</v>
          </cell>
          <cell r="Q15">
            <v>60000</v>
          </cell>
          <cell r="R15">
            <v>40872</v>
          </cell>
          <cell r="S15">
            <v>772872</v>
          </cell>
          <cell r="U15"/>
          <cell r="V15">
            <v>144000</v>
          </cell>
          <cell r="W15">
            <v>216000</v>
          </cell>
          <cell r="X15">
            <v>288000</v>
          </cell>
          <cell r="Y15">
            <v>360000</v>
          </cell>
          <cell r="Z15">
            <v>432000</v>
          </cell>
          <cell r="AA15">
            <v>492000</v>
          </cell>
          <cell r="AB15">
            <v>552000</v>
          </cell>
          <cell r="AC15">
            <v>612000</v>
          </cell>
          <cell r="AD15">
            <v>672000</v>
          </cell>
          <cell r="AE15">
            <v>732000</v>
          </cell>
          <cell r="AF15">
            <v>772872</v>
          </cell>
        </row>
        <row r="16">
          <cell r="G16">
            <v>157756.08545124519</v>
          </cell>
          <cell r="H16">
            <v>140370.47089883956</v>
          </cell>
          <cell r="I16">
            <v>165682.19244009253</v>
          </cell>
          <cell r="J16">
            <v>173813.77863530687</v>
          </cell>
          <cell r="K16">
            <v>172944.57412148331</v>
          </cell>
          <cell r="L16">
            <v>170248.94557087295</v>
          </cell>
          <cell r="M16">
            <v>192074.5546949922</v>
          </cell>
          <cell r="N16">
            <v>190164.82166009856</v>
          </cell>
          <cell r="O16">
            <v>181137.02156471263</v>
          </cell>
          <cell r="P16">
            <v>209210.29187254989</v>
          </cell>
          <cell r="Q16">
            <v>207350.81163003418</v>
          </cell>
          <cell r="R16">
            <v>208285.91279889052</v>
          </cell>
          <cell r="S16">
            <v>2169039.4613391184</v>
          </cell>
          <cell r="U16"/>
          <cell r="V16">
            <v>298126.55635008472</v>
          </cell>
          <cell r="W16">
            <v>463808.74879017728</v>
          </cell>
          <cell r="X16">
            <v>637622.52742548415</v>
          </cell>
          <cell r="Y16">
            <v>810567.1015469674</v>
          </cell>
          <cell r="Z16">
            <v>980816.04711784038</v>
          </cell>
          <cell r="AA16">
            <v>1172890.6018128325</v>
          </cell>
          <cell r="AB16">
            <v>1363055.4234729311</v>
          </cell>
          <cell r="AC16">
            <v>1544192.4450376439</v>
          </cell>
          <cell r="AD16">
            <v>1753402.7369101937</v>
          </cell>
          <cell r="AE16">
            <v>1960753.5485402278</v>
          </cell>
          <cell r="AF16">
            <v>2169039.4613391184</v>
          </cell>
        </row>
        <row r="17">
          <cell r="G17">
            <v>229756.08545124519</v>
          </cell>
          <cell r="H17">
            <v>212370.47089883956</v>
          </cell>
          <cell r="I17">
            <v>237682.19244009253</v>
          </cell>
          <cell r="J17">
            <v>245813.77863530687</v>
          </cell>
          <cell r="K17">
            <v>244944.57412148331</v>
          </cell>
          <cell r="L17">
            <v>242248.94557087295</v>
          </cell>
          <cell r="M17">
            <v>252074.5546949922</v>
          </cell>
          <cell r="N17">
            <v>250164.82166009856</v>
          </cell>
          <cell r="O17">
            <v>241137.02156471263</v>
          </cell>
          <cell r="P17">
            <v>269210.29187254992</v>
          </cell>
          <cell r="Q17">
            <v>267350.81163003418</v>
          </cell>
          <cell r="R17">
            <v>249157.91279889052</v>
          </cell>
          <cell r="S17">
            <v>2941911.4613391184</v>
          </cell>
          <cell r="U17"/>
          <cell r="V17">
            <v>442126.55635008472</v>
          </cell>
          <cell r="W17">
            <v>679808.74879017728</v>
          </cell>
          <cell r="X17">
            <v>925622.52742548415</v>
          </cell>
          <cell r="Y17">
            <v>1170567.1015469674</v>
          </cell>
          <cell r="Z17">
            <v>1412816.0471178405</v>
          </cell>
          <cell r="AA17">
            <v>1664890.6018128325</v>
          </cell>
          <cell r="AB17">
            <v>1915055.4234729311</v>
          </cell>
          <cell r="AC17">
            <v>2156192.4450376439</v>
          </cell>
          <cell r="AD17">
            <v>2425402.7369101937</v>
          </cell>
          <cell r="AE17">
            <v>2692753.548540228</v>
          </cell>
          <cell r="AF17">
            <v>2941911.4613391184</v>
          </cell>
        </row>
        <row r="18">
          <cell r="G18">
            <v>285000</v>
          </cell>
          <cell r="H18">
            <v>285000</v>
          </cell>
          <cell r="I18">
            <v>304000</v>
          </cell>
          <cell r="J18">
            <v>285000</v>
          </cell>
          <cell r="K18">
            <v>285000</v>
          </cell>
          <cell r="L18">
            <v>285000</v>
          </cell>
          <cell r="M18">
            <v>285000</v>
          </cell>
          <cell r="N18">
            <v>285000</v>
          </cell>
          <cell r="O18">
            <v>285000</v>
          </cell>
          <cell r="P18">
            <v>266000</v>
          </cell>
          <cell r="Q18">
            <v>266000</v>
          </cell>
          <cell r="R18">
            <v>266000</v>
          </cell>
          <cell r="S18">
            <v>3382000</v>
          </cell>
          <cell r="U18"/>
          <cell r="V18">
            <v>570000</v>
          </cell>
          <cell r="W18">
            <v>874000</v>
          </cell>
          <cell r="X18">
            <v>1159000</v>
          </cell>
          <cell r="Y18">
            <v>1444000</v>
          </cell>
          <cell r="Z18">
            <v>1729000</v>
          </cell>
          <cell r="AA18">
            <v>2014000</v>
          </cell>
          <cell r="AB18">
            <v>2299000</v>
          </cell>
          <cell r="AC18">
            <v>2584000</v>
          </cell>
          <cell r="AD18">
            <v>2850000</v>
          </cell>
          <cell r="AE18">
            <v>3116000</v>
          </cell>
          <cell r="AF18">
            <v>3382000</v>
          </cell>
        </row>
        <row r="19">
          <cell r="G19">
            <v>194650.76637258488</v>
          </cell>
          <cell r="H19">
            <v>174106.42596871531</v>
          </cell>
          <cell r="I19">
            <v>207773.74986326191</v>
          </cell>
          <cell r="J19">
            <v>219823.22073680931</v>
          </cell>
          <cell r="K19">
            <v>220533.43754724131</v>
          </cell>
          <cell r="L19">
            <v>220892.58503986849</v>
          </cell>
          <cell r="M19">
            <v>238682.01599255495</v>
          </cell>
          <cell r="N19">
            <v>239338.10901844571</v>
          </cell>
          <cell r="O19">
            <v>218302.08842279902</v>
          </cell>
          <cell r="P19">
            <v>254805.26721638301</v>
          </cell>
          <cell r="Q19">
            <v>255744.23828637449</v>
          </cell>
          <cell r="R19">
            <v>255219.301005852</v>
          </cell>
          <cell r="S19">
            <v>2699871.2054708907</v>
          </cell>
          <cell r="U19"/>
          <cell r="V19">
            <v>368757.19234130019</v>
          </cell>
          <cell r="W19">
            <v>576530.94220456213</v>
          </cell>
          <cell r="X19">
            <v>796354.16294137144</v>
          </cell>
          <cell r="Y19">
            <v>1016887.6004886128</v>
          </cell>
          <cell r="Z19">
            <v>1237780.1855284814</v>
          </cell>
          <cell r="AA19">
            <v>1476462.2015210362</v>
          </cell>
          <cell r="AB19">
            <v>1715800.3105394819</v>
          </cell>
          <cell r="AC19">
            <v>1934102.3989622809</v>
          </cell>
          <cell r="AD19">
            <v>2188907.6661786642</v>
          </cell>
          <cell r="AE19">
            <v>2444651.9044650388</v>
          </cell>
          <cell r="AF19">
            <v>2699871.2054708907</v>
          </cell>
        </row>
        <row r="20">
          <cell r="G20">
            <v>479650.76637258485</v>
          </cell>
          <cell r="H20">
            <v>459106.42596871534</v>
          </cell>
          <cell r="I20">
            <v>511773.74986326194</v>
          </cell>
          <cell r="J20">
            <v>504823.22073680931</v>
          </cell>
          <cell r="K20">
            <v>505533.43754724134</v>
          </cell>
          <cell r="L20">
            <v>505892.58503986849</v>
          </cell>
          <cell r="M20">
            <v>523682.01599255495</v>
          </cell>
          <cell r="N20">
            <v>524338.10901844571</v>
          </cell>
          <cell r="O20">
            <v>503302.08842279902</v>
          </cell>
          <cell r="P20">
            <v>520805.26721638301</v>
          </cell>
          <cell r="Q20">
            <v>521744.23828637449</v>
          </cell>
          <cell r="R20">
            <v>521219.301005852</v>
          </cell>
          <cell r="S20">
            <v>6081871.2054708889</v>
          </cell>
          <cell r="V20">
            <v>938757.19234130019</v>
          </cell>
          <cell r="W20">
            <v>1450530.942204562</v>
          </cell>
          <cell r="X20">
            <v>1955354.1629413716</v>
          </cell>
          <cell r="Y20">
            <v>2460887.6004886129</v>
          </cell>
          <cell r="Z20">
            <v>2966780.1855284814</v>
          </cell>
          <cell r="AA20">
            <v>3490462.2015210362</v>
          </cell>
          <cell r="AB20">
            <v>4014800.3105394822</v>
          </cell>
          <cell r="AC20">
            <v>4518102.3989622807</v>
          </cell>
          <cell r="AD20">
            <v>5038907.6661786642</v>
          </cell>
          <cell r="AE20">
            <v>5560651.9044650383</v>
          </cell>
          <cell r="AF20">
            <v>6081871.2054708907</v>
          </cell>
        </row>
        <row r="21">
          <cell r="G21">
            <v>357000</v>
          </cell>
          <cell r="H21">
            <v>357000</v>
          </cell>
          <cell r="I21">
            <v>376000</v>
          </cell>
          <cell r="J21">
            <v>357000</v>
          </cell>
          <cell r="K21">
            <v>357000</v>
          </cell>
          <cell r="L21">
            <v>357000</v>
          </cell>
          <cell r="M21">
            <v>345000</v>
          </cell>
          <cell r="N21">
            <v>345000</v>
          </cell>
          <cell r="O21">
            <v>345000</v>
          </cell>
          <cell r="P21">
            <v>326000</v>
          </cell>
          <cell r="Q21">
            <v>326000</v>
          </cell>
          <cell r="R21">
            <v>306872</v>
          </cell>
          <cell r="S21">
            <v>4154872</v>
          </cell>
          <cell r="V21">
            <v>714000</v>
          </cell>
          <cell r="W21">
            <v>1090000</v>
          </cell>
          <cell r="X21">
            <v>1447000</v>
          </cell>
          <cell r="Y21">
            <v>1804000</v>
          </cell>
          <cell r="Z21">
            <v>2161000</v>
          </cell>
          <cell r="AA21">
            <v>2506000</v>
          </cell>
          <cell r="AB21">
            <v>2851000</v>
          </cell>
          <cell r="AC21">
            <v>3196000</v>
          </cell>
          <cell r="AD21">
            <v>3522000</v>
          </cell>
          <cell r="AE21">
            <v>3848000</v>
          </cell>
          <cell r="AF21">
            <v>4154872</v>
          </cell>
        </row>
        <row r="22">
          <cell r="G22">
            <v>352406.85182383005</v>
          </cell>
          <cell r="H22">
            <v>314476.89686755487</v>
          </cell>
          <cell r="I22">
            <v>373455.94230335444</v>
          </cell>
          <cell r="J22">
            <v>393636.99937211617</v>
          </cell>
          <cell r="K22">
            <v>393478.01166872459</v>
          </cell>
          <cell r="L22">
            <v>391141.53061074147</v>
          </cell>
          <cell r="M22">
            <v>430756.57068754715</v>
          </cell>
          <cell r="N22">
            <v>429502.93067854427</v>
          </cell>
          <cell r="O22">
            <v>399439.10998751165</v>
          </cell>
          <cell r="P22">
            <v>464015.55908893293</v>
          </cell>
          <cell r="Q22">
            <v>463095.04991640867</v>
          </cell>
          <cell r="R22">
            <v>463505.21380474255</v>
          </cell>
          <cell r="S22">
            <v>4868910.6668100087</v>
          </cell>
          <cell r="V22">
            <v>666883.74869138491</v>
          </cell>
          <cell r="W22">
            <v>1040339.6909947394</v>
          </cell>
          <cell r="X22">
            <v>1433976.6903668556</v>
          </cell>
          <cell r="Y22">
            <v>1827454.7020355803</v>
          </cell>
          <cell r="Z22">
            <v>2218596.2326463219</v>
          </cell>
          <cell r="AA22">
            <v>2649352.8033338687</v>
          </cell>
          <cell r="AB22">
            <v>3078855.7340124128</v>
          </cell>
          <cell r="AC22">
            <v>3478294.8439999251</v>
          </cell>
          <cell r="AD22">
            <v>3942310.4030888579</v>
          </cell>
          <cell r="AE22">
            <v>4405405.4530052664</v>
          </cell>
          <cell r="AF22">
            <v>4868910.6668100096</v>
          </cell>
        </row>
        <row r="23">
          <cell r="G23">
            <v>709406.85182383005</v>
          </cell>
          <cell r="H23">
            <v>671476.89686755487</v>
          </cell>
          <cell r="I23">
            <v>749455.94230335439</v>
          </cell>
          <cell r="J23">
            <v>750636.99937211617</v>
          </cell>
          <cell r="K23">
            <v>750478.01166872459</v>
          </cell>
          <cell r="L23">
            <v>748141.53061074147</v>
          </cell>
          <cell r="M23">
            <v>775756.57068754709</v>
          </cell>
          <cell r="N23">
            <v>774502.93067854433</v>
          </cell>
          <cell r="O23">
            <v>744439.10998751165</v>
          </cell>
          <cell r="P23">
            <v>790015.55908893293</v>
          </cell>
          <cell r="Q23">
            <v>789095.04991640872</v>
          </cell>
          <cell r="R23">
            <v>770377.21380474255</v>
          </cell>
          <cell r="S23">
            <v>9023782.6668100096</v>
          </cell>
          <cell r="V23">
            <v>1380883.7486913849</v>
          </cell>
          <cell r="W23">
            <v>2130339.6909947395</v>
          </cell>
          <cell r="X23">
            <v>2880976.6903668558</v>
          </cell>
          <cell r="Y23">
            <v>3631454.7020355803</v>
          </cell>
          <cell r="Z23">
            <v>4379596.2326463219</v>
          </cell>
          <cell r="AA23">
            <v>5155352.8033338692</v>
          </cell>
          <cell r="AB23">
            <v>5929855.7340124128</v>
          </cell>
          <cell r="AC23">
            <v>6674294.8439999251</v>
          </cell>
          <cell r="AD23">
            <v>7464310.4030888584</v>
          </cell>
          <cell r="AE23">
            <v>8253405.4530052664</v>
          </cell>
          <cell r="AF23">
            <v>9023782.6668100096</v>
          </cell>
        </row>
        <row r="24">
          <cell r="G24">
            <v>104775.03124906031</v>
          </cell>
          <cell r="H24">
            <v>95295.473954837333</v>
          </cell>
          <cell r="I24">
            <v>91563.084306560297</v>
          </cell>
          <cell r="J24">
            <v>87000.224548306564</v>
          </cell>
          <cell r="K24">
            <v>97182.426162880511</v>
          </cell>
          <cell r="L24">
            <v>90703.546439333411</v>
          </cell>
          <cell r="M24">
            <v>77332.772298527168</v>
          </cell>
          <cell r="N24">
            <v>72936.519837368818</v>
          </cell>
          <cell r="O24">
            <v>79856.211814888607</v>
          </cell>
          <cell r="P24">
            <v>71421.792317589046</v>
          </cell>
          <cell r="Q24">
            <v>74452.947069168877</v>
          </cell>
          <cell r="R24">
            <v>48992.802610919891</v>
          </cell>
          <cell r="S24">
            <v>991512.8326094409</v>
          </cell>
          <cell r="U24"/>
          <cell r="V24">
            <v>200070.50520389766</v>
          </cell>
          <cell r="W24">
            <v>291633.58951045794</v>
          </cell>
          <cell r="X24">
            <v>378633.81405876449</v>
          </cell>
          <cell r="Y24">
            <v>475816.24022164498</v>
          </cell>
          <cell r="Z24">
            <v>566519.78666097834</v>
          </cell>
          <cell r="AA24">
            <v>643852.55895950552</v>
          </cell>
          <cell r="AB24">
            <v>716789.07879687438</v>
          </cell>
          <cell r="AC24">
            <v>796645.29061176302</v>
          </cell>
          <cell r="AD24">
            <v>868067.08292935207</v>
          </cell>
          <cell r="AE24">
            <v>942520.02999852097</v>
          </cell>
          <cell r="AF24">
            <v>991512.8326094409</v>
          </cell>
        </row>
        <row r="25">
          <cell r="G25">
            <v>172176.02898837128</v>
          </cell>
          <cell r="H25">
            <v>139340.31826633977</v>
          </cell>
          <cell r="I25">
            <v>158024.71410924935</v>
          </cell>
          <cell r="J25">
            <v>157519.14344647239</v>
          </cell>
          <cell r="K25">
            <v>175074.72192533195</v>
          </cell>
          <cell r="L25">
            <v>160856.07438370021</v>
          </cell>
          <cell r="M25">
            <v>185670.72253211043</v>
          </cell>
          <cell r="N25">
            <v>173374.50359226853</v>
          </cell>
          <cell r="O25">
            <v>180811.45451987171</v>
          </cell>
          <cell r="P25">
            <v>186777.17521029309</v>
          </cell>
          <cell r="Q25">
            <v>192973.48753800176</v>
          </cell>
          <cell r="R25">
            <v>187252.47013342843</v>
          </cell>
          <cell r="S25">
            <v>2069850.8146454392</v>
          </cell>
          <cell r="U25"/>
          <cell r="V25">
            <v>311516.34725471109</v>
          </cell>
          <cell r="W25">
            <v>469541.06136396044</v>
          </cell>
          <cell r="X25">
            <v>627060.20481043286</v>
          </cell>
          <cell r="Y25">
            <v>802134.92673576484</v>
          </cell>
          <cell r="Z25">
            <v>962991.0011194651</v>
          </cell>
          <cell r="AA25">
            <v>1148661.7236515756</v>
          </cell>
          <cell r="AB25">
            <v>1322036.2272438442</v>
          </cell>
          <cell r="AC25">
            <v>1502847.6817637158</v>
          </cell>
          <cell r="AD25">
            <v>1689624.856974009</v>
          </cell>
          <cell r="AE25">
            <v>1882598.3445120107</v>
          </cell>
          <cell r="AF25">
            <v>2069850.8146454392</v>
          </cell>
        </row>
        <row r="26">
          <cell r="G26">
            <v>276951.06023743161</v>
          </cell>
          <cell r="H26">
            <v>234635.79222117711</v>
          </cell>
          <cell r="I26">
            <v>249587.79841580964</v>
          </cell>
          <cell r="J26">
            <v>244519.36799477896</v>
          </cell>
          <cell r="K26">
            <v>272257.14808821247</v>
          </cell>
          <cell r="L26">
            <v>251559.62082303362</v>
          </cell>
          <cell r="M26">
            <v>263003.49483063759</v>
          </cell>
          <cell r="N26">
            <v>246311.02342963737</v>
          </cell>
          <cell r="O26">
            <v>260667.66633476032</v>
          </cell>
          <cell r="P26">
            <v>258198.96752788214</v>
          </cell>
          <cell r="Q26">
            <v>267426.43460717064</v>
          </cell>
          <cell r="R26">
            <v>236245.27274434833</v>
          </cell>
          <cell r="S26">
            <v>3061363.6472548796</v>
          </cell>
          <cell r="U26"/>
          <cell r="V26">
            <v>511586.85245860874</v>
          </cell>
          <cell r="W26">
            <v>761174.65087441844</v>
          </cell>
          <cell r="X26">
            <v>1005694.0188691973</v>
          </cell>
          <cell r="Y26">
            <v>1277951.1669574098</v>
          </cell>
          <cell r="Z26">
            <v>1529510.7877804434</v>
          </cell>
          <cell r="AA26">
            <v>1792514.2826110811</v>
          </cell>
          <cell r="AB26">
            <v>2038825.3060407187</v>
          </cell>
          <cell r="AC26">
            <v>2299492.9723754786</v>
          </cell>
          <cell r="AD26">
            <v>2557691.9399033608</v>
          </cell>
          <cell r="AE26">
            <v>2825118.3745105318</v>
          </cell>
          <cell r="AF26">
            <v>3061363.6472548801</v>
          </cell>
        </row>
        <row r="27">
          <cell r="G27">
            <v>261937.5781226508</v>
          </cell>
          <cell r="H27">
            <v>238238.68488709343</v>
          </cell>
          <cell r="I27">
            <v>244168.22481749408</v>
          </cell>
          <cell r="J27">
            <v>217500.56137076643</v>
          </cell>
          <cell r="K27">
            <v>242956.0654072013</v>
          </cell>
          <cell r="L27">
            <v>226758.8660983335</v>
          </cell>
          <cell r="M27">
            <v>231998.31689558155</v>
          </cell>
          <cell r="N27">
            <v>218809.55951210644</v>
          </cell>
          <cell r="O27">
            <v>239568.63544466591</v>
          </cell>
          <cell r="P27">
            <v>199981.01848924937</v>
          </cell>
          <cell r="Q27">
            <v>208468.25179367285</v>
          </cell>
          <cell r="R27">
            <v>201379.69364441533</v>
          </cell>
          <cell r="S27">
            <v>2731765.4564832309</v>
          </cell>
          <cell r="U27"/>
          <cell r="V27">
            <v>500176.26300974423</v>
          </cell>
          <cell r="W27">
            <v>744344.48782723828</v>
          </cell>
          <cell r="X27">
            <v>961845.04919800465</v>
          </cell>
          <cell r="Y27">
            <v>1204801.1146052061</v>
          </cell>
          <cell r="Z27">
            <v>1431559.9807035397</v>
          </cell>
          <cell r="AA27">
            <v>1663558.2975991212</v>
          </cell>
          <cell r="AB27">
            <v>1882367.8571112277</v>
          </cell>
          <cell r="AC27">
            <v>2121936.4925558935</v>
          </cell>
          <cell r="AD27">
            <v>2321917.511045143</v>
          </cell>
          <cell r="AE27">
            <v>2530385.7628388158</v>
          </cell>
          <cell r="AF27">
            <v>2731765.4564832309</v>
          </cell>
        </row>
        <row r="28">
          <cell r="G28">
            <v>153854.18139910226</v>
          </cell>
          <cell r="H28">
            <v>125206.00659610266</v>
          </cell>
          <cell r="I28">
            <v>143680.65161187047</v>
          </cell>
          <cell r="J28">
            <v>144574.27738471929</v>
          </cell>
          <cell r="K28">
            <v>161987.80610875387</v>
          </cell>
          <cell r="L28">
            <v>151241.91189022563</v>
          </cell>
          <cell r="M28">
            <v>166959.13640218694</v>
          </cell>
          <cell r="N28">
            <v>157885.1500927578</v>
          </cell>
          <cell r="O28">
            <v>156442.24659657638</v>
          </cell>
          <cell r="P28">
            <v>164128.49048630279</v>
          </cell>
          <cell r="Q28">
            <v>171702.0413004006</v>
          </cell>
          <cell r="R28">
            <v>165550.45602634683</v>
          </cell>
          <cell r="S28">
            <v>1863212.3558953458</v>
          </cell>
          <cell r="U28"/>
          <cell r="V28">
            <v>279060.18799520493</v>
          </cell>
          <cell r="W28">
            <v>422740.83960707544</v>
          </cell>
          <cell r="X28">
            <v>567315.11699179467</v>
          </cell>
          <cell r="Y28">
            <v>729302.92310054856</v>
          </cell>
          <cell r="Z28">
            <v>880544.83499077416</v>
          </cell>
          <cell r="AA28">
            <v>1047503.9713929611</v>
          </cell>
          <cell r="AB28">
            <v>1205389.121485719</v>
          </cell>
          <cell r="AC28">
            <v>1361831.3680822954</v>
          </cell>
          <cell r="AD28">
            <v>1525959.8585685983</v>
          </cell>
          <cell r="AE28">
            <v>1697661.8998689989</v>
          </cell>
          <cell r="AF28">
            <v>1863212.3558953458</v>
          </cell>
        </row>
        <row r="29">
          <cell r="G29">
            <v>415791.75952175306</v>
          </cell>
          <cell r="H29">
            <v>363444.6914831961</v>
          </cell>
          <cell r="I29">
            <v>387848.87642936455</v>
          </cell>
          <cell r="J29">
            <v>362074.83875548572</v>
          </cell>
          <cell r="K29">
            <v>404943.87151595519</v>
          </cell>
          <cell r="L29">
            <v>378000.7779885591</v>
          </cell>
          <cell r="M29">
            <v>398957.45329776849</v>
          </cell>
          <cell r="N29">
            <v>376694.70960486424</v>
          </cell>
          <cell r="O29">
            <v>396010.88204124232</v>
          </cell>
          <cell r="P29">
            <v>364109.50897555216</v>
          </cell>
          <cell r="Q29">
            <v>380170.29309407342</v>
          </cell>
          <cell r="R29">
            <v>366930.14967076213</v>
          </cell>
          <cell r="S29">
            <v>4594977.812378576</v>
          </cell>
          <cell r="U29"/>
          <cell r="V29">
            <v>779236.45100494917</v>
          </cell>
          <cell r="W29">
            <v>1167085.3274343137</v>
          </cell>
          <cell r="X29">
            <v>1529160.1661897993</v>
          </cell>
          <cell r="Y29">
            <v>1934104.0377057546</v>
          </cell>
          <cell r="Z29">
            <v>2312104.815694314</v>
          </cell>
          <cell r="AA29">
            <v>2711062.2689920822</v>
          </cell>
          <cell r="AB29">
            <v>3087756.9785969467</v>
          </cell>
          <cell r="AC29">
            <v>3483767.8606381891</v>
          </cell>
          <cell r="AD29">
            <v>3847877.3696137415</v>
          </cell>
          <cell r="AE29">
            <v>4228047.6627078149</v>
          </cell>
          <cell r="AF29">
            <v>4594977.812378577</v>
          </cell>
        </row>
        <row r="30">
          <cell r="G30">
            <v>366712.60937171109</v>
          </cell>
          <cell r="H30">
            <v>333534.1588419308</v>
          </cell>
          <cell r="I30">
            <v>335731.30912405439</v>
          </cell>
          <cell r="J30">
            <v>304500.78591907298</v>
          </cell>
          <cell r="K30">
            <v>340138.49157008179</v>
          </cell>
          <cell r="L30">
            <v>317462.41253766691</v>
          </cell>
          <cell r="M30">
            <v>309331.08919410873</v>
          </cell>
          <cell r="N30">
            <v>291746.07934947527</v>
          </cell>
          <cell r="O30">
            <v>319424.84725955455</v>
          </cell>
          <cell r="P30">
            <v>271402.81080683845</v>
          </cell>
          <cell r="Q30">
            <v>282921.1988628417</v>
          </cell>
          <cell r="R30">
            <v>250372.49625533522</v>
          </cell>
          <cell r="S30">
            <v>3723278.2890926721</v>
          </cell>
          <cell r="U30"/>
          <cell r="V30">
            <v>700246.76821364183</v>
          </cell>
          <cell r="W30">
            <v>1035978.0773376962</v>
          </cell>
          <cell r="X30">
            <v>1340478.8632567693</v>
          </cell>
          <cell r="Y30">
            <v>1680617.354826851</v>
          </cell>
          <cell r="Z30">
            <v>1998079.767364518</v>
          </cell>
          <cell r="AA30">
            <v>2307410.8565586265</v>
          </cell>
          <cell r="AB30">
            <v>2599156.935908102</v>
          </cell>
          <cell r="AC30">
            <v>2918581.7831676565</v>
          </cell>
          <cell r="AD30">
            <v>3189984.5939744953</v>
          </cell>
          <cell r="AE30">
            <v>3472905.7928373367</v>
          </cell>
          <cell r="AF30">
            <v>3723278.2890926721</v>
          </cell>
        </row>
        <row r="31">
          <cell r="G31">
            <v>326030.21038747358</v>
          </cell>
          <cell r="H31">
            <v>264546.32486244245</v>
          </cell>
          <cell r="I31">
            <v>301705.3657211198</v>
          </cell>
          <cell r="J31">
            <v>302093.4208311917</v>
          </cell>
          <cell r="K31">
            <v>337062.52803408582</v>
          </cell>
          <cell r="L31">
            <v>312097.98627392587</v>
          </cell>
          <cell r="M31">
            <v>352629.85893429734</v>
          </cell>
          <cell r="N31">
            <v>331259.65368502634</v>
          </cell>
          <cell r="O31">
            <v>337253.70111644809</v>
          </cell>
          <cell r="P31">
            <v>350905.66569659591</v>
          </cell>
          <cell r="Q31">
            <v>364675.52883840236</v>
          </cell>
          <cell r="R31">
            <v>352802.92615977523</v>
          </cell>
          <cell r="S31">
            <v>3933063.170540785</v>
          </cell>
          <cell r="U31"/>
          <cell r="V31">
            <v>590576.53524991602</v>
          </cell>
          <cell r="W31">
            <v>892281.90097103594</v>
          </cell>
          <cell r="X31">
            <v>1194375.3218022275</v>
          </cell>
          <cell r="Y31">
            <v>1531437.8498363134</v>
          </cell>
          <cell r="Z31">
            <v>1843535.8361102394</v>
          </cell>
          <cell r="AA31">
            <v>2196165.6950445366</v>
          </cell>
          <cell r="AB31">
            <v>2527425.3487295629</v>
          </cell>
          <cell r="AC31">
            <v>2864679.0498460112</v>
          </cell>
          <cell r="AD31">
            <v>3215584.715542607</v>
          </cell>
          <cell r="AE31">
            <v>3580260.2443810096</v>
          </cell>
          <cell r="AF31">
            <v>3933063.170540785</v>
          </cell>
        </row>
        <row r="32">
          <cell r="G32">
            <v>692742.81975918473</v>
          </cell>
          <cell r="H32">
            <v>598080.48370437324</v>
          </cell>
          <cell r="I32">
            <v>637436.67484517419</v>
          </cell>
          <cell r="J32">
            <v>606594.20675026462</v>
          </cell>
          <cell r="K32">
            <v>677201.01960416767</v>
          </cell>
          <cell r="L32">
            <v>629560.39881159272</v>
          </cell>
          <cell r="M32">
            <v>661960.94812840607</v>
          </cell>
          <cell r="N32">
            <v>623005.73303450155</v>
          </cell>
          <cell r="O32">
            <v>656678.54837600258</v>
          </cell>
          <cell r="P32">
            <v>622308.47650343436</v>
          </cell>
          <cell r="Q32">
            <v>647596.72770124406</v>
          </cell>
          <cell r="R32">
            <v>603175.42241511052</v>
          </cell>
          <cell r="S32">
            <v>7656341.4596334565</v>
          </cell>
          <cell r="U32"/>
          <cell r="V32">
            <v>1290823.3034635577</v>
          </cell>
          <cell r="W32">
            <v>1928259.9783087322</v>
          </cell>
          <cell r="X32">
            <v>2534854.185058997</v>
          </cell>
          <cell r="Y32">
            <v>3212055.2046631644</v>
          </cell>
          <cell r="Z32">
            <v>3841615.6034747576</v>
          </cell>
          <cell r="AA32">
            <v>4503576.5516031627</v>
          </cell>
          <cell r="AB32">
            <v>5126582.2846376654</v>
          </cell>
          <cell r="AC32">
            <v>5783260.8330136677</v>
          </cell>
          <cell r="AD32">
            <v>6405569.3095171023</v>
          </cell>
          <cell r="AE32">
            <v>7053166.0372183463</v>
          </cell>
          <cell r="AF32">
            <v>7656341.4596334565</v>
          </cell>
        </row>
        <row r="33">
          <cell r="G33">
            <v>-32775.03124906031</v>
          </cell>
          <cell r="H33">
            <v>-23295.473954837333</v>
          </cell>
          <cell r="I33">
            <v>-19563.084306560297</v>
          </cell>
          <cell r="J33">
            <v>-15000.224548306564</v>
          </cell>
          <cell r="K33">
            <v>-25182.426162880511</v>
          </cell>
          <cell r="L33">
            <v>-18703.546439333411</v>
          </cell>
          <cell r="M33">
            <v>-17332.772298527168</v>
          </cell>
          <cell r="N33">
            <v>-12936.519837368818</v>
          </cell>
          <cell r="O33">
            <v>-19856.211814888607</v>
          </cell>
          <cell r="P33">
            <v>-11421.792317589046</v>
          </cell>
          <cell r="Q33">
            <v>-14452.947069168877</v>
          </cell>
          <cell r="R33">
            <v>-8120.8026109198909</v>
          </cell>
          <cell r="S33">
            <v>-218640.83260944081</v>
          </cell>
          <cell r="V33">
            <v>-56070.505203897657</v>
          </cell>
          <cell r="W33">
            <v>-75633.589510457939</v>
          </cell>
          <cell r="X33">
            <v>-90633.814058764488</v>
          </cell>
          <cell r="Y33">
            <v>-115816.24022164498</v>
          </cell>
          <cell r="Z33">
            <v>-134519.78666097834</v>
          </cell>
          <cell r="AA33">
            <v>-151852.55895950552</v>
          </cell>
          <cell r="AB33">
            <v>-164789.07879687438</v>
          </cell>
          <cell r="AC33">
            <v>-184645.29061176302</v>
          </cell>
          <cell r="AD33">
            <v>-196067.08292935207</v>
          </cell>
          <cell r="AE33">
            <v>-210520.02999852097</v>
          </cell>
          <cell r="AF33">
            <v>-218640.8326094409</v>
          </cell>
        </row>
        <row r="34">
          <cell r="G34">
            <v>-14419.943537126092</v>
          </cell>
          <cell r="H34">
            <v>1030.1526324997831</v>
          </cell>
          <cell r="I34">
            <v>7657.4783308431797</v>
          </cell>
          <cell r="J34">
            <v>16294.63518883448</v>
          </cell>
          <cell r="K34">
            <v>-2130.1478038486384</v>
          </cell>
          <cell r="L34">
            <v>9392.8711871727428</v>
          </cell>
          <cell r="M34">
            <v>6403.8321628817648</v>
          </cell>
          <cell r="N34">
            <v>16790.318067830027</v>
          </cell>
          <cell r="O34">
            <v>325.56704484092188</v>
          </cell>
          <cell r="P34">
            <v>22433.116662256798</v>
          </cell>
          <cell r="Q34">
            <v>14377.324092032417</v>
          </cell>
          <cell r="R34">
            <v>21033.442665462091</v>
          </cell>
          <cell r="S34">
            <v>99188.646693679475</v>
          </cell>
          <cell r="V34">
            <v>-13389.790904626367</v>
          </cell>
          <cell r="W34">
            <v>-5732.3125737831579</v>
          </cell>
          <cell r="X34">
            <v>10562.322615051293</v>
          </cell>
          <cell r="Y34">
            <v>8432.1748112025671</v>
          </cell>
          <cell r="Z34">
            <v>17825.045998375281</v>
          </cell>
          <cell r="AA34">
            <v>24228.8781612569</v>
          </cell>
          <cell r="AB34">
            <v>41019.196229086956</v>
          </cell>
          <cell r="AC34">
            <v>41344.763273928082</v>
          </cell>
          <cell r="AD34">
            <v>63777.879936184734</v>
          </cell>
          <cell r="AE34">
            <v>78155.204028217122</v>
          </cell>
          <cell r="AF34">
            <v>99188.646693679271</v>
          </cell>
        </row>
        <row r="35">
          <cell r="G35">
            <v>-47194.974786186402</v>
          </cell>
          <cell r="H35">
            <v>-22265.32132233755</v>
          </cell>
          <cell r="I35">
            <v>-11905.605975717117</v>
          </cell>
          <cell r="J35">
            <v>1294.4106405279163</v>
          </cell>
          <cell r="K35">
            <v>-27312.573966729149</v>
          </cell>
          <cell r="L35">
            <v>-9310.6752521606686</v>
          </cell>
          <cell r="M35">
            <v>-10928.940135645404</v>
          </cell>
          <cell r="N35">
            <v>3853.7982304612087</v>
          </cell>
          <cell r="O35">
            <v>-19530.644770047686</v>
          </cell>
          <cell r="P35">
            <v>11011.324344667752</v>
          </cell>
          <cell r="Q35">
            <v>-75.622977136459667</v>
          </cell>
          <cell r="R35">
            <v>12912.6400545422</v>
          </cell>
          <cell r="S35">
            <v>-119452.18591576137</v>
          </cell>
          <cell r="V35">
            <v>-69460.296108524024</v>
          </cell>
          <cell r="W35">
            <v>-81365.902084241097</v>
          </cell>
          <cell r="X35">
            <v>-80071.491443713196</v>
          </cell>
          <cell r="Y35">
            <v>-107384.06541044242</v>
          </cell>
          <cell r="Z35">
            <v>-116694.74066260306</v>
          </cell>
          <cell r="AA35">
            <v>-127623.68079824862</v>
          </cell>
          <cell r="AB35">
            <v>-123769.88256778743</v>
          </cell>
          <cell r="AC35">
            <v>-143300.52733783494</v>
          </cell>
          <cell r="AD35">
            <v>-132289.20299316733</v>
          </cell>
          <cell r="AE35">
            <v>-132364.82597030385</v>
          </cell>
          <cell r="AF35">
            <v>-119452.18591576163</v>
          </cell>
        </row>
        <row r="36">
          <cell r="G36">
            <v>23062.421877349203</v>
          </cell>
          <cell r="H36">
            <v>46761.315112906566</v>
          </cell>
          <cell r="I36">
            <v>59831.775182505924</v>
          </cell>
          <cell r="J36">
            <v>67499.438629233569</v>
          </cell>
          <cell r="K36">
            <v>42043.934592798701</v>
          </cell>
          <cell r="L36">
            <v>58241.133901666501</v>
          </cell>
          <cell r="M36">
            <v>53001.683104418451</v>
          </cell>
          <cell r="N36">
            <v>66190.44048789356</v>
          </cell>
          <cell r="O36">
            <v>45431.36455533409</v>
          </cell>
          <cell r="P36">
            <v>66018.981510750629</v>
          </cell>
          <cell r="Q36">
            <v>57531.748206327145</v>
          </cell>
          <cell r="R36">
            <v>64620.306355584675</v>
          </cell>
          <cell r="S36">
            <v>650234.54351676884</v>
          </cell>
          <cell r="V36">
            <v>69823.736990255769</v>
          </cell>
          <cell r="W36">
            <v>129655.51217276172</v>
          </cell>
          <cell r="X36">
            <v>197154.95080199535</v>
          </cell>
          <cell r="Y36">
            <v>239198.88539479394</v>
          </cell>
          <cell r="Z36">
            <v>297440.01929646032</v>
          </cell>
          <cell r="AA36">
            <v>350441.70240087877</v>
          </cell>
          <cell r="AB36">
            <v>416632.1428887723</v>
          </cell>
          <cell r="AC36">
            <v>462063.50744410651</v>
          </cell>
          <cell r="AD36">
            <v>528082.48895485699</v>
          </cell>
          <cell r="AE36">
            <v>585614.2371611842</v>
          </cell>
          <cell r="AF36">
            <v>650234.54351676907</v>
          </cell>
        </row>
        <row r="37">
          <cell r="G37">
            <v>40796.584973482619</v>
          </cell>
          <cell r="H37">
            <v>48900.419372612654</v>
          </cell>
          <cell r="I37">
            <v>64093.098251391435</v>
          </cell>
          <cell r="J37">
            <v>75248.94335209002</v>
          </cell>
          <cell r="K37">
            <v>58545.631438487442</v>
          </cell>
          <cell r="L37">
            <v>69650.673149642855</v>
          </cell>
          <cell r="M37">
            <v>71722.879590368015</v>
          </cell>
          <cell r="N37">
            <v>81452.958925687912</v>
          </cell>
          <cell r="O37">
            <v>61859.841826222633</v>
          </cell>
          <cell r="P37">
            <v>90676.776730080222</v>
          </cell>
          <cell r="Q37">
            <v>84042.196985973889</v>
          </cell>
          <cell r="R37">
            <v>89668.844979505171</v>
          </cell>
          <cell r="S37">
            <v>836658.84957554482</v>
          </cell>
          <cell r="V37">
            <v>89697.004346095258</v>
          </cell>
          <cell r="W37">
            <v>153790.10259748669</v>
          </cell>
          <cell r="X37">
            <v>229039.04594957677</v>
          </cell>
          <cell r="Y37">
            <v>287584.67738806421</v>
          </cell>
          <cell r="Z37">
            <v>357235.35053770721</v>
          </cell>
          <cell r="AA37">
            <v>428958.23012807511</v>
          </cell>
          <cell r="AB37">
            <v>510411.18905376294</v>
          </cell>
          <cell r="AC37">
            <v>572271.03087998554</v>
          </cell>
          <cell r="AD37">
            <v>662947.80761006591</v>
          </cell>
          <cell r="AE37">
            <v>746990.00459603989</v>
          </cell>
          <cell r="AF37">
            <v>836658.84957554494</v>
          </cell>
        </row>
        <row r="38">
          <cell r="G38">
            <v>63859.006850831822</v>
          </cell>
          <cell r="H38">
            <v>95661.73448551922</v>
          </cell>
          <cell r="I38">
            <v>123924.87343389736</v>
          </cell>
          <cell r="J38">
            <v>142748.38198132359</v>
          </cell>
          <cell r="K38">
            <v>100589.56603128614</v>
          </cell>
          <cell r="L38">
            <v>127891.80705130936</v>
          </cell>
          <cell r="M38">
            <v>124724.56269478647</v>
          </cell>
          <cell r="N38">
            <v>147643.39941358147</v>
          </cell>
          <cell r="O38">
            <v>107291.20638155672</v>
          </cell>
          <cell r="P38">
            <v>156695.75824083085</v>
          </cell>
          <cell r="Q38">
            <v>141573.94519230103</v>
          </cell>
          <cell r="R38">
            <v>154289.15133508985</v>
          </cell>
          <cell r="S38">
            <v>1486893.393092314</v>
          </cell>
          <cell r="V38">
            <v>159520.74133635103</v>
          </cell>
          <cell r="W38">
            <v>283445.61477024842</v>
          </cell>
          <cell r="X38">
            <v>426193.99675157212</v>
          </cell>
          <cell r="Y38">
            <v>526783.56278285815</v>
          </cell>
          <cell r="Z38">
            <v>654675.36983416753</v>
          </cell>
          <cell r="AA38">
            <v>779399.93252895388</v>
          </cell>
          <cell r="AB38">
            <v>927043.33194253524</v>
          </cell>
          <cell r="AC38">
            <v>1034334.538324092</v>
          </cell>
          <cell r="AD38">
            <v>1191030.2965649229</v>
          </cell>
          <cell r="AE38">
            <v>1332604.2417572241</v>
          </cell>
          <cell r="AF38">
            <v>1486893.393092314</v>
          </cell>
        </row>
        <row r="39">
          <cell r="G39">
            <v>-9712.6093717111071</v>
          </cell>
          <cell r="H39">
            <v>23465.841158069234</v>
          </cell>
          <cell r="I39">
            <v>40268.690875945627</v>
          </cell>
          <cell r="J39">
            <v>52499.214080927006</v>
          </cell>
          <cell r="K39">
            <v>16861.508429918191</v>
          </cell>
          <cell r="L39">
            <v>39537.587462333089</v>
          </cell>
          <cell r="M39">
            <v>35668.910805891283</v>
          </cell>
          <cell r="N39">
            <v>53253.920650524742</v>
          </cell>
          <cell r="O39">
            <v>25575.152740445483</v>
          </cell>
          <cell r="P39">
            <v>54597.189193161583</v>
          </cell>
          <cell r="Q39">
            <v>43078.801137158269</v>
          </cell>
          <cell r="R39">
            <v>56499.503744664784</v>
          </cell>
          <cell r="S39">
            <v>431593.71090732812</v>
          </cell>
          <cell r="V39">
            <v>13753.231786358112</v>
          </cell>
          <cell r="W39">
            <v>54021.922662303783</v>
          </cell>
          <cell r="X39">
            <v>106521.13674323086</v>
          </cell>
          <cell r="Y39">
            <v>123382.64517314895</v>
          </cell>
          <cell r="Z39">
            <v>162920.23263548198</v>
          </cell>
          <cell r="AA39">
            <v>198589.14344137325</v>
          </cell>
          <cell r="AB39">
            <v>251843.06409189792</v>
          </cell>
          <cell r="AC39">
            <v>277418.21683234349</v>
          </cell>
          <cell r="AD39">
            <v>332015.40602550493</v>
          </cell>
          <cell r="AE39">
            <v>375094.20716266322</v>
          </cell>
          <cell r="AF39">
            <v>431593.71090732818</v>
          </cell>
        </row>
        <row r="40">
          <cell r="G40">
            <v>26376.641436356527</v>
          </cell>
          <cell r="H40">
            <v>49930.572005112437</v>
          </cell>
          <cell r="I40">
            <v>71750.576582234615</v>
          </cell>
          <cell r="J40">
            <v>91543.5785409245</v>
          </cell>
          <cell r="K40">
            <v>56415.483634638804</v>
          </cell>
          <cell r="L40">
            <v>79043.544336815597</v>
          </cell>
          <cell r="M40">
            <v>78126.71175324978</v>
          </cell>
          <cell r="N40">
            <v>98243.276993517939</v>
          </cell>
          <cell r="O40">
            <v>62185.408871063555</v>
          </cell>
          <cell r="P40">
            <v>113109.89339233702</v>
          </cell>
          <cell r="Q40">
            <v>98419.521078006306</v>
          </cell>
          <cell r="R40">
            <v>110702.28764496726</v>
          </cell>
          <cell r="S40">
            <v>935847.49626922421</v>
          </cell>
          <cell r="V40">
            <v>76307.213441468892</v>
          </cell>
          <cell r="W40">
            <v>148057.79002370354</v>
          </cell>
          <cell r="X40">
            <v>239601.36856462806</v>
          </cell>
          <cell r="Y40">
            <v>296016.85219926678</v>
          </cell>
          <cell r="Z40">
            <v>375060.3965360825</v>
          </cell>
          <cell r="AA40">
            <v>453187.10828933201</v>
          </cell>
          <cell r="AB40">
            <v>551430.38528284989</v>
          </cell>
          <cell r="AC40">
            <v>613615.79415391362</v>
          </cell>
          <cell r="AD40">
            <v>726725.68754625064</v>
          </cell>
          <cell r="AE40">
            <v>825145.20862425701</v>
          </cell>
          <cell r="AF40">
            <v>935847.49626922421</v>
          </cell>
        </row>
        <row r="41">
          <cell r="G41">
            <v>16664.03206464542</v>
          </cell>
          <cell r="H41">
            <v>73396.413163181671</v>
          </cell>
          <cell r="I41">
            <v>112019.26745818024</v>
          </cell>
          <cell r="J41">
            <v>144042.79262185149</v>
          </cell>
          <cell r="K41">
            <v>73276.992064556995</v>
          </cell>
          <cell r="L41">
            <v>118581.13179914869</v>
          </cell>
          <cell r="M41">
            <v>113795.62255914106</v>
          </cell>
          <cell r="N41">
            <v>151497.19764404267</v>
          </cell>
          <cell r="O41">
            <v>87760.561611509038</v>
          </cell>
          <cell r="P41">
            <v>167707.0825854986</v>
          </cell>
          <cell r="Q41">
            <v>141498.32221516458</v>
          </cell>
          <cell r="R41">
            <v>167201.79138963204</v>
          </cell>
          <cell r="S41">
            <v>1367441.2071765524</v>
          </cell>
          <cell r="V41">
            <v>90060.445227827004</v>
          </cell>
          <cell r="W41">
            <v>202079.71268600732</v>
          </cell>
          <cell r="X41">
            <v>346122.50530785893</v>
          </cell>
          <cell r="Y41">
            <v>419399.49737241573</v>
          </cell>
          <cell r="Z41">
            <v>537980.62917156448</v>
          </cell>
          <cell r="AA41">
            <v>651776.25173070526</v>
          </cell>
          <cell r="AB41">
            <v>803273.44937474781</v>
          </cell>
          <cell r="AC41">
            <v>891034.01098625711</v>
          </cell>
          <cell r="AD41">
            <v>1058741.0935717556</v>
          </cell>
          <cell r="AE41">
            <v>1200239.4157869201</v>
          </cell>
          <cell r="AF41">
            <v>1367441.2071765524</v>
          </cell>
        </row>
        <row r="42">
          <cell r="G42">
            <v>8546.8631434775489</v>
          </cell>
          <cell r="H42">
            <v>9059.2862968289937</v>
          </cell>
          <cell r="I42">
            <v>8167.0404730209075</v>
          </cell>
          <cell r="J42">
            <v>8154.6149023858734</v>
          </cell>
          <cell r="K42">
            <v>8159.2731994904007</v>
          </cell>
          <cell r="L42">
            <v>8191.5900050190912</v>
          </cell>
          <cell r="M42">
            <v>6642.2092241071095</v>
          </cell>
          <cell r="N42">
            <v>6656.3221905932414</v>
          </cell>
          <cell r="O42">
            <v>6914.1248311778872</v>
          </cell>
          <cell r="P42">
            <v>6525.3884398312539</v>
          </cell>
          <cell r="Q42">
            <v>6536.7005292296044</v>
          </cell>
          <cell r="R42">
            <v>4618.1707686494565</v>
          </cell>
          <cell r="S42">
            <v>88171.584003811382</v>
          </cell>
          <cell r="U42"/>
          <cell r="V42">
            <v>17606.149440306544</v>
          </cell>
          <cell r="W42">
            <v>25773.189913327453</v>
          </cell>
          <cell r="X42">
            <v>33927.804815713323</v>
          </cell>
          <cell r="Y42">
            <v>42087.078015203726</v>
          </cell>
          <cell r="Z42">
            <v>50278.668020222816</v>
          </cell>
          <cell r="AA42">
            <v>56920.877244329924</v>
          </cell>
          <cell r="AB42">
            <v>63577.199434923168</v>
          </cell>
          <cell r="AC42">
            <v>70491.324266101059</v>
          </cell>
          <cell r="AD42">
            <v>77016.71270593231</v>
          </cell>
          <cell r="AE42">
            <v>83553.413235161919</v>
          </cell>
          <cell r="AF42">
            <v>88171.584003811382</v>
          </cell>
        </row>
        <row r="43">
          <cell r="G43">
            <v>14044.996587526482</v>
          </cell>
          <cell r="H43">
            <v>13246.419619721775</v>
          </cell>
          <cell r="I43">
            <v>14095.137201219524</v>
          </cell>
          <cell r="J43">
            <v>14764.421140619508</v>
          </cell>
          <cell r="K43">
            <v>14698.979464861459</v>
          </cell>
          <cell r="L43">
            <v>14527.182926077105</v>
          </cell>
          <cell r="M43">
            <v>15947.492236391785</v>
          </cell>
          <cell r="N43">
            <v>15822.479028579004</v>
          </cell>
          <cell r="O43">
            <v>15655.049733077301</v>
          </cell>
          <cell r="P43">
            <v>17064.730250985744</v>
          </cell>
          <cell r="Q43">
            <v>16942.377001477907</v>
          </cell>
          <cell r="R43">
            <v>17650.83518073447</v>
          </cell>
          <cell r="S43">
            <v>184460.10037127204</v>
          </cell>
          <cell r="U43"/>
          <cell r="V43">
            <v>27291.416207248258</v>
          </cell>
          <cell r="W43">
            <v>41386.553408467778</v>
          </cell>
          <cell r="X43">
            <v>56150.974549087288</v>
          </cell>
          <cell r="Y43">
            <v>70849.954013948751</v>
          </cell>
          <cell r="Z43">
            <v>85377.136940025855</v>
          </cell>
          <cell r="AA43">
            <v>101324.62917641764</v>
          </cell>
          <cell r="AB43">
            <v>117147.10820499665</v>
          </cell>
          <cell r="AC43">
            <v>132802.15793807394</v>
          </cell>
          <cell r="AD43">
            <v>149866.88818905968</v>
          </cell>
          <cell r="AE43">
            <v>166809.26519053758</v>
          </cell>
          <cell r="AF43">
            <v>184460.10037127204</v>
          </cell>
        </row>
        <row r="44">
          <cell r="G44">
            <v>22591.859731004031</v>
          </cell>
          <cell r="H44">
            <v>22305.705916550767</v>
          </cell>
          <cell r="I44">
            <v>22262.177674240433</v>
          </cell>
          <cell r="J44">
            <v>22919.036043005381</v>
          </cell>
          <cell r="K44">
            <v>22858.252664351858</v>
          </cell>
          <cell r="L44">
            <v>22718.772931096195</v>
          </cell>
          <cell r="M44">
            <v>22589.701460498894</v>
          </cell>
          <cell r="N44">
            <v>22478.801219172245</v>
          </cell>
          <cell r="O44">
            <v>22569.17456425519</v>
          </cell>
          <cell r="P44">
            <v>23590.118690816998</v>
          </cell>
          <cell r="Q44">
            <v>23479.077530707513</v>
          </cell>
          <cell r="R44">
            <v>22269.005949383925</v>
          </cell>
          <cell r="S44">
            <v>272631.68437508348</v>
          </cell>
          <cell r="U44"/>
          <cell r="V44">
            <v>44897.565647554802</v>
          </cell>
          <cell r="W44">
            <v>67159.743321795235</v>
          </cell>
          <cell r="X44">
            <v>90078.779364800605</v>
          </cell>
          <cell r="Y44">
            <v>112937.03202915247</v>
          </cell>
          <cell r="Z44">
            <v>135655.80496024867</v>
          </cell>
          <cell r="AA44">
            <v>158245.50642074755</v>
          </cell>
          <cell r="AB44">
            <v>180724.3076399198</v>
          </cell>
          <cell r="AC44">
            <v>203293.482204175</v>
          </cell>
          <cell r="AD44">
            <v>226883.60089499201</v>
          </cell>
          <cell r="AE44">
            <v>250362.6784256995</v>
          </cell>
          <cell r="AF44">
            <v>272631.68437508342</v>
          </cell>
        </row>
        <row r="45">
          <cell r="G45">
            <v>21367.157858693874</v>
          </cell>
          <cell r="H45">
            <v>22648.215742072494</v>
          </cell>
          <cell r="I45">
            <v>21778.774594722421</v>
          </cell>
          <cell r="J45">
            <v>20386.537255964686</v>
          </cell>
          <cell r="K45">
            <v>20398.182998726003</v>
          </cell>
          <cell r="L45">
            <v>20478.975012547729</v>
          </cell>
          <cell r="M45">
            <v>19926.62767232133</v>
          </cell>
          <cell r="N45">
            <v>19968.966571779729</v>
          </cell>
          <cell r="O45">
            <v>20742.374493533662</v>
          </cell>
          <cell r="P45">
            <v>18271.087631527509</v>
          </cell>
          <cell r="Q45">
            <v>18302.761481842896</v>
          </cell>
          <cell r="R45">
            <v>18982.498755458717</v>
          </cell>
          <cell r="S45">
            <v>243252.16006919101</v>
          </cell>
          <cell r="U45"/>
          <cell r="V45">
            <v>44015.373600766368</v>
          </cell>
          <cell r="W45">
            <v>65794.148195488786</v>
          </cell>
          <cell r="X45">
            <v>86180.685451453464</v>
          </cell>
          <cell r="Y45">
            <v>106578.86845017946</v>
          </cell>
          <cell r="Z45">
            <v>127057.84346272719</v>
          </cell>
          <cell r="AA45">
            <v>146984.47113504852</v>
          </cell>
          <cell r="AB45">
            <v>166953.43770682823</v>
          </cell>
          <cell r="AC45">
            <v>187695.81220036189</v>
          </cell>
          <cell r="AD45">
            <v>205966.8998318894</v>
          </cell>
          <cell r="AE45">
            <v>224269.6613137323</v>
          </cell>
          <cell r="AF45">
            <v>243252.16006919101</v>
          </cell>
        </row>
        <row r="46">
          <cell r="G46">
            <v>12550.419854746546</v>
          </cell>
          <cell r="H46">
            <v>11902.738008043412</v>
          </cell>
          <cell r="I46">
            <v>12815.707397703818</v>
          </cell>
          <cell r="J46">
            <v>13551.086367696607</v>
          </cell>
          <cell r="K46">
            <v>13600.224003588792</v>
          </cell>
          <cell r="L46">
            <v>13658.911723022758</v>
          </cell>
          <cell r="M46">
            <v>14340.330533846442</v>
          </cell>
          <cell r="N46">
            <v>14408.891875714711</v>
          </cell>
          <cell r="O46">
            <v>13545.110608877831</v>
          </cell>
          <cell r="P46">
            <v>14995.453344322166</v>
          </cell>
          <cell r="Q46">
            <v>15074.820654116265</v>
          </cell>
          <cell r="R46">
            <v>15605.154961824039</v>
          </cell>
          <cell r="S46">
            <v>166048.84933350337</v>
          </cell>
          <cell r="U46"/>
          <cell r="V46">
            <v>24453.157862789958</v>
          </cell>
          <cell r="W46">
            <v>37268.865260493774</v>
          </cell>
          <cell r="X46">
            <v>50819.951628190378</v>
          </cell>
          <cell r="Y46">
            <v>64420.175631779173</v>
          </cell>
          <cell r="Z46">
            <v>78079.08735480193</v>
          </cell>
          <cell r="AA46">
            <v>92419.417888648371</v>
          </cell>
          <cell r="AB46">
            <v>106828.30976436308</v>
          </cell>
          <cell r="AC46">
            <v>120373.42037324091</v>
          </cell>
          <cell r="AD46">
            <v>135368.87371756308</v>
          </cell>
          <cell r="AE46">
            <v>150443.69437167933</v>
          </cell>
          <cell r="AF46">
            <v>166048.84933350337</v>
          </cell>
        </row>
        <row r="47">
          <cell r="G47">
            <v>33917.57771344042</v>
          </cell>
          <cell r="H47">
            <v>34550.953750115907</v>
          </cell>
          <cell r="I47">
            <v>34594.481992426241</v>
          </cell>
          <cell r="J47">
            <v>33937.623623661289</v>
          </cell>
          <cell r="K47">
            <v>33998.407002314794</v>
          </cell>
          <cell r="L47">
            <v>34137.886735570486</v>
          </cell>
          <cell r="M47">
            <v>34266.958206167772</v>
          </cell>
          <cell r="N47">
            <v>34377.858447494436</v>
          </cell>
          <cell r="O47">
            <v>34287.485102411491</v>
          </cell>
          <cell r="P47">
            <v>33266.540975849675</v>
          </cell>
          <cell r="Q47">
            <v>33377.582135959165</v>
          </cell>
          <cell r="R47">
            <v>34587.653717282752</v>
          </cell>
          <cell r="S47">
            <v>409301.00940269441</v>
          </cell>
          <cell r="U47"/>
          <cell r="V47">
            <v>68468.531463556326</v>
          </cell>
          <cell r="W47">
            <v>103063.01345598255</v>
          </cell>
          <cell r="X47">
            <v>137000.63707964384</v>
          </cell>
          <cell r="Y47">
            <v>170999.04408195865</v>
          </cell>
          <cell r="Z47">
            <v>205136.93081752912</v>
          </cell>
          <cell r="AA47">
            <v>239403.88902369689</v>
          </cell>
          <cell r="AB47">
            <v>273781.74747119134</v>
          </cell>
          <cell r="AC47">
            <v>308069.23257360281</v>
          </cell>
          <cell r="AD47">
            <v>341335.77354945248</v>
          </cell>
          <cell r="AE47">
            <v>374713.3556854116</v>
          </cell>
          <cell r="AF47">
            <v>409301.00940269441</v>
          </cell>
        </row>
        <row r="48">
          <cell r="G48">
            <v>29914.021002171423</v>
          </cell>
          <cell r="H48">
            <v>31707.50203890149</v>
          </cell>
          <cell r="I48">
            <v>29945.81506774333</v>
          </cell>
          <cell r="J48">
            <v>28541.15215835056</v>
          </cell>
          <cell r="K48">
            <v>28557.456198216401</v>
          </cell>
          <cell r="L48">
            <v>28670.56501756682</v>
          </cell>
          <cell r="M48">
            <v>26568.836896428438</v>
          </cell>
          <cell r="N48">
            <v>26625.288762372969</v>
          </cell>
          <cell r="O48">
            <v>27656.499324711549</v>
          </cell>
          <cell r="P48">
            <v>24796.476071358764</v>
          </cell>
          <cell r="Q48">
            <v>24839.462011072501</v>
          </cell>
          <cell r="R48">
            <v>23600.669524108172</v>
          </cell>
          <cell r="S48">
            <v>331423.74407300242</v>
          </cell>
          <cell r="U48"/>
          <cell r="V48">
            <v>61621.523041072913</v>
          </cell>
          <cell r="W48">
            <v>91567.338108816242</v>
          </cell>
          <cell r="X48">
            <v>120108.49026716678</v>
          </cell>
          <cell r="Y48">
            <v>148665.9464653832</v>
          </cell>
          <cell r="Z48">
            <v>177336.51148295001</v>
          </cell>
          <cell r="AA48">
            <v>203905.34837937844</v>
          </cell>
          <cell r="AB48">
            <v>230530.63714175142</v>
          </cell>
          <cell r="AC48">
            <v>258187.13646646295</v>
          </cell>
          <cell r="AD48">
            <v>282983.6125378217</v>
          </cell>
          <cell r="AE48">
            <v>307823.07454889419</v>
          </cell>
          <cell r="AF48">
            <v>331423.74407300237</v>
          </cell>
        </row>
        <row r="49">
          <cell r="G49">
            <v>26595.416442273028</v>
          </cell>
          <cell r="H49">
            <v>25149.157627765187</v>
          </cell>
          <cell r="I49">
            <v>26910.844598923344</v>
          </cell>
          <cell r="J49">
            <v>28315.507508316114</v>
          </cell>
          <cell r="K49">
            <v>28299.203468450251</v>
          </cell>
          <cell r="L49">
            <v>28186.094649099861</v>
          </cell>
          <cell r="M49">
            <v>30287.822770238228</v>
          </cell>
          <cell r="N49">
            <v>30231.370904293715</v>
          </cell>
          <cell r="O49">
            <v>29200.160341955132</v>
          </cell>
          <cell r="P49">
            <v>32060.18359530791</v>
          </cell>
          <cell r="Q49">
            <v>32017.197655594173</v>
          </cell>
          <cell r="R49">
            <v>33255.990142558512</v>
          </cell>
          <cell r="S49">
            <v>350508.94970477547</v>
          </cell>
          <cell r="U49"/>
          <cell r="V49">
            <v>51744.574070038216</v>
          </cell>
          <cell r="W49">
            <v>78655.41866896156</v>
          </cell>
          <cell r="X49">
            <v>106970.92617727767</v>
          </cell>
          <cell r="Y49">
            <v>135270.12964572792</v>
          </cell>
          <cell r="Z49">
            <v>163456.22429482779</v>
          </cell>
          <cell r="AA49">
            <v>193744.047065066</v>
          </cell>
          <cell r="AB49">
            <v>223975.41796935973</v>
          </cell>
          <cell r="AC49">
            <v>253175.57831131486</v>
          </cell>
          <cell r="AD49">
            <v>285235.76190662279</v>
          </cell>
          <cell r="AE49">
            <v>317252.95956221689</v>
          </cell>
          <cell r="AF49">
            <v>350508.94970477541</v>
          </cell>
        </row>
        <row r="50">
          <cell r="G50">
            <v>56509.437444444455</v>
          </cell>
          <cell r="H50">
            <v>56856.659666666674</v>
          </cell>
          <cell r="I50">
            <v>56856.659666666674</v>
          </cell>
          <cell r="J50">
            <v>56856.659666666674</v>
          </cell>
          <cell r="K50">
            <v>56856.659666666652</v>
          </cell>
          <cell r="L50">
            <v>56856.659666666681</v>
          </cell>
          <cell r="M50">
            <v>56856.659666666666</v>
          </cell>
          <cell r="N50">
            <v>56856.659666666688</v>
          </cell>
          <cell r="O50">
            <v>56856.659666666681</v>
          </cell>
          <cell r="P50">
            <v>56856.659666666674</v>
          </cell>
          <cell r="Q50">
            <v>56856.659666666674</v>
          </cell>
          <cell r="R50">
            <v>56856.659666666688</v>
          </cell>
          <cell r="S50">
            <v>681932.69377777784</v>
          </cell>
          <cell r="U50"/>
          <cell r="V50">
            <v>113366.09711111113</v>
          </cell>
          <cell r="W50">
            <v>170222.7567777778</v>
          </cell>
          <cell r="X50">
            <v>227079.41644444445</v>
          </cell>
          <cell r="Y50">
            <v>283936.07611111109</v>
          </cell>
          <cell r="Z50">
            <v>340792.73577777779</v>
          </cell>
          <cell r="AA50">
            <v>397649.39544444444</v>
          </cell>
          <cell r="AB50">
            <v>454506.05511111114</v>
          </cell>
          <cell r="AC50">
            <v>511362.71477777779</v>
          </cell>
          <cell r="AD50">
            <v>568219.37444444443</v>
          </cell>
          <cell r="AE50">
            <v>625076.03411111108</v>
          </cell>
          <cell r="AF50">
            <v>681932.69377777772</v>
          </cell>
        </row>
        <row r="51">
          <cell r="G51">
            <v>1590.6550069247196</v>
          </cell>
          <cell r="H51">
            <v>1946.9923332673256</v>
          </cell>
          <cell r="I51">
            <v>1970.9064077879304</v>
          </cell>
          <cell r="J51">
            <v>1958.6121261937501</v>
          </cell>
          <cell r="K51">
            <v>1168.3320354632681</v>
          </cell>
          <cell r="L51">
            <v>1165.5213430340023</v>
          </cell>
          <cell r="M51">
            <v>953.04064962690097</v>
          </cell>
          <cell r="N51">
            <v>952.18871527358317</v>
          </cell>
          <cell r="O51">
            <v>1109.9810966005703</v>
          </cell>
          <cell r="P51">
            <v>929.08537771822307</v>
          </cell>
          <cell r="Q51">
            <v>918.9598820811234</v>
          </cell>
          <cell r="R51">
            <v>673.22012551172133</v>
          </cell>
          <cell r="S51">
            <v>15337.49509948312</v>
          </cell>
          <cell r="U51"/>
          <cell r="V51">
            <v>3537.6473401920452</v>
          </cell>
          <cell r="W51">
            <v>5508.5537479799759</v>
          </cell>
          <cell r="X51">
            <v>7467.1658741737265</v>
          </cell>
          <cell r="Y51">
            <v>8635.4979096369952</v>
          </cell>
          <cell r="Z51">
            <v>9801.019252670998</v>
          </cell>
          <cell r="AA51">
            <v>10754.059902297899</v>
          </cell>
          <cell r="AB51">
            <v>11706.248617571482</v>
          </cell>
          <cell r="AC51">
            <v>12816.229714172052</v>
          </cell>
          <cell r="AD51">
            <v>13745.315091890276</v>
          </cell>
          <cell r="AE51">
            <v>14664.274973971398</v>
          </cell>
          <cell r="AF51">
            <v>15337.49509948312</v>
          </cell>
        </row>
        <row r="52">
          <cell r="G52">
            <v>3485.2153777203766</v>
          </cell>
          <cell r="H52">
            <v>3795.8365369050675</v>
          </cell>
          <cell r="I52">
            <v>4535.3346491184921</v>
          </cell>
          <cell r="J52">
            <v>4728.2468685370577</v>
          </cell>
          <cell r="K52">
            <v>2806.3428653566757</v>
          </cell>
          <cell r="L52">
            <v>2755.955273498425</v>
          </cell>
          <cell r="M52">
            <v>3050.9143063885508</v>
          </cell>
          <cell r="N52">
            <v>3017.8799537793216</v>
          </cell>
          <cell r="O52">
            <v>3350.9778305226814</v>
          </cell>
          <cell r="P52">
            <v>3239.5703841157956</v>
          </cell>
          <cell r="Q52">
            <v>3175.7846234160243</v>
          </cell>
          <cell r="R52">
            <v>3430.7660099039081</v>
          </cell>
          <cell r="S52">
            <v>41372.824679262376</v>
          </cell>
          <cell r="U52"/>
          <cell r="V52">
            <v>7281.0519146254446</v>
          </cell>
          <cell r="W52">
            <v>11816.386563743938</v>
          </cell>
          <cell r="X52">
            <v>16544.633432280996</v>
          </cell>
          <cell r="Y52">
            <v>19350.976297637673</v>
          </cell>
          <cell r="Z52">
            <v>22106.931571136098</v>
          </cell>
          <cell r="AA52">
            <v>25157.845877524647</v>
          </cell>
          <cell r="AB52">
            <v>28175.725831303967</v>
          </cell>
          <cell r="AC52">
            <v>31526.70366182665</v>
          </cell>
          <cell r="AD52">
            <v>34766.274045942446</v>
          </cell>
          <cell r="AE52">
            <v>37942.05866935847</v>
          </cell>
          <cell r="AF52">
            <v>41372.824679262376</v>
          </cell>
        </row>
        <row r="53">
          <cell r="G53">
            <v>5075.8703846450962</v>
          </cell>
          <cell r="H53">
            <v>5742.8288701723932</v>
          </cell>
          <cell r="I53">
            <v>6506.2410569064223</v>
          </cell>
          <cell r="J53">
            <v>6686.8589947308083</v>
          </cell>
          <cell r="K53">
            <v>3974.674900819944</v>
          </cell>
          <cell r="L53">
            <v>3921.4766165324272</v>
          </cell>
          <cell r="M53">
            <v>4003.9549560154519</v>
          </cell>
          <cell r="N53">
            <v>3970.0686690529046</v>
          </cell>
          <cell r="O53">
            <v>4460.9589271232517</v>
          </cell>
          <cell r="P53">
            <v>4168.6557618340184</v>
          </cell>
          <cell r="Q53">
            <v>4094.7445054971477</v>
          </cell>
          <cell r="R53">
            <v>4103.9861354156292</v>
          </cell>
          <cell r="S53">
            <v>56710.319778745492</v>
          </cell>
          <cell r="U53"/>
          <cell r="V53">
            <v>10818.699254817489</v>
          </cell>
          <cell r="W53">
            <v>17324.940311723913</v>
          </cell>
          <cell r="X53">
            <v>24011.799306454723</v>
          </cell>
          <cell r="Y53">
            <v>27986.474207274667</v>
          </cell>
          <cell r="Z53">
            <v>31907.950823807096</v>
          </cell>
          <cell r="AA53">
            <v>35911.905779822548</v>
          </cell>
          <cell r="AB53">
            <v>39881.974448875451</v>
          </cell>
          <cell r="AC53">
            <v>44342.933375998706</v>
          </cell>
          <cell r="AD53">
            <v>48511.589137832721</v>
          </cell>
          <cell r="AE53">
            <v>52606.333643329868</v>
          </cell>
          <cell r="AF53">
            <v>56710.319778745499</v>
          </cell>
        </row>
        <row r="54">
          <cell r="G54">
            <v>6296.3427357436813</v>
          </cell>
          <cell r="H54">
            <v>7706.8446525164973</v>
          </cell>
          <cell r="I54">
            <v>8321.6048328823745</v>
          </cell>
          <cell r="J54">
            <v>7752.8396661835941</v>
          </cell>
          <cell r="K54">
            <v>4624.6476403754359</v>
          </cell>
          <cell r="L54">
            <v>4613.5219828429263</v>
          </cell>
          <cell r="M54">
            <v>4526.9430857277794</v>
          </cell>
          <cell r="N54">
            <v>4522.8963975495199</v>
          </cell>
          <cell r="O54">
            <v>5272.4102088527088</v>
          </cell>
          <cell r="P54">
            <v>4118.9451745507895</v>
          </cell>
          <cell r="Q54">
            <v>4074.0554772263135</v>
          </cell>
          <cell r="R54">
            <v>4381.3993292747564</v>
          </cell>
          <cell r="S54">
            <v>66212.451183726371</v>
          </cell>
          <cell r="U54"/>
          <cell r="V54">
            <v>14003.187388260179</v>
          </cell>
          <cell r="W54">
            <v>22324.792221142554</v>
          </cell>
          <cell r="X54">
            <v>30077.631887326148</v>
          </cell>
          <cell r="Y54">
            <v>34702.279527701583</v>
          </cell>
          <cell r="Z54">
            <v>39315.801510544508</v>
          </cell>
          <cell r="AA54">
            <v>43842.744596272285</v>
          </cell>
          <cell r="AB54">
            <v>48365.640993821806</v>
          </cell>
          <cell r="AC54">
            <v>53638.051202674513</v>
          </cell>
          <cell r="AD54">
            <v>57756.996377225303</v>
          </cell>
          <cell r="AE54">
            <v>61831.051854451616</v>
          </cell>
          <cell r="AF54">
            <v>66212.451183726371</v>
          </cell>
        </row>
        <row r="55">
          <cell r="G55">
            <v>4300.3085573928611</v>
          </cell>
          <cell r="H55">
            <v>4708.109396300888</v>
          </cell>
          <cell r="I55">
            <v>5687.536319105966</v>
          </cell>
          <cell r="J55">
            <v>5979.8392465844463</v>
          </cell>
          <cell r="K55">
            <v>3578.5594441288881</v>
          </cell>
          <cell r="L55">
            <v>3575.76419974889</v>
          </cell>
          <cell r="M55">
            <v>3791.227726263382</v>
          </cell>
          <cell r="N55">
            <v>3798.2507757047101</v>
          </cell>
          <cell r="O55">
            <v>4038.5198582955518</v>
          </cell>
          <cell r="P55">
            <v>3945.5974656054332</v>
          </cell>
          <cell r="Q55">
            <v>3916.978250976224</v>
          </cell>
          <cell r="R55">
            <v>4203.8258430263622</v>
          </cell>
          <cell r="S55">
            <v>51524.5170831336</v>
          </cell>
          <cell r="U55"/>
          <cell r="V55">
            <v>9008.4179536937481</v>
          </cell>
          <cell r="W55">
            <v>14695.954272799714</v>
          </cell>
          <cell r="X55">
            <v>20675.793519384162</v>
          </cell>
          <cell r="Y55">
            <v>24254.352963513051</v>
          </cell>
          <cell r="Z55">
            <v>27830.117163261941</v>
          </cell>
          <cell r="AA55">
            <v>31621.344889525324</v>
          </cell>
          <cell r="AB55">
            <v>35419.595665230037</v>
          </cell>
          <cell r="AC55">
            <v>39458.115523525586</v>
          </cell>
          <cell r="AD55">
            <v>43403.712989131018</v>
          </cell>
          <cell r="AE55">
            <v>47320.69124010724</v>
          </cell>
          <cell r="AF55">
            <v>51524.5170831336</v>
          </cell>
        </row>
        <row r="56">
          <cell r="G56">
            <v>10596.651293136543</v>
          </cell>
          <cell r="H56">
            <v>12414.954048817384</v>
          </cell>
          <cell r="I56">
            <v>14009.14115198834</v>
          </cell>
          <cell r="J56">
            <v>13732.67891276804</v>
          </cell>
          <cell r="K56">
            <v>8203.2070845043236</v>
          </cell>
          <cell r="L56">
            <v>8189.2861825918162</v>
          </cell>
          <cell r="M56">
            <v>8318.1708119911618</v>
          </cell>
          <cell r="N56">
            <v>8321.1471732542304</v>
          </cell>
          <cell r="O56">
            <v>9310.9300671482597</v>
          </cell>
          <cell r="P56">
            <v>8064.5426401562227</v>
          </cell>
          <cell r="Q56">
            <v>7991.0337282025375</v>
          </cell>
          <cell r="R56">
            <v>8585.2251723011177</v>
          </cell>
          <cell r="S56">
            <v>117736.96826685999</v>
          </cell>
          <cell r="U56"/>
          <cell r="V56">
            <v>23011.605341953928</v>
          </cell>
          <cell r="W56">
            <v>37020.746493942264</v>
          </cell>
          <cell r="X56">
            <v>50753.42540671031</v>
          </cell>
          <cell r="Y56">
            <v>58956.632491214637</v>
          </cell>
          <cell r="Z56">
            <v>67145.918673806445</v>
          </cell>
          <cell r="AA56">
            <v>75464.089485797609</v>
          </cell>
          <cell r="AB56">
            <v>83785.23665905185</v>
          </cell>
          <cell r="AC56">
            <v>93096.166726200099</v>
          </cell>
          <cell r="AD56">
            <v>101160.70936635631</v>
          </cell>
          <cell r="AE56">
            <v>109151.74309455886</v>
          </cell>
          <cell r="AF56">
            <v>117736.96826685997</v>
          </cell>
        </row>
        <row r="57">
          <cell r="G57">
            <v>7886.9977426684009</v>
          </cell>
          <cell r="H57">
            <v>9653.8369857838225</v>
          </cell>
          <cell r="I57">
            <v>10292.511240670305</v>
          </cell>
          <cell r="J57">
            <v>9711.4517923773437</v>
          </cell>
          <cell r="K57">
            <v>5792.9796758387038</v>
          </cell>
          <cell r="L57">
            <v>5779.0433258769281</v>
          </cell>
          <cell r="M57">
            <v>5479.98373535468</v>
          </cell>
          <cell r="N57">
            <v>5475.0851128231034</v>
          </cell>
          <cell r="O57">
            <v>6382.3913054532786</v>
          </cell>
          <cell r="P57">
            <v>5048.0305522690123</v>
          </cell>
          <cell r="Q57">
            <v>4993.0153593074374</v>
          </cell>
          <cell r="R57">
            <v>5054.6194547864779</v>
          </cell>
          <cell r="S57">
            <v>81549.946283209487</v>
          </cell>
          <cell r="U57"/>
          <cell r="V57">
            <v>17540.834728452224</v>
          </cell>
          <cell r="W57">
            <v>27833.345969122529</v>
          </cell>
          <cell r="X57">
            <v>37544.797761499874</v>
          </cell>
          <cell r="Y57">
            <v>43337.777437338576</v>
          </cell>
          <cell r="Z57">
            <v>49116.82076321551</v>
          </cell>
          <cell r="AA57">
            <v>54596.804498570185</v>
          </cell>
          <cell r="AB57">
            <v>60071.889611393286</v>
          </cell>
          <cell r="AC57">
            <v>66454.280916846561</v>
          </cell>
          <cell r="AD57">
            <v>71502.311469115579</v>
          </cell>
          <cell r="AE57">
            <v>76495.326828423014</v>
          </cell>
          <cell r="AF57">
            <v>81549.946283209487</v>
          </cell>
        </row>
        <row r="58">
          <cell r="G58">
            <v>7785.5239351132377</v>
          </cell>
          <cell r="H58">
            <v>8503.945933205956</v>
          </cell>
          <cell r="I58">
            <v>10222.870968224459</v>
          </cell>
          <cell r="J58">
            <v>10708.086115121503</v>
          </cell>
          <cell r="K58">
            <v>6384.9023094855638</v>
          </cell>
          <cell r="L58">
            <v>6331.7194732473145</v>
          </cell>
          <cell r="M58">
            <v>6842.1420326519328</v>
          </cell>
          <cell r="N58">
            <v>6816.1307294840317</v>
          </cell>
          <cell r="O58">
            <v>7389.4976888182337</v>
          </cell>
          <cell r="P58">
            <v>7185.1678497212288</v>
          </cell>
          <cell r="Q58">
            <v>7092.7628743922487</v>
          </cell>
          <cell r="R58">
            <v>7634.5918529302708</v>
          </cell>
          <cell r="S58">
            <v>92897.341762395983</v>
          </cell>
          <cell r="U58"/>
          <cell r="V58">
            <v>16289.469868319193</v>
          </cell>
          <cell r="W58">
            <v>26512.340836543652</v>
          </cell>
          <cell r="X58">
            <v>37220.426951665155</v>
          </cell>
          <cell r="Y58">
            <v>43605.32926115072</v>
          </cell>
          <cell r="Z58">
            <v>49937.048734398035</v>
          </cell>
          <cell r="AA58">
            <v>56779.190767049971</v>
          </cell>
          <cell r="AB58">
            <v>63595.321496534001</v>
          </cell>
          <cell r="AC58">
            <v>70984.819185352244</v>
          </cell>
          <cell r="AD58">
            <v>78169.987035073456</v>
          </cell>
          <cell r="AE58">
            <v>85262.749909465711</v>
          </cell>
          <cell r="AF58">
            <v>92897.341762395983</v>
          </cell>
        </row>
        <row r="59">
          <cell r="G59">
            <v>15672.521677781639</v>
          </cell>
          <cell r="H59">
            <v>18157.782918989778</v>
          </cell>
          <cell r="I59">
            <v>20515.382208894764</v>
          </cell>
          <cell r="J59">
            <v>20419.537907498845</v>
          </cell>
          <cell r="K59">
            <v>12177.881985324268</v>
          </cell>
          <cell r="L59">
            <v>12110.762799124243</v>
          </cell>
          <cell r="M59">
            <v>12322.125768006612</v>
          </cell>
          <cell r="N59">
            <v>12291.215842307134</v>
          </cell>
          <cell r="O59">
            <v>13771.888994271512</v>
          </cell>
          <cell r="P59">
            <v>12233.198401990241</v>
          </cell>
          <cell r="Q59">
            <v>12085.778233699686</v>
          </cell>
          <cell r="R59">
            <v>12689.211307716749</v>
          </cell>
          <cell r="S59">
            <v>174447.28804560547</v>
          </cell>
          <cell r="U59"/>
          <cell r="V59">
            <v>33830.304596771413</v>
          </cell>
          <cell r="W59">
            <v>54345.686805666177</v>
          </cell>
          <cell r="X59">
            <v>74765.224713165022</v>
          </cell>
          <cell r="Y59">
            <v>86943.106698489297</v>
          </cell>
          <cell r="Z59">
            <v>99053.869497613545</v>
          </cell>
          <cell r="AA59">
            <v>111375.99526562015</v>
          </cell>
          <cell r="AB59">
            <v>123667.21110792729</v>
          </cell>
          <cell r="AC59">
            <v>137439.1001021988</v>
          </cell>
          <cell r="AD59">
            <v>149672.29850418904</v>
          </cell>
          <cell r="AE59">
            <v>161758.07673788874</v>
          </cell>
          <cell r="AF59">
            <v>174447.28804560547</v>
          </cell>
        </row>
        <row r="60">
          <cell r="G60">
            <v>-42912.549399462572</v>
          </cell>
          <cell r="H60">
            <v>-34301.752584933653</v>
          </cell>
          <cell r="I60">
            <v>-29701.031187369135</v>
          </cell>
          <cell r="J60">
            <v>-25113.451576886189</v>
          </cell>
          <cell r="K60">
            <v>-34510.03139783418</v>
          </cell>
          <cell r="L60">
            <v>-28060.657787386503</v>
          </cell>
          <cell r="M60">
            <v>-24928.022172261179</v>
          </cell>
          <cell r="N60">
            <v>-20545.030743235642</v>
          </cell>
          <cell r="O60">
            <v>-27880.317742667066</v>
          </cell>
          <cell r="P60">
            <v>-18876.266135138525</v>
          </cell>
          <cell r="Q60">
            <v>-21908.607480479604</v>
          </cell>
          <cell r="R60">
            <v>-13412.193505081068</v>
          </cell>
          <cell r="S60">
            <v>-322149.91171273525</v>
          </cell>
          <cell r="V60">
            <v>-73676.654644204202</v>
          </cell>
          <cell r="W60">
            <v>-101406.7794237854</v>
          </cell>
          <cell r="X60">
            <v>-124561.6188744778</v>
          </cell>
          <cell r="Y60">
            <v>-157903.31823684872</v>
          </cell>
          <cell r="Z60">
            <v>-184798.45468120114</v>
          </cell>
          <cell r="AA60">
            <v>-208773.43620383544</v>
          </cell>
          <cell r="AB60">
            <v>-228366.27823179757</v>
          </cell>
          <cell r="AC60">
            <v>-255136.61487786408</v>
          </cell>
          <cell r="AD60">
            <v>-273083.79563528439</v>
          </cell>
          <cell r="AE60">
            <v>-294073.44323368289</v>
          </cell>
          <cell r="AF60">
            <v>-306812.41661325225</v>
          </cell>
        </row>
        <row r="61">
          <cell r="G61">
            <v>-31950.155502372952</v>
          </cell>
          <cell r="H61">
            <v>-16012.10352412706</v>
          </cell>
          <cell r="I61">
            <v>-10972.993519494838</v>
          </cell>
          <cell r="J61">
            <v>-3198.0328203220861</v>
          </cell>
          <cell r="K61">
            <v>-19635.470134066774</v>
          </cell>
          <cell r="L61">
            <v>-7890.2670124027863</v>
          </cell>
          <cell r="M61">
            <v>-12594.574379898571</v>
          </cell>
          <cell r="N61">
            <v>-2050.0409145282988</v>
          </cell>
          <cell r="O61">
            <v>-18680.460518759061</v>
          </cell>
          <cell r="P61">
            <v>2128.8160271552588</v>
          </cell>
          <cell r="Q61">
            <v>-5740.8375328615148</v>
          </cell>
          <cell r="R61">
            <v>-48.15852517628673</v>
          </cell>
          <cell r="S61">
            <v>-126644.27835685498</v>
          </cell>
          <cell r="V61">
            <v>-40681.207111874624</v>
          </cell>
          <cell r="W61">
            <v>-47118.865982250936</v>
          </cell>
          <cell r="X61">
            <v>-45588.651934035996</v>
          </cell>
          <cell r="Y61">
            <v>-62417.779202746184</v>
          </cell>
          <cell r="Z61">
            <v>-67552.090941650575</v>
          </cell>
          <cell r="AA61">
            <v>-77095.751015160742</v>
          </cell>
          <cell r="AB61">
            <v>-76127.911975909694</v>
          </cell>
          <cell r="AC61">
            <v>-91457.394664145861</v>
          </cell>
          <cell r="AD61">
            <v>-86089.008252874948</v>
          </cell>
          <cell r="AE61">
            <v>-88654.06116232046</v>
          </cell>
          <cell r="AF61">
            <v>-85271.45367759277</v>
          </cell>
        </row>
        <row r="62">
          <cell r="G62">
            <v>-74862.704901835532</v>
          </cell>
          <cell r="H62">
            <v>-50313.856109060711</v>
          </cell>
          <cell r="I62">
            <v>-40674.024706863973</v>
          </cell>
          <cell r="J62">
            <v>-28311.484397208274</v>
          </cell>
          <cell r="K62">
            <v>-54145.501531900954</v>
          </cell>
          <cell r="L62">
            <v>-35950.924799789289</v>
          </cell>
          <cell r="M62">
            <v>-37522.596552159754</v>
          </cell>
          <cell r="N62">
            <v>-22595.07165776394</v>
          </cell>
          <cell r="O62">
            <v>-46560.778261426123</v>
          </cell>
          <cell r="P62">
            <v>-16747.450107983266</v>
          </cell>
          <cell r="Q62">
            <v>-27649.445013341119</v>
          </cell>
          <cell r="R62">
            <v>-13460.352030257354</v>
          </cell>
          <cell r="S62">
            <v>-448794.19006959029</v>
          </cell>
          <cell r="V62">
            <v>-114357.86175607883</v>
          </cell>
          <cell r="W62">
            <v>-148525.64540603635</v>
          </cell>
          <cell r="X62">
            <v>-170150.2708085138</v>
          </cell>
          <cell r="Y62">
            <v>-220321.09743959492</v>
          </cell>
          <cell r="Z62">
            <v>-252350.5456228517</v>
          </cell>
          <cell r="AA62">
            <v>-285869.18721899617</v>
          </cell>
          <cell r="AB62">
            <v>-304494.19020770723</v>
          </cell>
          <cell r="AC62">
            <v>-346594.00954200991</v>
          </cell>
          <cell r="AD62">
            <v>-359172.80388815934</v>
          </cell>
          <cell r="AE62">
            <v>-382727.50439600332</v>
          </cell>
          <cell r="AF62">
            <v>-392083.87029084505</v>
          </cell>
        </row>
        <row r="63">
          <cell r="G63">
            <v>-4601.0787170883523</v>
          </cell>
          <cell r="H63">
            <v>16406.254718317574</v>
          </cell>
          <cell r="I63">
            <v>29731.395754901132</v>
          </cell>
          <cell r="J63">
            <v>39360.06170708529</v>
          </cell>
          <cell r="K63">
            <v>17021.103953697264</v>
          </cell>
          <cell r="L63">
            <v>33148.636906275846</v>
          </cell>
          <cell r="M63">
            <v>28548.11234636934</v>
          </cell>
          <cell r="N63">
            <v>41698.577518564307</v>
          </cell>
          <cell r="O63">
            <v>19416.579852947718</v>
          </cell>
          <cell r="P63">
            <v>43628.94870467233</v>
          </cell>
          <cell r="Q63">
            <v>35154.931247257933</v>
          </cell>
          <cell r="R63">
            <v>41256.408270851207</v>
          </cell>
          <cell r="S63">
            <v>340769.93226385157</v>
          </cell>
          <cell r="V63">
            <v>25808.363389489401</v>
          </cell>
          <cell r="W63">
            <v>63861.363977272937</v>
          </cell>
          <cell r="X63">
            <v>110974.26535054189</v>
          </cell>
          <cell r="Y63">
            <v>132620.01694461447</v>
          </cell>
          <cell r="Z63">
            <v>170382.17583373311</v>
          </cell>
          <cell r="AA63">
            <v>203457.23126583025</v>
          </cell>
          <cell r="AB63">
            <v>249678.70518194407</v>
          </cell>
          <cell r="AC63">
            <v>274367.69524374465</v>
          </cell>
          <cell r="AD63">
            <v>322115.58912296756</v>
          </cell>
          <cell r="AE63">
            <v>361344.57584745192</v>
          </cell>
          <cell r="AF63">
            <v>406982.38344757806</v>
          </cell>
        </row>
        <row r="64">
          <cell r="G64">
            <v>23945.856561343211</v>
          </cell>
          <cell r="H64">
            <v>32289.571968268356</v>
          </cell>
          <cell r="I64">
            <v>45589.854534581653</v>
          </cell>
          <cell r="J64">
            <v>55718.017737808965</v>
          </cell>
          <cell r="K64">
            <v>41366.847990769762</v>
          </cell>
          <cell r="L64">
            <v>52415.997226871208</v>
          </cell>
          <cell r="M64">
            <v>53591.321330258193</v>
          </cell>
          <cell r="N64">
            <v>63245.816274268494</v>
          </cell>
          <cell r="O64">
            <v>44276.211359049252</v>
          </cell>
          <cell r="P64">
            <v>71735.725920152632</v>
          </cell>
          <cell r="Q64">
            <v>65050.398080881401</v>
          </cell>
          <cell r="R64">
            <v>69859.864174654766</v>
          </cell>
          <cell r="S64">
            <v>619085.48315890785</v>
          </cell>
          <cell r="V64">
            <v>65243.8464833053</v>
          </cell>
          <cell r="W64">
            <v>116521.23733699293</v>
          </cell>
          <cell r="X64">
            <v>178219.09432138639</v>
          </cell>
          <cell r="Y64">
            <v>223164.50175628503</v>
          </cell>
          <cell r="Z64">
            <v>279156.26318290527</v>
          </cell>
          <cell r="AA64">
            <v>336538.81223942677</v>
          </cell>
          <cell r="AB64">
            <v>403582.87928939983</v>
          </cell>
          <cell r="AC64">
            <v>451897.61050674465</v>
          </cell>
          <cell r="AD64">
            <v>527578.9338925028</v>
          </cell>
          <cell r="AE64">
            <v>596546.31022436055</v>
          </cell>
          <cell r="AF64">
            <v>670610.00024204154</v>
          </cell>
        </row>
        <row r="65">
          <cell r="G65">
            <v>19344.777844254859</v>
          </cell>
          <cell r="H65">
            <v>48695.826686585933</v>
          </cell>
          <cell r="I65">
            <v>75321.250289482792</v>
          </cell>
          <cell r="J65">
            <v>95078.079444894247</v>
          </cell>
          <cell r="K65">
            <v>58387.95194446703</v>
          </cell>
          <cell r="L65">
            <v>85564.634133147047</v>
          </cell>
          <cell r="M65">
            <v>82139.433676627537</v>
          </cell>
          <cell r="N65">
            <v>104944.39379283279</v>
          </cell>
          <cell r="O65">
            <v>63692.79121199697</v>
          </cell>
          <cell r="P65">
            <v>115364.67462482495</v>
          </cell>
          <cell r="Q65">
            <v>100205.32932813934</v>
          </cell>
          <cell r="R65">
            <v>111116.27244550598</v>
          </cell>
          <cell r="S65">
            <v>959855.41542275948</v>
          </cell>
          <cell r="V65">
            <v>91052.209872794701</v>
          </cell>
          <cell r="W65">
            <v>180382.60131426586</v>
          </cell>
          <cell r="X65">
            <v>289193.35967192828</v>
          </cell>
          <cell r="Y65">
            <v>355784.5187008995</v>
          </cell>
          <cell r="Z65">
            <v>449538.43901663838</v>
          </cell>
          <cell r="AA65">
            <v>539996.043505257</v>
          </cell>
          <cell r="AB65">
            <v>653261.5844713439</v>
          </cell>
          <cell r="AC65">
            <v>726265.30575048923</v>
          </cell>
          <cell r="AD65">
            <v>849694.52301547036</v>
          </cell>
          <cell r="AE65">
            <v>957890.88607181248</v>
          </cell>
          <cell r="AF65">
            <v>1077592.3836896196</v>
          </cell>
        </row>
        <row r="66">
          <cell r="G66">
            <v>-47513.628116550928</v>
          </cell>
          <cell r="H66">
            <v>-17895.497866616079</v>
          </cell>
          <cell r="I66">
            <v>30.364567531996727</v>
          </cell>
          <cell r="J66">
            <v>14246.6101301991</v>
          </cell>
          <cell r="K66">
            <v>-17488.927444136916</v>
          </cell>
          <cell r="L66">
            <v>5087.9791188893432</v>
          </cell>
          <cell r="M66">
            <v>3620.0901741081616</v>
          </cell>
          <cell r="N66">
            <v>21153.546775328665</v>
          </cell>
          <cell r="O66">
            <v>-8463.7378897193485</v>
          </cell>
          <cell r="P66">
            <v>24752.682569533805</v>
          </cell>
          <cell r="Q66">
            <v>13246.323766778329</v>
          </cell>
          <cell r="R66">
            <v>27844.214765770139</v>
          </cell>
          <cell r="S66">
            <v>18620.020551116271</v>
          </cell>
          <cell r="V66">
            <v>-47868.291254714801</v>
          </cell>
          <cell r="W66">
            <v>-37545.415446512459</v>
          </cell>
          <cell r="X66">
            <v>-13587.353523935919</v>
          </cell>
          <cell r="Y66">
            <v>-25283.301292234246</v>
          </cell>
          <cell r="Z66">
            <v>-14416.278847468027</v>
          </cell>
          <cell r="AA66">
            <v>-5316.2049380051903</v>
          </cell>
          <cell r="AB66">
            <v>21312.426950146502</v>
          </cell>
          <cell r="AC66">
            <v>19231.080365880567</v>
          </cell>
          <cell r="AD66">
            <v>49031.793487683171</v>
          </cell>
          <cell r="AE66">
            <v>67271.132613769034</v>
          </cell>
          <cell r="AF66">
            <v>100169.96683432581</v>
          </cell>
        </row>
        <row r="67">
          <cell r="G67">
            <v>-8004.2989410297414</v>
          </cell>
          <cell r="H67">
            <v>16277.468444141296</v>
          </cell>
          <cell r="I67">
            <v>34616.861015086819</v>
          </cell>
          <cell r="J67">
            <v>52519.98491748688</v>
          </cell>
          <cell r="K67">
            <v>21731.377856702988</v>
          </cell>
          <cell r="L67">
            <v>44525.730214468422</v>
          </cell>
          <cell r="M67">
            <v>40996.746950359622</v>
          </cell>
          <cell r="N67">
            <v>61195.775359740197</v>
          </cell>
          <cell r="O67">
            <v>25595.750840290191</v>
          </cell>
          <cell r="P67">
            <v>73864.541947307895</v>
          </cell>
          <cell r="Q67">
            <v>59309.560548019886</v>
          </cell>
          <cell r="R67">
            <v>69811.705649478477</v>
          </cell>
          <cell r="S67">
            <v>492441.20480205293</v>
          </cell>
          <cell r="V67">
            <v>24562.639371430676</v>
          </cell>
          <cell r="W67">
            <v>69402.37135474199</v>
          </cell>
          <cell r="X67">
            <v>132630.4423873504</v>
          </cell>
          <cell r="Y67">
            <v>160746.72255353886</v>
          </cell>
          <cell r="Z67">
            <v>211604.17224125471</v>
          </cell>
          <cell r="AA67">
            <v>259443.06122426601</v>
          </cell>
          <cell r="AB67">
            <v>327454.96731349011</v>
          </cell>
          <cell r="AC67">
            <v>360440.21584259882</v>
          </cell>
          <cell r="AD67">
            <v>441489.92563962785</v>
          </cell>
          <cell r="AE67">
            <v>507892.24906204012</v>
          </cell>
          <cell r="AF67">
            <v>585338.54656444874</v>
          </cell>
        </row>
        <row r="68">
          <cell r="G68">
            <v>-55517.927057580673</v>
          </cell>
          <cell r="H68">
            <v>-1618.0294224747831</v>
          </cell>
          <cell r="I68">
            <v>34647.225582618819</v>
          </cell>
          <cell r="J68">
            <v>66766.595047685987</v>
          </cell>
          <cell r="K68">
            <v>4242.4504125660715</v>
          </cell>
          <cell r="L68">
            <v>49613.709333357765</v>
          </cell>
          <cell r="M68">
            <v>44616.837124467784</v>
          </cell>
          <cell r="N68">
            <v>82349.322135068855</v>
          </cell>
          <cell r="O68">
            <v>17132.012950570843</v>
          </cell>
          <cell r="P68">
            <v>98617.224516841699</v>
          </cell>
          <cell r="Q68">
            <v>72555.884314798212</v>
          </cell>
          <cell r="R68">
            <v>97655.92041524862</v>
          </cell>
          <cell r="S68">
            <v>511061.2253531692</v>
          </cell>
          <cell r="V68">
            <v>-23305.651883284125</v>
          </cell>
          <cell r="W68">
            <v>31856.955908229531</v>
          </cell>
          <cell r="X68">
            <v>119043.08886341448</v>
          </cell>
          <cell r="Y68">
            <v>135463.42126130461</v>
          </cell>
          <cell r="Z68">
            <v>197187.89339378668</v>
          </cell>
          <cell r="AA68">
            <v>254126.85628626082</v>
          </cell>
          <cell r="AB68">
            <v>348767.39426363661</v>
          </cell>
          <cell r="AC68">
            <v>379671.29620847938</v>
          </cell>
          <cell r="AD68">
            <v>490521.71912731102</v>
          </cell>
          <cell r="AE68">
            <v>575163.38167580916</v>
          </cell>
          <cell r="AF68">
            <v>685508.51339877455</v>
          </cell>
        </row>
        <row r="71">
          <cell r="G71">
            <v>39670.29996559782</v>
          </cell>
          <cell r="H71">
            <v>37656.38338633901</v>
          </cell>
          <cell r="I71">
            <v>41770.327835024887</v>
          </cell>
          <cell r="J71">
            <v>41833.975250037794</v>
          </cell>
          <cell r="K71">
            <v>41810.091372023955</v>
          </cell>
          <cell r="L71">
            <v>41645.145544513252</v>
          </cell>
          <cell r="M71">
            <v>42799.509732629442</v>
          </cell>
          <cell r="N71">
            <v>42708.76471921453</v>
          </cell>
          <cell r="O71">
            <v>41116.309768000385</v>
          </cell>
          <cell r="P71">
            <v>43565.728071919184</v>
          </cell>
          <cell r="Q71">
            <v>43490.335385892016</v>
          </cell>
          <cell r="R71">
            <v>41933.0060593015</v>
          </cell>
          <cell r="S71">
            <v>499999.87709049374</v>
          </cell>
          <cell r="T71">
            <v>170105.37928511307</v>
          </cell>
        </row>
        <row r="72">
          <cell r="G72">
            <v>709406.85182383005</v>
          </cell>
          <cell r="H72">
            <v>671476.89686755487</v>
          </cell>
          <cell r="I72">
            <v>749455.94230335439</v>
          </cell>
          <cell r="J72">
            <v>750636.99937211617</v>
          </cell>
          <cell r="K72">
            <v>750478.01166872459</v>
          </cell>
          <cell r="L72">
            <v>748141.53061074147</v>
          </cell>
          <cell r="M72">
            <v>775756.57068754709</v>
          </cell>
          <cell r="N72">
            <v>774502.93067854433</v>
          </cell>
          <cell r="O72">
            <v>744439.10998751165</v>
          </cell>
          <cell r="P72">
            <v>790015.55908893293</v>
          </cell>
          <cell r="Q72">
            <v>789095.04991640872</v>
          </cell>
          <cell r="R72">
            <v>770377.21380474255</v>
          </cell>
          <cell r="S72">
            <v>9023782.6668100096</v>
          </cell>
          <cell r="T72">
            <v>3093926.9327975959</v>
          </cell>
        </row>
        <row r="73">
          <cell r="G73">
            <v>277692.09975918476</v>
          </cell>
          <cell r="H73">
            <v>263594.68370437308</v>
          </cell>
          <cell r="I73">
            <v>292392.29484517418</v>
          </cell>
          <cell r="J73">
            <v>292837.82675026462</v>
          </cell>
          <cell r="K73">
            <v>292670.63960416772</v>
          </cell>
          <cell r="L73">
            <v>291516.01881159277</v>
          </cell>
          <cell r="M73">
            <v>299596.56812840613</v>
          </cell>
          <cell r="N73">
            <v>298961.35303450166</v>
          </cell>
          <cell r="O73">
            <v>287814.16837600269</v>
          </cell>
          <cell r="P73">
            <v>304960.0965034343</v>
          </cell>
          <cell r="Q73">
            <v>304432.34770124411</v>
          </cell>
          <cell r="R73">
            <v>293531.04241511051</v>
          </cell>
          <cell r="S73">
            <v>3499999.1396334567</v>
          </cell>
          <cell r="T73">
            <v>1190737.6549957916</v>
          </cell>
        </row>
        <row r="74">
          <cell r="G74">
            <v>27000</v>
          </cell>
          <cell r="H74">
            <v>27000</v>
          </cell>
          <cell r="I74">
            <v>27000</v>
          </cell>
          <cell r="J74">
            <v>27000</v>
          </cell>
          <cell r="K74">
            <v>27000</v>
          </cell>
          <cell r="L74">
            <v>27000</v>
          </cell>
          <cell r="M74">
            <v>27000</v>
          </cell>
          <cell r="N74">
            <v>27000</v>
          </cell>
          <cell r="O74">
            <v>27000</v>
          </cell>
          <cell r="P74">
            <v>27000</v>
          </cell>
          <cell r="Q74">
            <v>27000</v>
          </cell>
          <cell r="R74">
            <v>27000</v>
          </cell>
          <cell r="S74">
            <v>324000</v>
          </cell>
          <cell r="T74">
            <v>108000</v>
          </cell>
        </row>
        <row r="75">
          <cell r="G75">
            <v>37374.29</v>
          </cell>
          <cell r="H75">
            <v>37374.29</v>
          </cell>
          <cell r="I75">
            <v>37607.31</v>
          </cell>
          <cell r="J75">
            <v>37607.31</v>
          </cell>
          <cell r="K75">
            <v>37607.31</v>
          </cell>
          <cell r="L75">
            <v>37607.31</v>
          </cell>
          <cell r="M75">
            <v>37607.31</v>
          </cell>
          <cell r="N75">
            <v>37607.31</v>
          </cell>
          <cell r="O75">
            <v>37607.31</v>
          </cell>
          <cell r="P75">
            <v>37607.31</v>
          </cell>
          <cell r="Q75">
            <v>37607.31</v>
          </cell>
          <cell r="R75">
            <v>37607.31</v>
          </cell>
          <cell r="S75">
            <v>450821.68</v>
          </cell>
          <cell r="T75">
            <v>150429.24</v>
          </cell>
        </row>
        <row r="76">
          <cell r="G76">
            <v>357185.86744444445</v>
          </cell>
          <cell r="H76">
            <v>276968.16966666665</v>
          </cell>
          <cell r="I76">
            <v>287293.72966666671</v>
          </cell>
          <cell r="J76">
            <v>256005.72966666671</v>
          </cell>
          <cell r="K76">
            <v>326779.72966666671</v>
          </cell>
          <cell r="L76">
            <v>280293.72966666671</v>
          </cell>
          <cell r="M76">
            <v>304613.72966666671</v>
          </cell>
          <cell r="N76">
            <v>266293.72966666671</v>
          </cell>
          <cell r="O76">
            <v>311113.72966666671</v>
          </cell>
          <cell r="P76">
            <v>259597.72966666671</v>
          </cell>
          <cell r="Q76">
            <v>285413.72966666671</v>
          </cell>
          <cell r="R76">
            <v>251893.72966666671</v>
          </cell>
          <cell r="S76">
            <v>3463453.3337777774</v>
          </cell>
          <cell r="T76">
            <v>1108018.9186666668</v>
          </cell>
        </row>
        <row r="77">
          <cell r="G77">
            <v>50000</v>
          </cell>
          <cell r="H77">
            <v>50000</v>
          </cell>
          <cell r="I77">
            <v>50000</v>
          </cell>
          <cell r="J77">
            <v>50000</v>
          </cell>
          <cell r="K77">
            <v>50000</v>
          </cell>
          <cell r="L77">
            <v>50000</v>
          </cell>
          <cell r="M77">
            <v>50000</v>
          </cell>
          <cell r="N77">
            <v>50000</v>
          </cell>
          <cell r="O77">
            <v>50000</v>
          </cell>
          <cell r="P77">
            <v>50000</v>
          </cell>
          <cell r="Q77">
            <v>50000</v>
          </cell>
          <cell r="R77">
            <v>50000</v>
          </cell>
          <cell r="S77">
            <v>600000</v>
          </cell>
          <cell r="T77">
            <v>200000</v>
          </cell>
        </row>
        <row r="78">
          <cell r="S78">
            <v>0</v>
          </cell>
          <cell r="T78">
            <v>0</v>
          </cell>
        </row>
        <row r="79">
          <cell r="G79">
            <v>749252.25720362924</v>
          </cell>
          <cell r="H79">
            <v>654937.14337103977</v>
          </cell>
          <cell r="I79">
            <v>694293.33451184095</v>
          </cell>
          <cell r="J79">
            <v>663450.86641693139</v>
          </cell>
          <cell r="K79">
            <v>734057.67927083443</v>
          </cell>
          <cell r="L79">
            <v>686417.05847825948</v>
          </cell>
          <cell r="M79">
            <v>718817.60779507284</v>
          </cell>
          <cell r="N79">
            <v>679862.39270116831</v>
          </cell>
          <cell r="O79">
            <v>713535.20804266934</v>
          </cell>
          <cell r="P79">
            <v>679165.136170101</v>
          </cell>
          <cell r="Q79">
            <v>704453.38736791082</v>
          </cell>
          <cell r="R79">
            <v>660032.08208177728</v>
          </cell>
          <cell r="S79">
            <v>8338274.1534112347</v>
          </cell>
          <cell r="T79">
            <v>2757185.8136624582</v>
          </cell>
        </row>
        <row r="80">
          <cell r="G80">
            <v>-39845.405379799195</v>
          </cell>
          <cell r="H80">
            <v>16539.753496515099</v>
          </cell>
          <cell r="I80">
            <v>55162.607791513437</v>
          </cell>
          <cell r="J80">
            <v>87186.132955184788</v>
          </cell>
          <cell r="K80">
            <v>16420.332397890161</v>
          </cell>
          <cell r="L80">
            <v>61724.472132481984</v>
          </cell>
          <cell r="M80">
            <v>56938.962892474257</v>
          </cell>
          <cell r="N80">
            <v>94640.537977376021</v>
          </cell>
          <cell r="O80">
            <v>30903.901944842306</v>
          </cell>
          <cell r="P80">
            <v>110850.42291883193</v>
          </cell>
          <cell r="Q80">
            <v>84641.662548497901</v>
          </cell>
          <cell r="R80">
            <v>110345.13172296528</v>
          </cell>
          <cell r="S80">
            <v>685508.51339877397</v>
          </cell>
          <cell r="T80">
            <v>336741.11913513741</v>
          </cell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U5"/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</row>
        <row r="6">
          <cell r="G6">
            <v>6000</v>
          </cell>
          <cell r="H6">
            <v>6000</v>
          </cell>
          <cell r="I6">
            <v>6000</v>
          </cell>
          <cell r="J6">
            <v>6000</v>
          </cell>
          <cell r="K6">
            <v>6000</v>
          </cell>
          <cell r="L6">
            <v>6000</v>
          </cell>
          <cell r="M6">
            <v>5000</v>
          </cell>
          <cell r="N6">
            <v>5000</v>
          </cell>
          <cell r="O6">
            <v>5000</v>
          </cell>
          <cell r="P6">
            <v>5000</v>
          </cell>
          <cell r="Q6">
            <v>5000</v>
          </cell>
          <cell r="R6">
            <v>3406</v>
          </cell>
          <cell r="S6">
            <v>64406</v>
          </cell>
          <cell r="U6"/>
          <cell r="V6">
            <v>12000</v>
          </cell>
          <cell r="W6">
            <v>18000</v>
          </cell>
          <cell r="X6">
            <v>24000</v>
          </cell>
          <cell r="Y6">
            <v>30000</v>
          </cell>
          <cell r="Z6">
            <v>36000</v>
          </cell>
          <cell r="AA6">
            <v>41000</v>
          </cell>
          <cell r="AB6">
            <v>46000</v>
          </cell>
        </row>
        <row r="7">
          <cell r="G7">
            <v>9859.7553407028245</v>
          </cell>
          <cell r="H7">
            <v>8773.1544311774724</v>
          </cell>
          <cell r="I7">
            <v>10355.137027505783</v>
          </cell>
          <cell r="J7">
            <v>10863.361164706679</v>
          </cell>
          <cell r="K7">
            <v>10809.035882592707</v>
          </cell>
          <cell r="L7">
            <v>10640.559098179559</v>
          </cell>
          <cell r="M7">
            <v>12004.659668437012</v>
          </cell>
          <cell r="N7">
            <v>11885.30135375616</v>
          </cell>
          <cell r="O7">
            <v>11321.063847794539</v>
          </cell>
          <cell r="P7">
            <v>13075.643242034368</v>
          </cell>
          <cell r="Q7">
            <v>12959.425726877136</v>
          </cell>
          <cell r="R7">
            <v>13017.869549930658</v>
          </cell>
          <cell r="S7">
            <v>135564.9663336949</v>
          </cell>
          <cell r="U7"/>
          <cell r="V7">
            <v>18632.909771880295</v>
          </cell>
          <cell r="W7">
            <v>28988.04679938608</v>
          </cell>
          <cell r="X7">
            <v>39851.407964092759</v>
          </cell>
          <cell r="Y7">
            <v>50660.443846685463</v>
          </cell>
          <cell r="Z7">
            <v>61301.002944865024</v>
          </cell>
          <cell r="AA7">
            <v>73305.662613302033</v>
          </cell>
          <cell r="AB7">
            <v>85190.963967058196</v>
          </cell>
        </row>
        <row r="8"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U8"/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</row>
        <row r="9"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>
            <v>0</v>
          </cell>
          <cell r="U9"/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/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/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U12"/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G13">
            <v>9859.7553407028245</v>
          </cell>
          <cell r="H13">
            <v>8773.1544311774724</v>
          </cell>
          <cell r="I13">
            <v>10355.137027505783</v>
          </cell>
          <cell r="J13">
            <v>10863.361164706679</v>
          </cell>
          <cell r="K13">
            <v>10809.035882592707</v>
          </cell>
          <cell r="L13">
            <v>10640.559098179559</v>
          </cell>
          <cell r="M13">
            <v>12004.659668437012</v>
          </cell>
          <cell r="N13">
            <v>11885.30135375616</v>
          </cell>
          <cell r="O13">
            <v>11321.063847794539</v>
          </cell>
          <cell r="P13">
            <v>13075.643242034368</v>
          </cell>
          <cell r="Q13">
            <v>12959.425726877136</v>
          </cell>
          <cell r="R13">
            <v>13017.869549930658</v>
          </cell>
          <cell r="S13">
            <v>135564.9663336949</v>
          </cell>
          <cell r="U13"/>
          <cell r="V13">
            <v>18632.909771880295</v>
          </cell>
          <cell r="W13">
            <v>28988.04679938608</v>
          </cell>
          <cell r="X13">
            <v>39851.407964092759</v>
          </cell>
          <cell r="Y13">
            <v>50660.443846685463</v>
          </cell>
          <cell r="Z13">
            <v>61301.002944865024</v>
          </cell>
          <cell r="AA13">
            <v>73305.662613302033</v>
          </cell>
          <cell r="AB13">
            <v>85190.963967058196</v>
          </cell>
        </row>
        <row r="14">
          <cell r="G14">
            <v>15859.755340702824</v>
          </cell>
          <cell r="H14">
            <v>14773.154431177472</v>
          </cell>
          <cell r="I14">
            <v>16355.137027505783</v>
          </cell>
          <cell r="J14">
            <v>16863.361164706679</v>
          </cell>
          <cell r="K14">
            <v>16809.035882592707</v>
          </cell>
          <cell r="L14">
            <v>16640.559098179561</v>
          </cell>
          <cell r="M14">
            <v>17004.659668437012</v>
          </cell>
          <cell r="N14">
            <v>16885.30135375616</v>
          </cell>
          <cell r="O14">
            <v>16321.063847794539</v>
          </cell>
          <cell r="P14">
            <v>18075.64324203437</v>
          </cell>
          <cell r="Q14">
            <v>17959.425726877136</v>
          </cell>
          <cell r="R14">
            <v>16423.869549930656</v>
          </cell>
          <cell r="S14">
            <v>199970.9663336949</v>
          </cell>
          <cell r="U14"/>
          <cell r="V14">
            <v>30632.909771880295</v>
          </cell>
          <cell r="W14">
            <v>46988.04679938608</v>
          </cell>
          <cell r="X14">
            <v>63851.407964092759</v>
          </cell>
          <cell r="Y14">
            <v>80660.443846685463</v>
          </cell>
          <cell r="Z14">
            <v>97301.002944865031</v>
          </cell>
          <cell r="AA14">
            <v>114305.66261330205</v>
          </cell>
          <cell r="AB14">
            <v>131190.9639670582</v>
          </cell>
        </row>
        <row r="15">
          <cell r="G15">
            <v>15000</v>
          </cell>
          <cell r="H15">
            <v>15000</v>
          </cell>
          <cell r="I15">
            <v>16000</v>
          </cell>
          <cell r="J15">
            <v>15000</v>
          </cell>
          <cell r="K15">
            <v>15000</v>
          </cell>
          <cell r="L15">
            <v>15000</v>
          </cell>
          <cell r="M15">
            <v>15000</v>
          </cell>
          <cell r="N15">
            <v>15000</v>
          </cell>
          <cell r="O15">
            <v>15000</v>
          </cell>
          <cell r="P15">
            <v>14000</v>
          </cell>
          <cell r="Q15">
            <v>14000</v>
          </cell>
          <cell r="R15">
            <v>14000</v>
          </cell>
          <cell r="S15">
            <v>178000</v>
          </cell>
          <cell r="U15"/>
          <cell r="V15">
            <v>30000</v>
          </cell>
          <cell r="W15">
            <v>46000</v>
          </cell>
          <cell r="X15">
            <v>61000</v>
          </cell>
          <cell r="Y15">
            <v>76000</v>
          </cell>
          <cell r="Z15">
            <v>91000</v>
          </cell>
          <cell r="AA15">
            <v>106000</v>
          </cell>
          <cell r="AB15">
            <v>121000</v>
          </cell>
        </row>
        <row r="16">
          <cell r="G16">
            <v>6812.6046248949951</v>
          </cell>
          <cell r="H16">
            <v>6081.2689551615358</v>
          </cell>
          <cell r="I16">
            <v>7221.2811300997464</v>
          </cell>
          <cell r="J16">
            <v>7595.3882788795063</v>
          </cell>
          <cell r="K16">
            <v>7628.3458120118939</v>
          </cell>
          <cell r="L16">
            <v>7701.3606398820802</v>
          </cell>
          <cell r="M16">
            <v>8394.9661932246891</v>
          </cell>
          <cell r="N16">
            <v>8423.0762686841754</v>
          </cell>
          <cell r="O16">
            <v>8048.1039847219763</v>
          </cell>
          <cell r="P16">
            <v>9123.4138621428792</v>
          </cell>
          <cell r="Q16">
            <v>9164.2386912729435</v>
          </cell>
          <cell r="R16">
            <v>9136.4268319514886</v>
          </cell>
          <cell r="S16">
            <v>95330.475272927899</v>
          </cell>
          <cell r="U16"/>
          <cell r="V16">
            <v>12893.87358005653</v>
          </cell>
          <cell r="W16">
            <v>20115.154710156276</v>
          </cell>
          <cell r="X16">
            <v>27710.542989035781</v>
          </cell>
          <cell r="Y16">
            <v>35338.888801047673</v>
          </cell>
          <cell r="Z16">
            <v>43040.249440929751</v>
          </cell>
          <cell r="AA16">
            <v>51435.21563415444</v>
          </cell>
          <cell r="AB16">
            <v>59858.291902838617</v>
          </cell>
        </row>
        <row r="17">
          <cell r="G17">
            <v>1997.9400000000005</v>
          </cell>
          <cell r="H17">
            <v>1801.96</v>
          </cell>
          <cell r="I17">
            <v>2193.9096774193549</v>
          </cell>
          <cell r="J17">
            <v>2375.2258064516132</v>
          </cell>
          <cell r="K17">
            <v>2372.7096774193556</v>
          </cell>
          <cell r="L17">
            <v>2303.2258064516132</v>
          </cell>
          <cell r="M17">
            <v>2399.883870967742</v>
          </cell>
          <cell r="N17">
            <v>2400.3870967741937</v>
          </cell>
          <cell r="O17">
            <v>1747.1419354838713</v>
          </cell>
          <cell r="P17">
            <v>2366.6709677419362</v>
          </cell>
          <cell r="Q17">
            <v>2366.6709677419362</v>
          </cell>
          <cell r="R17">
            <v>2372.7096774193556</v>
          </cell>
          <cell r="S17">
            <v>26698.435483870973</v>
          </cell>
          <cell r="U17"/>
          <cell r="V17">
            <v>3799.9000000000005</v>
          </cell>
          <cell r="W17">
            <v>5993.8096774193555</v>
          </cell>
          <cell r="X17">
            <v>8369.0354838709682</v>
          </cell>
          <cell r="Y17">
            <v>10741.745161290324</v>
          </cell>
          <cell r="Z17">
            <v>13044.970967741938</v>
          </cell>
          <cell r="AA17">
            <v>15444.85483870968</v>
          </cell>
          <cell r="AB17">
            <v>17845.241935483875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U18"/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/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U20"/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U21"/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G22">
            <v>8810.5446248949956</v>
          </cell>
          <cell r="H22">
            <v>7883.2289551615359</v>
          </cell>
          <cell r="I22">
            <v>9415.1908075191022</v>
          </cell>
          <cell r="J22">
            <v>9970.614085331119</v>
          </cell>
          <cell r="K22">
            <v>10001.05548943125</v>
          </cell>
          <cell r="L22">
            <v>10004.586446333693</v>
          </cell>
          <cell r="M22">
            <v>10794.850064192431</v>
          </cell>
          <cell r="N22">
            <v>10823.463365458369</v>
          </cell>
          <cell r="O22">
            <v>9795.2459202058471</v>
          </cell>
          <cell r="P22">
            <v>11490.084829884816</v>
          </cell>
          <cell r="Q22">
            <v>11530.90965901488</v>
          </cell>
          <cell r="R22">
            <v>11509.136509370845</v>
          </cell>
          <cell r="S22">
            <v>122028.91075679887</v>
          </cell>
          <cell r="U22"/>
          <cell r="V22">
            <v>16693.773580056532</v>
          </cell>
          <cell r="W22">
            <v>26108.964387575634</v>
          </cell>
          <cell r="X22">
            <v>36079.578472906753</v>
          </cell>
          <cell r="Y22">
            <v>46080.633962338004</v>
          </cell>
          <cell r="Z22">
            <v>56085.220408671696</v>
          </cell>
          <cell r="AA22">
            <v>66880.070472864129</v>
          </cell>
          <cell r="AB22">
            <v>77703.533838322503</v>
          </cell>
        </row>
        <row r="23">
          <cell r="G23">
            <v>23810.544624894996</v>
          </cell>
          <cell r="H23">
            <v>22883.228955161536</v>
          </cell>
          <cell r="I23">
            <v>25415.190807519102</v>
          </cell>
          <cell r="J23">
            <v>24970.614085331119</v>
          </cell>
          <cell r="K23">
            <v>25001.055489431252</v>
          </cell>
          <cell r="L23">
            <v>25004.586446333691</v>
          </cell>
          <cell r="M23">
            <v>25794.850064192433</v>
          </cell>
          <cell r="N23">
            <v>25823.463365458367</v>
          </cell>
          <cell r="O23">
            <v>24795.245920205845</v>
          </cell>
          <cell r="P23">
            <v>25490.084829884814</v>
          </cell>
          <cell r="Q23">
            <v>25530.90965901488</v>
          </cell>
          <cell r="R23">
            <v>25509.136509370845</v>
          </cell>
          <cell r="S23">
            <v>300028.91075679887</v>
          </cell>
          <cell r="U23"/>
          <cell r="V23">
            <v>46693.773580056528</v>
          </cell>
          <cell r="W23">
            <v>72108.96438757563</v>
          </cell>
          <cell r="X23">
            <v>97079.578472906753</v>
          </cell>
          <cell r="Y23">
            <v>122080.633962338</v>
          </cell>
          <cell r="Z23">
            <v>147085.22040867171</v>
          </cell>
          <cell r="AA23">
            <v>172880.07047286414</v>
          </cell>
          <cell r="AB23">
            <v>198703.5338383225</v>
          </cell>
        </row>
        <row r="24">
          <cell r="G24">
            <v>21000</v>
          </cell>
          <cell r="H24">
            <v>21000</v>
          </cell>
          <cell r="I24">
            <v>22000</v>
          </cell>
          <cell r="J24">
            <v>21000</v>
          </cell>
          <cell r="K24">
            <v>21000</v>
          </cell>
          <cell r="L24">
            <v>21000</v>
          </cell>
          <cell r="M24">
            <v>20000</v>
          </cell>
          <cell r="N24">
            <v>20000</v>
          </cell>
          <cell r="O24">
            <v>20000</v>
          </cell>
          <cell r="P24">
            <v>19000</v>
          </cell>
          <cell r="Q24">
            <v>19000</v>
          </cell>
          <cell r="R24">
            <v>17406</v>
          </cell>
          <cell r="S24">
            <v>242406</v>
          </cell>
          <cell r="U24"/>
          <cell r="V24">
            <v>42000</v>
          </cell>
          <cell r="W24">
            <v>64000</v>
          </cell>
          <cell r="X24">
            <v>85000</v>
          </cell>
          <cell r="Y24">
            <v>106000</v>
          </cell>
          <cell r="Z24">
            <v>127000</v>
          </cell>
          <cell r="AA24">
            <v>147000</v>
          </cell>
          <cell r="AB24">
            <v>167000</v>
          </cell>
        </row>
        <row r="25">
          <cell r="G25">
            <v>16672.359965597818</v>
          </cell>
          <cell r="H25">
            <v>14854.423386339007</v>
          </cell>
          <cell r="I25">
            <v>17576.418157605531</v>
          </cell>
          <cell r="J25">
            <v>18458.749443586184</v>
          </cell>
          <cell r="K25">
            <v>18437.381694604599</v>
          </cell>
          <cell r="L25">
            <v>18341.919738061639</v>
          </cell>
          <cell r="M25">
            <v>20399.625861661701</v>
          </cell>
          <cell r="N25">
            <v>20308.377622440334</v>
          </cell>
          <cell r="O25">
            <v>19369.167832516516</v>
          </cell>
          <cell r="P25">
            <v>22199.057104177249</v>
          </cell>
          <cell r="Q25">
            <v>22123.664418150081</v>
          </cell>
          <cell r="R25">
            <v>22154.296381882144</v>
          </cell>
          <cell r="S25">
            <v>230895.44160662283</v>
          </cell>
          <cell r="U25"/>
          <cell r="V25">
            <v>31526.783351936825</v>
          </cell>
          <cell r="W25">
            <v>49103.201509542356</v>
          </cell>
          <cell r="X25">
            <v>67561.950953128544</v>
          </cell>
          <cell r="Y25">
            <v>85999.332647733143</v>
          </cell>
          <cell r="Z25">
            <v>104341.25238579478</v>
          </cell>
          <cell r="AA25">
            <v>124740.87824745648</v>
          </cell>
          <cell r="AB25">
            <v>145049.25586989682</v>
          </cell>
        </row>
        <row r="26">
          <cell r="G26">
            <v>1997.9400000000005</v>
          </cell>
          <cell r="H26">
            <v>1801.96</v>
          </cell>
          <cell r="I26">
            <v>2193.9096774193549</v>
          </cell>
          <cell r="J26">
            <v>2375.2258064516132</v>
          </cell>
          <cell r="K26">
            <v>2372.7096774193556</v>
          </cell>
          <cell r="L26">
            <v>2303.2258064516132</v>
          </cell>
          <cell r="M26">
            <v>2399.883870967742</v>
          </cell>
          <cell r="N26">
            <v>2400.3870967741937</v>
          </cell>
          <cell r="O26">
            <v>1747.1419354838713</v>
          </cell>
          <cell r="P26">
            <v>2366.6709677419362</v>
          </cell>
          <cell r="Q26">
            <v>2366.6709677419362</v>
          </cell>
          <cell r="R26">
            <v>2372.7096774193556</v>
          </cell>
          <cell r="S26">
            <v>26698.435483870973</v>
          </cell>
          <cell r="U26"/>
          <cell r="V26">
            <v>3799.9000000000005</v>
          </cell>
          <cell r="W26">
            <v>5993.8096774193555</v>
          </cell>
          <cell r="X26">
            <v>8369.0354838709682</v>
          </cell>
          <cell r="Y26">
            <v>10741.745161290324</v>
          </cell>
          <cell r="Z26">
            <v>13044.970967741938</v>
          </cell>
          <cell r="AA26">
            <v>15444.85483870968</v>
          </cell>
          <cell r="AB26">
            <v>17845.241935483875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U27"/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U28"/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/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U30"/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G31">
            <v>18670.29996559782</v>
          </cell>
          <cell r="H31">
            <v>16656.383386339006</v>
          </cell>
          <cell r="I31">
            <v>19770.327835024887</v>
          </cell>
          <cell r="J31">
            <v>20833.975250037798</v>
          </cell>
          <cell r="K31">
            <v>20810.091372023955</v>
          </cell>
          <cell r="L31">
            <v>20645.145544513252</v>
          </cell>
          <cell r="M31">
            <v>22799.509732629442</v>
          </cell>
          <cell r="N31">
            <v>22708.764719214527</v>
          </cell>
          <cell r="O31">
            <v>21116.309768000388</v>
          </cell>
          <cell r="P31">
            <v>24565.728071919184</v>
          </cell>
          <cell r="Q31">
            <v>24490.335385892016</v>
          </cell>
          <cell r="R31">
            <v>24527.0060593015</v>
          </cell>
          <cell r="S31">
            <v>257593.8770904938</v>
          </cell>
          <cell r="U31"/>
          <cell r="V31">
            <v>35326.683351936823</v>
          </cell>
          <cell r="W31">
            <v>55097.01118696171</v>
          </cell>
          <cell r="X31">
            <v>75930.986436999505</v>
          </cell>
          <cell r="Y31">
            <v>96741.077809023467</v>
          </cell>
          <cell r="Z31">
            <v>117386.22335353671</v>
          </cell>
          <cell r="AA31">
            <v>140185.73308616615</v>
          </cell>
          <cell r="AB31">
            <v>162894.49780538067</v>
          </cell>
        </row>
        <row r="32">
          <cell r="G32">
            <v>39670.29996559782</v>
          </cell>
          <cell r="H32">
            <v>37656.383386339003</v>
          </cell>
          <cell r="I32">
            <v>41770.327835024887</v>
          </cell>
          <cell r="J32">
            <v>41833.975250037794</v>
          </cell>
          <cell r="K32">
            <v>41810.091372023955</v>
          </cell>
          <cell r="L32">
            <v>41645.145544513252</v>
          </cell>
          <cell r="M32">
            <v>42799.509732629442</v>
          </cell>
          <cell r="N32">
            <v>42708.764719214523</v>
          </cell>
          <cell r="O32">
            <v>41116.309768000385</v>
          </cell>
          <cell r="P32">
            <v>43565.728071919184</v>
          </cell>
          <cell r="Q32">
            <v>43490.335385892016</v>
          </cell>
          <cell r="R32">
            <v>41933.0060593015</v>
          </cell>
          <cell r="S32">
            <v>499999.8770904938</v>
          </cell>
          <cell r="U32"/>
          <cell r="V32">
            <v>77326.683351936823</v>
          </cell>
          <cell r="W32">
            <v>119097.01118696171</v>
          </cell>
          <cell r="X32">
            <v>160930.98643699952</v>
          </cell>
          <cell r="Y32">
            <v>202741.07780902347</v>
          </cell>
          <cell r="Z32">
            <v>244386.22335353671</v>
          </cell>
          <cell r="AA32">
            <v>287185.73308616615</v>
          </cell>
          <cell r="AB32">
            <v>329894.49780538067</v>
          </cell>
        </row>
        <row r="33">
          <cell r="G33">
            <v>12000</v>
          </cell>
          <cell r="H33">
            <v>12000</v>
          </cell>
          <cell r="I33">
            <v>12000</v>
          </cell>
          <cell r="J33">
            <v>12000</v>
          </cell>
          <cell r="K33">
            <v>12000</v>
          </cell>
          <cell r="L33">
            <v>12000</v>
          </cell>
          <cell r="M33">
            <v>12000</v>
          </cell>
          <cell r="N33">
            <v>12000</v>
          </cell>
          <cell r="O33">
            <v>12000</v>
          </cell>
          <cell r="P33">
            <v>12000</v>
          </cell>
          <cell r="Q33">
            <v>12000</v>
          </cell>
          <cell r="R33">
            <v>12000</v>
          </cell>
          <cell r="S33">
            <v>12000</v>
          </cell>
          <cell r="V33">
            <v>12000</v>
          </cell>
          <cell r="W33">
            <v>12000</v>
          </cell>
          <cell r="X33">
            <v>12000</v>
          </cell>
          <cell r="Y33">
            <v>12000</v>
          </cell>
          <cell r="Z33">
            <v>12000</v>
          </cell>
          <cell r="AA33">
            <v>12000</v>
          </cell>
          <cell r="AB33">
            <v>12000</v>
          </cell>
        </row>
        <row r="34">
          <cell r="G34">
            <v>16000</v>
          </cell>
          <cell r="H34">
            <v>16000</v>
          </cell>
          <cell r="I34">
            <v>16000</v>
          </cell>
          <cell r="J34">
            <v>16000</v>
          </cell>
          <cell r="K34">
            <v>16000</v>
          </cell>
          <cell r="L34">
            <v>16000</v>
          </cell>
          <cell r="M34">
            <v>16000</v>
          </cell>
          <cell r="N34">
            <v>16000</v>
          </cell>
          <cell r="O34">
            <v>16000</v>
          </cell>
          <cell r="P34">
            <v>16000</v>
          </cell>
          <cell r="Q34">
            <v>16000</v>
          </cell>
          <cell r="R34">
            <v>16000</v>
          </cell>
          <cell r="S34">
            <v>16000</v>
          </cell>
          <cell r="V34">
            <v>16000</v>
          </cell>
          <cell r="W34">
            <v>16000</v>
          </cell>
          <cell r="X34">
            <v>16000</v>
          </cell>
          <cell r="Y34">
            <v>16000</v>
          </cell>
          <cell r="Z34">
            <v>16000</v>
          </cell>
          <cell r="AA34">
            <v>16000</v>
          </cell>
          <cell r="AB34">
            <v>16000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V35" t="e">
            <v>#DIV/0!</v>
          </cell>
          <cell r="W35" t="e">
            <v>#DIV/0!</v>
          </cell>
          <cell r="X35" t="e">
            <v>#DIV/0!</v>
          </cell>
          <cell r="Y35" t="e">
            <v>#DIV/0!</v>
          </cell>
          <cell r="Z35" t="e">
            <v>#DIV/0!</v>
          </cell>
          <cell r="AA35" t="e">
            <v>#DIV/0!</v>
          </cell>
          <cell r="AB35" t="e">
            <v>#DIV/0!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V36"/>
          <cell r="W36"/>
          <cell r="X36"/>
          <cell r="Y36"/>
          <cell r="Z36"/>
          <cell r="AA36"/>
          <cell r="AB36"/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V37"/>
          <cell r="W37"/>
          <cell r="X37"/>
          <cell r="Y37"/>
          <cell r="Z37"/>
          <cell r="AA37"/>
          <cell r="AB37"/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V38"/>
          <cell r="W38"/>
          <cell r="X38"/>
          <cell r="Y38"/>
          <cell r="Z38"/>
          <cell r="AA38"/>
          <cell r="AB38"/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V39"/>
          <cell r="W39"/>
          <cell r="X39"/>
          <cell r="Y39"/>
          <cell r="Z39"/>
          <cell r="AA39"/>
          <cell r="AB39"/>
        </row>
        <row r="40">
          <cell r="G40">
            <v>16000</v>
          </cell>
          <cell r="H40">
            <v>16000</v>
          </cell>
          <cell r="I40">
            <v>16000</v>
          </cell>
          <cell r="J40">
            <v>16000</v>
          </cell>
          <cell r="K40">
            <v>16000</v>
          </cell>
          <cell r="L40">
            <v>16000</v>
          </cell>
          <cell r="M40">
            <v>16000</v>
          </cell>
          <cell r="N40">
            <v>16000</v>
          </cell>
          <cell r="O40">
            <v>16000</v>
          </cell>
          <cell r="P40">
            <v>16000</v>
          </cell>
          <cell r="Q40">
            <v>16000</v>
          </cell>
          <cell r="R40">
            <v>16000</v>
          </cell>
          <cell r="S40">
            <v>16000</v>
          </cell>
          <cell r="V40">
            <v>16000</v>
          </cell>
          <cell r="W40">
            <v>16000</v>
          </cell>
          <cell r="X40">
            <v>16000</v>
          </cell>
          <cell r="Y40">
            <v>16000</v>
          </cell>
          <cell r="Z40">
            <v>16000</v>
          </cell>
          <cell r="AA40">
            <v>16000</v>
          </cell>
          <cell r="AB40">
            <v>16000</v>
          </cell>
        </row>
        <row r="41">
          <cell r="G41">
            <v>14486.735798603029</v>
          </cell>
          <cell r="H41">
            <v>14375.431590334556</v>
          </cell>
          <cell r="I41">
            <v>14532.57114510033</v>
          </cell>
          <cell r="J41">
            <v>14576.796181639662</v>
          </cell>
          <cell r="K41">
            <v>14572.196515752923</v>
          </cell>
          <cell r="L41">
            <v>14557.74076709805</v>
          </cell>
          <cell r="M41">
            <v>14823.85179180488</v>
          </cell>
          <cell r="N41">
            <v>14815.53787042415</v>
          </cell>
          <cell r="O41">
            <v>14774.58968444005</v>
          </cell>
          <cell r="P41">
            <v>14893.53868450498</v>
          </cell>
          <cell r="Q41">
            <v>14886.378645723118</v>
          </cell>
          <cell r="R41">
            <v>15170.475632518799</v>
          </cell>
          <cell r="S41">
            <v>14711.692978619214</v>
          </cell>
          <cell r="V41">
            <v>14433.057768346187</v>
          </cell>
          <cell r="W41">
            <v>14467.69540544212</v>
          </cell>
          <cell r="X41">
            <v>14496.509269553049</v>
          </cell>
          <cell r="Y41">
            <v>14512.281928077549</v>
          </cell>
          <cell r="Z41">
            <v>14520.056364870186</v>
          </cell>
          <cell r="AA41">
            <v>14565.250432475817</v>
          </cell>
          <cell r="AB41">
            <v>14597.464379892795</v>
          </cell>
        </row>
        <row r="42">
          <cell r="G42">
            <v>19000</v>
          </cell>
          <cell r="H42">
            <v>19000</v>
          </cell>
          <cell r="I42">
            <v>19000</v>
          </cell>
          <cell r="J42">
            <v>19000</v>
          </cell>
          <cell r="K42">
            <v>19000</v>
          </cell>
          <cell r="L42">
            <v>19000</v>
          </cell>
          <cell r="M42">
            <v>19000</v>
          </cell>
          <cell r="N42">
            <v>19000</v>
          </cell>
          <cell r="O42">
            <v>19000</v>
          </cell>
          <cell r="P42">
            <v>19000</v>
          </cell>
          <cell r="Q42">
            <v>19000</v>
          </cell>
          <cell r="R42">
            <v>19000</v>
          </cell>
          <cell r="S42">
            <v>19000</v>
          </cell>
          <cell r="V42">
            <v>19000</v>
          </cell>
          <cell r="W42">
            <v>19000</v>
          </cell>
          <cell r="X42">
            <v>19000</v>
          </cell>
          <cell r="Y42">
            <v>19000</v>
          </cell>
          <cell r="Z42">
            <v>19000</v>
          </cell>
          <cell r="AA42">
            <v>19000</v>
          </cell>
          <cell r="AB42">
            <v>19000</v>
          </cell>
        </row>
        <row r="43">
          <cell r="G43">
            <v>23000</v>
          </cell>
          <cell r="H43">
            <v>23000</v>
          </cell>
          <cell r="I43">
            <v>23000</v>
          </cell>
          <cell r="J43">
            <v>23000</v>
          </cell>
          <cell r="K43">
            <v>23000</v>
          </cell>
          <cell r="L43">
            <v>23000</v>
          </cell>
          <cell r="M43">
            <v>23000</v>
          </cell>
          <cell r="N43">
            <v>23000</v>
          </cell>
          <cell r="O43">
            <v>23000</v>
          </cell>
          <cell r="P43">
            <v>23000</v>
          </cell>
          <cell r="Q43">
            <v>23000</v>
          </cell>
          <cell r="R43">
            <v>23000</v>
          </cell>
          <cell r="S43">
            <v>23000.000000000004</v>
          </cell>
          <cell r="T43">
            <v>3500</v>
          </cell>
          <cell r="U43">
            <v>26500</v>
          </cell>
          <cell r="V43">
            <v>23000.000000000004</v>
          </cell>
          <cell r="W43">
            <v>23000</v>
          </cell>
          <cell r="X43">
            <v>23000.000000000004</v>
          </cell>
          <cell r="Y43">
            <v>23000.000000000004</v>
          </cell>
          <cell r="Z43">
            <v>23000.000000000007</v>
          </cell>
          <cell r="AA43">
            <v>23000.000000000004</v>
          </cell>
          <cell r="AB43">
            <v>23000.000000000004</v>
          </cell>
        </row>
        <row r="44">
          <cell r="G44">
            <v>19000</v>
          </cell>
          <cell r="H44">
            <v>19000</v>
          </cell>
          <cell r="I44">
            <v>19000</v>
          </cell>
          <cell r="J44">
            <v>19000</v>
          </cell>
          <cell r="K44">
            <v>19000</v>
          </cell>
          <cell r="L44">
            <v>19000</v>
          </cell>
          <cell r="M44">
            <v>19000</v>
          </cell>
          <cell r="N44">
            <v>19000</v>
          </cell>
          <cell r="O44">
            <v>19000</v>
          </cell>
          <cell r="P44">
            <v>19000</v>
          </cell>
          <cell r="Q44">
            <v>19000</v>
          </cell>
          <cell r="R44">
            <v>19000</v>
          </cell>
          <cell r="S44">
            <v>19000</v>
          </cell>
          <cell r="U44">
            <v>19000</v>
          </cell>
          <cell r="V44">
            <v>19000</v>
          </cell>
          <cell r="W44">
            <v>19000</v>
          </cell>
          <cell r="X44">
            <v>19000</v>
          </cell>
          <cell r="Y44">
            <v>19000</v>
          </cell>
          <cell r="Z44">
            <v>19000</v>
          </cell>
          <cell r="AA44">
            <v>18999.999999999996</v>
          </cell>
          <cell r="AB44">
            <v>18999.999999999996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3500</v>
          </cell>
          <cell r="U45">
            <v>3500</v>
          </cell>
          <cell r="V45" t="e">
            <v>#DIV/0!</v>
          </cell>
          <cell r="W45" t="e">
            <v>#DIV/0!</v>
          </cell>
          <cell r="X45" t="e">
            <v>#DIV/0!</v>
          </cell>
          <cell r="Y45" t="e">
            <v>#DIV/0!</v>
          </cell>
          <cell r="Z45" t="e">
            <v>#DIV/0!</v>
          </cell>
          <cell r="AA45" t="e">
            <v>#DIV/0!</v>
          </cell>
          <cell r="AB45" t="e">
            <v>#DIV/0!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8000</v>
          </cell>
          <cell r="U46">
            <v>8000</v>
          </cell>
          <cell r="V46" t="e">
            <v>#DIV/0!</v>
          </cell>
          <cell r="W46" t="e">
            <v>#DIV/0!</v>
          </cell>
          <cell r="X46" t="e">
            <v>#DIV/0!</v>
          </cell>
          <cell r="Y46" t="e">
            <v>#DIV/0!</v>
          </cell>
          <cell r="Z46" t="e">
            <v>#DIV/0!</v>
          </cell>
          <cell r="AA46" t="e">
            <v>#DIV/0!</v>
          </cell>
          <cell r="AB46" t="e">
            <v>#DIV/0!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5000</v>
          </cell>
          <cell r="U47">
            <v>5000</v>
          </cell>
          <cell r="V47" t="e">
            <v>#DIV/0!</v>
          </cell>
          <cell r="W47" t="e">
            <v>#DIV/0!</v>
          </cell>
          <cell r="X47" t="e">
            <v>#DIV/0!</v>
          </cell>
          <cell r="Y47" t="e">
            <v>#DIV/0!</v>
          </cell>
          <cell r="Z47" t="e">
            <v>#DIV/0!</v>
          </cell>
          <cell r="AA47" t="e">
            <v>#DIV/0!</v>
          </cell>
          <cell r="AB47" t="e">
            <v>#DIV/0!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7000</v>
          </cell>
          <cell r="U48">
            <v>7000</v>
          </cell>
          <cell r="V48" t="e">
            <v>#DIV/0!</v>
          </cell>
          <cell r="W48" t="e">
            <v>#DIV/0!</v>
          </cell>
          <cell r="X48" t="e">
            <v>#DIV/0!</v>
          </cell>
          <cell r="Y48" t="e">
            <v>#DIV/0!</v>
          </cell>
          <cell r="Z48" t="e">
            <v>#DIV/0!</v>
          </cell>
          <cell r="AA48" t="e">
            <v>#DIV/0!</v>
          </cell>
          <cell r="AB48" t="e">
            <v>#DIV/0!</v>
          </cell>
        </row>
        <row r="49">
          <cell r="G49">
            <v>22092.932350922034</v>
          </cell>
          <cell r="H49">
            <v>22085.674151924679</v>
          </cell>
          <cell r="I49">
            <v>22067.927683136375</v>
          </cell>
          <cell r="J49">
            <v>22047.109521590624</v>
          </cell>
          <cell r="K49">
            <v>22051.016293259545</v>
          </cell>
          <cell r="L49">
            <v>22079.132028572491</v>
          </cell>
          <cell r="M49">
            <v>22110.73007713988</v>
          </cell>
          <cell r="N49">
            <v>22112.895007550094</v>
          </cell>
          <cell r="O49">
            <v>22286.534733393546</v>
          </cell>
          <cell r="P49">
            <v>22176.099740678535</v>
          </cell>
          <cell r="Q49">
            <v>22179.016734072953</v>
          </cell>
          <cell r="R49">
            <v>22175.3648328048</v>
          </cell>
          <cell r="S49">
            <v>22124.848847103774</v>
          </cell>
          <cell r="V49">
            <v>22089.504842802082</v>
          </cell>
          <cell r="W49">
            <v>22081.72387254523</v>
          </cell>
          <cell r="X49">
            <v>22072.15817500135</v>
          </cell>
          <cell r="Y49">
            <v>22067.569671886926</v>
          </cell>
          <cell r="Z49">
            <v>22069.632186683899</v>
          </cell>
          <cell r="AA49">
            <v>22076.265636114946</v>
          </cell>
          <cell r="AB49">
            <v>22081.367806379851</v>
          </cell>
        </row>
        <row r="50">
          <cell r="G50">
            <v>20144.468508758444</v>
          </cell>
          <cell r="H50">
            <v>20063.008890410958</v>
          </cell>
          <cell r="I50">
            <v>20136.529909972316</v>
          </cell>
          <cell r="J50">
            <v>20216.692269228795</v>
          </cell>
          <cell r="K50">
            <v>20220.483801611757</v>
          </cell>
          <cell r="L50">
            <v>20231.991683831478</v>
          </cell>
          <cell r="M50">
            <v>20301.804999421696</v>
          </cell>
          <cell r="N50">
            <v>20304.716745307054</v>
          </cell>
          <cell r="O50">
            <v>20298.330173553721</v>
          </cell>
          <cell r="P50">
            <v>20431.68042366756</v>
          </cell>
          <cell r="Q50">
            <v>20435.787257668209</v>
          </cell>
          <cell r="R50">
            <v>20432.651682050502</v>
          </cell>
          <cell r="S50">
            <v>20270.950523167445</v>
          </cell>
          <cell r="V50">
            <v>20104.547573817308</v>
          </cell>
          <cell r="W50">
            <v>20115.819919534006</v>
          </cell>
          <cell r="X50">
            <v>20141.766102611138</v>
          </cell>
          <cell r="Y50">
            <v>20157.886804944006</v>
          </cell>
          <cell r="Z50">
            <v>20170.484684221665</v>
          </cell>
          <cell r="AA50">
            <v>20190.078543893876</v>
          </cell>
          <cell r="AB50">
            <v>20204.976896919063</v>
          </cell>
        </row>
        <row r="51">
          <cell r="G51">
            <v>17000</v>
          </cell>
          <cell r="H51">
            <v>17000</v>
          </cell>
          <cell r="I51">
            <v>17090.909090909088</v>
          </cell>
          <cell r="J51">
            <v>17000</v>
          </cell>
          <cell r="K51">
            <v>17000</v>
          </cell>
          <cell r="L51">
            <v>17000</v>
          </cell>
          <cell r="M51">
            <v>17250</v>
          </cell>
          <cell r="N51">
            <v>17250</v>
          </cell>
          <cell r="O51">
            <v>17250</v>
          </cell>
          <cell r="P51">
            <v>17157.894736842107</v>
          </cell>
          <cell r="Q51">
            <v>17157.894736842107</v>
          </cell>
          <cell r="R51">
            <v>17630.242445133863</v>
          </cell>
          <cell r="S51">
            <v>17140.136795293845</v>
          </cell>
          <cell r="V51">
            <v>17000</v>
          </cell>
          <cell r="W51">
            <v>17031.25</v>
          </cell>
          <cell r="X51">
            <v>17023.529411764706</v>
          </cell>
          <cell r="Y51">
            <v>17018.867924528302</v>
          </cell>
          <cell r="Z51">
            <v>17015.748031496063</v>
          </cell>
          <cell r="AA51">
            <v>17047.619047619046</v>
          </cell>
          <cell r="AB51">
            <v>17071.856287425147</v>
          </cell>
        </row>
        <row r="52">
          <cell r="G52">
            <v>18860.316864119184</v>
          </cell>
          <cell r="H52">
            <v>18865.737806105593</v>
          </cell>
          <cell r="I52">
            <v>18875.953875097417</v>
          </cell>
          <cell r="J52">
            <v>18880.353195900312</v>
          </cell>
          <cell r="K52">
            <v>18896.204112306761</v>
          </cell>
          <cell r="L52">
            <v>18939.142971349174</v>
          </cell>
          <cell r="M52">
            <v>18880.678486511519</v>
          </cell>
          <cell r="N52">
            <v>18903.310888588068</v>
          </cell>
          <cell r="O52">
            <v>18908.577610571221</v>
          </cell>
          <cell r="P52">
            <v>18876.874307557089</v>
          </cell>
          <cell r="Q52">
            <v>18899.595185790411</v>
          </cell>
          <cell r="R52">
            <v>18886.79842145486</v>
          </cell>
          <cell r="S52">
            <v>18890.110442489375</v>
          </cell>
          <cell r="V52">
            <v>18862.871040564016</v>
          </cell>
          <cell r="W52">
            <v>18867.554021782689</v>
          </cell>
          <cell r="X52">
            <v>18871.050912337043</v>
          </cell>
          <cell r="Y52">
            <v>18876.44350242355</v>
          </cell>
          <cell r="Z52">
            <v>18887.465304446789</v>
          </cell>
          <cell r="AA52">
            <v>18886.355415302063</v>
          </cell>
          <cell r="AB52">
            <v>18888.729354776584</v>
          </cell>
        </row>
        <row r="53">
          <cell r="G53">
            <v>19000</v>
          </cell>
          <cell r="H53">
            <v>19000</v>
          </cell>
          <cell r="I53">
            <v>19000</v>
          </cell>
          <cell r="J53">
            <v>19000</v>
          </cell>
          <cell r="K53">
            <v>18999.999999999996</v>
          </cell>
          <cell r="L53">
            <v>19000</v>
          </cell>
          <cell r="M53">
            <v>19000</v>
          </cell>
          <cell r="N53">
            <v>19000</v>
          </cell>
          <cell r="O53">
            <v>19000.000000000004</v>
          </cell>
          <cell r="P53">
            <v>19000</v>
          </cell>
          <cell r="Q53">
            <v>19000</v>
          </cell>
          <cell r="R53">
            <v>18999.999999999996</v>
          </cell>
          <cell r="S53">
            <v>19000</v>
          </cell>
          <cell r="V53">
            <v>19000</v>
          </cell>
          <cell r="W53">
            <v>19000</v>
          </cell>
          <cell r="X53">
            <v>19000</v>
          </cell>
          <cell r="Y53">
            <v>19000</v>
          </cell>
          <cell r="Z53">
            <v>19000</v>
          </cell>
          <cell r="AA53">
            <v>18999.999999999996</v>
          </cell>
          <cell r="AB53">
            <v>18999.999999999996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V54" t="e">
            <v>#DIV/0!</v>
          </cell>
          <cell r="W54" t="e">
            <v>#DIV/0!</v>
          </cell>
          <cell r="X54" t="e">
            <v>#DIV/0!</v>
          </cell>
          <cell r="Y54" t="e">
            <v>#DIV/0!</v>
          </cell>
          <cell r="Z54" t="e">
            <v>#DIV/0!</v>
          </cell>
          <cell r="AA54" t="e">
            <v>#DIV/0!</v>
          </cell>
          <cell r="AB54" t="e">
            <v>#DIV/0!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V55" t="e">
            <v>#DIV/0!</v>
          </cell>
          <cell r="W55" t="e">
            <v>#DIV/0!</v>
          </cell>
          <cell r="X55" t="e">
            <v>#DIV/0!</v>
          </cell>
          <cell r="Y55" t="e">
            <v>#DIV/0!</v>
          </cell>
          <cell r="Z55" t="e">
            <v>#DIV/0!</v>
          </cell>
          <cell r="AA55" t="e">
            <v>#DIV/0!</v>
          </cell>
          <cell r="AB55" t="e">
            <v>#DIV/0!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V56" t="e">
            <v>#DIV/0!</v>
          </cell>
          <cell r="W56" t="e">
            <v>#DIV/0!</v>
          </cell>
          <cell r="X56" t="e">
            <v>#DIV/0!</v>
          </cell>
          <cell r="Y56" t="e">
            <v>#DIV/0!</v>
          </cell>
          <cell r="Z56" t="e">
            <v>#DIV/0!</v>
          </cell>
          <cell r="AA56" t="e">
            <v>#DIV/0!</v>
          </cell>
          <cell r="AB56" t="e">
            <v>#DIV/0!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V57" t="e">
            <v>#DIV/0!</v>
          </cell>
          <cell r="W57" t="e">
            <v>#DIV/0!</v>
          </cell>
          <cell r="X57" t="e">
            <v>#DIV/0!</v>
          </cell>
          <cell r="Y57" t="e">
            <v>#DIV/0!</v>
          </cell>
          <cell r="Z57" t="e">
            <v>#DIV/0!</v>
          </cell>
          <cell r="AA57" t="e">
            <v>#DIV/0!</v>
          </cell>
          <cell r="AB57" t="e">
            <v>#DIV/0!</v>
          </cell>
        </row>
        <row r="58">
          <cell r="G58">
            <v>18875.264589919832</v>
          </cell>
          <cell r="H58">
            <v>18880.262874201013</v>
          </cell>
          <cell r="I58">
            <v>18889.719250974897</v>
          </cell>
          <cell r="J58">
            <v>18893.993808090079</v>
          </cell>
          <cell r="K58">
            <v>18908.038635414006</v>
          </cell>
          <cell r="L58">
            <v>18945.932338786199</v>
          </cell>
          <cell r="M58">
            <v>18893.238308149728</v>
          </cell>
          <cell r="N58">
            <v>18913.531228544976</v>
          </cell>
          <cell r="O58">
            <v>18916.14180583867</v>
          </cell>
          <cell r="P58">
            <v>18888.736280499012</v>
          </cell>
          <cell r="Q58">
            <v>18909.297999372469</v>
          </cell>
          <cell r="R58">
            <v>18897.749390369037</v>
          </cell>
          <cell r="S58">
            <v>18901.499996055969</v>
          </cell>
          <cell r="V58">
            <v>18877.621260044561</v>
          </cell>
          <cell r="W58">
            <v>18881.962352994709</v>
          </cell>
          <cell r="X58">
            <v>18885.263548586143</v>
          </cell>
          <cell r="Y58">
            <v>18890.162725322924</v>
          </cell>
          <cell r="Z58">
            <v>18899.971131744205</v>
          </cell>
          <cell r="AA58">
            <v>18898.876119622142</v>
          </cell>
          <cell r="AB58">
            <v>18900.919156219123</v>
          </cell>
        </row>
        <row r="59">
          <cell r="G59">
            <v>17882.568380854929</v>
          </cell>
          <cell r="H59">
            <v>17831.688454477375</v>
          </cell>
          <cell r="I59">
            <v>17942.30452926748</v>
          </cell>
          <cell r="J59">
            <v>17943.238596992716</v>
          </cell>
          <cell r="K59">
            <v>17949.685997837496</v>
          </cell>
          <cell r="L59">
            <v>17964.675614137912</v>
          </cell>
          <cell r="M59">
            <v>18125.361143941485</v>
          </cell>
          <cell r="N59">
            <v>18134.519594993064</v>
          </cell>
          <cell r="O59">
            <v>18105.6888176012</v>
          </cell>
          <cell r="P59">
            <v>18133.877110575526</v>
          </cell>
          <cell r="Q59">
            <v>18144.147266622047</v>
          </cell>
          <cell r="R59">
            <v>18371.619070554541</v>
          </cell>
          <cell r="S59">
            <v>18047.569770055798</v>
          </cell>
          <cell r="V59">
            <v>17857.790982791423</v>
          </cell>
          <cell r="W59">
            <v>17887.432016664756</v>
          </cell>
          <cell r="X59">
            <v>17901.938925196897</v>
          </cell>
          <cell r="Y59">
            <v>17911.785521118276</v>
          </cell>
          <cell r="Z59">
            <v>17920.798368043281</v>
          </cell>
          <cell r="AA59">
            <v>17951.28451519239</v>
          </cell>
          <cell r="AB59">
            <v>17975.00647467815</v>
          </cell>
        </row>
        <row r="60">
          <cell r="G60">
            <v>72000</v>
          </cell>
          <cell r="H60">
            <v>72000</v>
          </cell>
          <cell r="I60">
            <v>72000</v>
          </cell>
          <cell r="J60">
            <v>72000</v>
          </cell>
          <cell r="K60">
            <v>72000</v>
          </cell>
          <cell r="L60">
            <v>72000</v>
          </cell>
          <cell r="M60">
            <v>60000</v>
          </cell>
          <cell r="N60">
            <v>60000</v>
          </cell>
          <cell r="O60">
            <v>60000</v>
          </cell>
          <cell r="P60">
            <v>60000</v>
          </cell>
          <cell r="Q60">
            <v>60000</v>
          </cell>
          <cell r="R60">
            <v>40872</v>
          </cell>
          <cell r="S60">
            <v>772872</v>
          </cell>
          <cell r="V60">
            <v>144000</v>
          </cell>
          <cell r="W60">
            <v>216000</v>
          </cell>
          <cell r="X60">
            <v>288000</v>
          </cell>
          <cell r="Y60">
            <v>360000</v>
          </cell>
          <cell r="Z60">
            <v>432000</v>
          </cell>
          <cell r="AA60">
            <v>492000</v>
          </cell>
          <cell r="AB60">
            <v>552000</v>
          </cell>
        </row>
        <row r="61">
          <cell r="G61">
            <v>157756.08545124519</v>
          </cell>
          <cell r="H61">
            <v>140370.47089883956</v>
          </cell>
          <cell r="I61">
            <v>165682.19244009253</v>
          </cell>
          <cell r="J61">
            <v>173813.77863530687</v>
          </cell>
          <cell r="K61">
            <v>172944.57412148331</v>
          </cell>
          <cell r="L61">
            <v>170248.94557087295</v>
          </cell>
          <cell r="M61">
            <v>192074.5546949922</v>
          </cell>
          <cell r="N61">
            <v>190164.82166009856</v>
          </cell>
          <cell r="O61">
            <v>181137.02156471263</v>
          </cell>
          <cell r="P61">
            <v>209210.29187254989</v>
          </cell>
          <cell r="Q61">
            <v>207350.81163003418</v>
          </cell>
          <cell r="R61">
            <v>208285.91279889052</v>
          </cell>
          <cell r="S61">
            <v>2169039.4613391184</v>
          </cell>
          <cell r="V61">
            <v>298126.55635008472</v>
          </cell>
          <cell r="W61">
            <v>463808.74879017728</v>
          </cell>
          <cell r="X61">
            <v>637622.52742548415</v>
          </cell>
          <cell r="Y61">
            <v>810567.1015469674</v>
          </cell>
          <cell r="Z61">
            <v>980816.04711784038</v>
          </cell>
          <cell r="AA61">
            <v>1172890.6018128325</v>
          </cell>
          <cell r="AB61">
            <v>1363055.4234729311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G67">
            <v>157756.08545124519</v>
          </cell>
          <cell r="H67">
            <v>140370.47089883956</v>
          </cell>
          <cell r="I67">
            <v>165682.19244009253</v>
          </cell>
          <cell r="J67">
            <v>173813.77863530687</v>
          </cell>
          <cell r="K67">
            <v>172944.57412148331</v>
          </cell>
          <cell r="L67">
            <v>170248.94557087295</v>
          </cell>
          <cell r="M67">
            <v>192074.5546949922</v>
          </cell>
          <cell r="N67">
            <v>190164.82166009856</v>
          </cell>
          <cell r="O67">
            <v>181137.02156471263</v>
          </cell>
          <cell r="P67">
            <v>209210.29187254989</v>
          </cell>
          <cell r="Q67">
            <v>207350.81163003418</v>
          </cell>
          <cell r="R67">
            <v>208285.91279889052</v>
          </cell>
          <cell r="S67">
            <v>2169039.4613391184</v>
          </cell>
          <cell r="V67">
            <v>298126.55635008472</v>
          </cell>
          <cell r="W67">
            <v>463808.74879017728</v>
          </cell>
          <cell r="X67">
            <v>637622.52742548415</v>
          </cell>
          <cell r="Y67">
            <v>810567.1015469674</v>
          </cell>
          <cell r="Z67">
            <v>980816.04711784038</v>
          </cell>
          <cell r="AA67">
            <v>1172890.6018128325</v>
          </cell>
          <cell r="AB67">
            <v>1363055.4234729311</v>
          </cell>
        </row>
        <row r="68">
          <cell r="G68">
            <v>229756.08545124519</v>
          </cell>
          <cell r="H68">
            <v>212370.47089883956</v>
          </cell>
          <cell r="I68">
            <v>237682.19244009253</v>
          </cell>
          <cell r="J68">
            <v>245813.77863530687</v>
          </cell>
          <cell r="K68">
            <v>244944.57412148331</v>
          </cell>
          <cell r="L68">
            <v>242248.94557087295</v>
          </cell>
          <cell r="M68">
            <v>252074.5546949922</v>
          </cell>
          <cell r="N68">
            <v>250164.82166009856</v>
          </cell>
          <cell r="O68">
            <v>241137.02156471263</v>
          </cell>
          <cell r="P68">
            <v>269210.29187254992</v>
          </cell>
          <cell r="Q68">
            <v>267350.81163003418</v>
          </cell>
          <cell r="R68">
            <v>249157.91279889052</v>
          </cell>
          <cell r="S68">
            <v>2941911.4613391184</v>
          </cell>
          <cell r="V68">
            <v>442126.55635008472</v>
          </cell>
          <cell r="W68">
            <v>679808.74879017728</v>
          </cell>
          <cell r="X68">
            <v>925622.52742548415</v>
          </cell>
          <cell r="Y68">
            <v>1170567.1015469674</v>
          </cell>
          <cell r="Z68">
            <v>1412816.0471178403</v>
          </cell>
          <cell r="AA68">
            <v>1664890.6018128325</v>
          </cell>
          <cell r="AB68">
            <v>1915055.4234729311</v>
          </cell>
        </row>
        <row r="69">
          <cell r="G69">
            <v>285000</v>
          </cell>
          <cell r="H69">
            <v>285000</v>
          </cell>
          <cell r="I69">
            <v>304000</v>
          </cell>
          <cell r="J69">
            <v>285000</v>
          </cell>
          <cell r="K69">
            <v>285000</v>
          </cell>
          <cell r="L69">
            <v>285000</v>
          </cell>
          <cell r="M69">
            <v>285000</v>
          </cell>
          <cell r="N69">
            <v>285000</v>
          </cell>
          <cell r="O69">
            <v>285000</v>
          </cell>
          <cell r="P69">
            <v>266000</v>
          </cell>
          <cell r="Q69">
            <v>266000</v>
          </cell>
          <cell r="R69">
            <v>266000</v>
          </cell>
          <cell r="S69">
            <v>3382000</v>
          </cell>
          <cell r="V69">
            <v>570000</v>
          </cell>
          <cell r="W69">
            <v>874000</v>
          </cell>
          <cell r="X69">
            <v>1159000</v>
          </cell>
          <cell r="Y69">
            <v>1444000</v>
          </cell>
          <cell r="Z69">
            <v>1729000</v>
          </cell>
          <cell r="AA69">
            <v>2014000</v>
          </cell>
          <cell r="AB69">
            <v>2299000</v>
          </cell>
        </row>
        <row r="70">
          <cell r="G70">
            <v>156689.90637258487</v>
          </cell>
          <cell r="H70">
            <v>139869.18596871532</v>
          </cell>
          <cell r="I70">
            <v>166089.46599229416</v>
          </cell>
          <cell r="J70">
            <v>174693.93041422864</v>
          </cell>
          <cell r="K70">
            <v>175451.95367627355</v>
          </cell>
          <cell r="L70">
            <v>177131.29471728785</v>
          </cell>
          <cell r="M70">
            <v>193084.22244416786</v>
          </cell>
          <cell r="N70">
            <v>193730.75417973605</v>
          </cell>
          <cell r="O70">
            <v>185106.39164860547</v>
          </cell>
          <cell r="P70">
            <v>209838.51882928621</v>
          </cell>
          <cell r="Q70">
            <v>210777.48989927769</v>
          </cell>
          <cell r="R70">
            <v>210137.81713488424</v>
          </cell>
          <cell r="S70">
            <v>2192600.9312773421</v>
          </cell>
          <cell r="V70">
            <v>296559.09234130022</v>
          </cell>
          <cell r="W70">
            <v>462648.55833359435</v>
          </cell>
          <cell r="X70">
            <v>637342.48874782305</v>
          </cell>
          <cell r="Y70">
            <v>812794.44242409663</v>
          </cell>
          <cell r="Z70">
            <v>989925.73714138451</v>
          </cell>
          <cell r="AA70">
            <v>1183009.9595855523</v>
          </cell>
          <cell r="AB70">
            <v>1376740.7137652885</v>
          </cell>
        </row>
        <row r="71">
          <cell r="G71">
            <v>37960.860000000008</v>
          </cell>
          <cell r="H71">
            <v>34237.24</v>
          </cell>
          <cell r="I71">
            <v>41684.283870967745</v>
          </cell>
          <cell r="J71">
            <v>45129.290322580651</v>
          </cell>
          <cell r="K71">
            <v>45081.48387096775</v>
          </cell>
          <cell r="L71">
            <v>43761.290322580651</v>
          </cell>
          <cell r="M71">
            <v>45597.793548387097</v>
          </cell>
          <cell r="N71">
            <v>45607.354838709682</v>
          </cell>
          <cell r="O71">
            <v>33195.696774193559</v>
          </cell>
          <cell r="P71">
            <v>44966.748387096784</v>
          </cell>
          <cell r="Q71">
            <v>44966.748387096784</v>
          </cell>
          <cell r="R71">
            <v>45081.48387096775</v>
          </cell>
          <cell r="S71">
            <v>507270.27419354848</v>
          </cell>
          <cell r="V71">
            <v>72198.100000000006</v>
          </cell>
          <cell r="W71">
            <v>113882.38387096775</v>
          </cell>
          <cell r="X71">
            <v>159011.67419354839</v>
          </cell>
          <cell r="Y71">
            <v>204093.15806451614</v>
          </cell>
          <cell r="Z71">
            <v>247854.44838709681</v>
          </cell>
          <cell r="AA71">
            <v>293452.24193548388</v>
          </cell>
          <cell r="AB71">
            <v>339059.59677419357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</row>
        <row r="76">
          <cell r="G76">
            <v>194650.76637258488</v>
          </cell>
          <cell r="H76">
            <v>174106.42596871531</v>
          </cell>
          <cell r="I76">
            <v>207773.74986326191</v>
          </cell>
          <cell r="J76">
            <v>219823.22073680931</v>
          </cell>
          <cell r="K76">
            <v>220533.43754724131</v>
          </cell>
          <cell r="L76">
            <v>220892.58503986849</v>
          </cell>
          <cell r="M76">
            <v>238682.01599255495</v>
          </cell>
          <cell r="N76">
            <v>239338.10901844571</v>
          </cell>
          <cell r="O76">
            <v>218302.08842279902</v>
          </cell>
          <cell r="P76">
            <v>254805.26721638301</v>
          </cell>
          <cell r="Q76">
            <v>255744.23828637449</v>
          </cell>
          <cell r="R76">
            <v>255219.301005852</v>
          </cell>
          <cell r="S76">
            <v>2699871.2054708907</v>
          </cell>
          <cell r="V76">
            <v>368757.19234130019</v>
          </cell>
          <cell r="W76">
            <v>576530.94220456213</v>
          </cell>
          <cell r="X76">
            <v>796354.16294137144</v>
          </cell>
          <cell r="Y76">
            <v>1016887.6004886128</v>
          </cell>
          <cell r="Z76">
            <v>1237780.1855284814</v>
          </cell>
          <cell r="AA76">
            <v>1476462.2015210362</v>
          </cell>
          <cell r="AB76">
            <v>1715800.3105394819</v>
          </cell>
        </row>
        <row r="77">
          <cell r="G77">
            <v>479650.76637258485</v>
          </cell>
          <cell r="H77">
            <v>459106.42596871534</v>
          </cell>
          <cell r="I77">
            <v>511773.74986326194</v>
          </cell>
          <cell r="J77">
            <v>504823.22073680931</v>
          </cell>
          <cell r="K77">
            <v>505533.43754724134</v>
          </cell>
          <cell r="L77">
            <v>505892.58503986849</v>
          </cell>
          <cell r="M77">
            <v>523682.01599255495</v>
          </cell>
          <cell r="N77">
            <v>524338.10901844571</v>
          </cell>
          <cell r="O77">
            <v>503302.08842279902</v>
          </cell>
          <cell r="P77">
            <v>520805.26721638301</v>
          </cell>
          <cell r="Q77">
            <v>521744.23828637449</v>
          </cell>
          <cell r="R77">
            <v>521219.301005852</v>
          </cell>
          <cell r="S77">
            <v>6081871.2054708907</v>
          </cell>
          <cell r="V77">
            <v>938757.19234130019</v>
          </cell>
          <cell r="W77">
            <v>1450530.942204562</v>
          </cell>
          <cell r="X77">
            <v>1955354.1629413713</v>
          </cell>
          <cell r="Y77">
            <v>2460887.6004886124</v>
          </cell>
          <cell r="Z77">
            <v>2966780.1855284809</v>
          </cell>
          <cell r="AA77">
            <v>3490462.2015210357</v>
          </cell>
          <cell r="AB77">
            <v>4014800.3105394812</v>
          </cell>
        </row>
        <row r="78">
          <cell r="G78">
            <v>357000</v>
          </cell>
          <cell r="H78">
            <v>357000</v>
          </cell>
          <cell r="I78">
            <v>376000</v>
          </cell>
          <cell r="J78">
            <v>357000</v>
          </cell>
          <cell r="K78">
            <v>357000</v>
          </cell>
          <cell r="L78">
            <v>357000</v>
          </cell>
          <cell r="M78">
            <v>345000</v>
          </cell>
          <cell r="N78">
            <v>345000</v>
          </cell>
          <cell r="O78">
            <v>345000</v>
          </cell>
          <cell r="P78">
            <v>326000</v>
          </cell>
          <cell r="Q78">
            <v>326000</v>
          </cell>
          <cell r="R78">
            <v>306872</v>
          </cell>
          <cell r="S78">
            <v>4154872</v>
          </cell>
          <cell r="V78">
            <v>714000</v>
          </cell>
          <cell r="W78">
            <v>1090000</v>
          </cell>
          <cell r="X78">
            <v>1447000</v>
          </cell>
          <cell r="Y78">
            <v>1804000</v>
          </cell>
          <cell r="Z78">
            <v>2161000</v>
          </cell>
          <cell r="AA78">
            <v>2506000</v>
          </cell>
          <cell r="AB78">
            <v>2851000</v>
          </cell>
        </row>
        <row r="79">
          <cell r="G79">
            <v>314445.99182383006</v>
          </cell>
          <cell r="H79">
            <v>280239.65686755488</v>
          </cell>
          <cell r="I79">
            <v>331771.6584323867</v>
          </cell>
          <cell r="J79">
            <v>348507.70904953551</v>
          </cell>
          <cell r="K79">
            <v>348396.52779775683</v>
          </cell>
          <cell r="L79">
            <v>347380.2402881608</v>
          </cell>
          <cell r="M79">
            <v>385158.77713916008</v>
          </cell>
          <cell r="N79">
            <v>383895.57583983464</v>
          </cell>
          <cell r="O79">
            <v>366243.4132133181</v>
          </cell>
          <cell r="P79">
            <v>419048.81070183613</v>
          </cell>
          <cell r="Q79">
            <v>418128.30152931187</v>
          </cell>
          <cell r="R79">
            <v>418423.7299337748</v>
          </cell>
          <cell r="S79">
            <v>4361640.392616461</v>
          </cell>
          <cell r="V79">
            <v>594685.64869138494</v>
          </cell>
          <cell r="W79">
            <v>926457.30712377164</v>
          </cell>
          <cell r="X79">
            <v>1274965.0161733071</v>
          </cell>
          <cell r="Y79">
            <v>1623361.543971064</v>
          </cell>
          <cell r="Z79">
            <v>1970741.7842592248</v>
          </cell>
          <cell r="AA79">
            <v>2355900.5613983851</v>
          </cell>
          <cell r="AB79">
            <v>2739796.1372382198</v>
          </cell>
        </row>
        <row r="80">
          <cell r="G80">
            <v>37960.860000000008</v>
          </cell>
          <cell r="H80">
            <v>34237.24</v>
          </cell>
          <cell r="I80">
            <v>41684.283870967745</v>
          </cell>
          <cell r="J80">
            <v>45129.290322580651</v>
          </cell>
          <cell r="K80">
            <v>45081.48387096775</v>
          </cell>
          <cell r="L80">
            <v>43761.290322580651</v>
          </cell>
          <cell r="M80">
            <v>45597.793548387097</v>
          </cell>
          <cell r="N80">
            <v>45607.354838709682</v>
          </cell>
          <cell r="O80">
            <v>33195.696774193559</v>
          </cell>
          <cell r="P80">
            <v>44966.748387096784</v>
          </cell>
          <cell r="Q80">
            <v>44966.748387096784</v>
          </cell>
          <cell r="R80">
            <v>45081.48387096775</v>
          </cell>
          <cell r="S80">
            <v>507270.27419354848</v>
          </cell>
          <cell r="V80">
            <v>72198.100000000006</v>
          </cell>
          <cell r="W80">
            <v>113882.38387096775</v>
          </cell>
          <cell r="X80">
            <v>159011.67419354839</v>
          </cell>
          <cell r="Y80">
            <v>204093.15806451614</v>
          </cell>
          <cell r="Z80">
            <v>247854.44838709681</v>
          </cell>
          <cell r="AA80">
            <v>293452.24193548388</v>
          </cell>
          <cell r="AB80">
            <v>339059.59677419357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</row>
        <row r="85">
          <cell r="G85">
            <v>352406.85182383005</v>
          </cell>
          <cell r="H85">
            <v>314476.89686755487</v>
          </cell>
          <cell r="I85">
            <v>373455.94230335444</v>
          </cell>
          <cell r="J85">
            <v>393636.99937211617</v>
          </cell>
          <cell r="K85">
            <v>393478.01166872459</v>
          </cell>
          <cell r="L85">
            <v>391141.53061074147</v>
          </cell>
          <cell r="M85">
            <v>430756.57068754721</v>
          </cell>
          <cell r="N85">
            <v>429502.93067854433</v>
          </cell>
          <cell r="O85">
            <v>399439.10998751165</v>
          </cell>
          <cell r="P85">
            <v>464015.55908893293</v>
          </cell>
          <cell r="Q85">
            <v>463095.04991640867</v>
          </cell>
          <cell r="R85">
            <v>463505.21380474255</v>
          </cell>
          <cell r="S85">
            <v>4868910.6668100096</v>
          </cell>
          <cell r="V85">
            <v>666883.74869138491</v>
          </cell>
          <cell r="W85">
            <v>1040339.6909947393</v>
          </cell>
          <cell r="X85">
            <v>1433976.6903668554</v>
          </cell>
          <cell r="Y85">
            <v>1827454.7020355798</v>
          </cell>
          <cell r="Z85">
            <v>2218596.2326463214</v>
          </cell>
          <cell r="AA85">
            <v>2649352.8033338687</v>
          </cell>
          <cell r="AB85">
            <v>3078855.7340124128</v>
          </cell>
        </row>
        <row r="86">
          <cell r="G86">
            <v>709406.85182383005</v>
          </cell>
          <cell r="H86">
            <v>671476.89686755487</v>
          </cell>
          <cell r="I86">
            <v>749455.94230335439</v>
          </cell>
          <cell r="J86">
            <v>750636.99937211617</v>
          </cell>
          <cell r="K86">
            <v>750478.01166872459</v>
          </cell>
          <cell r="L86">
            <v>748141.53061074147</v>
          </cell>
          <cell r="M86">
            <v>775756.57068754721</v>
          </cell>
          <cell r="N86">
            <v>774502.93067854433</v>
          </cell>
          <cell r="O86">
            <v>744439.10998751165</v>
          </cell>
          <cell r="P86">
            <v>790015.55908893293</v>
          </cell>
          <cell r="Q86">
            <v>789095.04991640872</v>
          </cell>
          <cell r="R86">
            <v>770377.21380474255</v>
          </cell>
          <cell r="S86">
            <v>9023782.6668100096</v>
          </cell>
          <cell r="V86">
            <v>1380883.7486913849</v>
          </cell>
          <cell r="W86">
            <v>2130339.6909947395</v>
          </cell>
          <cell r="X86">
            <v>2880976.6903668558</v>
          </cell>
          <cell r="Y86">
            <v>3631454.7020355803</v>
          </cell>
          <cell r="Z86">
            <v>4379596.2326463219</v>
          </cell>
          <cell r="AA86">
            <v>5155352.8033338692</v>
          </cell>
          <cell r="AB86">
            <v>5929855.7340124138</v>
          </cell>
        </row>
        <row r="87">
          <cell r="G87">
            <v>104775.03124906031</v>
          </cell>
          <cell r="H87">
            <v>95295.473954837333</v>
          </cell>
          <cell r="I87">
            <v>91563.084306560297</v>
          </cell>
          <cell r="J87">
            <v>87000.224548306564</v>
          </cell>
          <cell r="K87">
            <v>97182.426162880511</v>
          </cell>
          <cell r="L87">
            <v>90703.546439333411</v>
          </cell>
          <cell r="M87">
            <v>77332.772298527168</v>
          </cell>
          <cell r="N87">
            <v>72936.519837368818</v>
          </cell>
          <cell r="O87">
            <v>79856.211814888607</v>
          </cell>
          <cell r="P87">
            <v>71421.792317589046</v>
          </cell>
          <cell r="Q87">
            <v>74452.947069168877</v>
          </cell>
          <cell r="R87">
            <v>48992.802610919891</v>
          </cell>
          <cell r="S87">
            <v>991512.8326094409</v>
          </cell>
          <cell r="V87">
            <v>200070.50520389766</v>
          </cell>
          <cell r="W87">
            <v>291633.58951045794</v>
          </cell>
          <cell r="X87">
            <v>378633.81405876449</v>
          </cell>
          <cell r="Y87">
            <v>475816.24022164498</v>
          </cell>
          <cell r="Z87">
            <v>566519.78666097834</v>
          </cell>
          <cell r="AA87">
            <v>643852.55895950552</v>
          </cell>
          <cell r="AB87">
            <v>716789.07879687438</v>
          </cell>
        </row>
        <row r="88">
          <cell r="G88">
            <v>172176.02898837128</v>
          </cell>
          <cell r="H88">
            <v>139340.31826633977</v>
          </cell>
          <cell r="I88">
            <v>158024.71410924935</v>
          </cell>
          <cell r="J88">
            <v>157519.14344647239</v>
          </cell>
          <cell r="K88">
            <v>175074.72192533195</v>
          </cell>
          <cell r="L88">
            <v>160856.07438370021</v>
          </cell>
          <cell r="M88">
            <v>185670.72253211043</v>
          </cell>
          <cell r="N88">
            <v>173374.50359226853</v>
          </cell>
          <cell r="O88">
            <v>180811.45451987171</v>
          </cell>
          <cell r="P88">
            <v>186777.17521029309</v>
          </cell>
          <cell r="Q88">
            <v>192973.48753800176</v>
          </cell>
          <cell r="R88">
            <v>187252.47013342843</v>
          </cell>
          <cell r="S88">
            <v>2069850.8146454392</v>
          </cell>
          <cell r="V88">
            <v>311516.34725471109</v>
          </cell>
          <cell r="W88">
            <v>469541.06136396044</v>
          </cell>
          <cell r="X88">
            <v>627060.20481043286</v>
          </cell>
          <cell r="Y88">
            <v>802134.92673576484</v>
          </cell>
          <cell r="Z88">
            <v>962991.0011194651</v>
          </cell>
          <cell r="AA88">
            <v>1148661.7236515756</v>
          </cell>
          <cell r="AB88">
            <v>1322036.2272438442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</row>
        <row r="94">
          <cell r="G94">
            <v>172176.02898837128</v>
          </cell>
          <cell r="H94">
            <v>139340.31826633977</v>
          </cell>
          <cell r="I94">
            <v>158024.71410924935</v>
          </cell>
          <cell r="J94">
            <v>157519.14344647239</v>
          </cell>
          <cell r="K94">
            <v>175074.72192533195</v>
          </cell>
          <cell r="L94">
            <v>160856.07438370021</v>
          </cell>
          <cell r="M94">
            <v>185670.72253211043</v>
          </cell>
          <cell r="N94">
            <v>173374.50359226853</v>
          </cell>
          <cell r="O94">
            <v>180811.45451987171</v>
          </cell>
          <cell r="P94">
            <v>186777.17521029309</v>
          </cell>
          <cell r="Q94">
            <v>192973.48753800176</v>
          </cell>
          <cell r="R94">
            <v>187252.47013342843</v>
          </cell>
          <cell r="S94">
            <v>2069850.8146454392</v>
          </cell>
          <cell r="V94">
            <v>311516.34725471109</v>
          </cell>
          <cell r="W94">
            <v>469541.06136396044</v>
          </cell>
          <cell r="X94">
            <v>627060.20481043286</v>
          </cell>
          <cell r="Y94">
            <v>802134.92673576484</v>
          </cell>
          <cell r="Z94">
            <v>962991.0011194651</v>
          </cell>
          <cell r="AA94">
            <v>1148661.7236515756</v>
          </cell>
          <cell r="AB94">
            <v>1322036.2272438442</v>
          </cell>
        </row>
        <row r="95">
          <cell r="G95">
            <v>276951.06023743161</v>
          </cell>
          <cell r="H95">
            <v>234635.79222117711</v>
          </cell>
          <cell r="I95">
            <v>249587.79841580964</v>
          </cell>
          <cell r="J95">
            <v>244519.36799477896</v>
          </cell>
          <cell r="K95">
            <v>272257.14808821247</v>
          </cell>
          <cell r="L95">
            <v>251559.62082303362</v>
          </cell>
          <cell r="M95">
            <v>263003.49483063759</v>
          </cell>
          <cell r="N95">
            <v>246311.02342963737</v>
          </cell>
          <cell r="O95">
            <v>260667.66633476032</v>
          </cell>
          <cell r="P95">
            <v>258198.96752788214</v>
          </cell>
          <cell r="Q95">
            <v>267426.43460717064</v>
          </cell>
          <cell r="R95">
            <v>236245.27274434833</v>
          </cell>
          <cell r="S95">
            <v>3061363.6472548801</v>
          </cell>
          <cell r="V95">
            <v>511586.85245860869</v>
          </cell>
          <cell r="W95">
            <v>761174.65087441832</v>
          </cell>
          <cell r="X95">
            <v>1005694.0188691972</v>
          </cell>
          <cell r="Y95">
            <v>1277951.1669574096</v>
          </cell>
          <cell r="Z95">
            <v>1529510.7877804432</v>
          </cell>
          <cell r="AA95">
            <v>1792514.2826110809</v>
          </cell>
          <cell r="AB95">
            <v>2038825.3060407182</v>
          </cell>
        </row>
        <row r="96">
          <cell r="G96">
            <v>17462.505208176717</v>
          </cell>
          <cell r="H96">
            <v>15882.578992472891</v>
          </cell>
          <cell r="I96">
            <v>15260.514051093382</v>
          </cell>
          <cell r="J96">
            <v>14500.037424717761</v>
          </cell>
          <cell r="K96">
            <v>16197.071027146752</v>
          </cell>
          <cell r="L96">
            <v>15117.257739888903</v>
          </cell>
          <cell r="M96">
            <v>15466.554459705434</v>
          </cell>
          <cell r="N96">
            <v>14587.303967473765</v>
          </cell>
          <cell r="O96">
            <v>15971.242362977722</v>
          </cell>
          <cell r="P96">
            <v>14284.35846351781</v>
          </cell>
          <cell r="Q96">
            <v>14890.589413833775</v>
          </cell>
          <cell r="R96">
            <v>14384.263831743949</v>
          </cell>
          <cell r="S96">
            <v>15309.040624159064</v>
          </cell>
          <cell r="V96">
            <v>33345.08420064961</v>
          </cell>
          <cell r="W96">
            <v>48605.598251742995</v>
          </cell>
          <cell r="X96">
            <v>63105.635676460755</v>
          </cell>
          <cell r="Y96">
            <v>79302.706703607502</v>
          </cell>
          <cell r="Z96">
            <v>94419.964443496399</v>
          </cell>
          <cell r="AA96">
            <v>109886.51890320184</v>
          </cell>
          <cell r="AB96">
            <v>124473.82287067561</v>
          </cell>
        </row>
        <row r="97">
          <cell r="G97">
            <v>261937.5781226508</v>
          </cell>
          <cell r="H97">
            <v>238238.68488709343</v>
          </cell>
          <cell r="I97">
            <v>244168.22481749408</v>
          </cell>
          <cell r="J97">
            <v>217500.56137076643</v>
          </cell>
          <cell r="K97">
            <v>242956.0654072013</v>
          </cell>
          <cell r="L97">
            <v>226758.8660983335</v>
          </cell>
          <cell r="M97">
            <v>231998.31689558155</v>
          </cell>
          <cell r="N97">
            <v>218809.55951210644</v>
          </cell>
          <cell r="O97">
            <v>239568.63544466591</v>
          </cell>
          <cell r="P97">
            <v>199981.01848924937</v>
          </cell>
          <cell r="Q97">
            <v>208468.25179367285</v>
          </cell>
          <cell r="R97">
            <v>201379.69364441533</v>
          </cell>
          <cell r="S97">
            <v>2731765.4564832309</v>
          </cell>
          <cell r="V97">
            <v>500176.26300974423</v>
          </cell>
          <cell r="W97">
            <v>744344.48782723828</v>
          </cell>
          <cell r="X97">
            <v>961845.04919800465</v>
          </cell>
          <cell r="Y97">
            <v>1204801.1146052061</v>
          </cell>
          <cell r="Z97">
            <v>1431559.9807035397</v>
          </cell>
          <cell r="AA97">
            <v>1663558.2975991212</v>
          </cell>
          <cell r="AB97">
            <v>1882367.8571112277</v>
          </cell>
        </row>
        <row r="98">
          <cell r="G98">
            <v>118965.14374347767</v>
          </cell>
          <cell r="H98">
            <v>96586.234554826195</v>
          </cell>
          <cell r="I98">
            <v>110200.46215278267</v>
          </cell>
          <cell r="J98">
            <v>110133.41429901548</v>
          </cell>
          <cell r="K98">
            <v>123556.85893679412</v>
          </cell>
          <cell r="L98">
            <v>116423.45374093312</v>
          </cell>
          <cell r="M98">
            <v>129841.20181489567</v>
          </cell>
          <cell r="N98">
            <v>122869.97387251077</v>
          </cell>
          <cell r="O98">
            <v>128538.21930244147</v>
          </cell>
          <cell r="P98">
            <v>130322.11401787637</v>
          </cell>
          <cell r="Q98">
            <v>136460.91564211479</v>
          </cell>
          <cell r="R98">
            <v>131420.77403021476</v>
          </cell>
          <cell r="S98">
            <v>1455318.7661078828</v>
          </cell>
          <cell r="V98">
            <v>215551.37829830387</v>
          </cell>
          <cell r="W98">
            <v>325751.84045108652</v>
          </cell>
          <cell r="X98">
            <v>435885.254750102</v>
          </cell>
          <cell r="Y98">
            <v>559442.11368689616</v>
          </cell>
          <cell r="Z98">
            <v>675865.56742782926</v>
          </cell>
          <cell r="AA98">
            <v>805706.76924272487</v>
          </cell>
          <cell r="AB98">
            <v>928576.74311523559</v>
          </cell>
        </row>
        <row r="99">
          <cell r="G99">
            <v>34889.037655624605</v>
          </cell>
          <cell r="H99">
            <v>28619.772041276457</v>
          </cell>
          <cell r="I99">
            <v>33480.189459087815</v>
          </cell>
          <cell r="J99">
            <v>34440.863085703822</v>
          </cell>
          <cell r="K99">
            <v>38430.947171959757</v>
          </cell>
          <cell r="L99">
            <v>34818.458149292506</v>
          </cell>
          <cell r="M99">
            <v>37117.934587291275</v>
          </cell>
          <cell r="N99">
            <v>35015.17622024702</v>
          </cell>
          <cell r="O99">
            <v>27904.027294134903</v>
          </cell>
          <cell r="P99">
            <v>33806.376468426424</v>
          </cell>
          <cell r="Q99">
            <v>35241.125658285811</v>
          </cell>
          <cell r="R99">
            <v>34129.681996132087</v>
          </cell>
          <cell r="S99">
            <v>407893.58978746249</v>
          </cell>
          <cell r="V99">
            <v>63508.809696901066</v>
          </cell>
          <cell r="W99">
            <v>96988.999155988888</v>
          </cell>
          <cell r="X99">
            <v>131429.86224169272</v>
          </cell>
          <cell r="Y99">
            <v>169860.80941365249</v>
          </cell>
          <cell r="Z99">
            <v>204679.267562945</v>
          </cell>
          <cell r="AA99">
            <v>241797.20215023626</v>
          </cell>
          <cell r="AB99">
            <v>276812.37837048329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</row>
        <row r="104">
          <cell r="G104">
            <v>153854.18139910226</v>
          </cell>
          <cell r="H104">
            <v>125206.00659610266</v>
          </cell>
          <cell r="I104">
            <v>143680.65161187047</v>
          </cell>
          <cell r="J104">
            <v>144574.27738471929</v>
          </cell>
          <cell r="K104">
            <v>161987.80610875387</v>
          </cell>
          <cell r="L104">
            <v>151241.91189022563</v>
          </cell>
          <cell r="M104">
            <v>166959.13640218694</v>
          </cell>
          <cell r="N104">
            <v>157885.1500927578</v>
          </cell>
          <cell r="O104">
            <v>156442.24659657638</v>
          </cell>
          <cell r="P104">
            <v>164128.49048630279</v>
          </cell>
          <cell r="Q104">
            <v>171702.0413004006</v>
          </cell>
          <cell r="R104">
            <v>165550.45602634683</v>
          </cell>
          <cell r="S104">
            <v>1863212.3558953453</v>
          </cell>
          <cell r="V104">
            <v>279060.18799520493</v>
          </cell>
          <cell r="W104">
            <v>422740.83960707544</v>
          </cell>
          <cell r="X104">
            <v>567315.11699179467</v>
          </cell>
          <cell r="Y104">
            <v>729302.92310054856</v>
          </cell>
          <cell r="Z104">
            <v>880544.83499077416</v>
          </cell>
          <cell r="AA104">
            <v>1047503.9713929611</v>
          </cell>
          <cell r="AB104">
            <v>1205389.121485719</v>
          </cell>
        </row>
        <row r="105">
          <cell r="G105">
            <v>415791.75952175306</v>
          </cell>
          <cell r="H105">
            <v>363444.6914831961</v>
          </cell>
          <cell r="I105">
            <v>387848.87642936455</v>
          </cell>
          <cell r="J105">
            <v>362074.83875548572</v>
          </cell>
          <cell r="K105">
            <v>404943.87151595519</v>
          </cell>
          <cell r="L105">
            <v>378000.7779885591</v>
          </cell>
          <cell r="M105">
            <v>398957.45329776849</v>
          </cell>
          <cell r="N105">
            <v>376694.70960486424</v>
          </cell>
          <cell r="O105">
            <v>396010.88204124232</v>
          </cell>
          <cell r="P105">
            <v>364109.50897555216</v>
          </cell>
          <cell r="Q105">
            <v>380170.29309407342</v>
          </cell>
          <cell r="R105">
            <v>366930.14967076213</v>
          </cell>
          <cell r="S105">
            <v>4594977.812378576</v>
          </cell>
          <cell r="V105">
            <v>779236.45100494917</v>
          </cell>
          <cell r="W105">
            <v>1167085.3274343137</v>
          </cell>
          <cell r="X105">
            <v>1529160.1661897996</v>
          </cell>
          <cell r="Y105">
            <v>1934104.0377057549</v>
          </cell>
          <cell r="Z105">
            <v>2312104.815694314</v>
          </cell>
          <cell r="AA105">
            <v>2711062.2689920822</v>
          </cell>
          <cell r="AB105">
            <v>3087756.9785969462</v>
          </cell>
        </row>
        <row r="106">
          <cell r="G106">
            <v>17462.505208176721</v>
          </cell>
          <cell r="H106">
            <v>15882.578992472894</v>
          </cell>
          <cell r="I106">
            <v>15260.51405109338</v>
          </cell>
          <cell r="J106">
            <v>14500.037424717762</v>
          </cell>
          <cell r="K106">
            <v>16197.071027146752</v>
          </cell>
          <cell r="L106">
            <v>15117.257739888901</v>
          </cell>
          <cell r="M106">
            <v>15466.554459705436</v>
          </cell>
          <cell r="N106">
            <v>14587.303967473763</v>
          </cell>
          <cell r="O106">
            <v>15971.242362977728</v>
          </cell>
          <cell r="P106">
            <v>14284.358463517812</v>
          </cell>
          <cell r="Q106">
            <v>14890.589413833775</v>
          </cell>
          <cell r="R106">
            <v>14384.263831743951</v>
          </cell>
          <cell r="S106">
            <v>15315.116802537839</v>
          </cell>
          <cell r="V106">
            <v>33345.084200649617</v>
          </cell>
          <cell r="W106">
            <v>48605.598251742995</v>
          </cell>
          <cell r="X106">
            <v>63105.635676460755</v>
          </cell>
          <cell r="Y106">
            <v>79302.706703607502</v>
          </cell>
          <cell r="Z106">
            <v>94419.964443496399</v>
          </cell>
          <cell r="AA106">
            <v>109886.51890320184</v>
          </cell>
          <cell r="AB106">
            <v>124473.82287067561</v>
          </cell>
        </row>
        <row r="107">
          <cell r="G107">
            <v>366712.60937171109</v>
          </cell>
          <cell r="H107">
            <v>333534.1588419308</v>
          </cell>
          <cell r="I107">
            <v>335731.30912405439</v>
          </cell>
          <cell r="J107">
            <v>304500.78591907298</v>
          </cell>
          <cell r="K107">
            <v>340138.49157008179</v>
          </cell>
          <cell r="L107">
            <v>317462.41253766691</v>
          </cell>
          <cell r="M107">
            <v>309331.08919410873</v>
          </cell>
          <cell r="N107">
            <v>291746.07934947527</v>
          </cell>
          <cell r="O107">
            <v>319424.84725955455</v>
          </cell>
          <cell r="P107">
            <v>271402.81080683845</v>
          </cell>
          <cell r="Q107">
            <v>282921.1988628417</v>
          </cell>
          <cell r="R107">
            <v>250372.49625533522</v>
          </cell>
          <cell r="S107">
            <v>3723278.2890926721</v>
          </cell>
          <cell r="V107">
            <v>700246.76821364183</v>
          </cell>
          <cell r="W107">
            <v>1035978.0773376962</v>
          </cell>
          <cell r="X107">
            <v>1340478.8632567693</v>
          </cell>
          <cell r="Y107">
            <v>1680617.354826851</v>
          </cell>
          <cell r="Z107">
            <v>1998079.767364518</v>
          </cell>
          <cell r="AA107">
            <v>2307410.8565586265</v>
          </cell>
          <cell r="AB107">
            <v>2599156.935908102</v>
          </cell>
        </row>
        <row r="108">
          <cell r="G108">
            <v>291141.17273184896</v>
          </cell>
          <cell r="H108">
            <v>235926.55282116597</v>
          </cell>
          <cell r="I108">
            <v>268225.17626203201</v>
          </cell>
          <cell r="J108">
            <v>267652.55774548789</v>
          </cell>
          <cell r="K108">
            <v>298631.58086212608</v>
          </cell>
          <cell r="L108">
            <v>277279.52812463336</v>
          </cell>
          <cell r="M108">
            <v>315511.92434700613</v>
          </cell>
          <cell r="N108">
            <v>296244.47746477928</v>
          </cell>
          <cell r="O108">
            <v>309349.6738223132</v>
          </cell>
          <cell r="P108">
            <v>317099.28922816948</v>
          </cell>
          <cell r="Q108">
            <v>329434.40318011655</v>
          </cell>
          <cell r="R108">
            <v>318673.24416364322</v>
          </cell>
          <cell r="S108">
            <v>3525169.5807533222</v>
          </cell>
          <cell r="V108">
            <v>527067.7255530149</v>
          </cell>
          <cell r="W108">
            <v>795292.90181504691</v>
          </cell>
          <cell r="X108">
            <v>1062945.4595605349</v>
          </cell>
          <cell r="Y108">
            <v>1361577.040422661</v>
          </cell>
          <cell r="Z108">
            <v>1638856.5685472945</v>
          </cell>
          <cell r="AA108">
            <v>1954368.4928943007</v>
          </cell>
          <cell r="AB108">
            <v>2250612.97035908</v>
          </cell>
        </row>
        <row r="109">
          <cell r="G109">
            <v>34889.037655624605</v>
          </cell>
          <cell r="H109">
            <v>28619.772041276457</v>
          </cell>
          <cell r="I109">
            <v>33480.189459087815</v>
          </cell>
          <cell r="J109">
            <v>34440.863085703822</v>
          </cell>
          <cell r="K109">
            <v>38430.947171959757</v>
          </cell>
          <cell r="L109">
            <v>34818.458149292506</v>
          </cell>
          <cell r="M109">
            <v>37117.934587291275</v>
          </cell>
          <cell r="N109">
            <v>35015.17622024702</v>
          </cell>
          <cell r="O109">
            <v>27904.027294134903</v>
          </cell>
          <cell r="P109">
            <v>33806.376468426424</v>
          </cell>
          <cell r="Q109">
            <v>35241.125658285811</v>
          </cell>
          <cell r="R109">
            <v>34129.681996132087</v>
          </cell>
          <cell r="S109">
            <v>407893.58978746249</v>
          </cell>
          <cell r="V109">
            <v>63508.809696901066</v>
          </cell>
          <cell r="W109">
            <v>96988.999155988888</v>
          </cell>
          <cell r="X109">
            <v>131429.86224169272</v>
          </cell>
          <cell r="Y109">
            <v>169860.80941365249</v>
          </cell>
          <cell r="Z109">
            <v>204679.267562945</v>
          </cell>
          <cell r="AA109">
            <v>241797.20215023626</v>
          </cell>
          <cell r="AB109">
            <v>276812.37837048329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</row>
        <row r="114">
          <cell r="G114">
            <v>326030.21038747358</v>
          </cell>
          <cell r="H114">
            <v>264546.32486244245</v>
          </cell>
          <cell r="I114">
            <v>301705.3657211198</v>
          </cell>
          <cell r="J114">
            <v>302093.4208311917</v>
          </cell>
          <cell r="K114">
            <v>337062.52803408582</v>
          </cell>
          <cell r="L114">
            <v>312097.98627392587</v>
          </cell>
          <cell r="M114">
            <v>352629.8589342974</v>
          </cell>
          <cell r="N114">
            <v>331259.65368502628</v>
          </cell>
          <cell r="O114">
            <v>337253.70111644809</v>
          </cell>
          <cell r="P114">
            <v>350905.66569659591</v>
          </cell>
          <cell r="Q114">
            <v>364675.52883840236</v>
          </cell>
          <cell r="R114">
            <v>352802.92615977529</v>
          </cell>
          <cell r="S114">
            <v>3933063.1705407845</v>
          </cell>
          <cell r="V114">
            <v>590576.53524991602</v>
          </cell>
          <cell r="W114">
            <v>892281.90097103582</v>
          </cell>
          <cell r="X114">
            <v>1194375.3218022275</v>
          </cell>
          <cell r="Y114">
            <v>1531437.8498363134</v>
          </cell>
          <cell r="Z114">
            <v>1843535.8361102394</v>
          </cell>
          <cell r="AA114">
            <v>2196165.6950445366</v>
          </cell>
          <cell r="AB114">
            <v>2527425.3487295629</v>
          </cell>
        </row>
        <row r="115">
          <cell r="G115">
            <v>692742.81975918473</v>
          </cell>
          <cell r="H115">
            <v>598080.48370437324</v>
          </cell>
          <cell r="I115">
            <v>637436.67484517419</v>
          </cell>
          <cell r="J115">
            <v>606594.20675026462</v>
          </cell>
          <cell r="K115">
            <v>677201.01960416767</v>
          </cell>
          <cell r="L115">
            <v>629560.39881159272</v>
          </cell>
          <cell r="M115">
            <v>661960.94812840619</v>
          </cell>
          <cell r="N115">
            <v>623005.73303450155</v>
          </cell>
          <cell r="O115">
            <v>656678.54837600258</v>
          </cell>
          <cell r="P115">
            <v>622308.47650343436</v>
          </cell>
          <cell r="Q115">
            <v>647596.72770124406</v>
          </cell>
          <cell r="R115">
            <v>603175.42241511052</v>
          </cell>
          <cell r="S115">
            <v>7656341.4596334565</v>
          </cell>
          <cell r="V115">
            <v>1290823.303463558</v>
          </cell>
          <cell r="W115">
            <v>1928259.9783087322</v>
          </cell>
          <cell r="X115">
            <v>2534854.185058997</v>
          </cell>
          <cell r="Y115">
            <v>3212055.2046631649</v>
          </cell>
          <cell r="Z115">
            <v>3841615.6034747576</v>
          </cell>
          <cell r="AA115">
            <v>4503576.5516031636</v>
          </cell>
          <cell r="AB115">
            <v>5126582.2846376654</v>
          </cell>
        </row>
        <row r="116">
          <cell r="G116">
            <v>17462.505208176721</v>
          </cell>
          <cell r="H116">
            <v>15882.578992472898</v>
          </cell>
          <cell r="I116">
            <v>15260.51405109338</v>
          </cell>
          <cell r="J116">
            <v>14500.037424717762</v>
          </cell>
          <cell r="K116">
            <v>16197.071027146756</v>
          </cell>
          <cell r="L116">
            <v>15117.257739888901</v>
          </cell>
          <cell r="M116">
            <v>15466.554459705438</v>
          </cell>
          <cell r="N116">
            <v>14587.303967473763</v>
          </cell>
          <cell r="O116">
            <v>15971.242362977724</v>
          </cell>
          <cell r="P116">
            <v>14284.358463517814</v>
          </cell>
          <cell r="Q116">
            <v>14890.589413833775</v>
          </cell>
          <cell r="R116">
            <v>14384.263831743951</v>
          </cell>
          <cell r="S116">
            <v>15312.68668341643</v>
          </cell>
          <cell r="V116">
            <v>33345.084200649617</v>
          </cell>
          <cell r="W116">
            <v>48605.598251742995</v>
          </cell>
          <cell r="X116">
            <v>63105.635676460755</v>
          </cell>
          <cell r="Y116">
            <v>79302.706703607517</v>
          </cell>
          <cell r="Z116">
            <v>94419.964443496414</v>
          </cell>
          <cell r="AA116">
            <v>109886.51890320185</v>
          </cell>
          <cell r="AB116">
            <v>124473.82287067562</v>
          </cell>
        </row>
        <row r="117">
          <cell r="G117">
            <v>-32775.03124906031</v>
          </cell>
          <cell r="H117">
            <v>-23295.473954837333</v>
          </cell>
          <cell r="I117">
            <v>-19563.084306560297</v>
          </cell>
          <cell r="J117">
            <v>-15000.224548306564</v>
          </cell>
          <cell r="K117">
            <v>-25182.426162880511</v>
          </cell>
          <cell r="L117">
            <v>-18703.546439333411</v>
          </cell>
          <cell r="M117">
            <v>-17332.772298527168</v>
          </cell>
          <cell r="N117">
            <v>-12936.519837368818</v>
          </cell>
          <cell r="O117">
            <v>-19856.211814888607</v>
          </cell>
          <cell r="P117">
            <v>-11421.792317589046</v>
          </cell>
          <cell r="Q117">
            <v>-14452.947069168877</v>
          </cell>
          <cell r="R117">
            <v>-8120.8026109198909</v>
          </cell>
          <cell r="S117">
            <v>-218640.83260944081</v>
          </cell>
          <cell r="V117">
            <v>-56070.505203897643</v>
          </cell>
          <cell r="W117">
            <v>-75633.589510457939</v>
          </cell>
          <cell r="X117">
            <v>-90633.814058764503</v>
          </cell>
          <cell r="Y117">
            <v>-115816.24022164501</v>
          </cell>
          <cell r="Z117">
            <v>-134519.78666097843</v>
          </cell>
          <cell r="AA117">
            <v>-151852.55895950558</v>
          </cell>
          <cell r="AB117">
            <v>-164789.07879687438</v>
          </cell>
        </row>
        <row r="118">
          <cell r="G118">
            <v>-14419.943537126092</v>
          </cell>
          <cell r="H118">
            <v>1030.1526324997831</v>
          </cell>
          <cell r="I118">
            <v>7657.4783308431797</v>
          </cell>
          <cell r="J118">
            <v>16294.63518883448</v>
          </cell>
          <cell r="K118">
            <v>-2130.1478038486384</v>
          </cell>
          <cell r="L118">
            <v>9392.8711871727428</v>
          </cell>
          <cell r="M118">
            <v>6403.8321628817648</v>
          </cell>
          <cell r="N118">
            <v>16790.318067830027</v>
          </cell>
          <cell r="O118">
            <v>325.56704484092188</v>
          </cell>
          <cell r="P118">
            <v>22433.116662256798</v>
          </cell>
          <cell r="Q118">
            <v>14377.324092032417</v>
          </cell>
          <cell r="R118">
            <v>21033.442665462091</v>
          </cell>
          <cell r="S118">
            <v>99188.646693679475</v>
          </cell>
          <cell r="V118">
            <v>-13389.790904626308</v>
          </cell>
          <cell r="W118">
            <v>-5732.3125737831288</v>
          </cell>
          <cell r="X118">
            <v>10562.322615051351</v>
          </cell>
          <cell r="Y118">
            <v>8432.1748112027126</v>
          </cell>
          <cell r="Z118">
            <v>17825.045998375455</v>
          </cell>
          <cell r="AA118">
            <v>24228.87816125722</v>
          </cell>
          <cell r="AB118">
            <v>41019.196229087247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</row>
        <row r="121"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</row>
        <row r="124">
          <cell r="G124">
            <v>-14419.943537126092</v>
          </cell>
          <cell r="H124">
            <v>1030.1526324997831</v>
          </cell>
          <cell r="I124">
            <v>7657.4783308431797</v>
          </cell>
          <cell r="J124">
            <v>16294.63518883448</v>
          </cell>
          <cell r="K124">
            <v>-2130.1478038486384</v>
          </cell>
          <cell r="L124">
            <v>9392.8711871727428</v>
          </cell>
          <cell r="M124">
            <v>6403.8321628817648</v>
          </cell>
          <cell r="N124">
            <v>16790.318067830027</v>
          </cell>
          <cell r="O124">
            <v>325.56704484092188</v>
          </cell>
          <cell r="P124">
            <v>22433.116662256798</v>
          </cell>
          <cell r="Q124">
            <v>14377.324092032417</v>
          </cell>
          <cell r="R124">
            <v>21033.442665462091</v>
          </cell>
          <cell r="S124">
            <v>99188.646693679475</v>
          </cell>
          <cell r="V124">
            <v>-13389.790904626308</v>
          </cell>
          <cell r="W124">
            <v>-5732.3125737831288</v>
          </cell>
          <cell r="X124">
            <v>10562.322615051351</v>
          </cell>
          <cell r="Y124">
            <v>8432.1748112027126</v>
          </cell>
          <cell r="Z124">
            <v>17825.045998375455</v>
          </cell>
          <cell r="AA124">
            <v>24228.87816125722</v>
          </cell>
          <cell r="AB124">
            <v>41019.196229087247</v>
          </cell>
        </row>
        <row r="125">
          <cell r="G125">
            <v>-47194.974786186402</v>
          </cell>
          <cell r="H125">
            <v>-22265.32132233755</v>
          </cell>
          <cell r="I125">
            <v>-11905.605975717117</v>
          </cell>
          <cell r="J125">
            <v>1294.4106405279163</v>
          </cell>
          <cell r="K125">
            <v>-27312.573966729149</v>
          </cell>
          <cell r="L125">
            <v>-9310.6752521606686</v>
          </cell>
          <cell r="M125">
            <v>-10928.940135645404</v>
          </cell>
          <cell r="N125">
            <v>3853.7982304612087</v>
          </cell>
          <cell r="O125">
            <v>-19530.644770047686</v>
          </cell>
          <cell r="P125">
            <v>11011.324344667752</v>
          </cell>
          <cell r="Q125">
            <v>-75.622977136459667</v>
          </cell>
          <cell r="R125">
            <v>12912.6400545422</v>
          </cell>
          <cell r="S125">
            <v>-119452.18591576134</v>
          </cell>
          <cell r="V125">
            <v>-69460.296108523951</v>
          </cell>
          <cell r="W125">
            <v>-81365.902084241068</v>
          </cell>
          <cell r="X125">
            <v>-80071.491443713152</v>
          </cell>
          <cell r="Y125">
            <v>-107384.0654104423</v>
          </cell>
          <cell r="Z125">
            <v>-116694.74066260297</v>
          </cell>
          <cell r="AA125">
            <v>-127623.68079824837</v>
          </cell>
          <cell r="AB125">
            <v>-123769.88256778716</v>
          </cell>
        </row>
        <row r="126">
          <cell r="G126">
            <v>23062.421877349203</v>
          </cell>
          <cell r="H126">
            <v>46761.315112906566</v>
          </cell>
          <cell r="I126">
            <v>59831.775182505924</v>
          </cell>
          <cell r="J126">
            <v>67499.438629233569</v>
          </cell>
          <cell r="K126">
            <v>42043.934592798701</v>
          </cell>
          <cell r="L126">
            <v>58241.133901666501</v>
          </cell>
          <cell r="M126">
            <v>53001.683104418451</v>
          </cell>
          <cell r="N126">
            <v>66190.44048789356</v>
          </cell>
          <cell r="O126">
            <v>45431.36455533409</v>
          </cell>
          <cell r="P126">
            <v>66018.981510750629</v>
          </cell>
          <cell r="Q126">
            <v>57531.748206327145</v>
          </cell>
          <cell r="R126">
            <v>64620.306355584675</v>
          </cell>
          <cell r="S126">
            <v>650234.54351676884</v>
          </cell>
          <cell r="V126">
            <v>69823.736990255769</v>
          </cell>
          <cell r="W126">
            <v>129655.51217276169</v>
          </cell>
          <cell r="X126">
            <v>197154.95080199526</v>
          </cell>
          <cell r="Y126">
            <v>239198.88539479396</v>
          </cell>
          <cell r="Z126">
            <v>297440.01929646044</v>
          </cell>
          <cell r="AA126">
            <v>350441.70240087889</v>
          </cell>
          <cell r="AB126">
            <v>416632.14288877242</v>
          </cell>
        </row>
        <row r="127">
          <cell r="G127">
            <v>37724.762629107194</v>
          </cell>
          <cell r="H127">
            <v>43282.951413889125</v>
          </cell>
          <cell r="I127">
            <v>55889.003839511497</v>
          </cell>
          <cell r="J127">
            <v>64560.516115213162</v>
          </cell>
          <cell r="K127">
            <v>51895.094739479435</v>
          </cell>
          <cell r="L127">
            <v>60707.840976354724</v>
          </cell>
          <cell r="M127">
            <v>63243.020629272185</v>
          </cell>
          <cell r="N127">
            <v>70860.780307225272</v>
          </cell>
          <cell r="O127">
            <v>56568.172346163992</v>
          </cell>
          <cell r="P127">
            <v>79516.40481140984</v>
          </cell>
          <cell r="Q127">
            <v>74316.574257162894</v>
          </cell>
          <cell r="R127">
            <v>78717.043104669487</v>
          </cell>
          <cell r="S127">
            <v>737282.16516945884</v>
          </cell>
          <cell r="V127">
            <v>81007.714042996318</v>
          </cell>
          <cell r="W127">
            <v>136896.71788250783</v>
          </cell>
          <cell r="X127">
            <v>201457.23399772099</v>
          </cell>
          <cell r="Y127">
            <v>253352.32873720041</v>
          </cell>
          <cell r="Z127">
            <v>314060.16971355514</v>
          </cell>
          <cell r="AA127">
            <v>377303.19034282735</v>
          </cell>
          <cell r="AB127">
            <v>448163.97065005265</v>
          </cell>
        </row>
        <row r="128">
          <cell r="G128">
            <v>3071.8223443754032</v>
          </cell>
          <cell r="H128">
            <v>5617.4679587235405</v>
          </cell>
          <cell r="I128">
            <v>8204.0944118799307</v>
          </cell>
          <cell r="J128">
            <v>10688.427236876829</v>
          </cell>
          <cell r="K128">
            <v>6650.5366990079929</v>
          </cell>
          <cell r="L128">
            <v>8942.832173288145</v>
          </cell>
          <cell r="M128">
            <v>8479.8589610958225</v>
          </cell>
          <cell r="N128">
            <v>10592.178618462662</v>
          </cell>
          <cell r="O128">
            <v>5291.6694800586556</v>
          </cell>
          <cell r="P128">
            <v>11160.37191867036</v>
          </cell>
          <cell r="Q128">
            <v>9725.6227288109731</v>
          </cell>
          <cell r="R128">
            <v>10951.801874835663</v>
          </cell>
          <cell r="S128">
            <v>99376.684406085958</v>
          </cell>
          <cell r="V128">
            <v>8689.2903030989437</v>
          </cell>
          <cell r="W128">
            <v>16893.384714978874</v>
          </cell>
          <cell r="X128">
            <v>27581.811951855703</v>
          </cell>
          <cell r="Y128">
            <v>34232.3486508637</v>
          </cell>
          <cell r="Z128">
            <v>43175.180824151845</v>
          </cell>
          <cell r="AA128">
            <v>51655.039785247667</v>
          </cell>
          <cell r="AB128">
            <v>62247.218403710329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</row>
        <row r="133">
          <cell r="G133">
            <v>40796.584973482597</v>
          </cell>
          <cell r="H133">
            <v>48900.419372612669</v>
          </cell>
          <cell r="I133">
            <v>64093.098251391428</v>
          </cell>
          <cell r="J133">
            <v>75248.943352089991</v>
          </cell>
          <cell r="K133">
            <v>58545.631438487428</v>
          </cell>
          <cell r="L133">
            <v>69650.673149642869</v>
          </cell>
          <cell r="M133">
            <v>71722.879590368015</v>
          </cell>
          <cell r="N133">
            <v>81452.958925687941</v>
          </cell>
          <cell r="O133">
            <v>61859.841826222648</v>
          </cell>
          <cell r="P133">
            <v>90676.776730080193</v>
          </cell>
          <cell r="Q133">
            <v>84042.19698597386</v>
          </cell>
          <cell r="R133">
            <v>89668.844979505142</v>
          </cell>
          <cell r="S133">
            <v>836658.84957554482</v>
          </cell>
          <cell r="V133">
            <v>89697.004346095258</v>
          </cell>
          <cell r="W133">
            <v>153790.10259748669</v>
          </cell>
          <cell r="X133">
            <v>229039.04594957668</v>
          </cell>
          <cell r="Y133">
            <v>287584.6773880641</v>
          </cell>
          <cell r="Z133">
            <v>357235.35053770698</v>
          </cell>
          <cell r="AA133">
            <v>428958.230128075</v>
          </cell>
          <cell r="AB133">
            <v>510411.18905376294</v>
          </cell>
        </row>
        <row r="134">
          <cell r="G134">
            <v>63859.0068508318</v>
          </cell>
          <cell r="H134">
            <v>95661.734485519235</v>
          </cell>
          <cell r="I134">
            <v>123924.87343389736</v>
          </cell>
          <cell r="J134">
            <v>142748.38198132356</v>
          </cell>
          <cell r="K134">
            <v>100589.56603128613</v>
          </cell>
          <cell r="L134">
            <v>127891.80705130937</v>
          </cell>
          <cell r="M134">
            <v>124724.56269478647</v>
          </cell>
          <cell r="N134">
            <v>147643.3994135815</v>
          </cell>
          <cell r="O134">
            <v>107291.20638155674</v>
          </cell>
          <cell r="P134">
            <v>156695.75824083082</v>
          </cell>
          <cell r="Q134">
            <v>141573.94519230101</v>
          </cell>
          <cell r="R134">
            <v>154289.15133508982</v>
          </cell>
          <cell r="S134">
            <v>1486893.3930923138</v>
          </cell>
          <cell r="V134">
            <v>159520.74133635103</v>
          </cell>
          <cell r="W134">
            <v>283445.61477024842</v>
          </cell>
          <cell r="X134">
            <v>426193.99675157201</v>
          </cell>
          <cell r="Y134">
            <v>526783.56278285815</v>
          </cell>
          <cell r="Z134">
            <v>654675.36983416753</v>
          </cell>
          <cell r="AA134">
            <v>779399.932528954</v>
          </cell>
          <cell r="AB134">
            <v>927043.33194253547</v>
          </cell>
        </row>
        <row r="135">
          <cell r="G135">
            <v>-9712.6093717111071</v>
          </cell>
          <cell r="H135">
            <v>23465.841158069234</v>
          </cell>
          <cell r="I135">
            <v>40268.690875945627</v>
          </cell>
          <cell r="J135">
            <v>52499.214080927006</v>
          </cell>
          <cell r="K135">
            <v>16861.508429918191</v>
          </cell>
          <cell r="L135">
            <v>39537.587462333089</v>
          </cell>
          <cell r="M135">
            <v>35668.910805891283</v>
          </cell>
          <cell r="N135">
            <v>53253.920650524742</v>
          </cell>
          <cell r="O135">
            <v>25575.152740445483</v>
          </cell>
          <cell r="P135">
            <v>54597.189193161583</v>
          </cell>
          <cell r="Q135">
            <v>43078.801137158269</v>
          </cell>
          <cell r="R135">
            <v>56499.503744664784</v>
          </cell>
          <cell r="S135">
            <v>431593.71090732812</v>
          </cell>
          <cell r="V135">
            <v>13753.231786358127</v>
          </cell>
          <cell r="W135">
            <v>54021.922662303754</v>
          </cell>
          <cell r="X135">
            <v>106521.13674323076</v>
          </cell>
          <cell r="Y135">
            <v>123382.64517314895</v>
          </cell>
          <cell r="Z135">
            <v>162920.23263548204</v>
          </cell>
          <cell r="AA135">
            <v>198589.14344137331</v>
          </cell>
          <cell r="AB135">
            <v>251843.06409189804</v>
          </cell>
        </row>
        <row r="136">
          <cell r="G136">
            <v>23304.819091981102</v>
          </cell>
          <cell r="H136">
            <v>44313.104046388908</v>
          </cell>
          <cell r="I136">
            <v>63546.482170354677</v>
          </cell>
          <cell r="J136">
            <v>80855.151304047642</v>
          </cell>
          <cell r="K136">
            <v>49764.946935630796</v>
          </cell>
          <cell r="L136">
            <v>70100.712163527467</v>
          </cell>
          <cell r="M136">
            <v>69646.85279215395</v>
          </cell>
          <cell r="N136">
            <v>87651.098375055299</v>
          </cell>
          <cell r="O136">
            <v>56893.739391004914</v>
          </cell>
          <cell r="P136">
            <v>101949.52147366664</v>
          </cell>
          <cell r="Q136">
            <v>88693.898349195311</v>
          </cell>
          <cell r="R136">
            <v>99750.485770131578</v>
          </cell>
          <cell r="S136">
            <v>836470.81186313822</v>
          </cell>
          <cell r="V136">
            <v>67617.92313837001</v>
          </cell>
          <cell r="W136">
            <v>131164.40530872467</v>
          </cell>
          <cell r="X136">
            <v>212019.55661277231</v>
          </cell>
          <cell r="Y136">
            <v>261784.5035484031</v>
          </cell>
          <cell r="Z136">
            <v>331885.21571193053</v>
          </cell>
          <cell r="AA136">
            <v>401532.06850408448</v>
          </cell>
          <cell r="AB136">
            <v>489183.16687913978</v>
          </cell>
        </row>
        <row r="137">
          <cell r="G137">
            <v>3071.8223443754032</v>
          </cell>
          <cell r="H137">
            <v>5617.4679587235405</v>
          </cell>
          <cell r="I137">
            <v>8204.0944118799307</v>
          </cell>
          <cell r="J137">
            <v>10688.427236876829</v>
          </cell>
          <cell r="K137">
            <v>6650.5366990079929</v>
          </cell>
          <cell r="L137">
            <v>8942.832173288145</v>
          </cell>
          <cell r="M137">
            <v>8479.8589610958225</v>
          </cell>
          <cell r="N137">
            <v>10592.178618462662</v>
          </cell>
          <cell r="O137">
            <v>5291.6694800586556</v>
          </cell>
          <cell r="P137">
            <v>11160.37191867036</v>
          </cell>
          <cell r="Q137">
            <v>9725.6227288109731</v>
          </cell>
          <cell r="R137">
            <v>10951.801874835663</v>
          </cell>
          <cell r="S137">
            <v>99376.684406085958</v>
          </cell>
          <cell r="V137">
            <v>8689.2903030989437</v>
          </cell>
          <cell r="W137">
            <v>16893.384714978874</v>
          </cell>
          <cell r="X137">
            <v>27581.811951855703</v>
          </cell>
          <cell r="Y137">
            <v>34232.3486508637</v>
          </cell>
          <cell r="Z137">
            <v>43175.180824151845</v>
          </cell>
          <cell r="AA137">
            <v>51655.039785247667</v>
          </cell>
          <cell r="AB137">
            <v>62247.218403710329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</row>
        <row r="142">
          <cell r="G142">
            <v>26376.641436356505</v>
          </cell>
          <cell r="H142">
            <v>49930.572005112452</v>
          </cell>
          <cell r="I142">
            <v>71750.576582234615</v>
          </cell>
          <cell r="J142">
            <v>91543.578540924471</v>
          </cell>
          <cell r="K142">
            <v>56415.483634638789</v>
          </cell>
          <cell r="L142">
            <v>79043.544336815612</v>
          </cell>
          <cell r="M142">
            <v>78126.71175324978</v>
          </cell>
          <cell r="N142">
            <v>98243.276993517968</v>
          </cell>
          <cell r="O142">
            <v>62185.40887106357</v>
          </cell>
          <cell r="P142">
            <v>113109.89339233699</v>
          </cell>
          <cell r="Q142">
            <v>98419.521078006277</v>
          </cell>
          <cell r="R142">
            <v>110702.28764496723</v>
          </cell>
          <cell r="S142">
            <v>935847.49626922421</v>
          </cell>
          <cell r="V142">
            <v>76307.21344146895</v>
          </cell>
          <cell r="W142">
            <v>148057.79002370356</v>
          </cell>
          <cell r="X142">
            <v>239601.36856462804</v>
          </cell>
          <cell r="Y142">
            <v>296016.85219926684</v>
          </cell>
          <cell r="Z142">
            <v>375060.39653608244</v>
          </cell>
          <cell r="AA142">
            <v>453187.10828933225</v>
          </cell>
          <cell r="AB142">
            <v>551430.38528285024</v>
          </cell>
        </row>
        <row r="143">
          <cell r="G143">
            <v>16664.032064645398</v>
          </cell>
          <cell r="H143">
            <v>73396.413163181685</v>
          </cell>
          <cell r="I143">
            <v>112019.26745818024</v>
          </cell>
          <cell r="J143">
            <v>144042.79262185149</v>
          </cell>
          <cell r="K143">
            <v>73276.99206455698</v>
          </cell>
          <cell r="L143">
            <v>118581.1317991487</v>
          </cell>
          <cell r="M143">
            <v>113795.62255914106</v>
          </cell>
          <cell r="N143">
            <v>151497.19764404272</v>
          </cell>
          <cell r="O143">
            <v>87760.561611509052</v>
          </cell>
          <cell r="P143">
            <v>167707.08258549857</v>
          </cell>
          <cell r="Q143">
            <v>141498.32221516455</v>
          </cell>
          <cell r="R143">
            <v>167201.79138963201</v>
          </cell>
          <cell r="S143">
            <v>1367441.2071765524</v>
          </cell>
          <cell r="V143">
            <v>90060.445227827091</v>
          </cell>
          <cell r="W143">
            <v>202079.71268600732</v>
          </cell>
          <cell r="X143">
            <v>346122.50530785881</v>
          </cell>
          <cell r="Y143">
            <v>419399.49737241579</v>
          </cell>
          <cell r="Z143">
            <v>537980.62917156448</v>
          </cell>
          <cell r="AA143">
            <v>651776.25173070549</v>
          </cell>
          <cell r="AB143">
            <v>803273.44937474816</v>
          </cell>
        </row>
        <row r="144">
          <cell r="G144">
            <v>-32775.03124906031</v>
          </cell>
          <cell r="H144">
            <v>-23295.473954837333</v>
          </cell>
          <cell r="I144">
            <v>-19563.084306560297</v>
          </cell>
          <cell r="J144">
            <v>-15000.224548306564</v>
          </cell>
          <cell r="K144">
            <v>-25182.426162880511</v>
          </cell>
          <cell r="L144">
            <v>-18703.546439333411</v>
          </cell>
          <cell r="M144">
            <v>-17332.772298527168</v>
          </cell>
          <cell r="N144">
            <v>-12936.519837368818</v>
          </cell>
          <cell r="O144">
            <v>-19856.211814888607</v>
          </cell>
          <cell r="P144">
            <v>-11421.792317589046</v>
          </cell>
          <cell r="Q144">
            <v>-14452.947069168877</v>
          </cell>
          <cell r="R144">
            <v>-8120.8026109198909</v>
          </cell>
          <cell r="S144">
            <v>-218640.83260944081</v>
          </cell>
          <cell r="V144">
            <v>-56070.505203897643</v>
          </cell>
          <cell r="W144">
            <v>-75633.589510457939</v>
          </cell>
          <cell r="X144">
            <v>-90633.814058764503</v>
          </cell>
          <cell r="Y144">
            <v>-115816.24022164501</v>
          </cell>
          <cell r="Z144">
            <v>-134519.78666097843</v>
          </cell>
          <cell r="AA144">
            <v>-151852.55895950558</v>
          </cell>
          <cell r="AB144">
            <v>-164789.07879687438</v>
          </cell>
        </row>
        <row r="145">
          <cell r="G145">
            <v>-14419.943537126092</v>
          </cell>
          <cell r="H145">
            <v>1030.1526324997831</v>
          </cell>
          <cell r="I145">
            <v>7657.4783308431797</v>
          </cell>
          <cell r="J145">
            <v>16294.63518883448</v>
          </cell>
          <cell r="K145">
            <v>-2130.1478038486384</v>
          </cell>
          <cell r="L145">
            <v>9392.8711871727428</v>
          </cell>
          <cell r="M145">
            <v>6403.8321628817648</v>
          </cell>
          <cell r="N145">
            <v>16790.318067830027</v>
          </cell>
          <cell r="O145">
            <v>325.56704484092188</v>
          </cell>
          <cell r="P145">
            <v>22433.116662256798</v>
          </cell>
          <cell r="Q145">
            <v>14377.324092032417</v>
          </cell>
          <cell r="R145">
            <v>21033.442665462091</v>
          </cell>
          <cell r="S145">
            <v>99188.646693679475</v>
          </cell>
          <cell r="V145">
            <v>-13389.790904626308</v>
          </cell>
          <cell r="W145">
            <v>-5732.3125737831288</v>
          </cell>
          <cell r="X145">
            <v>10562.322615051351</v>
          </cell>
          <cell r="Y145">
            <v>8432.1748112027126</v>
          </cell>
          <cell r="Z145">
            <v>17825.045998375455</v>
          </cell>
          <cell r="AA145">
            <v>24228.87816125722</v>
          </cell>
          <cell r="AB145">
            <v>41019.196229087247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</row>
        <row r="148"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</row>
        <row r="149"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</row>
        <row r="151">
          <cell r="G151">
            <v>-14419.943537126092</v>
          </cell>
          <cell r="H151">
            <v>1030.1526324997831</v>
          </cell>
          <cell r="I151">
            <v>7657.4783308431797</v>
          </cell>
          <cell r="J151">
            <v>16294.63518883448</v>
          </cell>
          <cell r="K151">
            <v>-2130.1478038486384</v>
          </cell>
          <cell r="L151">
            <v>9392.8711871727428</v>
          </cell>
          <cell r="M151">
            <v>6403.8321628817648</v>
          </cell>
          <cell r="N151">
            <v>16790.318067830027</v>
          </cell>
          <cell r="O151">
            <v>325.56704484092188</v>
          </cell>
          <cell r="P151">
            <v>22433.116662256798</v>
          </cell>
          <cell r="Q151">
            <v>14377.324092032417</v>
          </cell>
          <cell r="R151">
            <v>21033.442665462091</v>
          </cell>
          <cell r="S151">
            <v>99188.646693679475</v>
          </cell>
          <cell r="V151">
            <v>-13389.790904626308</v>
          </cell>
          <cell r="W151">
            <v>-5732.3125737831288</v>
          </cell>
          <cell r="X151">
            <v>10562.322615051351</v>
          </cell>
          <cell r="Y151">
            <v>8432.1748112027126</v>
          </cell>
          <cell r="Z151">
            <v>17825.045998375455</v>
          </cell>
          <cell r="AA151">
            <v>24228.87816125722</v>
          </cell>
          <cell r="AB151">
            <v>41019.196229087247</v>
          </cell>
        </row>
        <row r="152">
          <cell r="G152">
            <v>-47194.974786186402</v>
          </cell>
          <cell r="H152">
            <v>-22265.32132233755</v>
          </cell>
          <cell r="I152">
            <v>-11905.605975717117</v>
          </cell>
          <cell r="J152">
            <v>1294.4106405279163</v>
          </cell>
          <cell r="K152">
            <v>-27312.573966729149</v>
          </cell>
          <cell r="L152">
            <v>-9310.6752521606686</v>
          </cell>
          <cell r="M152">
            <v>-10928.940135645404</v>
          </cell>
          <cell r="N152">
            <v>3853.7982304612087</v>
          </cell>
          <cell r="O152">
            <v>-19530.644770047686</v>
          </cell>
          <cell r="P152">
            <v>11011.324344667752</v>
          </cell>
          <cell r="Q152">
            <v>-75.622977136459667</v>
          </cell>
          <cell r="R152">
            <v>12912.6400545422</v>
          </cell>
          <cell r="S152">
            <v>-119452.18591576134</v>
          </cell>
          <cell r="V152">
            <v>-69460.296108523951</v>
          </cell>
          <cell r="W152">
            <v>-81365.902084241068</v>
          </cell>
          <cell r="X152">
            <v>-80071.491443713152</v>
          </cell>
          <cell r="Y152">
            <v>-107384.0654104423</v>
          </cell>
          <cell r="Z152">
            <v>-116694.74066260297</v>
          </cell>
          <cell r="AA152">
            <v>-127623.68079824837</v>
          </cell>
          <cell r="AB152">
            <v>-123769.88256778716</v>
          </cell>
        </row>
        <row r="153">
          <cell r="G153">
            <v>23062.421877349203</v>
          </cell>
          <cell r="H153">
            <v>46761.315112906566</v>
          </cell>
          <cell r="I153">
            <v>59831.775182505924</v>
          </cell>
          <cell r="J153">
            <v>67499.438629233569</v>
          </cell>
          <cell r="K153">
            <v>42043.934592798701</v>
          </cell>
          <cell r="L153">
            <v>58241.133901666501</v>
          </cell>
          <cell r="M153">
            <v>53001.683104418451</v>
          </cell>
          <cell r="N153">
            <v>66190.44048789356</v>
          </cell>
          <cell r="O153">
            <v>45431.36455533409</v>
          </cell>
          <cell r="P153">
            <v>66018.981510750629</v>
          </cell>
          <cell r="Q153">
            <v>57531.748206327145</v>
          </cell>
          <cell r="R153">
            <v>64620.306355584675</v>
          </cell>
          <cell r="S153">
            <v>650234.54351676884</v>
          </cell>
          <cell r="V153">
            <v>69823.736990255769</v>
          </cell>
          <cell r="W153">
            <v>129655.51217276169</v>
          </cell>
          <cell r="X153">
            <v>197154.95080199526</v>
          </cell>
          <cell r="Y153">
            <v>239198.88539479396</v>
          </cell>
          <cell r="Z153">
            <v>297440.01929646044</v>
          </cell>
          <cell r="AA153">
            <v>350441.70240087889</v>
          </cell>
          <cell r="AB153">
            <v>416632.14288877242</v>
          </cell>
        </row>
        <row r="154">
          <cell r="G154">
            <v>37724.762629107194</v>
          </cell>
          <cell r="H154">
            <v>43282.951413889125</v>
          </cell>
          <cell r="I154">
            <v>55889.003839511497</v>
          </cell>
          <cell r="J154">
            <v>64560.516115213162</v>
          </cell>
          <cell r="K154">
            <v>51895.094739479435</v>
          </cell>
          <cell r="L154">
            <v>60707.840976354724</v>
          </cell>
          <cell r="M154">
            <v>63243.020629272185</v>
          </cell>
          <cell r="N154">
            <v>70860.780307225272</v>
          </cell>
          <cell r="O154">
            <v>56568.172346163992</v>
          </cell>
          <cell r="P154">
            <v>79516.40481140984</v>
          </cell>
          <cell r="Q154">
            <v>74316.574257162894</v>
          </cell>
          <cell r="R154">
            <v>78717.043104669487</v>
          </cell>
          <cell r="S154">
            <v>737282.16516945884</v>
          </cell>
          <cell r="V154">
            <v>81007.714042996318</v>
          </cell>
          <cell r="W154">
            <v>136896.71788250783</v>
          </cell>
          <cell r="X154">
            <v>201457.23399772099</v>
          </cell>
          <cell r="Y154">
            <v>253352.32873720041</v>
          </cell>
          <cell r="Z154">
            <v>314060.16971355514</v>
          </cell>
          <cell r="AA154">
            <v>377303.19034282735</v>
          </cell>
          <cell r="AB154">
            <v>448163.97065005265</v>
          </cell>
        </row>
        <row r="155">
          <cell r="G155">
            <v>3071.8223443754032</v>
          </cell>
          <cell r="H155">
            <v>5617.4679587235405</v>
          </cell>
          <cell r="I155">
            <v>8204.0944118799307</v>
          </cell>
          <cell r="J155">
            <v>10688.427236876829</v>
          </cell>
          <cell r="K155">
            <v>6650.5366990079929</v>
          </cell>
          <cell r="L155">
            <v>8942.832173288145</v>
          </cell>
          <cell r="M155">
            <v>8479.8589610958225</v>
          </cell>
          <cell r="N155">
            <v>10592.178618462662</v>
          </cell>
          <cell r="O155">
            <v>5291.6694800586556</v>
          </cell>
          <cell r="P155">
            <v>11160.37191867036</v>
          </cell>
          <cell r="Q155">
            <v>9725.6227288109731</v>
          </cell>
          <cell r="R155">
            <v>10951.801874835663</v>
          </cell>
          <cell r="S155">
            <v>99376.684406085958</v>
          </cell>
          <cell r="V155">
            <v>8689.2903030989437</v>
          </cell>
          <cell r="W155">
            <v>16893.384714978874</v>
          </cell>
          <cell r="X155">
            <v>27581.811951855703</v>
          </cell>
          <cell r="Y155">
            <v>34232.3486508637</v>
          </cell>
          <cell r="Z155">
            <v>43175.180824151845</v>
          </cell>
          <cell r="AA155">
            <v>51655.039785247667</v>
          </cell>
          <cell r="AB155">
            <v>62247.218403710329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</row>
        <row r="159"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</row>
        <row r="160">
          <cell r="G160">
            <v>40796.584973482597</v>
          </cell>
          <cell r="H160">
            <v>48900.419372612669</v>
          </cell>
          <cell r="I160">
            <v>64093.098251391428</v>
          </cell>
          <cell r="J160">
            <v>75248.943352089991</v>
          </cell>
          <cell r="K160">
            <v>58545.631438487428</v>
          </cell>
          <cell r="L160">
            <v>69650.673149642869</v>
          </cell>
          <cell r="M160">
            <v>71722.879590368015</v>
          </cell>
          <cell r="N160">
            <v>81452.958925687941</v>
          </cell>
          <cell r="O160">
            <v>61859.841826222648</v>
          </cell>
          <cell r="P160">
            <v>90676.776730080193</v>
          </cell>
          <cell r="Q160">
            <v>84042.19698597386</v>
          </cell>
          <cell r="R160">
            <v>89668.844979505142</v>
          </cell>
          <cell r="S160">
            <v>836658.84957554482</v>
          </cell>
          <cell r="V160">
            <v>89697.004346095258</v>
          </cell>
          <cell r="W160">
            <v>153790.10259748669</v>
          </cell>
          <cell r="X160">
            <v>229039.04594957668</v>
          </cell>
          <cell r="Y160">
            <v>287584.6773880641</v>
          </cell>
          <cell r="Z160">
            <v>357235.35053770698</v>
          </cell>
          <cell r="AA160">
            <v>428958.230128075</v>
          </cell>
          <cell r="AB160">
            <v>510411.18905376294</v>
          </cell>
        </row>
        <row r="161">
          <cell r="G161">
            <v>63859.0068508318</v>
          </cell>
          <cell r="H161">
            <v>95661.734485519235</v>
          </cell>
          <cell r="I161">
            <v>123924.87343389736</v>
          </cell>
          <cell r="J161">
            <v>142748.38198132356</v>
          </cell>
          <cell r="K161">
            <v>100589.56603128613</v>
          </cell>
          <cell r="L161">
            <v>127891.80705130937</v>
          </cell>
          <cell r="M161">
            <v>124724.56269478647</v>
          </cell>
          <cell r="N161">
            <v>147643.3994135815</v>
          </cell>
          <cell r="O161">
            <v>107291.20638155674</v>
          </cell>
          <cell r="P161">
            <v>156695.75824083082</v>
          </cell>
          <cell r="Q161">
            <v>141573.94519230101</v>
          </cell>
          <cell r="R161">
            <v>154289.15133508982</v>
          </cell>
          <cell r="S161">
            <v>1486893.3930923138</v>
          </cell>
          <cell r="V161">
            <v>159520.74133635103</v>
          </cell>
          <cell r="W161">
            <v>283445.61477024842</v>
          </cell>
          <cell r="X161">
            <v>426193.99675157201</v>
          </cell>
          <cell r="Y161">
            <v>526783.56278285815</v>
          </cell>
          <cell r="Z161">
            <v>654675.36983416753</v>
          </cell>
          <cell r="AA161">
            <v>779399.932528954</v>
          </cell>
          <cell r="AB161">
            <v>927043.33194253547</v>
          </cell>
        </row>
        <row r="162">
          <cell r="G162">
            <v>-9712.6093717111071</v>
          </cell>
          <cell r="H162">
            <v>23465.841158069234</v>
          </cell>
          <cell r="I162">
            <v>40268.690875945627</v>
          </cell>
          <cell r="J162">
            <v>52499.214080927006</v>
          </cell>
          <cell r="K162">
            <v>16861.508429918191</v>
          </cell>
          <cell r="L162">
            <v>39537.587462333089</v>
          </cell>
          <cell r="M162">
            <v>35668.910805891283</v>
          </cell>
          <cell r="N162">
            <v>53253.920650524742</v>
          </cell>
          <cell r="O162">
            <v>25575.152740445483</v>
          </cell>
          <cell r="P162">
            <v>54597.189193161583</v>
          </cell>
          <cell r="Q162">
            <v>43078.801137158269</v>
          </cell>
          <cell r="R162">
            <v>56499.503744664784</v>
          </cell>
          <cell r="S162">
            <v>431593.71090732812</v>
          </cell>
          <cell r="V162">
            <v>13753.231786358127</v>
          </cell>
          <cell r="W162">
            <v>54021.922662303754</v>
          </cell>
          <cell r="X162">
            <v>106521.13674323076</v>
          </cell>
          <cell r="Y162">
            <v>123382.64517314895</v>
          </cell>
          <cell r="Z162">
            <v>162920.23263548204</v>
          </cell>
          <cell r="AA162">
            <v>198589.14344137331</v>
          </cell>
          <cell r="AB162">
            <v>251843.06409189804</v>
          </cell>
        </row>
        <row r="163">
          <cell r="G163">
            <v>23304.819091981102</v>
          </cell>
          <cell r="H163">
            <v>44313.104046388908</v>
          </cell>
          <cell r="I163">
            <v>63546.482170354677</v>
          </cell>
          <cell r="J163">
            <v>80855.151304047642</v>
          </cell>
          <cell r="K163">
            <v>49764.946935630796</v>
          </cell>
          <cell r="L163">
            <v>70100.712163527467</v>
          </cell>
          <cell r="M163">
            <v>69646.85279215395</v>
          </cell>
          <cell r="N163">
            <v>87651.098375055299</v>
          </cell>
          <cell r="O163">
            <v>56893.739391004914</v>
          </cell>
          <cell r="P163">
            <v>101949.52147366664</v>
          </cell>
          <cell r="Q163">
            <v>88693.898349195311</v>
          </cell>
          <cell r="R163">
            <v>99750.485770131578</v>
          </cell>
          <cell r="S163">
            <v>836470.81186313822</v>
          </cell>
          <cell r="V163">
            <v>67617.92313837001</v>
          </cell>
          <cell r="W163">
            <v>131164.40530872467</v>
          </cell>
          <cell r="X163">
            <v>212019.55661277231</v>
          </cell>
          <cell r="Y163">
            <v>261784.5035484031</v>
          </cell>
          <cell r="Z163">
            <v>331885.21571193053</v>
          </cell>
          <cell r="AA163">
            <v>401532.06850408448</v>
          </cell>
          <cell r="AB163">
            <v>489183.16687913978</v>
          </cell>
        </row>
        <row r="164">
          <cell r="G164">
            <v>3071.8223443754032</v>
          </cell>
          <cell r="H164">
            <v>5617.4679587235405</v>
          </cell>
          <cell r="I164">
            <v>8204.0944118799307</v>
          </cell>
          <cell r="J164">
            <v>10688.427236876829</v>
          </cell>
          <cell r="K164">
            <v>6650.5366990079929</v>
          </cell>
          <cell r="L164">
            <v>8942.832173288145</v>
          </cell>
          <cell r="M164">
            <v>8479.8589610958225</v>
          </cell>
          <cell r="N164">
            <v>10592.178618462662</v>
          </cell>
          <cell r="O164">
            <v>5291.6694800586556</v>
          </cell>
          <cell r="P164">
            <v>11160.37191867036</v>
          </cell>
          <cell r="Q164">
            <v>9725.6227288109731</v>
          </cell>
          <cell r="R164">
            <v>10951.801874835663</v>
          </cell>
          <cell r="S164">
            <v>99376.684406085958</v>
          </cell>
          <cell r="V164">
            <v>8689.2903030989437</v>
          </cell>
          <cell r="W164">
            <v>16893.384714978874</v>
          </cell>
          <cell r="X164">
            <v>27581.811951855703</v>
          </cell>
          <cell r="Y164">
            <v>34232.3486508637</v>
          </cell>
          <cell r="Z164">
            <v>43175.180824151845</v>
          </cell>
          <cell r="AA164">
            <v>51655.039785247667</v>
          </cell>
          <cell r="AB164">
            <v>62247.218403710329</v>
          </cell>
        </row>
        <row r="165"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</row>
        <row r="168"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</row>
        <row r="169">
          <cell r="G169">
            <v>26376.641436356505</v>
          </cell>
          <cell r="H169">
            <v>49930.572005112452</v>
          </cell>
          <cell r="I169">
            <v>71750.576582234615</v>
          </cell>
          <cell r="J169">
            <v>91543.578540924471</v>
          </cell>
          <cell r="K169">
            <v>56415.483634638789</v>
          </cell>
          <cell r="L169">
            <v>79043.544336815612</v>
          </cell>
          <cell r="M169">
            <v>78126.71175324978</v>
          </cell>
          <cell r="N169">
            <v>98243.276993517968</v>
          </cell>
          <cell r="O169">
            <v>62185.40887106357</v>
          </cell>
          <cell r="P169">
            <v>113109.89339233699</v>
          </cell>
          <cell r="Q169">
            <v>98419.521078006277</v>
          </cell>
          <cell r="R169">
            <v>110702.28764496723</v>
          </cell>
          <cell r="S169">
            <v>935847.49626922421</v>
          </cell>
          <cell r="V169">
            <v>76307.21344146895</v>
          </cell>
          <cell r="W169">
            <v>148057.79002370356</v>
          </cell>
          <cell r="X169">
            <v>239601.36856462804</v>
          </cell>
          <cell r="Y169">
            <v>296016.85219926684</v>
          </cell>
          <cell r="Z169">
            <v>375060.39653608244</v>
          </cell>
          <cell r="AA169">
            <v>453187.10828933225</v>
          </cell>
          <cell r="AB169">
            <v>551430.38528285024</v>
          </cell>
        </row>
        <row r="170">
          <cell r="G170">
            <v>16664.032064645398</v>
          </cell>
          <cell r="H170">
            <v>73396.413163181685</v>
          </cell>
          <cell r="I170">
            <v>112019.26745818024</v>
          </cell>
          <cell r="J170">
            <v>144042.79262185149</v>
          </cell>
          <cell r="K170">
            <v>73276.99206455698</v>
          </cell>
          <cell r="L170">
            <v>118581.1317991487</v>
          </cell>
          <cell r="M170">
            <v>113795.62255914106</v>
          </cell>
          <cell r="N170">
            <v>151497.19764404272</v>
          </cell>
          <cell r="O170">
            <v>87760.561611509052</v>
          </cell>
          <cell r="P170">
            <v>167707.08258549857</v>
          </cell>
          <cell r="Q170">
            <v>141498.32221516455</v>
          </cell>
          <cell r="R170">
            <v>167201.79138963201</v>
          </cell>
          <cell r="S170">
            <v>1367441.2071765524</v>
          </cell>
          <cell r="V170">
            <v>90060.445227827091</v>
          </cell>
          <cell r="W170">
            <v>202079.71268600732</v>
          </cell>
          <cell r="X170">
            <v>346122.50530785881</v>
          </cell>
          <cell r="Y170">
            <v>419399.49737241579</v>
          </cell>
          <cell r="Z170">
            <v>537980.62917156448</v>
          </cell>
          <cell r="AA170">
            <v>651776.25173070549</v>
          </cell>
          <cell r="AB170">
            <v>803273.44937474816</v>
          </cell>
        </row>
        <row r="171">
          <cell r="G171">
            <v>8546.8631434775489</v>
          </cell>
          <cell r="H171">
            <v>9059.2862968289937</v>
          </cell>
          <cell r="I171">
            <v>8167.0404730209075</v>
          </cell>
          <cell r="J171">
            <v>8154.6149023858734</v>
          </cell>
          <cell r="K171">
            <v>8159.2731994904007</v>
          </cell>
          <cell r="L171">
            <v>8191.5900050190912</v>
          </cell>
          <cell r="M171">
            <v>6642.2092241071095</v>
          </cell>
          <cell r="N171">
            <v>6656.3221905932414</v>
          </cell>
          <cell r="O171">
            <v>6914.1248311778872</v>
          </cell>
          <cell r="P171">
            <v>6525.3884398312539</v>
          </cell>
          <cell r="Q171">
            <v>6536.7005292296044</v>
          </cell>
          <cell r="R171">
            <v>4618.1707686494565</v>
          </cell>
          <cell r="S171">
            <v>88171.584003811382</v>
          </cell>
          <cell r="V171">
            <v>17606.149440306544</v>
          </cell>
          <cell r="W171">
            <v>25773.189913327453</v>
          </cell>
          <cell r="X171">
            <v>33927.804815713323</v>
          </cell>
          <cell r="Y171">
            <v>42087.078015203726</v>
          </cell>
          <cell r="Z171">
            <v>50278.668020222816</v>
          </cell>
          <cell r="AA171">
            <v>56920.877244329924</v>
          </cell>
          <cell r="AB171">
            <v>63577.199434923168</v>
          </cell>
        </row>
        <row r="172">
          <cell r="G172">
            <v>14044.996587526482</v>
          </cell>
          <cell r="H172">
            <v>13246.419619721775</v>
          </cell>
          <cell r="I172">
            <v>14095.137201219524</v>
          </cell>
          <cell r="J172">
            <v>14764.421140619508</v>
          </cell>
          <cell r="K172">
            <v>14698.979464861459</v>
          </cell>
          <cell r="L172">
            <v>14527.182926077105</v>
          </cell>
          <cell r="M172">
            <v>15947.492236391785</v>
          </cell>
          <cell r="N172">
            <v>15822.479028579004</v>
          </cell>
          <cell r="O172">
            <v>15655.049733077301</v>
          </cell>
          <cell r="P172">
            <v>17064.730250985744</v>
          </cell>
          <cell r="Q172">
            <v>16942.377001477907</v>
          </cell>
          <cell r="R172">
            <v>17650.83518073447</v>
          </cell>
          <cell r="S172">
            <v>184460.10037127204</v>
          </cell>
          <cell r="V172">
            <v>27291.416207248258</v>
          </cell>
          <cell r="W172">
            <v>41386.553408467778</v>
          </cell>
          <cell r="X172">
            <v>56150.974549087288</v>
          </cell>
          <cell r="Y172">
            <v>70849.954013948751</v>
          </cell>
          <cell r="Z172">
            <v>85377.136940025855</v>
          </cell>
          <cell r="AA172">
            <v>101324.62917641764</v>
          </cell>
          <cell r="AB172">
            <v>117147.10820499665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</row>
        <row r="178">
          <cell r="G178">
            <v>14044.996587526482</v>
          </cell>
          <cell r="H178">
            <v>13246.419619721775</v>
          </cell>
          <cell r="I178">
            <v>14095.137201219524</v>
          </cell>
          <cell r="J178">
            <v>14764.421140619508</v>
          </cell>
          <cell r="K178">
            <v>14698.979464861459</v>
          </cell>
          <cell r="L178">
            <v>14527.182926077105</v>
          </cell>
          <cell r="M178">
            <v>15947.492236391785</v>
          </cell>
          <cell r="N178">
            <v>15822.479028579004</v>
          </cell>
          <cell r="O178">
            <v>15655.049733077301</v>
          </cell>
          <cell r="P178">
            <v>17064.730250985744</v>
          </cell>
          <cell r="Q178">
            <v>16942.377001477907</v>
          </cell>
          <cell r="R178">
            <v>17650.83518073447</v>
          </cell>
          <cell r="S178">
            <v>184460.10037127204</v>
          </cell>
          <cell r="V178">
            <v>27291.416207248258</v>
          </cell>
          <cell r="W178">
            <v>41386.553408467778</v>
          </cell>
          <cell r="X178">
            <v>56150.974549087288</v>
          </cell>
          <cell r="Y178">
            <v>70849.954013948751</v>
          </cell>
          <cell r="Z178">
            <v>85377.136940025855</v>
          </cell>
          <cell r="AA178">
            <v>101324.62917641764</v>
          </cell>
          <cell r="AB178">
            <v>117147.10820499665</v>
          </cell>
        </row>
        <row r="179">
          <cell r="G179">
            <v>22591.859731004031</v>
          </cell>
          <cell r="H179">
            <v>22305.705916550767</v>
          </cell>
          <cell r="I179">
            <v>22262.177674240433</v>
          </cell>
          <cell r="J179">
            <v>22919.036043005381</v>
          </cell>
          <cell r="K179">
            <v>22858.252664351858</v>
          </cell>
          <cell r="L179">
            <v>22718.772931096195</v>
          </cell>
          <cell r="M179">
            <v>22589.701460498894</v>
          </cell>
          <cell r="N179">
            <v>22478.801219172245</v>
          </cell>
          <cell r="O179">
            <v>22569.17456425519</v>
          </cell>
          <cell r="P179">
            <v>23590.118690816998</v>
          </cell>
          <cell r="Q179">
            <v>23479.077530707513</v>
          </cell>
          <cell r="R179">
            <v>22269.005949383925</v>
          </cell>
          <cell r="S179">
            <v>272631.68437508342</v>
          </cell>
          <cell r="V179">
            <v>44897.565647554802</v>
          </cell>
          <cell r="W179">
            <v>67159.743321795235</v>
          </cell>
          <cell r="X179">
            <v>90078.779364800619</v>
          </cell>
          <cell r="Y179">
            <v>112937.03202915247</v>
          </cell>
          <cell r="Z179">
            <v>135655.80496024867</v>
          </cell>
          <cell r="AA179">
            <v>158245.50642074755</v>
          </cell>
          <cell r="AB179">
            <v>180724.3076399198</v>
          </cell>
        </row>
        <row r="180">
          <cell r="G180">
            <v>1424.4771905795915</v>
          </cell>
          <cell r="H180">
            <v>1509.8810494714992</v>
          </cell>
          <cell r="I180">
            <v>1361.1734121701513</v>
          </cell>
          <cell r="J180">
            <v>1359.102483730979</v>
          </cell>
          <cell r="K180">
            <v>1359.8788665817335</v>
          </cell>
          <cell r="L180">
            <v>1365.2650008365151</v>
          </cell>
          <cell r="M180">
            <v>1328.4418448214219</v>
          </cell>
          <cell r="N180">
            <v>1331.2644381186483</v>
          </cell>
          <cell r="O180">
            <v>1382.8249662355774</v>
          </cell>
          <cell r="P180">
            <v>1305.0776879662508</v>
          </cell>
          <cell r="Q180">
            <v>1307.340105845921</v>
          </cell>
          <cell r="R180">
            <v>1355.892768247051</v>
          </cell>
          <cell r="S180">
            <v>1363.3563380402852</v>
          </cell>
          <cell r="V180">
            <v>2934.3582400510904</v>
          </cell>
          <cell r="W180">
            <v>4295.5316522212415</v>
          </cell>
          <cell r="X180">
            <v>5654.6341359522203</v>
          </cell>
          <cell r="Y180">
            <v>7014.513002533954</v>
          </cell>
          <cell r="Z180">
            <v>8379.7780033704694</v>
          </cell>
          <cell r="AA180">
            <v>9708.2198481918913</v>
          </cell>
          <cell r="AB180">
            <v>11039.48428631054</v>
          </cell>
        </row>
        <row r="181">
          <cell r="G181">
            <v>21367.157858693874</v>
          </cell>
          <cell r="H181">
            <v>22648.215742072494</v>
          </cell>
          <cell r="I181">
            <v>21778.774594722421</v>
          </cell>
          <cell r="J181">
            <v>20386.537255964686</v>
          </cell>
          <cell r="K181">
            <v>20398.182998726003</v>
          </cell>
          <cell r="L181">
            <v>20478.975012547729</v>
          </cell>
          <cell r="M181">
            <v>19926.62767232133</v>
          </cell>
          <cell r="N181">
            <v>19968.966571779729</v>
          </cell>
          <cell r="O181">
            <v>20742.374493533662</v>
          </cell>
          <cell r="P181">
            <v>18271.087631527509</v>
          </cell>
          <cell r="Q181">
            <v>18302.761481842896</v>
          </cell>
          <cell r="R181">
            <v>18982.498755458717</v>
          </cell>
          <cell r="S181">
            <v>243252.16006919101</v>
          </cell>
          <cell r="V181">
            <v>44015.373600766368</v>
          </cell>
          <cell r="W181">
            <v>65794.148195488786</v>
          </cell>
          <cell r="X181">
            <v>86180.685451453464</v>
          </cell>
          <cell r="Y181">
            <v>106578.86845017946</v>
          </cell>
          <cell r="Z181">
            <v>127057.84346272719</v>
          </cell>
          <cell r="AA181">
            <v>146984.47113504852</v>
          </cell>
          <cell r="AB181">
            <v>166953.43770682823</v>
          </cell>
        </row>
        <row r="182">
          <cell r="G182">
            <v>9704.3998965999563</v>
          </cell>
          <cell r="H182">
            <v>9181.9927521377485</v>
          </cell>
          <cell r="I182">
            <v>9829.4158760977989</v>
          </cell>
          <cell r="J182">
            <v>10322.911074726302</v>
          </cell>
          <cell r="K182">
            <v>10373.626256732248</v>
          </cell>
          <cell r="L182">
            <v>10514.398140450914</v>
          </cell>
          <cell r="M182">
            <v>11152.224376940878</v>
          </cell>
          <cell r="N182">
            <v>11213.341896060361</v>
          </cell>
          <cell r="O182">
            <v>11129.119120933585</v>
          </cell>
          <cell r="P182">
            <v>11906.763869564671</v>
          </cell>
          <cell r="Q182">
            <v>11980.776780646054</v>
          </cell>
          <cell r="R182">
            <v>12388.015069061341</v>
          </cell>
          <cell r="S182">
            <v>129696.98510995184</v>
          </cell>
          <cell r="V182">
            <v>18886.392648737703</v>
          </cell>
          <cell r="W182">
            <v>28715.808524835502</v>
          </cell>
          <cell r="X182">
            <v>39038.719599561802</v>
          </cell>
          <cell r="Y182">
            <v>49412.34585629405</v>
          </cell>
          <cell r="Z182">
            <v>59926.743996744961</v>
          </cell>
          <cell r="AA182">
            <v>71078.968373685842</v>
          </cell>
          <cell r="AB182">
            <v>82292.310269746202</v>
          </cell>
        </row>
        <row r="183">
          <cell r="G183">
            <v>2846.0199581465904</v>
          </cell>
          <cell r="H183">
            <v>2720.7452559056633</v>
          </cell>
          <cell r="I183">
            <v>2986.2915216060192</v>
          </cell>
          <cell r="J183">
            <v>3228.1752929703048</v>
          </cell>
          <cell r="K183">
            <v>3226.5977468565438</v>
          </cell>
          <cell r="L183">
            <v>3144.5135825718448</v>
          </cell>
          <cell r="M183">
            <v>3188.1061569055632</v>
          </cell>
          <cell r="N183">
            <v>3195.5499796543509</v>
          </cell>
          <cell r="O183">
            <v>2415.9914879442463</v>
          </cell>
          <cell r="P183">
            <v>3088.6894747574952</v>
          </cell>
          <cell r="Q183">
            <v>3094.0438734702116</v>
          </cell>
          <cell r="R183">
            <v>3217.1398927626979</v>
          </cell>
          <cell r="S183">
            <v>36351.864223551529</v>
          </cell>
          <cell r="V183">
            <v>5566.7652140522532</v>
          </cell>
          <cell r="W183">
            <v>8553.0567356582724</v>
          </cell>
          <cell r="X183">
            <v>11781.232028628578</v>
          </cell>
          <cell r="Y183">
            <v>15007.829775485121</v>
          </cell>
          <cell r="Z183">
            <v>18152.343358056965</v>
          </cell>
          <cell r="AA183">
            <v>21340.449514962529</v>
          </cell>
          <cell r="AB183">
            <v>24535.999494616881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</row>
        <row r="188">
          <cell r="G188">
            <v>12550.419854746546</v>
          </cell>
          <cell r="H188">
            <v>11902.738008043412</v>
          </cell>
          <cell r="I188">
            <v>12815.707397703818</v>
          </cell>
          <cell r="J188">
            <v>13551.086367696607</v>
          </cell>
          <cell r="K188">
            <v>13600.224003588792</v>
          </cell>
          <cell r="L188">
            <v>13658.911723022758</v>
          </cell>
          <cell r="M188">
            <v>14340.330533846442</v>
          </cell>
          <cell r="N188">
            <v>14408.891875714711</v>
          </cell>
          <cell r="O188">
            <v>13545.110608877831</v>
          </cell>
          <cell r="P188">
            <v>14995.453344322166</v>
          </cell>
          <cell r="Q188">
            <v>15074.820654116265</v>
          </cell>
          <cell r="R188">
            <v>15605.154961824039</v>
          </cell>
          <cell r="S188">
            <v>166048.84933350337</v>
          </cell>
          <cell r="V188">
            <v>24453.157862789958</v>
          </cell>
          <cell r="W188">
            <v>37268.865260493774</v>
          </cell>
          <cell r="X188">
            <v>50819.951628190378</v>
          </cell>
          <cell r="Y188">
            <v>64420.175631779173</v>
          </cell>
          <cell r="Z188">
            <v>78079.08735480193</v>
          </cell>
          <cell r="AA188">
            <v>92419.417888648371</v>
          </cell>
          <cell r="AB188">
            <v>106828.30976436308</v>
          </cell>
        </row>
        <row r="189">
          <cell r="G189">
            <v>33917.57771344042</v>
          </cell>
          <cell r="H189">
            <v>34550.953750115907</v>
          </cell>
          <cell r="I189">
            <v>34594.481992426241</v>
          </cell>
          <cell r="J189">
            <v>33937.623623661289</v>
          </cell>
          <cell r="K189">
            <v>33998.407002314794</v>
          </cell>
          <cell r="L189">
            <v>34137.886735570486</v>
          </cell>
          <cell r="M189">
            <v>34266.958206167772</v>
          </cell>
          <cell r="N189">
            <v>34377.858447494436</v>
          </cell>
          <cell r="O189">
            <v>34287.485102411491</v>
          </cell>
          <cell r="P189">
            <v>33266.540975849675</v>
          </cell>
          <cell r="Q189">
            <v>33377.582135959165</v>
          </cell>
          <cell r="R189">
            <v>34587.653717282752</v>
          </cell>
          <cell r="S189">
            <v>409301.00940269441</v>
          </cell>
          <cell r="V189">
            <v>68468.531463556326</v>
          </cell>
          <cell r="W189">
            <v>103063.01345598257</v>
          </cell>
          <cell r="X189">
            <v>137000.63707964384</v>
          </cell>
          <cell r="Y189">
            <v>170999.04408195865</v>
          </cell>
          <cell r="Z189">
            <v>205136.93081752915</v>
          </cell>
          <cell r="AA189">
            <v>239403.88902369692</v>
          </cell>
          <cell r="AB189">
            <v>273781.74747119134</v>
          </cell>
        </row>
        <row r="190">
          <cell r="G190">
            <v>1424.4771905795917</v>
          </cell>
          <cell r="H190">
            <v>1509.8810494714994</v>
          </cell>
          <cell r="I190">
            <v>1361.1734121701513</v>
          </cell>
          <cell r="J190">
            <v>1359.102483730979</v>
          </cell>
          <cell r="K190">
            <v>1359.8788665817335</v>
          </cell>
          <cell r="L190">
            <v>1365.2650008365151</v>
          </cell>
          <cell r="M190">
            <v>1328.4418448214221</v>
          </cell>
          <cell r="N190">
            <v>1331.2644381186485</v>
          </cell>
          <cell r="O190">
            <v>1382.8249662355777</v>
          </cell>
          <cell r="P190">
            <v>1305.0776879662508</v>
          </cell>
          <cell r="Q190">
            <v>1307.340105845921</v>
          </cell>
          <cell r="R190">
            <v>1355.8927682470512</v>
          </cell>
          <cell r="S190">
            <v>1364.2052306568237</v>
          </cell>
          <cell r="V190">
            <v>2934.3582400510913</v>
          </cell>
          <cell r="W190">
            <v>4295.5316522212424</v>
          </cell>
          <cell r="X190">
            <v>5654.6341359522212</v>
          </cell>
          <cell r="Y190">
            <v>7014.5130025339549</v>
          </cell>
          <cell r="Z190">
            <v>8379.7780033704694</v>
          </cell>
          <cell r="AA190">
            <v>9708.2198481918913</v>
          </cell>
          <cell r="AB190">
            <v>11039.48428631054</v>
          </cell>
        </row>
        <row r="191">
          <cell r="G191">
            <v>29914.021002171423</v>
          </cell>
          <cell r="H191">
            <v>31707.50203890149</v>
          </cell>
          <cell r="I191">
            <v>29945.81506774333</v>
          </cell>
          <cell r="J191">
            <v>28541.15215835056</v>
          </cell>
          <cell r="K191">
            <v>28557.456198216401</v>
          </cell>
          <cell r="L191">
            <v>28670.56501756682</v>
          </cell>
          <cell r="M191">
            <v>26568.836896428438</v>
          </cell>
          <cell r="N191">
            <v>26625.288762372969</v>
          </cell>
          <cell r="O191">
            <v>27656.499324711549</v>
          </cell>
          <cell r="P191">
            <v>24796.476071358764</v>
          </cell>
          <cell r="Q191">
            <v>24839.462011072501</v>
          </cell>
          <cell r="R191">
            <v>23600.669524108172</v>
          </cell>
          <cell r="S191">
            <v>331423.74407300242</v>
          </cell>
          <cell r="V191">
            <v>61621.523041072913</v>
          </cell>
          <cell r="W191">
            <v>91567.338108816242</v>
          </cell>
          <cell r="X191">
            <v>120108.49026716681</v>
          </cell>
          <cell r="Y191">
            <v>148665.94646538323</v>
          </cell>
          <cell r="Z191">
            <v>177336.51148295004</v>
          </cell>
          <cell r="AA191">
            <v>203905.34837937847</v>
          </cell>
          <cell r="AB191">
            <v>230530.63714175145</v>
          </cell>
        </row>
        <row r="192">
          <cell r="G192">
            <v>23749.396484126439</v>
          </cell>
          <cell r="H192">
            <v>22428.412371859522</v>
          </cell>
          <cell r="I192">
            <v>23924.553077317323</v>
          </cell>
          <cell r="J192">
            <v>25087.33221534581</v>
          </cell>
          <cell r="K192">
            <v>25072.605721593707</v>
          </cell>
          <cell r="L192">
            <v>25041.581066528019</v>
          </cell>
          <cell r="M192">
            <v>27099.716613332661</v>
          </cell>
          <cell r="N192">
            <v>27035.820924639367</v>
          </cell>
          <cell r="O192">
            <v>26784.168854010888</v>
          </cell>
          <cell r="P192">
            <v>28971.494120550415</v>
          </cell>
          <cell r="Q192">
            <v>28923.153782123962</v>
          </cell>
          <cell r="R192">
            <v>30038.850249795811</v>
          </cell>
          <cell r="S192">
            <v>314157.08548122388</v>
          </cell>
          <cell r="V192">
            <v>46177.808855985961</v>
          </cell>
          <cell r="W192">
            <v>70102.361933303284</v>
          </cell>
          <cell r="X192">
            <v>95189.694148649098</v>
          </cell>
          <cell r="Y192">
            <v>120262.2998702428</v>
          </cell>
          <cell r="Z192">
            <v>145303.88093677082</v>
          </cell>
          <cell r="AA192">
            <v>172403.59755010347</v>
          </cell>
          <cell r="AB192">
            <v>199439.41847474285</v>
          </cell>
        </row>
        <row r="193">
          <cell r="G193">
            <v>2846.0199581465904</v>
          </cell>
          <cell r="H193">
            <v>2720.7452559056633</v>
          </cell>
          <cell r="I193">
            <v>2986.2915216060192</v>
          </cell>
          <cell r="J193">
            <v>3228.1752929703048</v>
          </cell>
          <cell r="K193">
            <v>3226.5977468565438</v>
          </cell>
          <cell r="L193">
            <v>3144.5135825718448</v>
          </cell>
          <cell r="M193">
            <v>3188.1061569055632</v>
          </cell>
          <cell r="N193">
            <v>3195.5499796543509</v>
          </cell>
          <cell r="O193">
            <v>2415.9914879442463</v>
          </cell>
          <cell r="P193">
            <v>3088.6894747574952</v>
          </cell>
          <cell r="Q193">
            <v>3094.0438734702116</v>
          </cell>
          <cell r="R193">
            <v>3217.1398927626979</v>
          </cell>
          <cell r="S193">
            <v>36351.864223551529</v>
          </cell>
          <cell r="V193">
            <v>5566.7652140522532</v>
          </cell>
          <cell r="W193">
            <v>8553.0567356582724</v>
          </cell>
          <cell r="X193">
            <v>11781.232028628578</v>
          </cell>
          <cell r="Y193">
            <v>15007.829775485121</v>
          </cell>
          <cell r="Z193">
            <v>18152.343358056965</v>
          </cell>
          <cell r="AA193">
            <v>21340.449514962529</v>
          </cell>
          <cell r="AB193">
            <v>24535.999494616881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</row>
        <row r="198">
          <cell r="G198">
            <v>26595.416442273028</v>
          </cell>
          <cell r="H198">
            <v>25149.157627765184</v>
          </cell>
          <cell r="I198">
            <v>26910.844598923344</v>
          </cell>
          <cell r="J198">
            <v>28315.507508316114</v>
          </cell>
          <cell r="K198">
            <v>28299.203468450251</v>
          </cell>
          <cell r="L198">
            <v>28186.094649099865</v>
          </cell>
          <cell r="M198">
            <v>30287.822770238225</v>
          </cell>
          <cell r="N198">
            <v>30231.370904293719</v>
          </cell>
          <cell r="O198">
            <v>29200.160341955136</v>
          </cell>
          <cell r="P198">
            <v>32060.18359530791</v>
          </cell>
          <cell r="Q198">
            <v>32017.197655594173</v>
          </cell>
          <cell r="R198">
            <v>33255.990142558512</v>
          </cell>
          <cell r="S198">
            <v>350508.94970477541</v>
          </cell>
          <cell r="V198">
            <v>51744.574070038216</v>
          </cell>
          <cell r="W198">
            <v>78655.41866896156</v>
          </cell>
          <cell r="X198">
            <v>106970.92617727767</v>
          </cell>
          <cell r="Y198">
            <v>135270.12964572792</v>
          </cell>
          <cell r="Z198">
            <v>163456.22429482779</v>
          </cell>
          <cell r="AA198">
            <v>193744.047065066</v>
          </cell>
          <cell r="AB198">
            <v>223975.41796935973</v>
          </cell>
        </row>
        <row r="199">
          <cell r="G199">
            <v>56509.437444444455</v>
          </cell>
          <cell r="H199">
            <v>56856.659666666674</v>
          </cell>
          <cell r="I199">
            <v>56856.659666666674</v>
          </cell>
          <cell r="J199">
            <v>56856.659666666674</v>
          </cell>
          <cell r="K199">
            <v>56856.659666666652</v>
          </cell>
          <cell r="L199">
            <v>56856.659666666688</v>
          </cell>
          <cell r="M199">
            <v>56856.659666666659</v>
          </cell>
          <cell r="N199">
            <v>56856.659666666688</v>
          </cell>
          <cell r="O199">
            <v>56856.659666666688</v>
          </cell>
          <cell r="P199">
            <v>56856.659666666674</v>
          </cell>
          <cell r="Q199">
            <v>56856.659666666674</v>
          </cell>
          <cell r="R199">
            <v>56856.659666666688</v>
          </cell>
          <cell r="S199">
            <v>681932.69377777784</v>
          </cell>
          <cell r="V199">
            <v>113366.09711111113</v>
          </cell>
          <cell r="W199">
            <v>170222.7567777778</v>
          </cell>
          <cell r="X199">
            <v>227079.41644444448</v>
          </cell>
          <cell r="Y199">
            <v>283936.07611111115</v>
          </cell>
          <cell r="Z199">
            <v>340792.73577777785</v>
          </cell>
          <cell r="AA199">
            <v>397649.3954444445</v>
          </cell>
          <cell r="AB199">
            <v>454506.0551111112</v>
          </cell>
        </row>
        <row r="200">
          <cell r="G200">
            <v>1424.4771905795917</v>
          </cell>
          <cell r="H200">
            <v>1509.8810494714996</v>
          </cell>
          <cell r="I200">
            <v>1361.1734121701513</v>
          </cell>
          <cell r="J200">
            <v>1359.102483730979</v>
          </cell>
          <cell r="K200">
            <v>1359.8788665817335</v>
          </cell>
          <cell r="L200">
            <v>1365.2650008365154</v>
          </cell>
          <cell r="M200">
            <v>1328.4418448214219</v>
          </cell>
          <cell r="N200">
            <v>1331.2644381186487</v>
          </cell>
          <cell r="O200">
            <v>1382.8249662355779</v>
          </cell>
          <cell r="P200">
            <v>1305.0776879662508</v>
          </cell>
          <cell r="Q200">
            <v>1307.340105845921</v>
          </cell>
          <cell r="R200">
            <v>1355.8927682470514</v>
          </cell>
          <cell r="S200">
            <v>1363.8657228196807</v>
          </cell>
          <cell r="V200">
            <v>2934.3582400510913</v>
          </cell>
          <cell r="W200">
            <v>4295.5316522212424</v>
          </cell>
          <cell r="X200">
            <v>5654.6341359522212</v>
          </cell>
          <cell r="Y200">
            <v>7014.5130025339549</v>
          </cell>
          <cell r="Z200">
            <v>8379.7780033704694</v>
          </cell>
          <cell r="AA200">
            <v>9708.2198481918913</v>
          </cell>
          <cell r="AB200">
            <v>11039.48428631054</v>
          </cell>
        </row>
        <row r="201">
          <cell r="G201">
            <v>-41321.894392537855</v>
          </cell>
          <cell r="H201">
            <v>-32354.760251666325</v>
          </cell>
          <cell r="I201">
            <v>-27730.124779581205</v>
          </cell>
          <cell r="J201">
            <v>-23154.839450692438</v>
          </cell>
          <cell r="K201">
            <v>-33341.699362370913</v>
          </cell>
          <cell r="L201">
            <v>-26895.136444352502</v>
          </cell>
          <cell r="M201">
            <v>-23974.981522634276</v>
          </cell>
          <cell r="N201">
            <v>-19592.842027962059</v>
          </cell>
          <cell r="O201">
            <v>-26770.336646066495</v>
          </cell>
          <cell r="P201">
            <v>-17947.180757420301</v>
          </cell>
          <cell r="Q201">
            <v>-20989.647598398482</v>
          </cell>
          <cell r="R201">
            <v>-12738.973379569346</v>
          </cell>
          <cell r="S201">
            <v>-306812.41661325225</v>
          </cell>
          <cell r="T201">
            <v>-306812.41661325219</v>
          </cell>
          <cell r="V201">
            <v>-73676.654644204187</v>
          </cell>
          <cell r="W201">
            <v>-101406.7794237854</v>
          </cell>
          <cell r="X201">
            <v>-124561.61887447783</v>
          </cell>
          <cell r="Y201">
            <v>-157903.31823684875</v>
          </cell>
          <cell r="Z201">
            <v>-184798.45468120126</v>
          </cell>
          <cell r="AA201">
            <v>-208773.43620383553</v>
          </cell>
          <cell r="AB201">
            <v>-228366.27823179759</v>
          </cell>
        </row>
        <row r="202">
          <cell r="G202">
            <v>-28464.940124652574</v>
          </cell>
          <cell r="H202">
            <v>-12216.266987221992</v>
          </cell>
          <cell r="I202">
            <v>-6437.6588703763446</v>
          </cell>
          <cell r="J202">
            <v>1530.2140482149716</v>
          </cell>
          <cell r="K202">
            <v>-16829.127268710097</v>
          </cell>
          <cell r="L202">
            <v>-5134.3117389043618</v>
          </cell>
          <cell r="M202">
            <v>-9543.6600735100201</v>
          </cell>
          <cell r="N202">
            <v>967.83903925102277</v>
          </cell>
          <cell r="O202">
            <v>-15329.48268823638</v>
          </cell>
          <cell r="P202">
            <v>5368.3864112710544</v>
          </cell>
          <cell r="Q202">
            <v>-2565.0529094454905</v>
          </cell>
          <cell r="R202">
            <v>3382.6074847276213</v>
          </cell>
          <cell r="S202">
            <v>-85271.45367759261</v>
          </cell>
          <cell r="T202">
            <v>-85271.453677592566</v>
          </cell>
          <cell r="V202">
            <v>-40681.207111874566</v>
          </cell>
          <cell r="W202">
            <v>-47118.865982250907</v>
          </cell>
          <cell r="X202">
            <v>-45588.651934035937</v>
          </cell>
          <cell r="Y202">
            <v>-62417.779202746038</v>
          </cell>
          <cell r="Z202">
            <v>-67552.0909416504</v>
          </cell>
          <cell r="AA202">
            <v>-77095.751015160422</v>
          </cell>
          <cell r="AB202">
            <v>-76127.911975909403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</row>
        <row r="205"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</row>
        <row r="208">
          <cell r="G208">
            <v>-28464.940124652574</v>
          </cell>
          <cell r="H208">
            <v>-12216.266987221992</v>
          </cell>
          <cell r="I208">
            <v>-6437.6588703763446</v>
          </cell>
          <cell r="J208">
            <v>1530.2140482149716</v>
          </cell>
          <cell r="K208">
            <v>-16829.127268710097</v>
          </cell>
          <cell r="L208">
            <v>-5134.3117389043618</v>
          </cell>
          <cell r="M208">
            <v>-9543.6600735100201</v>
          </cell>
          <cell r="N208">
            <v>967.83903925102277</v>
          </cell>
          <cell r="O208">
            <v>-15329.48268823638</v>
          </cell>
          <cell r="P208">
            <v>5368.3864112710544</v>
          </cell>
          <cell r="Q208">
            <v>-2565.0529094454905</v>
          </cell>
          <cell r="R208">
            <v>3382.6074847276213</v>
          </cell>
          <cell r="S208">
            <v>-85271.45367759261</v>
          </cell>
          <cell r="T208">
            <v>-85271.453677592566</v>
          </cell>
          <cell r="V208">
            <v>-40681.207111874566</v>
          </cell>
          <cell r="W208">
            <v>-47118.865982250907</v>
          </cell>
          <cell r="X208">
            <v>-45588.651934035937</v>
          </cell>
          <cell r="Y208">
            <v>-62417.779202746038</v>
          </cell>
          <cell r="Z208">
            <v>-67552.0909416504</v>
          </cell>
          <cell r="AA208">
            <v>-77095.751015160422</v>
          </cell>
          <cell r="AB208">
            <v>-76127.911975909403</v>
          </cell>
        </row>
        <row r="209">
          <cell r="G209">
            <v>-69786.834517190437</v>
          </cell>
          <cell r="H209">
            <v>-44571.027238888317</v>
          </cell>
          <cell r="I209">
            <v>-34167.78364995755</v>
          </cell>
          <cell r="J209">
            <v>-21624.625402477468</v>
          </cell>
          <cell r="K209">
            <v>-50170.826631081014</v>
          </cell>
          <cell r="L209">
            <v>-32029.448183256864</v>
          </cell>
          <cell r="M209">
            <v>-33518.641596144298</v>
          </cell>
          <cell r="N209">
            <v>-18625.002988711036</v>
          </cell>
          <cell r="O209">
            <v>-42099.819334302876</v>
          </cell>
          <cell r="P209">
            <v>-12578.794346149247</v>
          </cell>
          <cell r="Q209">
            <v>-23554.700507843972</v>
          </cell>
          <cell r="R209">
            <v>-9356.3658948417251</v>
          </cell>
          <cell r="S209">
            <v>-392083.87029084488</v>
          </cell>
          <cell r="T209">
            <v>-392083.87029084476</v>
          </cell>
          <cell r="V209">
            <v>-114357.86175607875</v>
          </cell>
          <cell r="W209">
            <v>-148525.64540603629</v>
          </cell>
          <cell r="X209">
            <v>-170150.27080851374</v>
          </cell>
          <cell r="Y209">
            <v>-220321.09743959474</v>
          </cell>
          <cell r="Z209">
            <v>-252350.54562285161</v>
          </cell>
          <cell r="AA209">
            <v>-285869.18721899588</v>
          </cell>
          <cell r="AB209">
            <v>-304494.19020770694</v>
          </cell>
        </row>
        <row r="210">
          <cell r="G210">
            <v>1695.264018655329</v>
          </cell>
          <cell r="H210">
            <v>24113.099370834072</v>
          </cell>
          <cell r="I210">
            <v>38053.000587783506</v>
          </cell>
          <cell r="J210">
            <v>47112.901373268884</v>
          </cell>
          <cell r="K210">
            <v>21645.751594072699</v>
          </cell>
          <cell r="L210">
            <v>37762.158889118771</v>
          </cell>
          <cell r="M210">
            <v>33075.055432097121</v>
          </cell>
          <cell r="N210">
            <v>46221.473916113828</v>
          </cell>
          <cell r="O210">
            <v>24688.990061800429</v>
          </cell>
          <cell r="P210">
            <v>47747.89387922312</v>
          </cell>
          <cell r="Q210">
            <v>39228.986724484246</v>
          </cell>
          <cell r="R210">
            <v>45637.807600125961</v>
          </cell>
          <cell r="S210">
            <v>406982.383447578</v>
          </cell>
          <cell r="T210">
            <v>406982.38344757783</v>
          </cell>
          <cell r="V210">
            <v>25808.363389489401</v>
          </cell>
          <cell r="W210">
            <v>63861.363977272908</v>
          </cell>
          <cell r="X210">
            <v>110974.2653505418</v>
          </cell>
          <cell r="Y210">
            <v>132620.0169446145</v>
          </cell>
          <cell r="Z210">
            <v>170382.17583373329</v>
          </cell>
          <cell r="AA210">
            <v>203457.2312658304</v>
          </cell>
          <cell r="AB210">
            <v>249678.70518194424</v>
          </cell>
        </row>
        <row r="211">
          <cell r="G211">
            <v>28020.362732507238</v>
          </cell>
          <cell r="H211">
            <v>34100.958661751378</v>
          </cell>
          <cell r="I211">
            <v>46059.587963413695</v>
          </cell>
          <cell r="J211">
            <v>54237.605040486858</v>
          </cell>
          <cell r="K211">
            <v>41521.468482747186</v>
          </cell>
          <cell r="L211">
            <v>50193.442835903814</v>
          </cell>
          <cell r="M211">
            <v>52090.796252331304</v>
          </cell>
          <cell r="N211">
            <v>59647.438411164912</v>
          </cell>
          <cell r="O211">
            <v>45439.053225230411</v>
          </cell>
          <cell r="P211">
            <v>67609.640941845166</v>
          </cell>
          <cell r="Q211">
            <v>62335.79747651684</v>
          </cell>
          <cell r="R211">
            <v>66329.028035608149</v>
          </cell>
          <cell r="S211">
            <v>607585.18005950691</v>
          </cell>
          <cell r="T211">
            <v>607585.18005950702</v>
          </cell>
          <cell r="V211">
            <v>62121.321394258615</v>
          </cell>
          <cell r="W211">
            <v>108180.90935767231</v>
          </cell>
          <cell r="X211">
            <v>162418.51439815917</v>
          </cell>
          <cell r="Y211">
            <v>203939.98288090635</v>
          </cell>
          <cell r="Z211">
            <v>254133.42571681016</v>
          </cell>
          <cell r="AA211">
            <v>306224.22196914145</v>
          </cell>
          <cell r="AB211">
            <v>365871.66038030636</v>
          </cell>
        </row>
        <row r="212">
          <cell r="G212">
            <v>225.80238622881279</v>
          </cell>
          <cell r="H212">
            <v>2896.7227028178772</v>
          </cell>
          <cell r="I212">
            <v>5217.8028902739115</v>
          </cell>
          <cell r="J212">
            <v>7460.2519439065236</v>
          </cell>
          <cell r="K212">
            <v>3423.938952151449</v>
          </cell>
          <cell r="L212">
            <v>5798.3185907163006</v>
          </cell>
          <cell r="M212">
            <v>5291.7528041902588</v>
          </cell>
          <cell r="N212">
            <v>7396.6286388083108</v>
          </cell>
          <cell r="O212">
            <v>2875.6779921144093</v>
          </cell>
          <cell r="P212">
            <v>8071.682443912865</v>
          </cell>
          <cell r="Q212">
            <v>6631.5788553407619</v>
          </cell>
          <cell r="R212">
            <v>7734.6619820729647</v>
          </cell>
          <cell r="S212">
            <v>63024.820182534459</v>
          </cell>
          <cell r="T212">
            <v>63024.820182534429</v>
          </cell>
          <cell r="V212">
            <v>3122.52508904669</v>
          </cell>
          <cell r="W212">
            <v>8340.327979320602</v>
          </cell>
          <cell r="X212">
            <v>15800.579923227126</v>
          </cell>
          <cell r="Y212">
            <v>19224.518875378573</v>
          </cell>
          <cell r="Z212">
            <v>25022.837466094876</v>
          </cell>
          <cell r="AA212">
            <v>30314.590270285134</v>
          </cell>
          <cell r="AB212">
            <v>37711.218909093448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</row>
        <row r="214"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</row>
        <row r="215"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</row>
        <row r="216"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</row>
        <row r="217">
          <cell r="G217">
            <v>28246.165118736051</v>
          </cell>
          <cell r="H217">
            <v>36997.681364569253</v>
          </cell>
          <cell r="I217">
            <v>51277.390853687604</v>
          </cell>
          <cell r="J217">
            <v>61697.85698439338</v>
          </cell>
          <cell r="K217">
            <v>44945.407434898632</v>
          </cell>
          <cell r="L217">
            <v>55991.761426620113</v>
          </cell>
          <cell r="M217">
            <v>57382.549056521559</v>
          </cell>
          <cell r="N217">
            <v>67044.067049973222</v>
          </cell>
          <cell r="O217">
            <v>48314.731217344823</v>
          </cell>
          <cell r="P217">
            <v>75681.323385758034</v>
          </cell>
          <cell r="Q217">
            <v>68967.376331857609</v>
          </cell>
          <cell r="R217">
            <v>74063.690017681118</v>
          </cell>
          <cell r="S217">
            <v>670610.00024204142</v>
          </cell>
          <cell r="T217">
            <v>670610.00024204142</v>
          </cell>
          <cell r="V217">
            <v>65243.8464833053</v>
          </cell>
          <cell r="W217">
            <v>116521.2373369929</v>
          </cell>
          <cell r="X217">
            <v>178219.09432138628</v>
          </cell>
          <cell r="Y217">
            <v>223164.50175628491</v>
          </cell>
          <cell r="Z217">
            <v>279156.26318290504</v>
          </cell>
          <cell r="AA217">
            <v>336538.8122394266</v>
          </cell>
          <cell r="AB217">
            <v>403582.87928939983</v>
          </cell>
        </row>
        <row r="218">
          <cell r="G218">
            <v>29941.42913739138</v>
          </cell>
          <cell r="H218">
            <v>61110.780735403328</v>
          </cell>
          <cell r="I218">
            <v>89330.391441471118</v>
          </cell>
          <cell r="J218">
            <v>108810.75835766227</v>
          </cell>
          <cell r="K218">
            <v>66591.159028971335</v>
          </cell>
          <cell r="L218">
            <v>93753.920315738884</v>
          </cell>
          <cell r="M218">
            <v>90457.604488618672</v>
          </cell>
          <cell r="N218">
            <v>113265.54096608705</v>
          </cell>
          <cell r="O218">
            <v>73003.721279145248</v>
          </cell>
          <cell r="P218">
            <v>123429.21726498115</v>
          </cell>
          <cell r="Q218">
            <v>108196.36305634186</v>
          </cell>
          <cell r="R218">
            <v>119701.49761780708</v>
          </cell>
          <cell r="S218">
            <v>1077592.3836896194</v>
          </cell>
          <cell r="T218">
            <v>1077592.3836896194</v>
          </cell>
          <cell r="V218">
            <v>91052.209872794716</v>
          </cell>
          <cell r="W218">
            <v>180382.60131426583</v>
          </cell>
          <cell r="X218">
            <v>289193.3596719281</v>
          </cell>
          <cell r="Y218">
            <v>355784.51870089944</v>
          </cell>
          <cell r="Z218">
            <v>449538.43901663832</v>
          </cell>
          <cell r="AA218">
            <v>539996.043505257</v>
          </cell>
          <cell r="AB218">
            <v>653261.58447134402</v>
          </cell>
        </row>
        <row r="219">
          <cell r="G219">
            <v>-39626.630373882523</v>
          </cell>
          <cell r="H219">
            <v>-8241.6608808322526</v>
          </cell>
          <cell r="I219">
            <v>10322.875808202301</v>
          </cell>
          <cell r="J219">
            <v>23958.061922576446</v>
          </cell>
          <cell r="K219">
            <v>-11695.947768298214</v>
          </cell>
          <cell r="L219">
            <v>10867.022444766269</v>
          </cell>
          <cell r="M219">
            <v>9100.0739094628443</v>
          </cell>
          <cell r="N219">
            <v>26628.631888151769</v>
          </cell>
          <cell r="O219">
            <v>-2081.3465842660662</v>
          </cell>
          <cell r="P219">
            <v>29800.713121802819</v>
          </cell>
          <cell r="Q219">
            <v>18239.339126085764</v>
          </cell>
          <cell r="R219">
            <v>32898.834220556615</v>
          </cell>
          <cell r="S219">
            <v>100169.96683432577</v>
          </cell>
          <cell r="T219">
            <v>100169.96683432569</v>
          </cell>
          <cell r="V219">
            <v>-47868.291254714772</v>
          </cell>
          <cell r="W219">
            <v>-37545.415446512474</v>
          </cell>
          <cell r="X219">
            <v>-13587.353523936028</v>
          </cell>
          <cell r="Y219">
            <v>-25283.301292234242</v>
          </cell>
          <cell r="Z219">
            <v>-14416.278847467973</v>
          </cell>
          <cell r="AA219">
            <v>-5316.2049380051285</v>
          </cell>
          <cell r="AB219">
            <v>21312.426950146641</v>
          </cell>
        </row>
        <row r="220">
          <cell r="G220">
            <v>-444.57739214533649</v>
          </cell>
          <cell r="H220">
            <v>21884.691674529386</v>
          </cell>
          <cell r="I220">
            <v>39621.929093037354</v>
          </cell>
          <cell r="J220">
            <v>55767.819088701828</v>
          </cell>
          <cell r="K220">
            <v>24692.341214037089</v>
          </cell>
          <cell r="L220">
            <v>45059.131096999452</v>
          </cell>
          <cell r="M220">
            <v>42547.136178821282</v>
          </cell>
          <cell r="N220">
            <v>60615.277450415932</v>
          </cell>
          <cell r="O220">
            <v>30109.570536994033</v>
          </cell>
          <cell r="P220">
            <v>72978.027353116224</v>
          </cell>
          <cell r="Q220">
            <v>59770.74456707135</v>
          </cell>
          <cell r="R220">
            <v>69711.635520335767</v>
          </cell>
          <cell r="S220">
            <v>522313.72638191434</v>
          </cell>
          <cell r="T220">
            <v>522313.72638191434</v>
          </cell>
          <cell r="U220">
            <v>0.89232870916863949</v>
          </cell>
          <cell r="V220">
            <v>21440.114282384049</v>
          </cell>
          <cell r="W220">
            <v>61062.043375421403</v>
          </cell>
          <cell r="X220">
            <v>116829.86246412323</v>
          </cell>
          <cell r="Y220">
            <v>141522.20367816032</v>
          </cell>
          <cell r="Z220">
            <v>186581.33477515978</v>
          </cell>
          <cell r="AA220">
            <v>229128.47095398104</v>
          </cell>
          <cell r="AB220">
            <v>289743.74840439699</v>
          </cell>
        </row>
        <row r="221">
          <cell r="G221">
            <v>225.80238622881279</v>
          </cell>
          <cell r="H221">
            <v>2896.7227028178772</v>
          </cell>
          <cell r="I221">
            <v>5217.8028902739115</v>
          </cell>
          <cell r="J221">
            <v>7460.2519439065236</v>
          </cell>
          <cell r="K221">
            <v>3423.938952151449</v>
          </cell>
          <cell r="L221">
            <v>5798.3185907163006</v>
          </cell>
          <cell r="M221">
            <v>5291.7528041902588</v>
          </cell>
          <cell r="N221">
            <v>7396.6286388083108</v>
          </cell>
          <cell r="O221">
            <v>2875.6779921144093</v>
          </cell>
          <cell r="P221">
            <v>8071.682443912865</v>
          </cell>
          <cell r="Q221">
            <v>6631.5788553407619</v>
          </cell>
          <cell r="R221">
            <v>7734.6619820729647</v>
          </cell>
          <cell r="S221">
            <v>63024.820182534459</v>
          </cell>
          <cell r="T221">
            <v>63024.820182534429</v>
          </cell>
          <cell r="U221">
            <v>0.10767129083136044</v>
          </cell>
          <cell r="V221">
            <v>3122.52508904669</v>
          </cell>
          <cell r="W221">
            <v>8340.327979320602</v>
          </cell>
          <cell r="X221">
            <v>15800.579923227126</v>
          </cell>
          <cell r="Y221">
            <v>19224.518875378573</v>
          </cell>
          <cell r="Z221">
            <v>25022.837466094876</v>
          </cell>
          <cell r="AA221">
            <v>30314.590270285134</v>
          </cell>
          <cell r="AB221">
            <v>37711.218909093448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</row>
        <row r="224"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</row>
        <row r="225"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</row>
        <row r="226">
          <cell r="G226">
            <v>-218.7750059165237</v>
          </cell>
          <cell r="H226">
            <v>24781.414377347264</v>
          </cell>
          <cell r="I226">
            <v>44839.731983311263</v>
          </cell>
          <cell r="J226">
            <v>63228.07103260835</v>
          </cell>
          <cell r="K226">
            <v>28116.280166188539</v>
          </cell>
          <cell r="L226">
            <v>50857.449687715751</v>
          </cell>
          <cell r="M226">
            <v>47838.888983011537</v>
          </cell>
          <cell r="N226">
            <v>68011.906089224241</v>
          </cell>
          <cell r="O226">
            <v>32985.248529108445</v>
          </cell>
          <cell r="P226">
            <v>81049.709797029092</v>
          </cell>
          <cell r="Q226">
            <v>66402.323422412112</v>
          </cell>
          <cell r="R226">
            <v>77446.297502408735</v>
          </cell>
          <cell r="S226">
            <v>585338.54656444886</v>
          </cell>
          <cell r="T226">
            <v>585338.54656444886</v>
          </cell>
          <cell r="V226">
            <v>24562.639371430741</v>
          </cell>
          <cell r="W226">
            <v>69402.371354742005</v>
          </cell>
          <cell r="X226">
            <v>132630.44238735037</v>
          </cell>
          <cell r="Y226">
            <v>160746.72255353892</v>
          </cell>
          <cell r="Z226">
            <v>211604.17224125465</v>
          </cell>
          <cell r="AA226">
            <v>259443.06122426619</v>
          </cell>
          <cell r="AB226">
            <v>327454.96731349046</v>
          </cell>
        </row>
        <row r="227">
          <cell r="G227">
            <v>-39845.405379799049</v>
          </cell>
          <cell r="H227">
            <v>16539.753496515012</v>
          </cell>
          <cell r="I227">
            <v>55162.607791513568</v>
          </cell>
          <cell r="J227">
            <v>87186.132955184788</v>
          </cell>
          <cell r="K227">
            <v>16420.332397890325</v>
          </cell>
          <cell r="L227">
            <v>61724.47213248202</v>
          </cell>
          <cell r="M227">
            <v>56938.962892474381</v>
          </cell>
          <cell r="N227">
            <v>94640.537977376007</v>
          </cell>
          <cell r="O227">
            <v>30903.901944842379</v>
          </cell>
          <cell r="P227">
            <v>110850.42291883192</v>
          </cell>
          <cell r="Q227">
            <v>84641.662548497872</v>
          </cell>
          <cell r="R227">
            <v>110345.13172296535</v>
          </cell>
          <cell r="S227">
            <v>685508.51339877455</v>
          </cell>
          <cell r="T227">
            <v>685508.51339877455</v>
          </cell>
          <cell r="V227">
            <v>-23305.651883284037</v>
          </cell>
          <cell r="W227">
            <v>31856.955908229531</v>
          </cell>
          <cell r="X227">
            <v>119043.08886341432</v>
          </cell>
          <cell r="Y227">
            <v>135463.42126130464</v>
          </cell>
          <cell r="Z227">
            <v>197187.89339378665</v>
          </cell>
          <cell r="AA227">
            <v>254126.85628626103</v>
          </cell>
          <cell r="AB227">
            <v>348767.39426363702</v>
          </cell>
        </row>
        <row r="228">
          <cell r="G228">
            <v>0</v>
          </cell>
          <cell r="H228">
            <v>0</v>
          </cell>
          <cell r="I228">
            <v>0</v>
          </cell>
          <cell r="J228"/>
          <cell r="K228"/>
          <cell r="L228"/>
          <cell r="M228"/>
          <cell r="N228"/>
          <cell r="O228"/>
          <cell r="P228"/>
          <cell r="Q228"/>
          <cell r="R228"/>
          <cell r="S228">
            <v>0</v>
          </cell>
        </row>
        <row r="229">
          <cell r="G229">
            <v>0</v>
          </cell>
          <cell r="H229">
            <v>0</v>
          </cell>
          <cell r="I229">
            <v>0</v>
          </cell>
          <cell r="J229"/>
          <cell r="K229"/>
          <cell r="L229"/>
          <cell r="M229"/>
          <cell r="N229"/>
          <cell r="O229"/>
          <cell r="P229"/>
          <cell r="Q229"/>
          <cell r="R229"/>
          <cell r="S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3">
          <cell r="G233">
            <v>39670.29996559782</v>
          </cell>
        </row>
        <row r="234">
          <cell r="G234">
            <v>709406.85182383005</v>
          </cell>
        </row>
        <row r="235">
          <cell r="G235">
            <v>277692.09975918476</v>
          </cell>
        </row>
        <row r="236">
          <cell r="G236">
            <v>27000</v>
          </cell>
        </row>
      </sheetData>
      <sheetData sheetId="2"/>
      <sheetData sheetId="3">
        <row r="4">
          <cell r="G4" t="str">
            <v>1월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계획"/>
      <sheetName val="판매계획"/>
      <sheetName val="이송계획"/>
      <sheetName val="원가계획"/>
      <sheetName val="제조4"/>
      <sheetName val="제조6"/>
      <sheetName val="판매4"/>
      <sheetName val="판매6"/>
      <sheetName val="본사산출"/>
      <sheetName val="제조"/>
      <sheetName val="판매"/>
      <sheetName val="인원수"/>
      <sheetName val="계정통제"/>
    </sheetNames>
    <sheetDataSet>
      <sheetData sheetId="0"/>
      <sheetData sheetId="1">
        <row r="5">
          <cell r="E5" t="str">
            <v>구분</v>
          </cell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계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8000</v>
          </cell>
          <cell r="H6">
            <v>6500</v>
          </cell>
          <cell r="I6">
            <v>6000</v>
          </cell>
          <cell r="J6">
            <v>6500</v>
          </cell>
          <cell r="K6">
            <v>9500</v>
          </cell>
          <cell r="L6">
            <v>9500</v>
          </cell>
          <cell r="M6">
            <v>9500</v>
          </cell>
          <cell r="N6">
            <v>9500</v>
          </cell>
          <cell r="O6">
            <v>9500</v>
          </cell>
          <cell r="P6">
            <v>9500</v>
          </cell>
          <cell r="Q6">
            <v>9500</v>
          </cell>
          <cell r="R6">
            <v>8133</v>
          </cell>
          <cell r="S6">
            <v>101633</v>
          </cell>
          <cell r="T6">
            <v>0.33877646783553828</v>
          </cell>
          <cell r="V6">
            <v>14500</v>
          </cell>
          <cell r="W6">
            <v>20500</v>
          </cell>
          <cell r="X6">
            <v>27000</v>
          </cell>
          <cell r="Y6">
            <v>36500</v>
          </cell>
          <cell r="Z6">
            <v>46000</v>
          </cell>
          <cell r="AA6">
            <v>55500</v>
          </cell>
          <cell r="AB6">
            <v>65000</v>
          </cell>
          <cell r="AC6">
            <v>74500</v>
          </cell>
          <cell r="AD6">
            <v>84000</v>
          </cell>
          <cell r="AE6">
            <v>93500</v>
          </cell>
          <cell r="AF6">
            <v>101633</v>
          </cell>
        </row>
        <row r="7">
          <cell r="G7">
            <v>16586.870682990953</v>
          </cell>
          <cell r="H7">
            <v>11567.897800162975</v>
          </cell>
          <cell r="I7">
            <v>8876.6974313291757</v>
          </cell>
          <cell r="J7">
            <v>10696.307872616711</v>
          </cell>
          <cell r="K7">
            <v>18519.294299382029</v>
          </cell>
          <cell r="L7">
            <v>18065.379730358123</v>
          </cell>
          <cell r="M7">
            <v>18249.090710905504</v>
          </cell>
          <cell r="N7">
            <v>18371.513700188385</v>
          </cell>
          <cell r="O7">
            <v>17011.795321480207</v>
          </cell>
          <cell r="P7">
            <v>19754.222470020948</v>
          </cell>
          <cell r="Q7">
            <v>20268.648431551352</v>
          </cell>
          <cell r="R7">
            <v>20399.457621864596</v>
          </cell>
          <cell r="S7">
            <v>198367.17607285097</v>
          </cell>
          <cell r="T7">
            <v>0.66122353216446184</v>
          </cell>
          <cell r="V7">
            <v>28154.76848315393</v>
          </cell>
          <cell r="W7">
            <v>37031.465914483109</v>
          </cell>
          <cell r="X7">
            <v>47727.773787099824</v>
          </cell>
          <cell r="Y7">
            <v>66247.068086481857</v>
          </cell>
          <cell r="Z7">
            <v>84312.44781683998</v>
          </cell>
          <cell r="AA7">
            <v>102561.53852774549</v>
          </cell>
          <cell r="AB7">
            <v>120933.05222793388</v>
          </cell>
          <cell r="AC7">
            <v>137944.84754941409</v>
          </cell>
          <cell r="AD7">
            <v>157699.07001943502</v>
          </cell>
          <cell r="AE7">
            <v>177967.71845098637</v>
          </cell>
          <cell r="AF7">
            <v>198367.17607285097</v>
          </cell>
        </row>
        <row r="8">
          <cell r="G8">
            <v>24586.870682990953</v>
          </cell>
          <cell r="H8">
            <v>18067.897800162973</v>
          </cell>
          <cell r="I8">
            <v>14876.697431329176</v>
          </cell>
          <cell r="J8">
            <v>17196.307872616711</v>
          </cell>
          <cell r="K8">
            <v>28019.294299382029</v>
          </cell>
          <cell r="L8">
            <v>27565.379730358123</v>
          </cell>
          <cell r="M8">
            <v>27749.090710905504</v>
          </cell>
          <cell r="N8">
            <v>27871.513700188385</v>
          </cell>
          <cell r="O8">
            <v>26511.795321480207</v>
          </cell>
          <cell r="P8">
            <v>29254.222470020948</v>
          </cell>
          <cell r="Q8">
            <v>29768.648431551352</v>
          </cell>
          <cell r="R8">
            <v>28532.457621864596</v>
          </cell>
          <cell r="S8">
            <v>300000.17607285094</v>
          </cell>
          <cell r="V8">
            <v>42654.76848315393</v>
          </cell>
          <cell r="W8">
            <v>57531.465914483109</v>
          </cell>
          <cell r="X8">
            <v>74727.773787099824</v>
          </cell>
          <cell r="Y8">
            <v>102747.06808648186</v>
          </cell>
          <cell r="Z8">
            <v>130312.44781683998</v>
          </cell>
          <cell r="AA8">
            <v>158061.53852774549</v>
          </cell>
          <cell r="AB8">
            <v>185933.05222793389</v>
          </cell>
          <cell r="AC8">
            <v>212444.84754941409</v>
          </cell>
          <cell r="AD8">
            <v>241699.07001943502</v>
          </cell>
          <cell r="AE8">
            <v>271467.71845098637</v>
          </cell>
          <cell r="AF8">
            <v>300000.17607285094</v>
          </cell>
        </row>
        <row r="9">
          <cell r="G9">
            <v>228000</v>
          </cell>
          <cell r="H9">
            <v>204750</v>
          </cell>
          <cell r="I9">
            <v>210000</v>
          </cell>
          <cell r="J9">
            <v>204750</v>
          </cell>
          <cell r="K9">
            <v>270750</v>
          </cell>
          <cell r="L9">
            <v>270750</v>
          </cell>
          <cell r="M9">
            <v>270750</v>
          </cell>
          <cell r="N9">
            <v>270750</v>
          </cell>
          <cell r="O9">
            <v>270750</v>
          </cell>
          <cell r="P9">
            <v>270750</v>
          </cell>
          <cell r="Q9">
            <v>270750</v>
          </cell>
          <cell r="R9">
            <v>231790.5</v>
          </cell>
          <cell r="S9">
            <v>2974540.5</v>
          </cell>
          <cell r="V9">
            <v>432750</v>
          </cell>
          <cell r="W9">
            <v>642750</v>
          </cell>
          <cell r="X9">
            <v>847500</v>
          </cell>
          <cell r="Y9">
            <v>1118250</v>
          </cell>
          <cell r="Z9">
            <v>1389000</v>
          </cell>
          <cell r="AA9">
            <v>1659750</v>
          </cell>
          <cell r="AB9">
            <v>1930500</v>
          </cell>
          <cell r="AC9">
            <v>2201250</v>
          </cell>
          <cell r="AD9">
            <v>2472000</v>
          </cell>
          <cell r="AE9">
            <v>2742750</v>
          </cell>
          <cell r="AF9">
            <v>2974540.5</v>
          </cell>
        </row>
        <row r="10">
          <cell r="G10">
            <v>469843.14324381144</v>
          </cell>
          <cell r="H10">
            <v>352682.64248418884</v>
          </cell>
          <cell r="I10">
            <v>312361.52710826986</v>
          </cell>
          <cell r="J10">
            <v>334339.11138622963</v>
          </cell>
          <cell r="K10">
            <v>524932.27333394904</v>
          </cell>
          <cell r="L10">
            <v>512513.75310459413</v>
          </cell>
          <cell r="M10">
            <v>518755.53940989065</v>
          </cell>
          <cell r="N10">
            <v>522185.17484875274</v>
          </cell>
          <cell r="O10">
            <v>483452.99506738409</v>
          </cell>
          <cell r="P10">
            <v>561413.80631466</v>
          </cell>
          <cell r="Q10">
            <v>575611.77016930934</v>
          </cell>
          <cell r="R10">
            <v>579274.17774659046</v>
          </cell>
          <cell r="S10">
            <v>5747365.9142176304</v>
          </cell>
          <cell r="V10">
            <v>822525.78572800034</v>
          </cell>
          <cell r="W10">
            <v>1134887.3128362703</v>
          </cell>
          <cell r="X10">
            <v>1469226.4242225001</v>
          </cell>
          <cell r="Y10">
            <v>1994158.6975564491</v>
          </cell>
          <cell r="Z10">
            <v>2506672.4506610432</v>
          </cell>
          <cell r="AA10">
            <v>3025427.9900709339</v>
          </cell>
          <cell r="AB10">
            <v>3547613.1649196865</v>
          </cell>
          <cell r="AC10">
            <v>4031066.1599870706</v>
          </cell>
          <cell r="AD10">
            <v>4592479.9663017308</v>
          </cell>
          <cell r="AE10">
            <v>5168091.7364710402</v>
          </cell>
          <cell r="AF10">
            <v>5747365.9142176304</v>
          </cell>
        </row>
        <row r="11">
          <cell r="G11">
            <v>697843.14324381144</v>
          </cell>
          <cell r="H11">
            <v>557432.64248418878</v>
          </cell>
          <cell r="I11">
            <v>522361.52710826986</v>
          </cell>
          <cell r="J11">
            <v>539089.11138622963</v>
          </cell>
          <cell r="K11">
            <v>795682.27333394904</v>
          </cell>
          <cell r="L11">
            <v>783263.75310459407</v>
          </cell>
          <cell r="M11">
            <v>789505.53940989065</v>
          </cell>
          <cell r="N11">
            <v>792935.17484875279</v>
          </cell>
          <cell r="O11">
            <v>754202.99506738409</v>
          </cell>
          <cell r="P11">
            <v>832163.80631466</v>
          </cell>
          <cell r="Q11">
            <v>846361.77016930934</v>
          </cell>
          <cell r="R11">
            <v>811064.67774659046</v>
          </cell>
          <cell r="S11">
            <v>8721906.4142176304</v>
          </cell>
          <cell r="V11">
            <v>1255275.7857280003</v>
          </cell>
          <cell r="W11">
            <v>1777637.3128362703</v>
          </cell>
          <cell r="X11">
            <v>2316726.4242225001</v>
          </cell>
          <cell r="Y11">
            <v>3112408.6975564491</v>
          </cell>
          <cell r="Z11">
            <v>3895672.4506610432</v>
          </cell>
          <cell r="AA11">
            <v>4685177.9900709335</v>
          </cell>
          <cell r="AB11">
            <v>5478113.1649196865</v>
          </cell>
          <cell r="AC11">
            <v>6232316.1599870706</v>
          </cell>
          <cell r="AD11">
            <v>7064479.9663017308</v>
          </cell>
          <cell r="AE11">
            <v>7910841.7364710402</v>
          </cell>
          <cell r="AF11">
            <v>8721906.4142176304</v>
          </cell>
        </row>
        <row r="12">
          <cell r="G12">
            <v>205262.36220748385</v>
          </cell>
          <cell r="H12">
            <v>172843.41339529093</v>
          </cell>
          <cell r="I12">
            <v>181503.72331811627</v>
          </cell>
          <cell r="J12">
            <v>173522.01818313726</v>
          </cell>
          <cell r="K12">
            <v>233249.11289745287</v>
          </cell>
          <cell r="L12">
            <v>258348.42218489441</v>
          </cell>
          <cell r="M12">
            <v>236824.74846569018</v>
          </cell>
          <cell r="N12">
            <v>235931.21786972354</v>
          </cell>
          <cell r="O12">
            <v>233442.04475049299</v>
          </cell>
          <cell r="P12">
            <v>234993.66120758065</v>
          </cell>
          <cell r="Q12">
            <v>232918.67769363636</v>
          </cell>
          <cell r="R12">
            <v>199734.18620191864</v>
          </cell>
          <cell r="S12">
            <v>2598573.5883754175</v>
          </cell>
          <cell r="V12">
            <v>378105.77560277481</v>
          </cell>
          <cell r="W12">
            <v>559609.49892089108</v>
          </cell>
          <cell r="X12">
            <v>733131.51710402837</v>
          </cell>
          <cell r="Y12">
            <v>966380.63000148127</v>
          </cell>
          <cell r="Z12">
            <v>1224729.0521863757</v>
          </cell>
          <cell r="AA12">
            <v>1461553.8006520658</v>
          </cell>
          <cell r="AB12">
            <v>1697485.0185217892</v>
          </cell>
          <cell r="AC12">
            <v>1930927.0632722822</v>
          </cell>
          <cell r="AD12">
            <v>2165920.724479863</v>
          </cell>
          <cell r="AE12">
            <v>2398839.4021734991</v>
          </cell>
          <cell r="AF12">
            <v>2598573.5883754175</v>
          </cell>
        </row>
        <row r="13">
          <cell r="G13">
            <v>425582.53225259803</v>
          </cell>
          <cell r="H13">
            <v>300627.05191836326</v>
          </cell>
          <cell r="I13">
            <v>268525.60575910064</v>
          </cell>
          <cell r="J13">
            <v>282750.89297740336</v>
          </cell>
          <cell r="K13">
            <v>454695.68071765418</v>
          </cell>
          <cell r="L13">
            <v>491280.24731673626</v>
          </cell>
          <cell r="M13">
            <v>454930.13866713253</v>
          </cell>
          <cell r="N13">
            <v>456254.06330481649</v>
          </cell>
          <cell r="O13">
            <v>418028.24049717997</v>
          </cell>
          <cell r="P13">
            <v>488643.90131992422</v>
          </cell>
          <cell r="Q13">
            <v>496941.76750675129</v>
          </cell>
          <cell r="R13">
            <v>500979.84348501806</v>
          </cell>
          <cell r="S13">
            <v>5039239.9657226782</v>
          </cell>
          <cell r="V13">
            <v>726209.58417096129</v>
          </cell>
          <cell r="W13">
            <v>994735.18993006193</v>
          </cell>
          <cell r="X13">
            <v>1277486.0829074653</v>
          </cell>
          <cell r="Y13">
            <v>1732181.7636251193</v>
          </cell>
          <cell r="Z13">
            <v>2223462.0109418556</v>
          </cell>
          <cell r="AA13">
            <v>2678392.1496089883</v>
          </cell>
          <cell r="AB13">
            <v>3134646.2129138047</v>
          </cell>
          <cell r="AC13">
            <v>3552674.4534109845</v>
          </cell>
          <cell r="AD13">
            <v>4041318.3547309088</v>
          </cell>
          <cell r="AE13">
            <v>4538260.12223766</v>
          </cell>
          <cell r="AF13">
            <v>5039239.9657226782</v>
          </cell>
        </row>
        <row r="14">
          <cell r="G14">
            <v>630844.89446008182</v>
          </cell>
          <cell r="H14">
            <v>473470.46531365416</v>
          </cell>
          <cell r="I14">
            <v>450029.32907721691</v>
          </cell>
          <cell r="J14">
            <v>456272.91116054065</v>
          </cell>
          <cell r="K14">
            <v>687944.79361510708</v>
          </cell>
          <cell r="L14">
            <v>749628.66950163071</v>
          </cell>
          <cell r="M14">
            <v>691754.88713282277</v>
          </cell>
          <cell r="N14">
            <v>692185.28117454005</v>
          </cell>
          <cell r="O14">
            <v>651470.28524767293</v>
          </cell>
          <cell r="P14">
            <v>723637.56252750487</v>
          </cell>
          <cell r="Q14">
            <v>729860.44520038762</v>
          </cell>
          <cell r="R14">
            <v>700714.02968693664</v>
          </cell>
          <cell r="S14">
            <v>7637813.5540980957</v>
          </cell>
          <cell r="V14">
            <v>1104315.359773736</v>
          </cell>
          <cell r="W14">
            <v>1554344.688850953</v>
          </cell>
          <cell r="X14">
            <v>2010617.6000114935</v>
          </cell>
          <cell r="Y14">
            <v>2698562.3936266005</v>
          </cell>
          <cell r="Z14">
            <v>3448191.0631282311</v>
          </cell>
          <cell r="AA14">
            <v>4139945.9502610541</v>
          </cell>
          <cell r="AB14">
            <v>4832131.2314355941</v>
          </cell>
          <cell r="AC14">
            <v>5483601.5166832665</v>
          </cell>
          <cell r="AD14">
            <v>6207239.0792107712</v>
          </cell>
          <cell r="AE14">
            <v>6937099.5244111586</v>
          </cell>
          <cell r="AF14">
            <v>7637813.5540980957</v>
          </cell>
        </row>
        <row r="15">
          <cell r="G15">
            <v>22737.637792516151</v>
          </cell>
          <cell r="H15">
            <v>31906.586604709068</v>
          </cell>
          <cell r="I15">
            <v>28496.276681883726</v>
          </cell>
          <cell r="J15">
            <v>31227.981816862739</v>
          </cell>
          <cell r="K15">
            <v>37500.887102547131</v>
          </cell>
          <cell r="L15">
            <v>12401.577815105586</v>
          </cell>
          <cell r="M15">
            <v>33925.25153430982</v>
          </cell>
          <cell r="N15">
            <v>34818.782130276464</v>
          </cell>
          <cell r="O15">
            <v>37307.955249507009</v>
          </cell>
          <cell r="P15">
            <v>35756.338792419352</v>
          </cell>
          <cell r="Q15">
            <v>37831.32230636364</v>
          </cell>
          <cell r="R15">
            <v>32056.313798081363</v>
          </cell>
          <cell r="S15">
            <v>375966.91162458202</v>
          </cell>
          <cell r="V15">
            <v>54644.224397225189</v>
          </cell>
          <cell r="W15">
            <v>83140.501079108915</v>
          </cell>
          <cell r="X15">
            <v>114368.48289597163</v>
          </cell>
          <cell r="Y15">
            <v>151869.36999851873</v>
          </cell>
          <cell r="Z15">
            <v>164270.94781362428</v>
          </cell>
          <cell r="AA15">
            <v>198196.19934793422</v>
          </cell>
          <cell r="AB15">
            <v>233014.98147821077</v>
          </cell>
          <cell r="AC15">
            <v>270322.93672771775</v>
          </cell>
          <cell r="AD15">
            <v>306079.27552013705</v>
          </cell>
          <cell r="AE15">
            <v>343910.59782650089</v>
          </cell>
          <cell r="AF15">
            <v>375966.91162458248</v>
          </cell>
        </row>
        <row r="16">
          <cell r="G16">
            <v>44260.610991213412</v>
          </cell>
          <cell r="H16">
            <v>52055.59056582558</v>
          </cell>
          <cell r="I16">
            <v>43835.921349169221</v>
          </cell>
          <cell r="J16">
            <v>51588.218408826273</v>
          </cell>
          <cell r="K16">
            <v>70236.59261629486</v>
          </cell>
          <cell r="L16">
            <v>21233.505787857866</v>
          </cell>
          <cell r="M16">
            <v>63825.400742758124</v>
          </cell>
          <cell r="N16">
            <v>65931.111543936247</v>
          </cell>
          <cell r="O16">
            <v>65424.754570204124</v>
          </cell>
          <cell r="P16">
            <v>72769.904994735785</v>
          </cell>
          <cell r="Q16">
            <v>78670.00266255805</v>
          </cell>
          <cell r="R16">
            <v>78294.334261572396</v>
          </cell>
          <cell r="S16">
            <v>708125.94849495194</v>
          </cell>
          <cell r="V16">
            <v>96316.20155703905</v>
          </cell>
          <cell r="W16">
            <v>140152.12290620839</v>
          </cell>
          <cell r="X16">
            <v>191740.34131503478</v>
          </cell>
          <cell r="Y16">
            <v>261976.93393132975</v>
          </cell>
          <cell r="Z16">
            <v>283210.43971918756</v>
          </cell>
          <cell r="AA16">
            <v>347035.84046194563</v>
          </cell>
          <cell r="AB16">
            <v>412966.95200588182</v>
          </cell>
          <cell r="AC16">
            <v>478391.70657608612</v>
          </cell>
          <cell r="AD16">
            <v>551161.61157082208</v>
          </cell>
          <cell r="AE16">
            <v>629831.61423338018</v>
          </cell>
          <cell r="AF16">
            <v>708125.94849495217</v>
          </cell>
        </row>
        <row r="17">
          <cell r="G17">
            <v>66998.248783729563</v>
          </cell>
          <cell r="H17">
            <v>83962.177170534647</v>
          </cell>
          <cell r="I17">
            <v>72332.198031052947</v>
          </cell>
          <cell r="J17">
            <v>82816.200225689012</v>
          </cell>
          <cell r="K17">
            <v>107737.47971884199</v>
          </cell>
          <cell r="L17">
            <v>33635.083602963452</v>
          </cell>
          <cell r="M17">
            <v>97750.652277067944</v>
          </cell>
          <cell r="N17">
            <v>100749.89367421271</v>
          </cell>
          <cell r="O17">
            <v>102732.70981971113</v>
          </cell>
          <cell r="P17">
            <v>108526.24378715514</v>
          </cell>
          <cell r="Q17">
            <v>116501.32496892169</v>
          </cell>
          <cell r="R17">
            <v>110350.64805965376</v>
          </cell>
          <cell r="S17">
            <v>1084092.8601195342</v>
          </cell>
          <cell r="V17">
            <v>150960.42595426424</v>
          </cell>
          <cell r="W17">
            <v>223292.6239853173</v>
          </cell>
          <cell r="X17">
            <v>306108.8242110064</v>
          </cell>
          <cell r="Y17">
            <v>413846.30392984848</v>
          </cell>
          <cell r="Z17">
            <v>447481.38753281184</v>
          </cell>
          <cell r="AA17">
            <v>545232.03980987985</v>
          </cell>
          <cell r="AB17">
            <v>645981.93348409259</v>
          </cell>
          <cell r="AC17">
            <v>748714.64330380387</v>
          </cell>
          <cell r="AD17">
            <v>857240.88709095912</v>
          </cell>
          <cell r="AE17">
            <v>973742.21205988107</v>
          </cell>
          <cell r="AF17">
            <v>1084092.8601195347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</row>
        <row r="20">
          <cell r="G20">
            <v>370.4</v>
          </cell>
          <cell r="H20">
            <v>370.4</v>
          </cell>
          <cell r="I20">
            <v>370.4</v>
          </cell>
          <cell r="J20">
            <v>370.4</v>
          </cell>
          <cell r="K20">
            <v>370.4</v>
          </cell>
          <cell r="L20">
            <v>370.4</v>
          </cell>
          <cell r="M20">
            <v>370.4</v>
          </cell>
          <cell r="N20">
            <v>370.4</v>
          </cell>
          <cell r="O20">
            <v>370.4</v>
          </cell>
          <cell r="P20">
            <v>370.4</v>
          </cell>
          <cell r="Q20">
            <v>370.4</v>
          </cell>
          <cell r="R20">
            <v>370.4</v>
          </cell>
          <cell r="S20">
            <v>4444.8</v>
          </cell>
          <cell r="V20">
            <v>740.8</v>
          </cell>
          <cell r="W20">
            <v>1111.1999999999998</v>
          </cell>
          <cell r="X20">
            <v>1481.6</v>
          </cell>
          <cell r="Y20">
            <v>1852</v>
          </cell>
          <cell r="Z20">
            <v>2222.4</v>
          </cell>
          <cell r="AA20">
            <v>2592.8000000000002</v>
          </cell>
          <cell r="AB20">
            <v>2963.2000000000003</v>
          </cell>
          <cell r="AC20">
            <v>3333.6000000000004</v>
          </cell>
          <cell r="AD20">
            <v>3704.0000000000005</v>
          </cell>
          <cell r="AE20">
            <v>4074.4000000000005</v>
          </cell>
          <cell r="AF20">
            <v>4444.8</v>
          </cell>
        </row>
        <row r="21">
          <cell r="G21">
            <v>370.4</v>
          </cell>
          <cell r="H21">
            <v>370.4</v>
          </cell>
          <cell r="I21">
            <v>370.4</v>
          </cell>
          <cell r="J21">
            <v>370.4</v>
          </cell>
          <cell r="K21">
            <v>370.4</v>
          </cell>
          <cell r="L21">
            <v>370.4</v>
          </cell>
          <cell r="M21">
            <v>370.4</v>
          </cell>
          <cell r="N21">
            <v>370.4</v>
          </cell>
          <cell r="O21">
            <v>370.4</v>
          </cell>
          <cell r="P21">
            <v>370.4</v>
          </cell>
          <cell r="Q21">
            <v>370.4</v>
          </cell>
          <cell r="R21">
            <v>370.4</v>
          </cell>
          <cell r="S21">
            <v>4444.8</v>
          </cell>
          <cell r="V21">
            <v>740.8</v>
          </cell>
          <cell r="W21">
            <v>1111.1999999999998</v>
          </cell>
          <cell r="X21">
            <v>1481.6</v>
          </cell>
          <cell r="Y21">
            <v>1852</v>
          </cell>
          <cell r="Z21">
            <v>2222.4</v>
          </cell>
          <cell r="AA21">
            <v>2592.8000000000002</v>
          </cell>
          <cell r="AB21">
            <v>2963.2000000000003</v>
          </cell>
          <cell r="AC21">
            <v>3333.6000000000004</v>
          </cell>
          <cell r="AD21">
            <v>3704.0000000000005</v>
          </cell>
          <cell r="AE21">
            <v>4074.4000000000005</v>
          </cell>
          <cell r="AF21">
            <v>4444.8</v>
          </cell>
        </row>
        <row r="22">
          <cell r="G22">
            <v>11189.509211935736</v>
          </cell>
          <cell r="H22">
            <v>12371.718778372971</v>
          </cell>
          <cell r="I22">
            <v>13571.285580370557</v>
          </cell>
          <cell r="J22">
            <v>13130.021666103545</v>
          </cell>
          <cell r="K22">
            <v>11777.516203125402</v>
          </cell>
          <cell r="L22">
            <v>11596.739324401755</v>
          </cell>
          <cell r="M22">
            <v>11892.198416484352</v>
          </cell>
          <cell r="N22">
            <v>11839.963059088555</v>
          </cell>
          <cell r="O22">
            <v>12057.596222165741</v>
          </cell>
          <cell r="P22">
            <v>11280.343989633808</v>
          </cell>
          <cell r="Q22">
            <v>11085.410658461449</v>
          </cell>
          <cell r="R22">
            <v>9591.5293637943923</v>
          </cell>
          <cell r="S22">
            <v>141383.83247393827</v>
          </cell>
          <cell r="V22">
            <v>23561.227990308707</v>
          </cell>
          <cell r="W22">
            <v>37132.513570679264</v>
          </cell>
          <cell r="X22">
            <v>50262.535236782809</v>
          </cell>
          <cell r="Y22">
            <v>62040.051439908209</v>
          </cell>
          <cell r="Z22">
            <v>73636.790764309961</v>
          </cell>
          <cell r="AA22">
            <v>85528.989180794306</v>
          </cell>
          <cell r="AB22">
            <v>97368.952239882856</v>
          </cell>
          <cell r="AC22">
            <v>109426.54846204859</v>
          </cell>
          <cell r="AD22">
            <v>120706.8924516824</v>
          </cell>
          <cell r="AE22">
            <v>131792.30311014387</v>
          </cell>
          <cell r="AF22">
            <v>141383.83247393827</v>
          </cell>
        </row>
        <row r="23">
          <cell r="G23">
            <v>23199.867788064257</v>
          </cell>
          <cell r="H23">
            <v>22017.658221627025</v>
          </cell>
          <cell r="I23">
            <v>20078.032641851667</v>
          </cell>
          <cell r="J23">
            <v>21606.577556118667</v>
          </cell>
          <cell r="K23">
            <v>22959.083019096815</v>
          </cell>
          <cell r="L23">
            <v>22052.578897820465</v>
          </cell>
          <cell r="M23">
            <v>22844.400805737867</v>
          </cell>
          <cell r="N23">
            <v>22896.636163133662</v>
          </cell>
          <cell r="O23">
            <v>21591.722000056481</v>
          </cell>
          <cell r="P23">
            <v>23456.255232588413</v>
          </cell>
          <cell r="Q23">
            <v>23651.18856376077</v>
          </cell>
          <cell r="R23">
            <v>24057.788858427833</v>
          </cell>
          <cell r="S23">
            <v>270411.78974828392</v>
          </cell>
          <cell r="V23">
            <v>45217.526009691283</v>
          </cell>
          <cell r="W23">
            <v>65295.558651542946</v>
          </cell>
          <cell r="X23">
            <v>86902.136207661621</v>
          </cell>
          <cell r="Y23">
            <v>109861.21922675843</v>
          </cell>
          <cell r="Z23">
            <v>131913.7981245789</v>
          </cell>
          <cell r="AA23">
            <v>154758.19893031678</v>
          </cell>
          <cell r="AB23">
            <v>177654.83509345044</v>
          </cell>
          <cell r="AC23">
            <v>199246.55709350691</v>
          </cell>
          <cell r="AD23">
            <v>222702.81232609533</v>
          </cell>
          <cell r="AE23">
            <v>246354.00088985611</v>
          </cell>
          <cell r="AF23">
            <v>270411.78974828392</v>
          </cell>
        </row>
        <row r="24">
          <cell r="G24">
            <v>34389.376999999993</v>
          </cell>
          <cell r="H24">
            <v>34389.376999999993</v>
          </cell>
          <cell r="I24">
            <v>33649.318222222224</v>
          </cell>
          <cell r="J24">
            <v>34736.599222222212</v>
          </cell>
          <cell r="K24">
            <v>34736.599222222219</v>
          </cell>
          <cell r="L24">
            <v>33649.318222222224</v>
          </cell>
          <cell r="M24">
            <v>34736.599222222219</v>
          </cell>
          <cell r="N24">
            <v>34736.599222222219</v>
          </cell>
          <cell r="O24">
            <v>33649.318222222224</v>
          </cell>
          <cell r="P24">
            <v>34736.599222222219</v>
          </cell>
          <cell r="Q24">
            <v>34736.599222222219</v>
          </cell>
          <cell r="R24">
            <v>33649.318222222224</v>
          </cell>
          <cell r="S24">
            <v>411795.62222222221</v>
          </cell>
          <cell r="V24">
            <v>68778.753999999986</v>
          </cell>
          <cell r="W24">
            <v>102428.07222222221</v>
          </cell>
          <cell r="X24">
            <v>137164.67144444442</v>
          </cell>
          <cell r="Y24">
            <v>171901.27066666665</v>
          </cell>
          <cell r="Z24">
            <v>205550.58888888886</v>
          </cell>
          <cell r="AA24">
            <v>240287.18811111109</v>
          </cell>
          <cell r="AB24">
            <v>275023.78733333328</v>
          </cell>
          <cell r="AC24">
            <v>308673.10555555549</v>
          </cell>
          <cell r="AD24">
            <v>343409.70477777772</v>
          </cell>
          <cell r="AE24">
            <v>378146.304</v>
          </cell>
          <cell r="AF24">
            <v>411795.62222222215</v>
          </cell>
        </row>
        <row r="25">
          <cell r="G25">
            <v>5037.0741885949456</v>
          </cell>
          <cell r="H25">
            <v>5536.7594477289567</v>
          </cell>
          <cell r="I25">
            <v>5748.4770227147965</v>
          </cell>
          <cell r="J25">
            <v>5569.8032338634766</v>
          </cell>
          <cell r="K25">
            <v>4393.4152583566647</v>
          </cell>
          <cell r="L25">
            <v>4382.8458837007811</v>
          </cell>
          <cell r="M25">
            <v>4300.5959314413903</v>
          </cell>
          <cell r="N25">
            <v>4296.7515776720438</v>
          </cell>
          <cell r="O25">
            <v>5008.7896984100726</v>
          </cell>
          <cell r="P25">
            <v>4192.4977669534819</v>
          </cell>
          <cell r="Q25">
            <v>4146.8064678910696</v>
          </cell>
          <cell r="R25">
            <v>3817.9200798205279</v>
          </cell>
          <cell r="S25">
            <v>56431.736557148215</v>
          </cell>
          <cell r="V25">
            <v>10573.833636323903</v>
          </cell>
          <cell r="W25">
            <v>16322.3106590387</v>
          </cell>
          <cell r="X25">
            <v>21892.113892902176</v>
          </cell>
          <cell r="Y25">
            <v>26285.529151258841</v>
          </cell>
          <cell r="Z25">
            <v>30668.375034959623</v>
          </cell>
          <cell r="AA25">
            <v>34968.970966401015</v>
          </cell>
          <cell r="AB25">
            <v>39265.722544073062</v>
          </cell>
          <cell r="AC25">
            <v>44274.512242483135</v>
          </cell>
          <cell r="AD25">
            <v>48467.010009436621</v>
          </cell>
          <cell r="AE25">
            <v>52613.816477327688</v>
          </cell>
          <cell r="AF25">
            <v>56431.736557148215</v>
          </cell>
        </row>
        <row r="26">
          <cell r="G26">
            <v>10379.977059305791</v>
          </cell>
          <cell r="H26">
            <v>9537.08890268301</v>
          </cell>
          <cell r="I26">
            <v>8550.4907683904494</v>
          </cell>
          <cell r="J26">
            <v>9095.0088586376696</v>
          </cell>
          <cell r="K26">
            <v>8517.9887692307402</v>
          </cell>
          <cell r="L26">
            <v>8296.4683033592191</v>
          </cell>
          <cell r="M26">
            <v>8239.9186046125924</v>
          </cell>
          <cell r="N26">
            <v>8286.9805129024207</v>
          </cell>
          <cell r="O26">
            <v>8943.7280936620828</v>
          </cell>
          <cell r="P26">
            <v>8693.3559716013533</v>
          </cell>
          <cell r="Q26">
            <v>8816.0687406549205</v>
          </cell>
          <cell r="R26">
            <v>9541.4717813725474</v>
          </cell>
          <cell r="S26">
            <v>106898.5463664128</v>
          </cell>
          <cell r="V26">
            <v>19917.065961988803</v>
          </cell>
          <cell r="W26">
            <v>28467.556730379252</v>
          </cell>
          <cell r="X26">
            <v>37562.565589016922</v>
          </cell>
          <cell r="Y26">
            <v>46080.55435824766</v>
          </cell>
          <cell r="Z26">
            <v>54377.022661606883</v>
          </cell>
          <cell r="AA26">
            <v>62616.941266219474</v>
          </cell>
          <cell r="AB26">
            <v>70903.921779121898</v>
          </cell>
          <cell r="AC26">
            <v>79847.649872783979</v>
          </cell>
          <cell r="AD26">
            <v>88541.005844385334</v>
          </cell>
          <cell r="AE26">
            <v>97357.07458504026</v>
          </cell>
          <cell r="AF26">
            <v>106898.5463664128</v>
          </cell>
        </row>
        <row r="27">
          <cell r="G27">
            <v>15417.051247900738</v>
          </cell>
          <cell r="H27">
            <v>15073.848350411967</v>
          </cell>
          <cell r="I27">
            <v>14298.967791105246</v>
          </cell>
          <cell r="J27">
            <v>14664.812092501146</v>
          </cell>
          <cell r="K27">
            <v>12911.404027587405</v>
          </cell>
          <cell r="L27">
            <v>12679.314187060001</v>
          </cell>
          <cell r="M27">
            <v>12540.514536053983</v>
          </cell>
          <cell r="N27">
            <v>12583.732090574464</v>
          </cell>
          <cell r="O27">
            <v>13952.517792072154</v>
          </cell>
          <cell r="P27">
            <v>12885.853738554835</v>
          </cell>
          <cell r="Q27">
            <v>12962.875208545989</v>
          </cell>
          <cell r="R27">
            <v>13359.391861193075</v>
          </cell>
          <cell r="S27">
            <v>163330.28292356103</v>
          </cell>
          <cell r="V27">
            <v>30490.899598312706</v>
          </cell>
          <cell r="W27">
            <v>44789.867389417952</v>
          </cell>
          <cell r="X27">
            <v>59454.679481919098</v>
          </cell>
          <cell r="Y27">
            <v>72366.083509506498</v>
          </cell>
          <cell r="Z27">
            <v>85045.397696566506</v>
          </cell>
          <cell r="AA27">
            <v>97585.912232620496</v>
          </cell>
          <cell r="AB27">
            <v>110169.64432319495</v>
          </cell>
          <cell r="AC27">
            <v>124122.16211526711</v>
          </cell>
          <cell r="AD27">
            <v>137008.01585382194</v>
          </cell>
          <cell r="AE27">
            <v>149970.89106236794</v>
          </cell>
          <cell r="AF27">
            <v>163330.28292356103</v>
          </cell>
        </row>
        <row r="28">
          <cell r="G28">
            <v>6140.6543919854676</v>
          </cell>
          <cell r="H28">
            <v>13627.708378607138</v>
          </cell>
          <cell r="I28">
            <v>8806.1140787983713</v>
          </cell>
          <cell r="J28">
            <v>12157.756916895716</v>
          </cell>
          <cell r="K28">
            <v>20959.555641065064</v>
          </cell>
          <cell r="L28">
            <v>-3948.40739299695</v>
          </cell>
          <cell r="M28">
            <v>17362.057186384074</v>
          </cell>
          <cell r="N28">
            <v>18311.667493515863</v>
          </cell>
          <cell r="O28">
            <v>19871.169328931195</v>
          </cell>
          <cell r="P28">
            <v>19913.097035832059</v>
          </cell>
          <cell r="Q28">
            <v>22228.705180011119</v>
          </cell>
          <cell r="R28">
            <v>18276.464354466443</v>
          </cell>
          <cell r="S28">
            <v>173706.54259349554</v>
          </cell>
          <cell r="V28">
            <v>19768.362770592576</v>
          </cell>
          <cell r="W28">
            <v>28574.476849390954</v>
          </cell>
          <cell r="X28">
            <v>40732.233766286634</v>
          </cell>
          <cell r="Y28">
            <v>61691.789407351665</v>
          </cell>
          <cell r="Z28">
            <v>57743.382014354705</v>
          </cell>
          <cell r="AA28">
            <v>75105.439200738911</v>
          </cell>
          <cell r="AB28">
            <v>93417.10669425485</v>
          </cell>
          <cell r="AC28">
            <v>113288.27602318606</v>
          </cell>
          <cell r="AD28">
            <v>133201.37305901799</v>
          </cell>
          <cell r="AE28">
            <v>155430.0782390293</v>
          </cell>
          <cell r="AF28">
            <v>173706.54259349601</v>
          </cell>
        </row>
        <row r="29">
          <cell r="G29">
            <v>10680.766143843364</v>
          </cell>
          <cell r="H29">
            <v>20500.843441515543</v>
          </cell>
          <cell r="I29">
            <v>15207.397938927104</v>
          </cell>
          <cell r="J29">
            <v>20886.631994069936</v>
          </cell>
          <cell r="K29">
            <v>38759.52082796731</v>
          </cell>
          <cell r="L29">
            <v>-9115.5414133218183</v>
          </cell>
          <cell r="M29">
            <v>32741.081332407666</v>
          </cell>
          <cell r="N29">
            <v>34747.494867900168</v>
          </cell>
          <cell r="O29">
            <v>34889.304476485559</v>
          </cell>
          <cell r="P29">
            <v>40620.293790546013</v>
          </cell>
          <cell r="Q29">
            <v>46202.745358142362</v>
          </cell>
          <cell r="R29">
            <v>44695.073621772011</v>
          </cell>
          <cell r="S29">
            <v>330815.61238025525</v>
          </cell>
          <cell r="T29">
            <v>223917.06601384244</v>
          </cell>
          <cell r="V29">
            <v>31181.609585358965</v>
          </cell>
          <cell r="W29">
            <v>46389.007524286193</v>
          </cell>
          <cell r="X29">
            <v>67275.639518356242</v>
          </cell>
          <cell r="Y29">
            <v>106035.16034632365</v>
          </cell>
          <cell r="Z29">
            <v>96919.618933001781</v>
          </cell>
          <cell r="AA29">
            <v>129660.70026540937</v>
          </cell>
          <cell r="AB29">
            <v>164408.19513330946</v>
          </cell>
          <cell r="AC29">
            <v>199297.49960979522</v>
          </cell>
          <cell r="AD29">
            <v>239917.79340034144</v>
          </cell>
          <cell r="AE29">
            <v>286120.53875848377</v>
          </cell>
          <cell r="AF29">
            <v>330815.61238025548</v>
          </cell>
        </row>
        <row r="30">
          <cell r="G30">
            <v>16821.420535828831</v>
          </cell>
          <cell r="H30">
            <v>34128.551820122681</v>
          </cell>
          <cell r="I30">
            <v>24013.512017725476</v>
          </cell>
          <cell r="J30">
            <v>33044.388910965652</v>
          </cell>
          <cell r="K30">
            <v>59719.07646903237</v>
          </cell>
          <cell r="L30">
            <v>-13063.948806318767</v>
          </cell>
          <cell r="M30">
            <v>50103.13851879174</v>
          </cell>
          <cell r="N30">
            <v>53059.162361416034</v>
          </cell>
          <cell r="O30">
            <v>54760.473805416754</v>
          </cell>
          <cell r="P30">
            <v>60533.390826378076</v>
          </cell>
          <cell r="Q30">
            <v>68431.450538153484</v>
          </cell>
          <cell r="R30">
            <v>62971.537976238455</v>
          </cell>
          <cell r="S30">
            <v>504522.15497375076</v>
          </cell>
          <cell r="V30">
            <v>50949.972355951541</v>
          </cell>
          <cell r="W30">
            <v>74963.484373677144</v>
          </cell>
          <cell r="X30">
            <v>108007.87328464288</v>
          </cell>
          <cell r="Y30">
            <v>167726.94975367532</v>
          </cell>
          <cell r="Z30">
            <v>154663.00094735649</v>
          </cell>
          <cell r="AA30">
            <v>204766.13946614828</v>
          </cell>
          <cell r="AB30">
            <v>257825.30182756431</v>
          </cell>
          <cell r="AC30">
            <v>312585.77563298127</v>
          </cell>
          <cell r="AD30">
            <v>373119.16645935946</v>
          </cell>
          <cell r="AE30">
            <v>441550.61699751311</v>
          </cell>
          <cell r="AF30">
            <v>504522.15497375152</v>
          </cell>
        </row>
        <row r="33">
          <cell r="G33">
            <v>24586.870682990953</v>
          </cell>
          <cell r="H33">
            <v>18067.897800162973</v>
          </cell>
          <cell r="I33">
            <v>14876.697431329176</v>
          </cell>
          <cell r="J33">
            <v>17196.307872616711</v>
          </cell>
          <cell r="K33">
            <v>28019.294299382029</v>
          </cell>
          <cell r="L33">
            <v>27565.379730358123</v>
          </cell>
          <cell r="M33">
            <v>27749.090710905504</v>
          </cell>
          <cell r="N33">
            <v>27871.513700188385</v>
          </cell>
          <cell r="O33">
            <v>26511.795321480207</v>
          </cell>
          <cell r="P33">
            <v>29254.222470020948</v>
          </cell>
          <cell r="Q33">
            <v>29768.648431551352</v>
          </cell>
          <cell r="R33">
            <v>28532.457621864596</v>
          </cell>
          <cell r="S33">
            <v>300000.17607285094</v>
          </cell>
          <cell r="T33">
            <v>114067.12384491711</v>
          </cell>
        </row>
        <row r="34">
          <cell r="G34">
            <v>697843.14324381144</v>
          </cell>
          <cell r="H34">
            <v>557432.64248418878</v>
          </cell>
          <cell r="I34">
            <v>522361.52710826986</v>
          </cell>
          <cell r="J34">
            <v>539089.11138622963</v>
          </cell>
          <cell r="K34">
            <v>795682.27333394904</v>
          </cell>
          <cell r="L34">
            <v>783263.75310459407</v>
          </cell>
          <cell r="M34">
            <v>789505.53940989065</v>
          </cell>
          <cell r="N34">
            <v>792935.17484875279</v>
          </cell>
          <cell r="O34">
            <v>754202.99506738409</v>
          </cell>
          <cell r="P34">
            <v>832163.80631466</v>
          </cell>
          <cell r="Q34">
            <v>846361.77016930934</v>
          </cell>
          <cell r="R34">
            <v>811064.67774659046</v>
          </cell>
          <cell r="S34">
            <v>8721906.4142176304</v>
          </cell>
          <cell r="T34">
            <v>3243793.2492979439</v>
          </cell>
        </row>
        <row r="35">
          <cell r="G35">
            <v>592543.58346008195</v>
          </cell>
          <cell r="H35">
            <v>460980.22931365413</v>
          </cell>
          <cell r="I35">
            <v>416547.52807721694</v>
          </cell>
          <cell r="J35">
            <v>442589.89316054073</v>
          </cell>
          <cell r="K35">
            <v>675264.99261510698</v>
          </cell>
          <cell r="L35">
            <v>664325.65150163078</v>
          </cell>
          <cell r="M35">
            <v>668753.08613282267</v>
          </cell>
          <cell r="N35">
            <v>671703.48017454008</v>
          </cell>
          <cell r="O35">
            <v>638934.26724767301</v>
          </cell>
          <cell r="P35">
            <v>705026.76152750477</v>
          </cell>
          <cell r="Q35">
            <v>717424.42720038758</v>
          </cell>
          <cell r="R35">
            <v>687632.22868693678</v>
          </cell>
          <cell r="S35">
            <v>7341726.1290980969</v>
          </cell>
          <cell r="T35">
            <v>2749017.6846625023</v>
          </cell>
        </row>
        <row r="36">
          <cell r="S36">
            <v>0</v>
          </cell>
          <cell r="T36">
            <v>0</v>
          </cell>
        </row>
        <row r="37">
          <cell r="G37">
            <v>5518.3099999999995</v>
          </cell>
          <cell r="H37">
            <v>5518.3099999999995</v>
          </cell>
          <cell r="I37">
            <v>5518.3099999999995</v>
          </cell>
          <cell r="J37">
            <v>5518.3099999999995</v>
          </cell>
          <cell r="K37">
            <v>5518.3099999999995</v>
          </cell>
          <cell r="L37">
            <v>5518.3099999999995</v>
          </cell>
          <cell r="M37">
            <v>5518.3099999999995</v>
          </cell>
          <cell r="N37">
            <v>5518.3099999999995</v>
          </cell>
          <cell r="O37">
            <v>5518.3099999999995</v>
          </cell>
          <cell r="P37">
            <v>5518.3099999999995</v>
          </cell>
          <cell r="Q37">
            <v>5518.3099999999995</v>
          </cell>
          <cell r="R37">
            <v>5518.3099999999995</v>
          </cell>
          <cell r="S37">
            <v>66219.719999999987</v>
          </cell>
          <cell r="T37">
            <v>22073.239999999998</v>
          </cell>
        </row>
        <row r="38">
          <cell r="G38">
            <v>67542.777999999991</v>
          </cell>
          <cell r="H38">
            <v>41731.702999999994</v>
          </cell>
          <cell r="I38">
            <v>61983.209222222227</v>
          </cell>
          <cell r="J38">
            <v>43271.70722222222</v>
          </cell>
          <cell r="K38">
            <v>42268.490222222215</v>
          </cell>
          <cell r="L38">
            <v>113804.42622222223</v>
          </cell>
          <cell r="M38">
            <v>52590.490222222223</v>
          </cell>
          <cell r="N38">
            <v>50070.490222222215</v>
          </cell>
          <cell r="O38">
            <v>41037.426222222224</v>
          </cell>
          <cell r="P38">
            <v>48199.490222222215</v>
          </cell>
          <cell r="Q38">
            <v>42024.70722222222</v>
          </cell>
          <cell r="R38">
            <v>41583.209222222227</v>
          </cell>
          <cell r="S38">
            <v>646108.12722222216</v>
          </cell>
          <cell r="T38">
            <v>172844.83288888889</v>
          </cell>
        </row>
        <row r="39">
          <cell r="S39">
            <v>0</v>
          </cell>
          <cell r="T39">
            <v>0</v>
          </cell>
        </row>
        <row r="40">
          <cell r="S40">
            <v>0</v>
          </cell>
          <cell r="T40">
            <v>0</v>
          </cell>
        </row>
        <row r="41">
          <cell r="G41">
            <v>665604.67146008206</v>
          </cell>
          <cell r="H41">
            <v>508230.2423136541</v>
          </cell>
          <cell r="I41">
            <v>484049.04729943915</v>
          </cell>
          <cell r="J41">
            <v>491379.91038276296</v>
          </cell>
          <cell r="K41">
            <v>723051.79283732921</v>
          </cell>
          <cell r="L41">
            <v>783648.38772385311</v>
          </cell>
          <cell r="M41">
            <v>726861.8863550449</v>
          </cell>
          <cell r="N41">
            <v>727292.2803967623</v>
          </cell>
          <cell r="O41">
            <v>685490.00346989534</v>
          </cell>
          <cell r="P41">
            <v>758744.561749727</v>
          </cell>
          <cell r="Q41">
            <v>764967.44442260987</v>
          </cell>
          <cell r="R41">
            <v>734733.74790915905</v>
          </cell>
          <cell r="S41">
            <v>8054053.9763203198</v>
          </cell>
          <cell r="T41">
            <v>2943935.7575513911</v>
          </cell>
        </row>
        <row r="42">
          <cell r="G42">
            <v>32238.471783729387</v>
          </cell>
          <cell r="H42">
            <v>49202.400170534675</v>
          </cell>
          <cell r="I42">
            <v>38312.479808830714</v>
          </cell>
          <cell r="J42">
            <v>47709.201003466675</v>
          </cell>
          <cell r="K42">
            <v>72630.480496619828</v>
          </cell>
          <cell r="L42">
            <v>-384.63461925904267</v>
          </cell>
          <cell r="M42">
            <v>62643.653054845752</v>
          </cell>
          <cell r="N42">
            <v>65642.894451990491</v>
          </cell>
          <cell r="O42">
            <v>68712.991597488755</v>
          </cell>
          <cell r="P42">
            <v>73419.244564933004</v>
          </cell>
          <cell r="Q42">
            <v>81394.325746699469</v>
          </cell>
          <cell r="R42">
            <v>76330.929837431409</v>
          </cell>
          <cell r="S42">
            <v>667852.43789731117</v>
          </cell>
          <cell r="T42">
            <v>299857.49174655264</v>
          </cell>
        </row>
      </sheetData>
      <sheetData sheetId="2">
        <row r="6">
          <cell r="E6" t="str">
            <v>구분</v>
          </cell>
        </row>
      </sheetData>
      <sheetData sheetId="3">
        <row r="6">
          <cell r="E6" t="str">
            <v>구분</v>
          </cell>
        </row>
        <row r="70">
          <cell r="G70" t="str">
            <v>1월</v>
          </cell>
          <cell r="H70" t="str">
            <v>2월</v>
          </cell>
          <cell r="I70" t="str">
            <v>3월</v>
          </cell>
          <cell r="J70" t="str">
            <v>4월</v>
          </cell>
          <cell r="K70" t="str">
            <v>5월</v>
          </cell>
          <cell r="L70" t="str">
            <v>6월</v>
          </cell>
          <cell r="M70" t="str">
            <v>7월</v>
          </cell>
          <cell r="N70" t="str">
            <v>8월</v>
          </cell>
          <cell r="O70" t="str">
            <v>9월</v>
          </cell>
          <cell r="P70" t="str">
            <v>10월</v>
          </cell>
          <cell r="Q70" t="str">
            <v>11월</v>
          </cell>
          <cell r="R70" t="str">
            <v>12월</v>
          </cell>
          <cell r="S70" t="str">
            <v>계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G85">
            <v>0</v>
          </cell>
          <cell r="H85">
            <v>42507.53758908392</v>
          </cell>
          <cell r="I85">
            <v>146771.17745792025</v>
          </cell>
          <cell r="J85">
            <v>54179.251246369502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243457.96629337367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G88">
            <v>0</v>
          </cell>
          <cell r="H88">
            <v>63923.916083916083</v>
          </cell>
          <cell r="I88">
            <v>143828.81118881117</v>
          </cell>
          <cell r="J88">
            <v>71914.405594405587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279667.13286713284</v>
          </cell>
        </row>
        <row r="89">
          <cell r="G89">
            <v>0</v>
          </cell>
          <cell r="H89">
            <v>17804.895104895102</v>
          </cell>
          <cell r="I89">
            <v>21761.538461538461</v>
          </cell>
          <cell r="J89">
            <v>21761.538461538461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61327.972027972028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G91">
            <v>0</v>
          </cell>
          <cell r="H91">
            <v>124236.34877789511</v>
          </cell>
          <cell r="I91">
            <v>312361.52710826986</v>
          </cell>
          <cell r="J91">
            <v>147855.19530231354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584453.0711884785</v>
          </cell>
        </row>
        <row r="92">
          <cell r="G92">
            <v>116650.23764940587</v>
          </cell>
          <cell r="H92">
            <v>68251.748251748242</v>
          </cell>
          <cell r="I92">
            <v>0</v>
          </cell>
          <cell r="J92">
            <v>85314.68531468531</v>
          </cell>
          <cell r="K92">
            <v>131782.62648080222</v>
          </cell>
          <cell r="L92">
            <v>133223.21114655214</v>
          </cell>
          <cell r="M92">
            <v>144190.1303189816</v>
          </cell>
          <cell r="N92">
            <v>144823.26925434711</v>
          </cell>
          <cell r="O92">
            <v>138731.43213032113</v>
          </cell>
          <cell r="P92">
            <v>157486.81680417043</v>
          </cell>
          <cell r="Q92">
            <v>158007.85758189677</v>
          </cell>
          <cell r="R92">
            <v>158004.81061372336</v>
          </cell>
          <cell r="S92">
            <v>1436466.8255466339</v>
          </cell>
        </row>
        <row r="93">
          <cell r="G93">
            <v>124902.71328671329</v>
          </cell>
          <cell r="H93">
            <v>69048.391608391612</v>
          </cell>
          <cell r="I93">
            <v>0</v>
          </cell>
          <cell r="J93">
            <v>0</v>
          </cell>
          <cell r="K93">
            <v>150609.45454545456</v>
          </cell>
          <cell r="L93">
            <v>146265.73426573427</v>
          </cell>
          <cell r="M93">
            <v>152482.90909090906</v>
          </cell>
          <cell r="N93">
            <v>152523.63636363638</v>
          </cell>
          <cell r="O93">
            <v>111042.90909090909</v>
          </cell>
          <cell r="P93">
            <v>150202.18181818185</v>
          </cell>
          <cell r="Q93">
            <v>150202.18181818185</v>
          </cell>
          <cell r="R93">
            <v>153867.63636363635</v>
          </cell>
          <cell r="S93">
            <v>1361147.7482517483</v>
          </cell>
        </row>
        <row r="94">
          <cell r="G94">
            <v>73076.923076923078</v>
          </cell>
          <cell r="H94">
            <v>40192.307692307688</v>
          </cell>
          <cell r="I94">
            <v>0</v>
          </cell>
          <cell r="J94">
            <v>43846.153846153851</v>
          </cell>
          <cell r="K94">
            <v>87692.307692307702</v>
          </cell>
          <cell r="L94">
            <v>87692.307692307702</v>
          </cell>
          <cell r="M94">
            <v>80384.615384615376</v>
          </cell>
          <cell r="N94">
            <v>87692.307692307702</v>
          </cell>
          <cell r="O94">
            <v>87692.307692307702</v>
          </cell>
          <cell r="P94">
            <v>95000</v>
          </cell>
          <cell r="Q94">
            <v>102307.6923076923</v>
          </cell>
          <cell r="R94">
            <v>102307.6923076923</v>
          </cell>
          <cell r="S94">
            <v>887884.61538461526</v>
          </cell>
        </row>
        <row r="95">
          <cell r="G95">
            <v>114646.15384615384</v>
          </cell>
          <cell r="H95">
            <v>50953.846153846149</v>
          </cell>
          <cell r="I95">
            <v>0</v>
          </cell>
          <cell r="J95">
            <v>57323.076923076922</v>
          </cell>
          <cell r="K95">
            <v>114646.15384615384</v>
          </cell>
          <cell r="L95">
            <v>108276.92307692308</v>
          </cell>
          <cell r="M95">
            <v>108276.92307692308</v>
          </cell>
          <cell r="N95">
            <v>101907.6923076923</v>
          </cell>
          <cell r="O95">
            <v>101907.6923076923</v>
          </cell>
          <cell r="P95">
            <v>114646.15384615384</v>
          </cell>
          <cell r="Q95">
            <v>121015.38461538461</v>
          </cell>
          <cell r="R95">
            <v>121015.38461538461</v>
          </cell>
          <cell r="S95">
            <v>1114615.3846153845</v>
          </cell>
        </row>
        <row r="96">
          <cell r="G96">
            <v>40567.115384615383</v>
          </cell>
          <cell r="H96">
            <v>0</v>
          </cell>
          <cell r="I96">
            <v>0</v>
          </cell>
          <cell r="J96">
            <v>0</v>
          </cell>
          <cell r="K96">
            <v>40201.730769230766</v>
          </cell>
          <cell r="L96">
            <v>37055.576923076922</v>
          </cell>
          <cell r="M96">
            <v>33420.961538461539</v>
          </cell>
          <cell r="N96">
            <v>35238.269230769234</v>
          </cell>
          <cell r="O96">
            <v>44078.653846153851</v>
          </cell>
          <cell r="P96">
            <v>44078.653846153851</v>
          </cell>
          <cell r="Q96">
            <v>44078.653846153851</v>
          </cell>
          <cell r="R96">
            <v>44078.653846153851</v>
          </cell>
          <cell r="S96">
            <v>362798.26923076931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G98">
            <v>469843.14324381144</v>
          </cell>
          <cell r="H98">
            <v>228446.29370629371</v>
          </cell>
          <cell r="I98">
            <v>0</v>
          </cell>
          <cell r="J98">
            <v>186483.91608391609</v>
          </cell>
          <cell r="K98">
            <v>524932.27333394904</v>
          </cell>
          <cell r="L98">
            <v>512513.75310459413</v>
          </cell>
          <cell r="M98">
            <v>518755.53940989065</v>
          </cell>
          <cell r="N98">
            <v>522185.17484875274</v>
          </cell>
          <cell r="O98">
            <v>483452.99506738409</v>
          </cell>
          <cell r="P98">
            <v>561413.80631466</v>
          </cell>
          <cell r="Q98">
            <v>575611.77016930934</v>
          </cell>
          <cell r="R98">
            <v>579274.17774659046</v>
          </cell>
          <cell r="S98">
            <v>5162912.8430291517</v>
          </cell>
        </row>
        <row r="99">
          <cell r="G99">
            <v>469843.14324381144</v>
          </cell>
          <cell r="H99">
            <v>352682.64248418884</v>
          </cell>
          <cell r="I99">
            <v>312361.52710826986</v>
          </cell>
          <cell r="J99">
            <v>334339.11138622963</v>
          </cell>
          <cell r="K99">
            <v>524932.27333394904</v>
          </cell>
          <cell r="L99">
            <v>512513.75310459413</v>
          </cell>
          <cell r="M99">
            <v>518755.53940989065</v>
          </cell>
          <cell r="N99">
            <v>522185.17484875274</v>
          </cell>
          <cell r="O99">
            <v>483452.99506738409</v>
          </cell>
          <cell r="P99">
            <v>561413.80631466</v>
          </cell>
          <cell r="Q99">
            <v>575611.77016930934</v>
          </cell>
          <cell r="R99">
            <v>579274.17774659046</v>
          </cell>
          <cell r="S99">
            <v>5747365.9142176304</v>
          </cell>
        </row>
        <row r="193">
          <cell r="G193" t="str">
            <v>1월</v>
          </cell>
          <cell r="H193" t="str">
            <v>2월</v>
          </cell>
          <cell r="I193" t="str">
            <v>3월</v>
          </cell>
          <cell r="J193" t="str">
            <v>4월</v>
          </cell>
          <cell r="K193" t="str">
            <v>5월</v>
          </cell>
          <cell r="L193" t="str">
            <v>6월</v>
          </cell>
          <cell r="M193" t="str">
            <v>7월</v>
          </cell>
          <cell r="N193" t="str">
            <v>8월</v>
          </cell>
          <cell r="O193" t="str">
            <v>9월</v>
          </cell>
          <cell r="P193" t="str">
            <v>10월</v>
          </cell>
          <cell r="Q193" t="str">
            <v>11월</v>
          </cell>
          <cell r="R193" t="str">
            <v>12월</v>
          </cell>
          <cell r="S193" t="str">
            <v>계</v>
          </cell>
        </row>
        <row r="194">
          <cell r="G194">
            <v>3824.597955718225</v>
          </cell>
          <cell r="H194">
            <v>2237.7622377622379</v>
          </cell>
          <cell r="I194">
            <v>0</v>
          </cell>
          <cell r="J194">
            <v>2797.2027972027972</v>
          </cell>
          <cell r="K194">
            <v>4320.7418518295817</v>
          </cell>
          <cell r="L194">
            <v>4367.9741359525287</v>
          </cell>
          <cell r="M194">
            <v>4727.545256360052</v>
          </cell>
          <cell r="N194">
            <v>4748.3039099785938</v>
          </cell>
          <cell r="O194">
            <v>4548.5715452564309</v>
          </cell>
          <cell r="P194">
            <v>5163.50219030067</v>
          </cell>
          <cell r="Q194">
            <v>5180.5854944884186</v>
          </cell>
          <cell r="R194">
            <v>5180.4855938925693</v>
          </cell>
          <cell r="S194">
            <v>47097.272968742109</v>
          </cell>
        </row>
        <row r="195">
          <cell r="G195">
            <v>4460.8111888111889</v>
          </cell>
          <cell r="H195">
            <v>2466.0139860139861</v>
          </cell>
          <cell r="I195">
            <v>0</v>
          </cell>
          <cell r="J195">
            <v>0</v>
          </cell>
          <cell r="K195">
            <v>5378.9090909090919</v>
          </cell>
          <cell r="L195">
            <v>5223.7762237762236</v>
          </cell>
          <cell r="M195">
            <v>5445.8181818181811</v>
          </cell>
          <cell r="N195">
            <v>5447.2727272727279</v>
          </cell>
          <cell r="O195">
            <v>3965.818181818182</v>
          </cell>
          <cell r="P195">
            <v>5364.3636363636369</v>
          </cell>
          <cell r="Q195">
            <v>5364.3636363636369</v>
          </cell>
          <cell r="R195">
            <v>5495.272727272727</v>
          </cell>
          <cell r="S195">
            <v>48612.419580419584</v>
          </cell>
        </row>
        <row r="196">
          <cell r="G196">
            <v>2657.3426573426573</v>
          </cell>
          <cell r="H196">
            <v>1461.5384615384614</v>
          </cell>
          <cell r="I196">
            <v>0</v>
          </cell>
          <cell r="J196">
            <v>1594.4055944055945</v>
          </cell>
          <cell r="K196">
            <v>3188.8111888111889</v>
          </cell>
          <cell r="L196">
            <v>3188.8111888111889</v>
          </cell>
          <cell r="M196">
            <v>2923.0769230769229</v>
          </cell>
          <cell r="N196">
            <v>3188.8111888111889</v>
          </cell>
          <cell r="O196">
            <v>3188.8111888111889</v>
          </cell>
          <cell r="P196">
            <v>3454.5454545454545</v>
          </cell>
          <cell r="Q196">
            <v>3720.2797202797201</v>
          </cell>
          <cell r="R196">
            <v>3720.2797202797201</v>
          </cell>
          <cell r="S196">
            <v>32286.713286713286</v>
          </cell>
        </row>
        <row r="197">
          <cell r="G197">
            <v>4168.9510489510485</v>
          </cell>
          <cell r="H197">
            <v>1852.8671328671328</v>
          </cell>
          <cell r="I197">
            <v>0</v>
          </cell>
          <cell r="J197">
            <v>2084.4755244755243</v>
          </cell>
          <cell r="K197">
            <v>4168.9510489510485</v>
          </cell>
          <cell r="L197">
            <v>3937.3426573426573</v>
          </cell>
          <cell r="M197">
            <v>3937.3426573426573</v>
          </cell>
          <cell r="N197">
            <v>3705.7342657342656</v>
          </cell>
          <cell r="O197">
            <v>3705.7342657342656</v>
          </cell>
          <cell r="P197">
            <v>4168.9510489510485</v>
          </cell>
          <cell r="Q197">
            <v>4400.5594405594402</v>
          </cell>
          <cell r="R197">
            <v>4400.5594405594402</v>
          </cell>
          <cell r="S197">
            <v>40531.468531468527</v>
          </cell>
        </row>
        <row r="198">
          <cell r="G198">
            <v>1475.1678321678321</v>
          </cell>
          <cell r="H198">
            <v>0</v>
          </cell>
          <cell r="I198">
            <v>0</v>
          </cell>
          <cell r="J198">
            <v>0</v>
          </cell>
          <cell r="K198">
            <v>1461.8811188811187</v>
          </cell>
          <cell r="L198">
            <v>1347.4755244755245</v>
          </cell>
          <cell r="M198">
            <v>1215.3076923076924</v>
          </cell>
          <cell r="N198">
            <v>1281.3916083916083</v>
          </cell>
          <cell r="O198">
            <v>1602.86013986014</v>
          </cell>
          <cell r="P198">
            <v>1602.86013986014</v>
          </cell>
          <cell r="Q198">
            <v>1602.86013986014</v>
          </cell>
          <cell r="R198">
            <v>1602.86013986014</v>
          </cell>
          <cell r="S198">
            <v>13192.664335664336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G200">
            <v>16586.870682990953</v>
          </cell>
          <cell r="H200">
            <v>8018.1818181818171</v>
          </cell>
          <cell r="I200">
            <v>0</v>
          </cell>
          <cell r="J200">
            <v>6476.0839160839159</v>
          </cell>
          <cell r="K200">
            <v>18519.294299382029</v>
          </cell>
          <cell r="L200">
            <v>18065.379730358123</v>
          </cell>
          <cell r="M200">
            <v>18249.090710905504</v>
          </cell>
          <cell r="N200">
            <v>18371.513700188385</v>
          </cell>
          <cell r="O200">
            <v>17011.795321480207</v>
          </cell>
          <cell r="P200">
            <v>19754.222470020948</v>
          </cell>
          <cell r="Q200">
            <v>20268.648431551352</v>
          </cell>
          <cell r="R200">
            <v>20399.457621864596</v>
          </cell>
          <cell r="S200">
            <v>181720.53870300783</v>
          </cell>
        </row>
        <row r="201">
          <cell r="G201">
            <v>0</v>
          </cell>
          <cell r="H201">
            <v>1180.7649330301088</v>
          </cell>
          <cell r="I201">
            <v>4076.9771516088963</v>
          </cell>
          <cell r="J201">
            <v>1504.9792012880418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6762.7212859270467</v>
          </cell>
        </row>
        <row r="202"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G204">
            <v>0</v>
          </cell>
          <cell r="H204">
            <v>1852.8671328671328</v>
          </cell>
          <cell r="I204">
            <v>4168.9510489510485</v>
          </cell>
          <cell r="J204">
            <v>2084.4755244755243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8106.2937062937053</v>
          </cell>
        </row>
        <row r="205">
          <cell r="G205">
            <v>0</v>
          </cell>
          <cell r="H205">
            <v>516.08391608391605</v>
          </cell>
          <cell r="I205">
            <v>630.76923076923072</v>
          </cell>
          <cell r="J205">
            <v>630.76923076923072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1777.6223776223776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</row>
        <row r="207">
          <cell r="G207">
            <v>0</v>
          </cell>
          <cell r="H207">
            <v>3549.7159819811577</v>
          </cell>
          <cell r="I207">
            <v>8876.6974313291757</v>
          </cell>
          <cell r="J207">
            <v>4220.2239565327964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16646.637369843127</v>
          </cell>
        </row>
        <row r="208">
          <cell r="G208">
            <v>3824.597955718225</v>
          </cell>
          <cell r="H208">
            <v>3418.5271707923466</v>
          </cell>
          <cell r="I208">
            <v>4076.9771516088963</v>
          </cell>
          <cell r="J208">
            <v>4302.1819984908389</v>
          </cell>
          <cell r="K208">
            <v>4320.7418518295817</v>
          </cell>
          <cell r="L208">
            <v>4367.9741359525287</v>
          </cell>
          <cell r="M208">
            <v>4727.545256360052</v>
          </cell>
          <cell r="N208">
            <v>4748.3039099785938</v>
          </cell>
          <cell r="O208">
            <v>4548.5715452564309</v>
          </cell>
          <cell r="P208">
            <v>5163.50219030067</v>
          </cell>
          <cell r="Q208">
            <v>5180.5854944884186</v>
          </cell>
          <cell r="R208">
            <v>5180.4855938925693</v>
          </cell>
          <cell r="S208">
            <v>53859.994254669153</v>
          </cell>
        </row>
        <row r="209">
          <cell r="G209">
            <v>4460.8111888111889</v>
          </cell>
          <cell r="H209">
            <v>2466.0139860139861</v>
          </cell>
          <cell r="I209">
            <v>0</v>
          </cell>
          <cell r="J209">
            <v>0</v>
          </cell>
          <cell r="K209">
            <v>5378.9090909090919</v>
          </cell>
          <cell r="L209">
            <v>5223.7762237762236</v>
          </cell>
          <cell r="M209">
            <v>5445.8181818181811</v>
          </cell>
          <cell r="N209">
            <v>5447.2727272727279</v>
          </cell>
          <cell r="O209">
            <v>3965.818181818182</v>
          </cell>
          <cell r="P209">
            <v>5364.3636363636369</v>
          </cell>
          <cell r="Q209">
            <v>5364.3636363636369</v>
          </cell>
          <cell r="R209">
            <v>5495.272727272727</v>
          </cell>
          <cell r="S209">
            <v>48612.419580419584</v>
          </cell>
        </row>
        <row r="210">
          <cell r="G210">
            <v>2657.3426573426573</v>
          </cell>
          <cell r="H210">
            <v>1461.5384615384614</v>
          </cell>
          <cell r="I210">
            <v>0</v>
          </cell>
          <cell r="J210">
            <v>1594.4055944055945</v>
          </cell>
          <cell r="K210">
            <v>3188.8111888111889</v>
          </cell>
          <cell r="L210">
            <v>3188.8111888111889</v>
          </cell>
          <cell r="M210">
            <v>2923.0769230769229</v>
          </cell>
          <cell r="N210">
            <v>3188.8111888111889</v>
          </cell>
          <cell r="O210">
            <v>3188.8111888111889</v>
          </cell>
          <cell r="P210">
            <v>3454.5454545454545</v>
          </cell>
          <cell r="Q210">
            <v>3720.2797202797201</v>
          </cell>
          <cell r="R210">
            <v>3720.2797202797201</v>
          </cell>
          <cell r="S210">
            <v>32286.713286713286</v>
          </cell>
        </row>
        <row r="211">
          <cell r="G211">
            <v>4168.9510489510485</v>
          </cell>
          <cell r="H211">
            <v>3705.7342657342656</v>
          </cell>
          <cell r="I211">
            <v>4168.9510489510485</v>
          </cell>
          <cell r="J211">
            <v>4168.9510489510485</v>
          </cell>
          <cell r="K211">
            <v>4168.9510489510485</v>
          </cell>
          <cell r="L211">
            <v>3937.3426573426573</v>
          </cell>
          <cell r="M211">
            <v>3937.3426573426573</v>
          </cell>
          <cell r="N211">
            <v>3705.7342657342656</v>
          </cell>
          <cell r="O211">
            <v>3705.7342657342656</v>
          </cell>
          <cell r="P211">
            <v>4168.9510489510485</v>
          </cell>
          <cell r="Q211">
            <v>4400.5594405594402</v>
          </cell>
          <cell r="R211">
            <v>4400.5594405594402</v>
          </cell>
          <cell r="S211">
            <v>48637.762237762239</v>
          </cell>
        </row>
        <row r="212">
          <cell r="G212">
            <v>1475.1678321678321</v>
          </cell>
          <cell r="H212">
            <v>516.08391608391605</v>
          </cell>
          <cell r="I212">
            <v>630.76923076923072</v>
          </cell>
          <cell r="J212">
            <v>630.76923076923072</v>
          </cell>
          <cell r="K212">
            <v>1461.8811188811187</v>
          </cell>
          <cell r="L212">
            <v>1347.4755244755245</v>
          </cell>
          <cell r="M212">
            <v>1215.3076923076924</v>
          </cell>
          <cell r="N212">
            <v>1281.3916083916083</v>
          </cell>
          <cell r="O212">
            <v>1602.86013986014</v>
          </cell>
          <cell r="P212">
            <v>1602.86013986014</v>
          </cell>
          <cell r="Q212">
            <v>1602.86013986014</v>
          </cell>
          <cell r="R212">
            <v>1602.86013986014</v>
          </cell>
          <cell r="S212">
            <v>14970.286713286714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G214">
            <v>16586.870682990953</v>
          </cell>
          <cell r="H214">
            <v>11567.897800162977</v>
          </cell>
          <cell r="I214">
            <v>8876.6974313291757</v>
          </cell>
          <cell r="J214">
            <v>10696.307872616711</v>
          </cell>
          <cell r="K214">
            <v>18519.294299382029</v>
          </cell>
          <cell r="L214">
            <v>18065.379730358123</v>
          </cell>
          <cell r="M214">
            <v>18249.090710905504</v>
          </cell>
          <cell r="N214">
            <v>18371.513700188385</v>
          </cell>
          <cell r="O214">
            <v>17011.795321480207</v>
          </cell>
          <cell r="P214">
            <v>19754.222470020948</v>
          </cell>
          <cell r="Q214">
            <v>20268.648431551352</v>
          </cell>
          <cell r="R214">
            <v>20399.457621864596</v>
          </cell>
          <cell r="S214">
            <v>198367.17607285097</v>
          </cell>
        </row>
        <row r="216">
          <cell r="G216">
            <v>1430</v>
          </cell>
          <cell r="H216" t="str">
            <v>KG/㎥</v>
          </cell>
          <cell r="S216" t="str">
            <v>[단위 :KG]</v>
          </cell>
        </row>
      </sheetData>
      <sheetData sheetId="4">
        <row r="6">
          <cell r="E6" t="str">
            <v>구분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  <sheetName val="부산(물량)"/>
      <sheetName val="부산(금액)"/>
      <sheetName val="서부산(물량)"/>
      <sheetName val="서부산(금액)"/>
      <sheetName val="부산크라샤(물량)"/>
      <sheetName val="부산크라샤(금액)"/>
      <sheetName val="서부산(손익)"/>
      <sheetName val="PFT상세(서부산)"/>
      <sheetName val="부산크라샤(손익)"/>
      <sheetName val="PFT상세(부산크라샤)"/>
      <sheetName val="PFT상세(부산골재)1월"/>
      <sheetName val="피벗1"/>
      <sheetName val="PFT상세(부산골재)2월"/>
      <sheetName val="피벗2"/>
      <sheetName val="PFT상세(부산골재)3월"/>
      <sheetName val="피벗3"/>
      <sheetName val="PFT상세(부산골재)4월"/>
      <sheetName val="피벗4"/>
      <sheetName val="PFT상세(부산골재)5월"/>
      <sheetName val="피벗5"/>
      <sheetName val="PFT상세(서부산) (2)"/>
      <sheetName val="월별"/>
      <sheetName val="PFT상세(부산골재)5월누계"/>
      <sheetName val="피벗0"/>
      <sheetName val="피벗0 (2)"/>
    </sheetNames>
    <sheetDataSet>
      <sheetData sheetId="0"/>
      <sheetData sheetId="1">
        <row r="45">
          <cell r="C45" t="str">
            <v>강사_강릉</v>
          </cell>
        </row>
      </sheetData>
      <sheetData sheetId="2">
        <row r="46">
          <cell r="M46">
            <v>293772365</v>
          </cell>
        </row>
      </sheetData>
      <sheetData sheetId="3">
        <row r="45">
          <cell r="B45" t="str">
            <v>구분</v>
          </cell>
        </row>
      </sheetData>
      <sheetData sheetId="4">
        <row r="42">
          <cell r="F42">
            <v>5</v>
          </cell>
        </row>
      </sheetData>
      <sheetData sheetId="5">
        <row r="36">
          <cell r="A36" t="str">
            <v>총합계</v>
          </cell>
        </row>
      </sheetData>
      <sheetData sheetId="6">
        <row r="42">
          <cell r="F42">
            <v>5</v>
          </cell>
        </row>
      </sheetData>
      <sheetData sheetId="7">
        <row r="16">
          <cell r="L16" t="str">
            <v>부산</v>
          </cell>
          <cell r="M16" t="str">
            <v>(주)동양건재부문_EJ1_부산레미콘</v>
          </cell>
          <cell r="N16">
            <v>0</v>
          </cell>
          <cell r="O16">
            <v>10800000</v>
          </cell>
          <cell r="P16">
            <v>10800000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0</v>
          </cell>
          <cell r="O17">
            <v>172550000</v>
          </cell>
          <cell r="P17">
            <v>172550000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0</v>
          </cell>
          <cell r="O18">
            <v>9936000</v>
          </cell>
          <cell r="P18">
            <v>9936000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0</v>
          </cell>
          <cell r="O19">
            <v>0</v>
          </cell>
          <cell r="P19">
            <v>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3456000</v>
          </cell>
          <cell r="O20">
            <v>0</v>
          </cell>
          <cell r="P20">
            <v>3456000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0</v>
          </cell>
          <cell r="O21">
            <v>0</v>
          </cell>
          <cell r="P21">
            <v>0</v>
          </cell>
        </row>
        <row r="22">
          <cell r="M22" t="str">
            <v>계</v>
          </cell>
          <cell r="N22">
            <v>3456000</v>
          </cell>
          <cell r="O22">
            <v>193286000</v>
          </cell>
          <cell r="P22">
            <v>196742000</v>
          </cell>
        </row>
      </sheetData>
      <sheetData sheetId="8"/>
      <sheetData sheetId="9">
        <row r="16">
          <cell r="L16" t="str">
            <v>부산</v>
          </cell>
          <cell r="M16" t="str">
            <v>(주)동양건재부문_EJ1_부산레미콘</v>
          </cell>
          <cell r="N16">
            <v>147822500</v>
          </cell>
          <cell r="O16">
            <v>139214000</v>
          </cell>
          <cell r="P16">
            <v>287036500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0</v>
          </cell>
          <cell r="O17">
            <v>64000000</v>
          </cell>
          <cell r="P17">
            <v>64000000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0</v>
          </cell>
          <cell r="O18">
            <v>0</v>
          </cell>
          <cell r="P18">
            <v>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0</v>
          </cell>
          <cell r="O19">
            <v>2432000</v>
          </cell>
          <cell r="P19">
            <v>2432000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0</v>
          </cell>
          <cell r="O20">
            <v>0</v>
          </cell>
          <cell r="P20">
            <v>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0</v>
          </cell>
          <cell r="O21">
            <v>0</v>
          </cell>
          <cell r="P21">
            <v>0</v>
          </cell>
        </row>
        <row r="22">
          <cell r="M22" t="str">
            <v>계</v>
          </cell>
          <cell r="N22">
            <v>147822500</v>
          </cell>
          <cell r="O22">
            <v>205646000</v>
          </cell>
          <cell r="P22">
            <v>353468500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249977111117893"/>
  </sheetPr>
  <dimension ref="A6:M25"/>
  <sheetViews>
    <sheetView showGridLines="0" view="pageBreakPreview" zoomScaleNormal="100" zoomScaleSheetLayoutView="100" workbookViewId="0">
      <selection activeCell="N18" sqref="N18"/>
    </sheetView>
  </sheetViews>
  <sheetFormatPr defaultRowHeight="16.5"/>
  <cols>
    <col min="13" max="13" width="15.75" customWidth="1"/>
  </cols>
  <sheetData>
    <row r="6" spans="1:13">
      <c r="A6" s="784" t="s">
        <v>204</v>
      </c>
      <c r="B6" s="785"/>
      <c r="C6" s="785"/>
      <c r="D6" s="785"/>
      <c r="E6" s="785"/>
      <c r="F6" s="785"/>
      <c r="G6" s="785"/>
      <c r="H6" s="785"/>
      <c r="I6" s="785"/>
      <c r="J6" s="785"/>
      <c r="K6" s="785"/>
      <c r="L6" s="785"/>
      <c r="M6" s="785"/>
    </row>
    <row r="7" spans="1:13">
      <c r="A7" s="785"/>
      <c r="B7" s="785"/>
      <c r="C7" s="785"/>
      <c r="D7" s="785"/>
      <c r="E7" s="785"/>
      <c r="F7" s="785"/>
      <c r="G7" s="785"/>
      <c r="H7" s="785"/>
      <c r="I7" s="785"/>
      <c r="J7" s="785"/>
      <c r="K7" s="785"/>
      <c r="L7" s="785"/>
      <c r="M7" s="785"/>
    </row>
    <row r="8" spans="1:13">
      <c r="A8" s="785"/>
      <c r="B8" s="785"/>
      <c r="C8" s="785"/>
      <c r="D8" s="785"/>
      <c r="E8" s="785"/>
      <c r="F8" s="785"/>
      <c r="G8" s="785"/>
      <c r="H8" s="785"/>
      <c r="I8" s="785"/>
      <c r="J8" s="785"/>
      <c r="K8" s="785"/>
      <c r="L8" s="785"/>
      <c r="M8" s="785"/>
    </row>
    <row r="9" spans="1:13">
      <c r="A9" s="785"/>
      <c r="B9" s="785"/>
      <c r="C9" s="785"/>
      <c r="D9" s="785"/>
      <c r="E9" s="785"/>
      <c r="F9" s="785"/>
      <c r="G9" s="785"/>
      <c r="H9" s="785"/>
      <c r="I9" s="785"/>
      <c r="J9" s="785"/>
      <c r="K9" s="785"/>
      <c r="L9" s="785"/>
      <c r="M9" s="785"/>
    </row>
    <row r="10" spans="1:13">
      <c r="A10" s="785"/>
      <c r="B10" s="785"/>
      <c r="C10" s="785"/>
      <c r="D10" s="785"/>
      <c r="E10" s="785"/>
      <c r="F10" s="785"/>
      <c r="G10" s="785"/>
      <c r="H10" s="785"/>
      <c r="I10" s="785"/>
      <c r="J10" s="785"/>
      <c r="K10" s="785"/>
      <c r="L10" s="785"/>
      <c r="M10" s="785"/>
    </row>
    <row r="11" spans="1:13">
      <c r="A11" s="785"/>
      <c r="B11" s="785"/>
      <c r="C11" s="785"/>
      <c r="D11" s="785"/>
      <c r="E11" s="785"/>
      <c r="F11" s="785"/>
      <c r="G11" s="785"/>
      <c r="H11" s="785"/>
      <c r="I11" s="785"/>
      <c r="J11" s="785"/>
      <c r="K11" s="785"/>
      <c r="L11" s="785"/>
      <c r="M11" s="785"/>
    </row>
    <row r="12" spans="1:13">
      <c r="A12" s="785"/>
      <c r="B12" s="785"/>
      <c r="C12" s="785"/>
      <c r="D12" s="785"/>
      <c r="E12" s="785"/>
      <c r="F12" s="785"/>
      <c r="G12" s="785"/>
      <c r="H12" s="785"/>
      <c r="I12" s="785"/>
      <c r="J12" s="785"/>
      <c r="K12" s="785"/>
      <c r="L12" s="785"/>
      <c r="M12" s="785"/>
    </row>
    <row r="13" spans="1:13">
      <c r="A13" s="785"/>
      <c r="B13" s="785"/>
      <c r="C13" s="785"/>
      <c r="D13" s="785"/>
      <c r="E13" s="785"/>
      <c r="F13" s="785"/>
      <c r="G13" s="785"/>
      <c r="H13" s="785"/>
      <c r="I13" s="785"/>
      <c r="J13" s="785"/>
      <c r="K13" s="785"/>
      <c r="L13" s="785"/>
      <c r="M13" s="785"/>
    </row>
    <row r="14" spans="1:13">
      <c r="A14" s="785"/>
      <c r="B14" s="785"/>
      <c r="C14" s="785"/>
      <c r="D14" s="785"/>
      <c r="E14" s="785"/>
      <c r="F14" s="785"/>
      <c r="G14" s="785"/>
      <c r="H14" s="785"/>
      <c r="I14" s="785"/>
      <c r="J14" s="785"/>
      <c r="K14" s="785"/>
      <c r="L14" s="785"/>
      <c r="M14" s="785"/>
    </row>
    <row r="24" spans="1:13">
      <c r="A24" s="786" t="s">
        <v>120</v>
      </c>
      <c r="B24" s="786"/>
      <c r="C24" s="786"/>
      <c r="D24" s="786"/>
      <c r="E24" s="786"/>
      <c r="F24" s="786"/>
      <c r="G24" s="786"/>
      <c r="H24" s="786"/>
      <c r="I24" s="786"/>
      <c r="J24" s="786"/>
      <c r="K24" s="786"/>
      <c r="L24" s="786"/>
      <c r="M24" s="786"/>
    </row>
    <row r="25" spans="1:13">
      <c r="A25" s="786"/>
      <c r="B25" s="786"/>
      <c r="C25" s="786"/>
      <c r="D25" s="786"/>
      <c r="E25" s="786"/>
      <c r="F25" s="786"/>
      <c r="G25" s="786"/>
      <c r="H25" s="786"/>
      <c r="I25" s="786"/>
      <c r="J25" s="786"/>
      <c r="K25" s="786"/>
      <c r="L25" s="786"/>
      <c r="M25" s="786"/>
    </row>
  </sheetData>
  <mergeCells count="2">
    <mergeCell ref="A6:M14"/>
    <mergeCell ref="A24:M25"/>
  </mergeCells>
  <phoneticPr fontId="1" type="noConversion"/>
  <pageMargins left="0.7" right="0.48" top="0.75" bottom="0.75" header="0.3" footer="0.3"/>
  <pageSetup paperSize="9" scale="99" orientation="landscape" horizontalDpi="300" verticalDpi="300" r:id="rId1"/>
  <headerFooter>
    <oddFooter>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249977111117893"/>
    <pageSetUpPr fitToPage="1"/>
  </sheetPr>
  <dimension ref="B1:AL42"/>
  <sheetViews>
    <sheetView showGridLines="0" view="pageBreakPreview" zoomScale="70" zoomScaleNormal="85" zoomScaleSheetLayoutView="70" workbookViewId="0">
      <selection activeCell="N18" sqref="N18"/>
    </sheetView>
  </sheetViews>
  <sheetFormatPr defaultRowHeight="16.5"/>
  <cols>
    <col min="3" max="3" width="9.875" customWidth="1"/>
    <col min="4" max="4" width="11" bestFit="1" customWidth="1"/>
    <col min="5" max="14" width="10.625" customWidth="1"/>
    <col min="15" max="16" width="1.625" customWidth="1"/>
    <col min="19" max="19" width="11.5" bestFit="1" customWidth="1"/>
    <col min="20" max="20" width="12.125" bestFit="1" customWidth="1"/>
    <col min="21" max="21" width="10.5" bestFit="1" customWidth="1"/>
    <col min="22" max="22" width="11.375" bestFit="1" customWidth="1"/>
    <col min="23" max="23" width="10.5" bestFit="1" customWidth="1"/>
    <col min="24" max="24" width="1.625" customWidth="1"/>
    <col min="26" max="37" width="9.125" customWidth="1"/>
  </cols>
  <sheetData>
    <row r="1" spans="2:38" ht="20.100000000000001" customHeight="1"/>
    <row r="2" spans="2:38" ht="20.100000000000001" customHeight="1"/>
    <row r="3" spans="2:38" ht="20.100000000000001" customHeight="1">
      <c r="C3" s="4" t="s">
        <v>205</v>
      </c>
      <c r="Z3" s="674" t="s">
        <v>225</v>
      </c>
    </row>
    <row r="4" spans="2:38" ht="20.100000000000001" customHeight="1">
      <c r="H4" s="598"/>
      <c r="X4" s="5" t="s">
        <v>142</v>
      </c>
      <c r="AK4" s="5" t="s">
        <v>224</v>
      </c>
    </row>
    <row r="5" spans="2:38" ht="27" customHeight="1" thickBot="1">
      <c r="C5" s="800" t="s">
        <v>78</v>
      </c>
      <c r="D5" s="801"/>
      <c r="E5" s="133" t="s">
        <v>179</v>
      </c>
      <c r="F5" s="134"/>
      <c r="G5" s="134"/>
      <c r="H5" s="134"/>
      <c r="I5" s="135"/>
      <c r="J5" s="134" t="s">
        <v>218</v>
      </c>
      <c r="K5" s="134"/>
      <c r="L5" s="134"/>
      <c r="M5" s="134"/>
      <c r="N5" s="135"/>
      <c r="O5" s="136"/>
      <c r="P5" s="800" t="s">
        <v>206</v>
      </c>
      <c r="Q5" s="801"/>
      <c r="R5" s="801"/>
      <c r="S5" s="801"/>
      <c r="T5" s="801"/>
      <c r="U5" s="801"/>
      <c r="V5" s="801"/>
      <c r="W5" s="801"/>
      <c r="X5" s="804"/>
      <c r="Z5" s="793" t="s">
        <v>219</v>
      </c>
      <c r="AA5" s="790"/>
      <c r="AB5" s="790" t="str">
        <f>+E5</f>
        <v>2월</v>
      </c>
      <c r="AC5" s="791"/>
      <c r="AD5" s="790"/>
      <c r="AE5" s="790"/>
      <c r="AF5" s="792"/>
      <c r="AG5" s="793" t="str">
        <f>+J5</f>
        <v>2월 누계</v>
      </c>
      <c r="AH5" s="791"/>
      <c r="AI5" s="790"/>
      <c r="AJ5" s="790"/>
      <c r="AK5" s="794"/>
    </row>
    <row r="6" spans="2:38" ht="27" customHeight="1" thickTop="1" thickBot="1">
      <c r="C6" s="802"/>
      <c r="D6" s="803"/>
      <c r="E6" s="209" t="s">
        <v>79</v>
      </c>
      <c r="F6" s="328" t="s">
        <v>80</v>
      </c>
      <c r="G6" s="325" t="s">
        <v>81</v>
      </c>
      <c r="H6" s="137" t="s">
        <v>82</v>
      </c>
      <c r="I6" s="138" t="s">
        <v>83</v>
      </c>
      <c r="J6" s="209" t="s">
        <v>79</v>
      </c>
      <c r="K6" s="328" t="s">
        <v>80</v>
      </c>
      <c r="L6" s="325" t="s">
        <v>81</v>
      </c>
      <c r="M6" s="137" t="s">
        <v>82</v>
      </c>
      <c r="N6" s="138" t="s">
        <v>83</v>
      </c>
      <c r="O6" s="136"/>
      <c r="P6" s="802"/>
      <c r="Q6" s="803"/>
      <c r="R6" s="803"/>
      <c r="S6" s="803"/>
      <c r="T6" s="803"/>
      <c r="U6" s="803"/>
      <c r="V6" s="803"/>
      <c r="W6" s="803"/>
      <c r="X6" s="805"/>
      <c r="Z6" s="796"/>
      <c r="AA6" s="797"/>
      <c r="AB6" s="690" t="str">
        <f>+E6</f>
        <v>계획</v>
      </c>
      <c r="AC6" s="691" t="str">
        <f>+F6</f>
        <v>실적</v>
      </c>
      <c r="AD6" s="692" t="str">
        <f>+G6</f>
        <v>계획대비</v>
      </c>
      <c r="AE6" s="693" t="str">
        <f t="shared" ref="AE6:AK7" si="0">+H6</f>
        <v>전년</v>
      </c>
      <c r="AF6" s="694" t="str">
        <f t="shared" si="0"/>
        <v>전년대비</v>
      </c>
      <c r="AG6" s="695" t="str">
        <f t="shared" si="0"/>
        <v>계획</v>
      </c>
      <c r="AH6" s="691" t="str">
        <f t="shared" si="0"/>
        <v>실적</v>
      </c>
      <c r="AI6" s="692" t="str">
        <f t="shared" si="0"/>
        <v>계획대비</v>
      </c>
      <c r="AJ6" s="693" t="str">
        <f t="shared" si="0"/>
        <v>전년</v>
      </c>
      <c r="AK6" s="690" t="str">
        <f t="shared" si="0"/>
        <v>전년대비</v>
      </c>
    </row>
    <row r="7" spans="2:38" ht="21.75" customHeight="1">
      <c r="B7" s="598"/>
      <c r="C7" s="101" t="s">
        <v>0</v>
      </c>
      <c r="D7" s="102" t="s">
        <v>53</v>
      </c>
      <c r="E7" s="771">
        <f>+'[1]2월'!$Z$7/1000</f>
        <v>229</v>
      </c>
      <c r="F7" s="772">
        <f>+'[2]2월'!$Z$7/1000</f>
        <v>217.5565</v>
      </c>
      <c r="G7" s="747">
        <f>+F7-E7</f>
        <v>-11.4435</v>
      </c>
      <c r="H7" s="748">
        <f>+'[3]2월'!$Z$7/1000</f>
        <v>324.00150000000002</v>
      </c>
      <c r="I7" s="749">
        <f>+F7-H7</f>
        <v>-106.44500000000002</v>
      </c>
      <c r="J7" s="771">
        <f>+[4]손익총괄!J7+E7</f>
        <v>470</v>
      </c>
      <c r="K7" s="772">
        <f>+[4]손익총괄!K7+F7</f>
        <v>496.44200000000001</v>
      </c>
      <c r="L7" s="747">
        <f t="shared" ref="L7:L36" si="1">+K7-J7</f>
        <v>26.442000000000007</v>
      </c>
      <c r="M7" s="748">
        <f>+[4]손익총괄!M7+H7</f>
        <v>592.58249999999998</v>
      </c>
      <c r="N7" s="749">
        <f t="shared" ref="N7:N36" si="2">+K7-M7</f>
        <v>-96.140499999999975</v>
      </c>
      <c r="O7" s="100"/>
      <c r="P7" s="103"/>
      <c r="Q7" s="104" t="s">
        <v>105</v>
      </c>
      <c r="R7" s="104"/>
      <c r="S7" s="100"/>
      <c r="T7" s="100"/>
      <c r="U7" s="100"/>
      <c r="V7" s="100"/>
      <c r="W7" s="100"/>
      <c r="X7" s="105"/>
      <c r="Y7" s="598"/>
      <c r="Z7" s="787" t="s">
        <v>220</v>
      </c>
      <c r="AA7" s="733" t="str">
        <f>+D7</f>
        <v>레미콘</v>
      </c>
      <c r="AB7" s="734">
        <f>+E7</f>
        <v>229</v>
      </c>
      <c r="AC7" s="735">
        <f t="shared" ref="AC7" si="3">+F7</f>
        <v>217.5565</v>
      </c>
      <c r="AD7" s="736">
        <f>+AC7-AB7</f>
        <v>-11.4435</v>
      </c>
      <c r="AE7" s="737">
        <f t="shared" si="0"/>
        <v>324.00150000000002</v>
      </c>
      <c r="AF7" s="738">
        <f>+AC7-AE7</f>
        <v>-106.44500000000002</v>
      </c>
      <c r="AG7" s="739">
        <f t="shared" ref="AG7" si="4">+J7</f>
        <v>470</v>
      </c>
      <c r="AH7" s="735">
        <f t="shared" ref="AH7" si="5">+K7</f>
        <v>496.44200000000001</v>
      </c>
      <c r="AI7" s="736">
        <f>+AH7-AG7</f>
        <v>26.442000000000007</v>
      </c>
      <c r="AJ7" s="737">
        <f t="shared" ref="AJ7" si="6">+M7</f>
        <v>592.58249999999998</v>
      </c>
      <c r="AK7" s="734">
        <f>+AH7-AJ7</f>
        <v>-96.140499999999975</v>
      </c>
    </row>
    <row r="8" spans="2:38" ht="21.75" customHeight="1">
      <c r="B8" s="598"/>
      <c r="C8" s="101"/>
      <c r="D8" s="106" t="s">
        <v>86</v>
      </c>
      <c r="E8" s="773">
        <f>+'[1]2월'!$AA$7</f>
        <v>6400</v>
      </c>
      <c r="F8" s="774">
        <f>+'[2]2월'!$AO$7</f>
        <v>6645.402</v>
      </c>
      <c r="G8" s="750">
        <f>+F8-E8</f>
        <v>245.40200000000004</v>
      </c>
      <c r="H8" s="751">
        <f>+'[3]2월'!$AO$7</f>
        <v>8382.34</v>
      </c>
      <c r="I8" s="752">
        <f>+F8-H8</f>
        <v>-1736.9380000000001</v>
      </c>
      <c r="J8" s="773">
        <f>+[4]손익총괄!J8+E8</f>
        <v>13300</v>
      </c>
      <c r="K8" s="774">
        <f>+[4]손익총괄!K8+F8</f>
        <v>13070.494999999999</v>
      </c>
      <c r="L8" s="750">
        <f t="shared" si="1"/>
        <v>-229.50500000000102</v>
      </c>
      <c r="M8" s="751">
        <f>+[4]손익총괄!M8+H8</f>
        <v>15329.127</v>
      </c>
      <c r="N8" s="752">
        <f t="shared" si="2"/>
        <v>-2258.6320000000014</v>
      </c>
      <c r="O8" s="100"/>
      <c r="P8" s="103"/>
      <c r="Q8" s="339" t="s">
        <v>70</v>
      </c>
      <c r="R8" s="340"/>
      <c r="S8" s="341" t="s">
        <v>15</v>
      </c>
      <c r="T8" s="342" t="s">
        <v>84</v>
      </c>
      <c r="U8" s="343" t="s">
        <v>71</v>
      </c>
      <c r="V8" s="342" t="s">
        <v>52</v>
      </c>
      <c r="W8" s="344" t="s">
        <v>72</v>
      </c>
      <c r="X8" s="105"/>
      <c r="Y8" s="598"/>
      <c r="Z8" s="787"/>
      <c r="AA8" s="668" t="str">
        <f t="shared" ref="AA8:AA9" si="7">+D8</f>
        <v>철강재</v>
      </c>
      <c r="AB8" s="727">
        <f>+E8/1000</f>
        <v>6.4</v>
      </c>
      <c r="AC8" s="728">
        <f>+F8/1000</f>
        <v>6.6454019999999998</v>
      </c>
      <c r="AD8" s="729">
        <f t="shared" ref="AD8:AD20" si="8">+AC8-AB8</f>
        <v>0.24540199999999945</v>
      </c>
      <c r="AE8" s="730">
        <f>+H8/1000</f>
        <v>8.382340000000001</v>
      </c>
      <c r="AF8" s="731">
        <f t="shared" ref="AF8:AF20" si="9">+AC8-AE8</f>
        <v>-1.7369380000000012</v>
      </c>
      <c r="AG8" s="732">
        <f>+J8/1000</f>
        <v>13.3</v>
      </c>
      <c r="AH8" s="728">
        <f>+K8/1000</f>
        <v>13.070494999999999</v>
      </c>
      <c r="AI8" s="729">
        <f t="shared" ref="AI8:AI20" si="10">+AH8-AG8</f>
        <v>-0.2295050000000014</v>
      </c>
      <c r="AJ8" s="730">
        <f>+M8/1000</f>
        <v>15.329127</v>
      </c>
      <c r="AK8" s="727">
        <f t="shared" ref="AK8:AK20" si="11">+AH8-AJ8</f>
        <v>-2.2586320000000004</v>
      </c>
    </row>
    <row r="9" spans="2:38" ht="21.75" customHeight="1">
      <c r="B9" s="598"/>
      <c r="C9" s="101"/>
      <c r="D9" s="106" t="s">
        <v>1</v>
      </c>
      <c r="E9" s="773">
        <f>+'[1]2월'!$AE$7/1000</f>
        <v>66.862081186501982</v>
      </c>
      <c r="F9" s="774">
        <f>+'[2]2월'!$AN$7/1000</f>
        <v>65.272000000000006</v>
      </c>
      <c r="G9" s="750">
        <f t="shared" ref="G9:G36" si="12">+F9-E9</f>
        <v>-1.5900811865019762</v>
      </c>
      <c r="H9" s="751">
        <f>+'[3]2월'!$AN$7/1000</f>
        <v>64.748000000000005</v>
      </c>
      <c r="I9" s="752">
        <f t="shared" ref="I9:I36" si="13">+F9-H9</f>
        <v>0.52400000000000091</v>
      </c>
      <c r="J9" s="773">
        <f>+[4]손익총괄!J9+E9</f>
        <v>143.49105183509076</v>
      </c>
      <c r="K9" s="774">
        <f>+[4]손익총괄!K9+F9</f>
        <v>149.78899999999999</v>
      </c>
      <c r="L9" s="750">
        <f t="shared" si="1"/>
        <v>6.2979481649092293</v>
      </c>
      <c r="M9" s="751">
        <f>+[4]손익총괄!M9+H9</f>
        <v>130.63300000000001</v>
      </c>
      <c r="N9" s="752">
        <f t="shared" si="2"/>
        <v>19.155999999999977</v>
      </c>
      <c r="O9" s="100"/>
      <c r="P9" s="103"/>
      <c r="Q9" s="107" t="s">
        <v>66</v>
      </c>
      <c r="R9" s="302" t="s">
        <v>19</v>
      </c>
      <c r="S9" s="315">
        <f>+[5]수도권!$T$5/1000</f>
        <v>91</v>
      </c>
      <c r="T9" s="108">
        <f>+[5]수도권!$U$5/1000</f>
        <v>85.558999999999997</v>
      </c>
      <c r="U9" s="747">
        <f>+T9-S9</f>
        <v>-5.4410000000000025</v>
      </c>
      <c r="V9" s="748">
        <f>+[6]수도권!$T$5/1000</f>
        <v>123.13549999999999</v>
      </c>
      <c r="W9" s="749">
        <f>+T9-V9</f>
        <v>-37.576499999999996</v>
      </c>
      <c r="X9" s="105"/>
      <c r="Y9" s="598"/>
      <c r="Z9" s="795"/>
      <c r="AA9" s="670" t="str">
        <f t="shared" si="7"/>
        <v>골재</v>
      </c>
      <c r="AB9" s="676">
        <f t="shared" ref="AB9" si="14">+E9</f>
        <v>66.862081186501982</v>
      </c>
      <c r="AC9" s="682">
        <f t="shared" ref="AC9" si="15">+F9</f>
        <v>65.272000000000006</v>
      </c>
      <c r="AD9" s="679">
        <f t="shared" si="8"/>
        <v>-1.5900811865019762</v>
      </c>
      <c r="AE9" s="672">
        <f t="shared" ref="AE9" si="16">+H9</f>
        <v>64.748000000000005</v>
      </c>
      <c r="AF9" s="688">
        <f t="shared" si="9"/>
        <v>0.52400000000000091</v>
      </c>
      <c r="AG9" s="685">
        <f t="shared" ref="AG9" si="17">+J9</f>
        <v>143.49105183509076</v>
      </c>
      <c r="AH9" s="682">
        <f t="shared" ref="AH9" si="18">+K9</f>
        <v>149.78899999999999</v>
      </c>
      <c r="AI9" s="679">
        <f t="shared" si="10"/>
        <v>6.2979481649092293</v>
      </c>
      <c r="AJ9" s="672">
        <f t="shared" ref="AJ9" si="19">+M9</f>
        <v>130.63300000000001</v>
      </c>
      <c r="AK9" s="676">
        <f t="shared" si="11"/>
        <v>19.155999999999977</v>
      </c>
    </row>
    <row r="10" spans="2:38" ht="21.75" customHeight="1">
      <c r="B10" s="598"/>
      <c r="C10" s="109" t="s">
        <v>2</v>
      </c>
      <c r="D10" s="110" t="s">
        <v>53</v>
      </c>
      <c r="E10" s="775">
        <f>+'[1]2월'!$Z$8/1000</f>
        <v>22940.026079929314</v>
      </c>
      <c r="F10" s="776">
        <f>+'[2]2월'!$Z$8/1000</f>
        <v>22221.542589999997</v>
      </c>
      <c r="G10" s="777">
        <f t="shared" si="12"/>
        <v>-718.48348992931642</v>
      </c>
      <c r="H10" s="778">
        <f>+'[3]2월'!$Z$8/1000</f>
        <v>30251.900320000001</v>
      </c>
      <c r="I10" s="779">
        <f t="shared" si="13"/>
        <v>-8030.3577300000034</v>
      </c>
      <c r="J10" s="775">
        <f>+[4]손익총괄!J10+E10</f>
        <v>47114.619979259565</v>
      </c>
      <c r="K10" s="776">
        <f>+[4]손익총괄!K10+F10</f>
        <v>50097.188472999995</v>
      </c>
      <c r="L10" s="777">
        <f t="shared" si="1"/>
        <v>2982.5684937404294</v>
      </c>
      <c r="M10" s="778">
        <f>+[4]손익총괄!M10+H10</f>
        <v>55039.755888</v>
      </c>
      <c r="N10" s="779">
        <f t="shared" si="2"/>
        <v>-4942.567415000005</v>
      </c>
      <c r="O10" s="100"/>
      <c r="P10" s="103"/>
      <c r="Q10" s="111"/>
      <c r="R10" s="303" t="s">
        <v>20</v>
      </c>
      <c r="S10" s="316">
        <f>+[5]영남권!$T$5/1000</f>
        <v>102.5</v>
      </c>
      <c r="T10" s="112">
        <f>+[5]영남권!$U$5/1000</f>
        <v>100.9045</v>
      </c>
      <c r="U10" s="750">
        <f t="shared" ref="U10:U20" si="20">+T10-S10</f>
        <v>-1.5955000000000013</v>
      </c>
      <c r="V10" s="751">
        <f>+[6]영남권!$T$5/1000</f>
        <v>148.34950000000001</v>
      </c>
      <c r="W10" s="752">
        <f t="shared" ref="W10:W20" si="21">+T10-V10</f>
        <v>-47.445000000000007</v>
      </c>
      <c r="X10" s="105"/>
      <c r="Y10" s="598"/>
      <c r="Z10" s="787" t="s">
        <v>221</v>
      </c>
      <c r="AA10" s="733" t="str">
        <f>+D10</f>
        <v>레미콘</v>
      </c>
      <c r="AB10" s="734">
        <f>+E10/100</f>
        <v>229.40026079929314</v>
      </c>
      <c r="AC10" s="735">
        <f t="shared" ref="AC10:AC13" si="22">+F10/100</f>
        <v>222.21542589999999</v>
      </c>
      <c r="AD10" s="736">
        <f t="shared" si="8"/>
        <v>-7.1848348992931506</v>
      </c>
      <c r="AE10" s="737">
        <f t="shared" ref="AE10:AE13" si="23">+H10/100</f>
        <v>302.51900319999999</v>
      </c>
      <c r="AF10" s="738">
        <f t="shared" si="9"/>
        <v>-80.303577300000001</v>
      </c>
      <c r="AG10" s="739">
        <f t="shared" ref="AG10:AG13" si="24">+J10/100</f>
        <v>471.14619979259567</v>
      </c>
      <c r="AH10" s="735">
        <f t="shared" ref="AH10:AH13" si="25">+K10/100</f>
        <v>500.97188472999994</v>
      </c>
      <c r="AI10" s="736">
        <f t="shared" si="10"/>
        <v>29.825684937404276</v>
      </c>
      <c r="AJ10" s="737">
        <f t="shared" ref="AJ10:AJ13" si="26">+M10/100</f>
        <v>550.39755888000002</v>
      </c>
      <c r="AK10" s="734">
        <f t="shared" si="11"/>
        <v>-49.425674150000077</v>
      </c>
    </row>
    <row r="11" spans="2:38" ht="21.75" customHeight="1">
      <c r="B11" s="598"/>
      <c r="C11" s="101"/>
      <c r="D11" s="106" t="s">
        <v>3</v>
      </c>
      <c r="E11" s="773">
        <f>+'[1]2월'!$AA$8/1000</f>
        <v>7830.1978947368434</v>
      </c>
      <c r="F11" s="774">
        <f>+'[2]2월'!$AO$8/1000</f>
        <v>6765.6579750000001</v>
      </c>
      <c r="G11" s="750">
        <f>+F11-E11</f>
        <v>-1064.5399197368433</v>
      </c>
      <c r="H11" s="751">
        <f>+'[3]2월'!$AO$8/1000</f>
        <v>9789.4710040000009</v>
      </c>
      <c r="I11" s="752">
        <f>+F11-H11</f>
        <v>-3023.8130290000008</v>
      </c>
      <c r="J11" s="773">
        <f>+[4]손익총괄!J11+E11</f>
        <v>16278.141052631581</v>
      </c>
      <c r="K11" s="774">
        <f>+[4]손익총괄!K11+F11</f>
        <v>14173.615142000001</v>
      </c>
      <c r="L11" s="750">
        <f t="shared" si="1"/>
        <v>-2104.5259106315807</v>
      </c>
      <c r="M11" s="751">
        <f>+[4]손익총괄!M11+H11</f>
        <v>18603.105296000002</v>
      </c>
      <c r="N11" s="752">
        <f t="shared" si="2"/>
        <v>-4429.490154000001</v>
      </c>
      <c r="O11" s="100"/>
      <c r="P11" s="103"/>
      <c r="Q11" s="111"/>
      <c r="R11" s="304" t="s">
        <v>170</v>
      </c>
      <c r="S11" s="317">
        <f>+[5]중부권!$T$5/1000</f>
        <v>35.5</v>
      </c>
      <c r="T11" s="113">
        <f>+[5]중부권!$U$5/1000</f>
        <v>31.093</v>
      </c>
      <c r="U11" s="753">
        <f t="shared" si="20"/>
        <v>-4.407</v>
      </c>
      <c r="V11" s="754">
        <f>+[6]중부권!$T$5/1000</f>
        <v>52.516500000000001</v>
      </c>
      <c r="W11" s="755">
        <f t="shared" si="21"/>
        <v>-21.423500000000001</v>
      </c>
      <c r="X11" s="105"/>
      <c r="Y11" s="598"/>
      <c r="Z11" s="787"/>
      <c r="AA11" s="668" t="str">
        <f t="shared" ref="AA11:AA13" si="27">+D11</f>
        <v>건자재</v>
      </c>
      <c r="AB11" s="675">
        <f t="shared" ref="AB11:AB13" si="28">+E11/100</f>
        <v>78.30197894736844</v>
      </c>
      <c r="AC11" s="681">
        <f t="shared" si="22"/>
        <v>67.656579750000006</v>
      </c>
      <c r="AD11" s="678">
        <f t="shared" si="8"/>
        <v>-10.645399197368434</v>
      </c>
      <c r="AE11" s="671">
        <f t="shared" si="23"/>
        <v>97.894710040000007</v>
      </c>
      <c r="AF11" s="687">
        <f t="shared" si="9"/>
        <v>-30.238130290000001</v>
      </c>
      <c r="AG11" s="684">
        <f t="shared" si="24"/>
        <v>162.78141052631582</v>
      </c>
      <c r="AH11" s="681">
        <f t="shared" si="25"/>
        <v>141.73615142</v>
      </c>
      <c r="AI11" s="678">
        <f t="shared" si="10"/>
        <v>-21.045259106315825</v>
      </c>
      <c r="AJ11" s="671">
        <f t="shared" si="26"/>
        <v>186.03105296000001</v>
      </c>
      <c r="AK11" s="675">
        <f t="shared" si="11"/>
        <v>-44.294901540000012</v>
      </c>
    </row>
    <row r="12" spans="2:38" ht="21.75" customHeight="1">
      <c r="B12" s="598"/>
      <c r="C12" s="101"/>
      <c r="D12" s="106" t="s">
        <v>1</v>
      </c>
      <c r="E12" s="773">
        <f>+'[1]2월'!$AE$8/1000</f>
        <v>1402.5163393517437</v>
      </c>
      <c r="F12" s="774">
        <f>+'[2]2월'!$AN$8/1000</f>
        <v>1297.0864999999999</v>
      </c>
      <c r="G12" s="750">
        <f t="shared" si="12"/>
        <v>-105.42983935174379</v>
      </c>
      <c r="H12" s="751">
        <f>+'[3]2월'!$AN$8/1000</f>
        <v>1214.0152</v>
      </c>
      <c r="I12" s="752">
        <f t="shared" si="13"/>
        <v>83.071299999999837</v>
      </c>
      <c r="J12" s="773">
        <f>+[4]손익총괄!J12+E12</f>
        <v>3002.6793344193852</v>
      </c>
      <c r="K12" s="774">
        <f>+[4]손익총괄!K12+F12</f>
        <v>3016.6064999999999</v>
      </c>
      <c r="L12" s="750">
        <f t="shared" si="1"/>
        <v>13.927165580614655</v>
      </c>
      <c r="M12" s="751">
        <f>+[4]손익총괄!M12+H12</f>
        <v>2512.8432000000003</v>
      </c>
      <c r="N12" s="752">
        <f t="shared" si="2"/>
        <v>503.76329999999962</v>
      </c>
      <c r="O12" s="100"/>
      <c r="P12" s="103"/>
      <c r="Q12" s="114" t="s">
        <v>73</v>
      </c>
      <c r="R12" s="305"/>
      <c r="S12" s="318">
        <f>SUM(S9:S11)</f>
        <v>229</v>
      </c>
      <c r="T12" s="115">
        <f>SUM(T9:T11)</f>
        <v>217.5565</v>
      </c>
      <c r="U12" s="756">
        <f t="shared" si="20"/>
        <v>-11.4435</v>
      </c>
      <c r="V12" s="757">
        <f>SUM(V9:V11)</f>
        <v>324.00150000000002</v>
      </c>
      <c r="W12" s="758">
        <f t="shared" si="21"/>
        <v>-106.44500000000002</v>
      </c>
      <c r="X12" s="105"/>
      <c r="Z12" s="787"/>
      <c r="AA12" s="668" t="str">
        <f t="shared" si="27"/>
        <v>골재</v>
      </c>
      <c r="AB12" s="675">
        <f t="shared" si="28"/>
        <v>14.025163393517436</v>
      </c>
      <c r="AC12" s="681">
        <f t="shared" si="22"/>
        <v>12.970864999999998</v>
      </c>
      <c r="AD12" s="678">
        <f t="shared" si="8"/>
        <v>-1.0542983935174384</v>
      </c>
      <c r="AE12" s="671">
        <f t="shared" si="23"/>
        <v>12.140152</v>
      </c>
      <c r="AF12" s="687">
        <f t="shared" si="9"/>
        <v>0.83071299999999759</v>
      </c>
      <c r="AG12" s="684">
        <f t="shared" si="24"/>
        <v>30.026793344193852</v>
      </c>
      <c r="AH12" s="681">
        <f t="shared" si="25"/>
        <v>30.166065</v>
      </c>
      <c r="AI12" s="678">
        <f t="shared" si="10"/>
        <v>0.13927165580614798</v>
      </c>
      <c r="AJ12" s="671">
        <f t="shared" si="26"/>
        <v>25.128432000000004</v>
      </c>
      <c r="AK12" s="675">
        <f t="shared" si="11"/>
        <v>5.037632999999996</v>
      </c>
    </row>
    <row r="13" spans="2:38" ht="21.75" customHeight="1">
      <c r="B13" s="598"/>
      <c r="C13" s="101"/>
      <c r="D13" s="116" t="s">
        <v>4</v>
      </c>
      <c r="E13" s="780">
        <f>+'[1]2월'!$E$8/1000-E10-E11-E12</f>
        <v>164.90750033333143</v>
      </c>
      <c r="F13" s="781">
        <f>+'[2]2월'!$F$8/1000-F10-F11-F12</f>
        <v>164.52515900000026</v>
      </c>
      <c r="G13" s="753">
        <f t="shared" si="12"/>
        <v>-0.38234133333116915</v>
      </c>
      <c r="H13" s="754">
        <f>+'[3]2월'!$F$8/1000-H10-H11-H12</f>
        <v>174.08817700000486</v>
      </c>
      <c r="I13" s="755">
        <f t="shared" si="13"/>
        <v>-9.5630180000046039</v>
      </c>
      <c r="J13" s="780">
        <f>+[4]손익총괄!J13+E13</f>
        <v>329.81500066665876</v>
      </c>
      <c r="K13" s="781">
        <f>+[4]손익총괄!K13+F13</f>
        <v>329.00067000000126</v>
      </c>
      <c r="L13" s="753">
        <f t="shared" si="1"/>
        <v>-0.8143306666574972</v>
      </c>
      <c r="M13" s="754">
        <f>+[4]손익총괄!M13+H13</f>
        <v>348.21019500000079</v>
      </c>
      <c r="N13" s="755">
        <f t="shared" si="2"/>
        <v>-19.20952499999953</v>
      </c>
      <c r="O13" s="100"/>
      <c r="P13" s="103"/>
      <c r="Q13" s="107" t="s">
        <v>74</v>
      </c>
      <c r="R13" s="302" t="s">
        <v>19</v>
      </c>
      <c r="S13" s="315">
        <f>+[5]수도권!$T$61</f>
        <v>96282.778988234248</v>
      </c>
      <c r="T13" s="108">
        <f>+[5]수도권!$U$61</f>
        <v>100756.03555768623</v>
      </c>
      <c r="U13" s="747">
        <f t="shared" si="20"/>
        <v>4473.2565694519872</v>
      </c>
      <c r="V13" s="748">
        <f>+[6]수도권!$Q$85</f>
        <v>89627.452774937061</v>
      </c>
      <c r="W13" s="749">
        <f t="shared" si="21"/>
        <v>11128.582782749174</v>
      </c>
      <c r="X13" s="105"/>
      <c r="Z13" s="787"/>
      <c r="AA13" s="668" t="str">
        <f t="shared" si="27"/>
        <v>기타</v>
      </c>
      <c r="AB13" s="675">
        <f t="shared" si="28"/>
        <v>1.6490750033333144</v>
      </c>
      <c r="AC13" s="681">
        <f t="shared" si="22"/>
        <v>1.6452515900000027</v>
      </c>
      <c r="AD13" s="678">
        <f t="shared" si="8"/>
        <v>-3.8234133333117093E-3</v>
      </c>
      <c r="AE13" s="671">
        <f t="shared" si="23"/>
        <v>1.7408817700000485</v>
      </c>
      <c r="AF13" s="687">
        <f t="shared" si="9"/>
        <v>-9.5630180000045861E-2</v>
      </c>
      <c r="AG13" s="684">
        <f t="shared" si="24"/>
        <v>3.2981500066665874</v>
      </c>
      <c r="AH13" s="681">
        <f t="shared" si="25"/>
        <v>3.2900067000000126</v>
      </c>
      <c r="AI13" s="678">
        <f t="shared" si="10"/>
        <v>-8.1433066665748122E-3</v>
      </c>
      <c r="AJ13" s="671">
        <f t="shared" si="26"/>
        <v>3.4821019500000081</v>
      </c>
      <c r="AK13" s="675">
        <f t="shared" si="11"/>
        <v>-0.1920952499999955</v>
      </c>
    </row>
    <row r="14" spans="2:38" ht="21.75" customHeight="1">
      <c r="B14" s="598"/>
      <c r="C14" s="117" t="s">
        <v>8</v>
      </c>
      <c r="D14" s="118"/>
      <c r="E14" s="780">
        <f>SUM(E10:E13)</f>
        <v>32337.647814351232</v>
      </c>
      <c r="F14" s="781">
        <f>SUM(F10:F13)</f>
        <v>30448.812224000001</v>
      </c>
      <c r="G14" s="753">
        <f t="shared" si="12"/>
        <v>-1888.8355903512311</v>
      </c>
      <c r="H14" s="754">
        <f>SUM(H10:H13)</f>
        <v>41429.474701000006</v>
      </c>
      <c r="I14" s="755">
        <f t="shared" si="13"/>
        <v>-10980.662477000005</v>
      </c>
      <c r="J14" s="780">
        <f>SUM(J10:J13)</f>
        <v>66725.255366977188</v>
      </c>
      <c r="K14" s="781">
        <f>SUM(K10:K13)</f>
        <v>67616.410784999985</v>
      </c>
      <c r="L14" s="753">
        <f t="shared" si="1"/>
        <v>891.15541802279768</v>
      </c>
      <c r="M14" s="754">
        <f>SUM(M10:M13)</f>
        <v>76503.914579000018</v>
      </c>
      <c r="N14" s="755">
        <f t="shared" si="2"/>
        <v>-8887.5037940000329</v>
      </c>
      <c r="O14" s="100"/>
      <c r="P14" s="103"/>
      <c r="Q14" s="111"/>
      <c r="R14" s="303" t="s">
        <v>20</v>
      </c>
      <c r="S14" s="316">
        <f>+[5]영남권!$T$61</f>
        <v>101871.10057560976</v>
      </c>
      <c r="T14" s="112">
        <f>+[5]영남권!$U$61</f>
        <v>102784.6211021312</v>
      </c>
      <c r="U14" s="750">
        <f t="shared" si="20"/>
        <v>913.5205265214463</v>
      </c>
      <c r="V14" s="751">
        <f>+[6]영남권!$Q$85</f>
        <v>95374.233305789297</v>
      </c>
      <c r="W14" s="752">
        <f t="shared" si="21"/>
        <v>7410.3877963419072</v>
      </c>
      <c r="X14" s="105"/>
      <c r="Y14" s="598"/>
      <c r="Z14" s="696"/>
      <c r="AA14" s="706" t="s">
        <v>223</v>
      </c>
      <c r="AB14" s="707">
        <f>SUM(AB10:AB13)</f>
        <v>323.37647814351237</v>
      </c>
      <c r="AC14" s="724">
        <f t="shared" ref="AC14:AJ14" si="29">SUM(AC10:AC13)</f>
        <v>304.48812224</v>
      </c>
      <c r="AD14" s="708">
        <f t="shared" si="8"/>
        <v>-18.888355903512377</v>
      </c>
      <c r="AE14" s="709">
        <f t="shared" si="29"/>
        <v>414.29474701000004</v>
      </c>
      <c r="AF14" s="710">
        <f t="shared" si="9"/>
        <v>-109.80662477000004</v>
      </c>
      <c r="AG14" s="711">
        <f t="shared" si="29"/>
        <v>667.25255366977194</v>
      </c>
      <c r="AH14" s="724">
        <f t="shared" si="29"/>
        <v>676.16410785000005</v>
      </c>
      <c r="AI14" s="708">
        <f t="shared" si="10"/>
        <v>8.9115541802281086</v>
      </c>
      <c r="AJ14" s="709">
        <f t="shared" si="29"/>
        <v>765.03914579000002</v>
      </c>
      <c r="AK14" s="707">
        <f t="shared" si="11"/>
        <v>-88.87503793999997</v>
      </c>
    </row>
    <row r="15" spans="2:38" ht="21.75" customHeight="1">
      <c r="C15" s="101" t="s">
        <v>5</v>
      </c>
      <c r="D15" s="110" t="s">
        <v>53</v>
      </c>
      <c r="E15" s="775">
        <f>+('[1]2월'!$Z$10+'[1]2월'!$Z$19)/1000</f>
        <v>20068.733515674361</v>
      </c>
      <c r="F15" s="776">
        <f>+('[2]2월'!$Z$10+'[2]2월'!$Z$19)/1000</f>
        <v>19862.664409000001</v>
      </c>
      <c r="G15" s="777">
        <f t="shared" si="12"/>
        <v>-206.06910667436023</v>
      </c>
      <c r="H15" s="778">
        <f>+('[3]2월'!$Z$10+'[3]2월'!$Z$19)/1000</f>
        <v>25302.279289990005</v>
      </c>
      <c r="I15" s="779">
        <f t="shared" si="13"/>
        <v>-5439.6148809900042</v>
      </c>
      <c r="J15" s="775">
        <f>+[4]손익총괄!J15+E15</f>
        <v>41328.911725779733</v>
      </c>
      <c r="K15" s="776">
        <f>+[4]손익총괄!K15+F15</f>
        <v>44742.196586999999</v>
      </c>
      <c r="L15" s="777">
        <f t="shared" si="1"/>
        <v>3413.2848612202652</v>
      </c>
      <c r="M15" s="778">
        <f>+[4]손익총괄!M15+H15</f>
        <v>46823.388505990006</v>
      </c>
      <c r="N15" s="779">
        <f t="shared" si="2"/>
        <v>-2081.1919189900073</v>
      </c>
      <c r="O15" s="100"/>
      <c r="P15" s="103"/>
      <c r="Q15" s="111"/>
      <c r="R15" s="304" t="s">
        <v>169</v>
      </c>
      <c r="S15" s="317">
        <f>+[5]중부권!$T$61</f>
        <v>105253.67276056339</v>
      </c>
      <c r="T15" s="113">
        <f>+[5]중부권!$U$61</f>
        <v>103875.42689286635</v>
      </c>
      <c r="U15" s="753">
        <f t="shared" si="20"/>
        <v>-1378.2458676970418</v>
      </c>
      <c r="V15" s="754">
        <f>+[6]중부권!$Q$85</f>
        <v>96860.391656938606</v>
      </c>
      <c r="W15" s="755">
        <f t="shared" si="21"/>
        <v>7015.0352359277458</v>
      </c>
      <c r="X15" s="105"/>
      <c r="Z15" s="788" t="s">
        <v>222</v>
      </c>
      <c r="AA15" s="740" t="str">
        <f>+D30</f>
        <v>레미콘</v>
      </c>
      <c r="AB15" s="741">
        <f>+E30/100</f>
        <v>22.016760942549528</v>
      </c>
      <c r="AC15" s="742">
        <f t="shared" ref="AC15:AC19" si="30">+F30/100</f>
        <v>16.968997069999965</v>
      </c>
      <c r="AD15" s="743">
        <f t="shared" si="8"/>
        <v>-5.047763872549563</v>
      </c>
      <c r="AE15" s="744">
        <f t="shared" ref="AE15:AE19" si="31">+H30/100</f>
        <v>43.273358220099951</v>
      </c>
      <c r="AF15" s="745">
        <f t="shared" si="9"/>
        <v>-26.304361150099986</v>
      </c>
      <c r="AG15" s="746">
        <f t="shared" ref="AG15:AH15" si="32">+J30/100</f>
        <v>44.624156634798318</v>
      </c>
      <c r="AH15" s="742">
        <f t="shared" si="32"/>
        <v>40.214889969999966</v>
      </c>
      <c r="AI15" s="743">
        <f t="shared" si="10"/>
        <v>-4.4092666647983521</v>
      </c>
      <c r="AJ15" s="744">
        <f t="shared" ref="AJ15:AJ19" si="33">+M30/100</f>
        <v>68.68745156009993</v>
      </c>
      <c r="AK15" s="741">
        <f t="shared" si="11"/>
        <v>-28.472561590099964</v>
      </c>
    </row>
    <row r="16" spans="2:38" ht="21.75" customHeight="1">
      <c r="C16" s="101"/>
      <c r="D16" s="106" t="s">
        <v>3</v>
      </c>
      <c r="E16" s="773">
        <f>+('[1]2월'!$AA$10+'[1]2월'!$AA$19)/1000</f>
        <v>7629.6164119578953</v>
      </c>
      <c r="F16" s="774">
        <f>+('[2]2월'!$AO$10+'[2]2월'!$AO$19)/1000</f>
        <v>6592.5772969999998</v>
      </c>
      <c r="G16" s="750">
        <f>+F16-E16</f>
        <v>-1037.0391149578954</v>
      </c>
      <c r="H16" s="751">
        <f>+('[3]2월'!$AO$10+'[3]2월'!$AO$19)/1000</f>
        <v>9590.4664229999998</v>
      </c>
      <c r="I16" s="752">
        <f>+F16-H16</f>
        <v>-2997.889126</v>
      </c>
      <c r="J16" s="773">
        <f>+[4]손익총괄!J16+E16</f>
        <v>15861.563406821053</v>
      </c>
      <c r="K16" s="774">
        <f>+[4]손익총괄!K16+F16</f>
        <v>13803.102256999999</v>
      </c>
      <c r="L16" s="750">
        <f t="shared" si="1"/>
        <v>-2058.4611498210543</v>
      </c>
      <c r="M16" s="751">
        <f>+[4]손익총괄!M16+H16</f>
        <v>18234.321037000002</v>
      </c>
      <c r="N16" s="752">
        <f t="shared" si="2"/>
        <v>-4431.2187800000029</v>
      </c>
      <c r="O16" s="100"/>
      <c r="P16" s="103"/>
      <c r="Q16" s="114" t="s">
        <v>73</v>
      </c>
      <c r="R16" s="305"/>
      <c r="S16" s="318">
        <f>+[5]합계!$T$61</f>
        <v>100174.78637523718</v>
      </c>
      <c r="T16" s="115">
        <f>+[5]합계!$U$61</f>
        <v>102142.72966989514</v>
      </c>
      <c r="U16" s="756">
        <f>+T16-S16</f>
        <v>1967.9432946579618</v>
      </c>
      <c r="V16" s="757">
        <f>+[6]합계!$Q$85</f>
        <v>93402.766494392854</v>
      </c>
      <c r="W16" s="758">
        <f>+T16-V16</f>
        <v>8739.9631755022856</v>
      </c>
      <c r="X16" s="105"/>
      <c r="Z16" s="789"/>
      <c r="AA16" s="698" t="str">
        <f t="shared" ref="AA16" si="34">+D31</f>
        <v>%</v>
      </c>
      <c r="AB16" s="699">
        <f>+E31</f>
        <v>9.597530912056125E-2</v>
      </c>
      <c r="AC16" s="700">
        <f>+F31</f>
        <v>7.6362822253556104E-2</v>
      </c>
      <c r="AD16" s="701">
        <f t="shared" si="8"/>
        <v>-1.9612486867005147E-2</v>
      </c>
      <c r="AE16" s="702">
        <f>+H31</f>
        <v>0.14304343780840525</v>
      </c>
      <c r="AF16" s="703">
        <f t="shared" si="9"/>
        <v>-6.6680615554849151E-2</v>
      </c>
      <c r="AG16" s="704">
        <f>+J31</f>
        <v>9.4714032829814651E-2</v>
      </c>
      <c r="AH16" s="700">
        <f>+K31</f>
        <v>8.0273746283534217E-2</v>
      </c>
      <c r="AI16" s="701">
        <f t="shared" si="10"/>
        <v>-1.4440286546280434E-2</v>
      </c>
      <c r="AJ16" s="702">
        <f>+M31</f>
        <v>0.12479606868146642</v>
      </c>
      <c r="AK16" s="699">
        <f t="shared" si="11"/>
        <v>-4.4522322397932204E-2</v>
      </c>
      <c r="AL16" s="705"/>
    </row>
    <row r="17" spans="2:37" ht="21.75" customHeight="1">
      <c r="C17" s="101"/>
      <c r="D17" s="106" t="s">
        <v>1</v>
      </c>
      <c r="E17" s="773">
        <f>+('[1]2월'!$AE$10+'[1]2월'!$AE$19)/1000</f>
        <v>1253.5392182402495</v>
      </c>
      <c r="F17" s="774">
        <f>+('[2]2월'!$AN$10+'[2]2월'!$AN$19)/1000</f>
        <v>1171.5759620000001</v>
      </c>
      <c r="G17" s="750">
        <f t="shared" si="12"/>
        <v>-81.963256240249393</v>
      </c>
      <c r="H17" s="751">
        <f>+('[3]2월'!$AN$10+'[3]2월'!$AN$19)/1000</f>
        <v>1061.8680049999998</v>
      </c>
      <c r="I17" s="752">
        <f t="shared" si="13"/>
        <v>109.70795700000031</v>
      </c>
      <c r="J17" s="773">
        <f>+[4]손익총괄!J17+E17</f>
        <v>2790.955299459516</v>
      </c>
      <c r="K17" s="774">
        <f>+[4]손익총괄!K17+F17</f>
        <v>2664.8506580000003</v>
      </c>
      <c r="L17" s="750">
        <f t="shared" si="1"/>
        <v>-126.10464145951573</v>
      </c>
      <c r="M17" s="751">
        <f>+[4]손익총괄!M17+H17</f>
        <v>2324.0547459999998</v>
      </c>
      <c r="N17" s="752">
        <f t="shared" si="2"/>
        <v>340.7959120000005</v>
      </c>
      <c r="O17" s="100"/>
      <c r="P17" s="103"/>
      <c r="Q17" s="297" t="s">
        <v>75</v>
      </c>
      <c r="R17" s="306" t="s">
        <v>19</v>
      </c>
      <c r="S17" s="319">
        <f>+[5]수도권!$Q$90</f>
        <v>16864.445570986543</v>
      </c>
      <c r="T17" s="119">
        <f>+[5]수도권!$R$90</f>
        <v>19293.329746845411</v>
      </c>
      <c r="U17" s="759">
        <f t="shared" si="20"/>
        <v>2428.8841758588678</v>
      </c>
      <c r="V17" s="760">
        <f>+[6]수도권!$Q$90</f>
        <v>17555.490688344711</v>
      </c>
      <c r="W17" s="761">
        <f t="shared" si="21"/>
        <v>1737.8390585007</v>
      </c>
      <c r="X17" s="105"/>
      <c r="Z17" s="789"/>
      <c r="AA17" s="669" t="str">
        <f t="shared" ref="AA17" si="35">+D32</f>
        <v>건자재</v>
      </c>
      <c r="AB17" s="677">
        <f t="shared" ref="AB17:AB19" si="36">+E32/100</f>
        <v>0.71181192778948144</v>
      </c>
      <c r="AC17" s="683">
        <f t="shared" si="30"/>
        <v>0.4184467900000024</v>
      </c>
      <c r="AD17" s="680">
        <f t="shared" si="8"/>
        <v>-0.29336513778947904</v>
      </c>
      <c r="AE17" s="673">
        <f t="shared" si="31"/>
        <v>0.77227243000001056</v>
      </c>
      <c r="AF17" s="689">
        <f t="shared" si="9"/>
        <v>-0.35382564000000816</v>
      </c>
      <c r="AG17" s="686">
        <f t="shared" ref="AG17:AH17" si="37">+J32/100</f>
        <v>1.659316758105283</v>
      </c>
      <c r="AH17" s="683">
        <f t="shared" si="37"/>
        <v>1.1711189000000188</v>
      </c>
      <c r="AI17" s="680">
        <f t="shared" si="10"/>
        <v>-0.48819785810526417</v>
      </c>
      <c r="AJ17" s="673">
        <f t="shared" si="33"/>
        <v>1.5162617700000001</v>
      </c>
      <c r="AK17" s="677">
        <f t="shared" si="11"/>
        <v>-0.34514286999998123</v>
      </c>
    </row>
    <row r="18" spans="2:37" ht="21.75" customHeight="1">
      <c r="C18" s="101"/>
      <c r="D18" s="116" t="s">
        <v>4</v>
      </c>
      <c r="E18" s="780">
        <f>+('[1]2월'!$E$10+'[1]2월'!$E$19)/1000-E15-E16-E17</f>
        <v>28.82196700000236</v>
      </c>
      <c r="F18" s="781">
        <f>+('[2]2월'!$F$10+'[2]2월'!$F$19)/1000-F15-F16-F17</f>
        <v>28.428296000004366</v>
      </c>
      <c r="G18" s="753">
        <f t="shared" si="12"/>
        <v>-0.39367099999799393</v>
      </c>
      <c r="H18" s="754">
        <f>+('[3]2월'!$F$10+'[3]2월'!$F$19)/1000-H15-H16-H17</f>
        <v>24.822708000005605</v>
      </c>
      <c r="I18" s="755">
        <f t="shared" si="13"/>
        <v>3.605587999998761</v>
      </c>
      <c r="J18" s="780">
        <f>+[4]손익총괄!J18+E18</f>
        <v>57.763034999997899</v>
      </c>
      <c r="K18" s="781">
        <f>+[4]손익총괄!K18+F18</f>
        <v>56.940114000006588</v>
      </c>
      <c r="L18" s="753">
        <f t="shared" si="1"/>
        <v>-0.82292099999131096</v>
      </c>
      <c r="M18" s="754">
        <f>+[4]손익총괄!M18+H18</f>
        <v>49.173497000003408</v>
      </c>
      <c r="N18" s="755">
        <f t="shared" si="2"/>
        <v>7.7666170000031798</v>
      </c>
      <c r="O18" s="100"/>
      <c r="P18" s="103"/>
      <c r="Q18" s="298"/>
      <c r="R18" s="307" t="s">
        <v>20</v>
      </c>
      <c r="S18" s="320">
        <f>+[5]영남권!$Q$90</f>
        <v>25870.777268013306</v>
      </c>
      <c r="T18" s="120">
        <f>+[5]영남권!$R$90</f>
        <v>22654.141476179604</v>
      </c>
      <c r="U18" s="762">
        <f t="shared" si="20"/>
        <v>-3216.6357918337017</v>
      </c>
      <c r="V18" s="763">
        <f>+[6]영남권!$Q$90</f>
        <v>25212.577569573463</v>
      </c>
      <c r="W18" s="764">
        <f t="shared" si="21"/>
        <v>-2558.4360933938588</v>
      </c>
      <c r="X18" s="105"/>
      <c r="Z18" s="789"/>
      <c r="AA18" s="669" t="str">
        <f t="shared" ref="AA18" si="38">+D33</f>
        <v>골재</v>
      </c>
      <c r="AB18" s="677">
        <f t="shared" si="36"/>
        <v>1.1068049111149418</v>
      </c>
      <c r="AC18" s="683">
        <f t="shared" si="30"/>
        <v>0.79179365310892758</v>
      </c>
      <c r="AD18" s="680">
        <f t="shared" si="8"/>
        <v>-0.31501125800601426</v>
      </c>
      <c r="AE18" s="673">
        <f t="shared" si="31"/>
        <v>1.3400469900000025</v>
      </c>
      <c r="AF18" s="689">
        <f t="shared" si="9"/>
        <v>-0.54825333689107492</v>
      </c>
      <c r="AG18" s="686">
        <f t="shared" ref="AG18:AH18" si="39">+J33/100</f>
        <v>1.377055149598692</v>
      </c>
      <c r="AH18" s="683">
        <f t="shared" si="39"/>
        <v>2.6325309755262754</v>
      </c>
      <c r="AI18" s="680">
        <f t="shared" si="10"/>
        <v>1.2554758259275833</v>
      </c>
      <c r="AJ18" s="673">
        <f t="shared" si="33"/>
        <v>1.5243925500000046</v>
      </c>
      <c r="AK18" s="677">
        <f t="shared" si="11"/>
        <v>1.1081384255262707</v>
      </c>
    </row>
    <row r="19" spans="2:37" ht="21.75" customHeight="1">
      <c r="C19" s="101" t="s">
        <v>8</v>
      </c>
      <c r="D19" s="121"/>
      <c r="E19" s="773">
        <f>SUM(E15:E18)</f>
        <v>28980.711112872508</v>
      </c>
      <c r="F19" s="774">
        <f>SUM(F15:F18)</f>
        <v>27655.245964000005</v>
      </c>
      <c r="G19" s="750">
        <f t="shared" si="12"/>
        <v>-1325.4651488725031</v>
      </c>
      <c r="H19" s="751">
        <f>SUM(H15:H18)</f>
        <v>35979.43642599001</v>
      </c>
      <c r="I19" s="752">
        <f t="shared" si="13"/>
        <v>-8324.1904619900051</v>
      </c>
      <c r="J19" s="773">
        <f>SUM(J15:J18)</f>
        <v>60039.193467060293</v>
      </c>
      <c r="K19" s="774">
        <f>SUM(K15:K18)</f>
        <v>61267.089616000005</v>
      </c>
      <c r="L19" s="750">
        <f t="shared" si="1"/>
        <v>1227.8961489397116</v>
      </c>
      <c r="M19" s="751">
        <f>SUM(M15:M18)</f>
        <v>67430.937785990012</v>
      </c>
      <c r="N19" s="752">
        <f t="shared" si="2"/>
        <v>-6163.8481699900076</v>
      </c>
      <c r="O19" s="100"/>
      <c r="P19" s="103"/>
      <c r="Q19" s="298"/>
      <c r="R19" s="308" t="s">
        <v>169</v>
      </c>
      <c r="S19" s="321">
        <f>+[5]중부권!$Q$90</f>
        <v>27902.674294010183</v>
      </c>
      <c r="T19" s="122">
        <f>+[5]중부권!$R$90</f>
        <v>26459.748343270126</v>
      </c>
      <c r="U19" s="765">
        <f t="shared" si="20"/>
        <v>-1442.9259507400566</v>
      </c>
      <c r="V19" s="766">
        <f>+[6]중부권!$Q$90</f>
        <v>26932.075496647696</v>
      </c>
      <c r="W19" s="767">
        <f t="shared" si="21"/>
        <v>-472.32715337756963</v>
      </c>
      <c r="X19" s="105"/>
      <c r="Z19" s="789"/>
      <c r="AA19" s="669" t="str">
        <f t="shared" ref="AA19" si="40">+D34</f>
        <v>기타</v>
      </c>
      <c r="AB19" s="677">
        <f t="shared" si="36"/>
        <v>-9.7074253884617292</v>
      </c>
      <c r="AC19" s="683">
        <f t="shared" si="30"/>
        <v>-6.5866733530985515</v>
      </c>
      <c r="AD19" s="680">
        <f t="shared" si="8"/>
        <v>3.1207520353631777</v>
      </c>
      <c r="AE19" s="673">
        <f t="shared" si="31"/>
        <v>-7.3141406900000057</v>
      </c>
      <c r="AF19" s="689">
        <f t="shared" si="9"/>
        <v>0.72746733690145415</v>
      </c>
      <c r="AG19" s="686">
        <f t="shared" ref="AG19:AH19" si="41">+J34/100</f>
        <v>-23.495939836112111</v>
      </c>
      <c r="AH19" s="683">
        <f t="shared" si="41"/>
        <v>-21.275290315537532</v>
      </c>
      <c r="AI19" s="680">
        <f t="shared" si="10"/>
        <v>2.2206495205745789</v>
      </c>
      <c r="AJ19" s="673">
        <f t="shared" si="33"/>
        <v>-18.932991710000021</v>
      </c>
      <c r="AK19" s="677">
        <f t="shared" si="11"/>
        <v>-2.3422986055375112</v>
      </c>
    </row>
    <row r="20" spans="2:37" ht="21.75" customHeight="1">
      <c r="C20" s="109" t="s">
        <v>18</v>
      </c>
      <c r="D20" s="110" t="s">
        <v>53</v>
      </c>
      <c r="E20" s="775">
        <f t="shared" ref="E20:F23" si="42">+E10-E15</f>
        <v>2871.2925642549526</v>
      </c>
      <c r="F20" s="776">
        <f t="shared" si="42"/>
        <v>2358.8781809999964</v>
      </c>
      <c r="G20" s="777">
        <f t="shared" si="12"/>
        <v>-512.41438325495619</v>
      </c>
      <c r="H20" s="778">
        <f t="shared" ref="H20" si="43">+H10-H15</f>
        <v>4949.6210300099956</v>
      </c>
      <c r="I20" s="779">
        <f t="shared" si="13"/>
        <v>-2590.7428490099992</v>
      </c>
      <c r="J20" s="775">
        <f t="shared" ref="J20:K20" si="44">+J10-J15</f>
        <v>5785.7082534798319</v>
      </c>
      <c r="K20" s="776">
        <f t="shared" si="44"/>
        <v>5354.9918859999962</v>
      </c>
      <c r="L20" s="777">
        <f t="shared" si="1"/>
        <v>-430.71636747983575</v>
      </c>
      <c r="M20" s="778">
        <f t="shared" ref="M20" si="45">+M10-M15</f>
        <v>8216.3673820099939</v>
      </c>
      <c r="N20" s="779">
        <f t="shared" si="2"/>
        <v>-2861.3754960099977</v>
      </c>
      <c r="O20" s="100"/>
      <c r="P20" s="103"/>
      <c r="Q20" s="299" t="s">
        <v>73</v>
      </c>
      <c r="R20" s="309"/>
      <c r="S20" s="322">
        <f>+[5]합계!$Q$90</f>
        <v>22606.830368421375</v>
      </c>
      <c r="T20" s="123">
        <f>+[5]합계!$R$90</f>
        <v>21876.256105303211</v>
      </c>
      <c r="U20" s="768">
        <f t="shared" si="20"/>
        <v>-730.5742631181638</v>
      </c>
      <c r="V20" s="769">
        <f>+[6]합계!$Q$90</f>
        <v>22546.820123879821</v>
      </c>
      <c r="W20" s="770">
        <f t="shared" si="21"/>
        <v>-670.56401857660967</v>
      </c>
      <c r="X20" s="105"/>
      <c r="Z20" s="789"/>
      <c r="AA20" s="712" t="s">
        <v>223</v>
      </c>
      <c r="AB20" s="713">
        <f>+AB15+AB17+AB18+AB19</f>
        <v>14.127952392992221</v>
      </c>
      <c r="AC20" s="725">
        <f>+AC15+AC17+AC18+AC19</f>
        <v>11.592564160010344</v>
      </c>
      <c r="AD20" s="714">
        <f t="shared" si="8"/>
        <v>-2.5353882329818767</v>
      </c>
      <c r="AE20" s="715">
        <f>+AE15+AE17+AE18+AE19</f>
        <v>38.071536950099954</v>
      </c>
      <c r="AF20" s="716">
        <f t="shared" si="9"/>
        <v>-26.47897279008961</v>
      </c>
      <c r="AG20" s="717">
        <f t="shared" ref="AG20:AH20" si="46">+AG15+AG17+AG18+AG19</f>
        <v>24.16458870639018</v>
      </c>
      <c r="AH20" s="725">
        <f t="shared" si="46"/>
        <v>22.743249529988724</v>
      </c>
      <c r="AI20" s="714">
        <f t="shared" si="10"/>
        <v>-1.4213391764014567</v>
      </c>
      <c r="AJ20" s="715">
        <f>+AJ15+AJ17+AJ18+AJ19</f>
        <v>52.795114170099907</v>
      </c>
      <c r="AK20" s="713">
        <f t="shared" si="11"/>
        <v>-30.051864640111184</v>
      </c>
    </row>
    <row r="21" spans="2:37" ht="21.75" customHeight="1" thickBot="1">
      <c r="C21" s="101"/>
      <c r="D21" s="106" t="s">
        <v>3</v>
      </c>
      <c r="E21" s="773">
        <f t="shared" si="42"/>
        <v>200.58148277894816</v>
      </c>
      <c r="F21" s="774">
        <f t="shared" si="42"/>
        <v>173.08067800000026</v>
      </c>
      <c r="G21" s="750">
        <f>+F21-E21</f>
        <v>-27.500804778947895</v>
      </c>
      <c r="H21" s="751">
        <f t="shared" ref="H21" si="47">+H11-H16</f>
        <v>199.00458100000105</v>
      </c>
      <c r="I21" s="752">
        <f>+F21-H21</f>
        <v>-25.923903000000792</v>
      </c>
      <c r="J21" s="773">
        <f t="shared" ref="J21:K21" si="48">+J11-J16</f>
        <v>416.57764581052834</v>
      </c>
      <c r="K21" s="774">
        <f t="shared" si="48"/>
        <v>370.51288500000192</v>
      </c>
      <c r="L21" s="750">
        <f t="shared" si="1"/>
        <v>-46.064760810526423</v>
      </c>
      <c r="M21" s="751">
        <f t="shared" ref="M21" si="49">+M11-M16</f>
        <v>368.78425900000002</v>
      </c>
      <c r="N21" s="752">
        <f t="shared" si="2"/>
        <v>1.7286260000018956</v>
      </c>
      <c r="O21" s="100"/>
      <c r="P21" s="103"/>
      <c r="Q21" s="157" t="s">
        <v>106</v>
      </c>
      <c r="R21" s="158"/>
      <c r="S21" s="159"/>
      <c r="T21" s="165"/>
      <c r="U21" s="159"/>
      <c r="X21" s="105"/>
      <c r="Z21" s="697"/>
      <c r="AA21" s="718" t="str">
        <f t="shared" ref="AA21:AK21" si="50">+D36</f>
        <v>%</v>
      </c>
      <c r="AB21" s="719">
        <f t="shared" si="50"/>
        <v>4.36888683867796E-2</v>
      </c>
      <c r="AC21" s="726">
        <f t="shared" si="50"/>
        <v>3.8072303361879549E-2</v>
      </c>
      <c r="AD21" s="720">
        <f t="shared" si="50"/>
        <v>-5.6165650249000512E-3</v>
      </c>
      <c r="AE21" s="721">
        <f t="shared" si="50"/>
        <v>9.1894809733566354E-2</v>
      </c>
      <c r="AF21" s="722">
        <f t="shared" si="50"/>
        <v>-5.3822506371686805E-2</v>
      </c>
      <c r="AG21" s="723">
        <f t="shared" si="50"/>
        <v>3.6215056163500882E-2</v>
      </c>
      <c r="AH21" s="726">
        <f t="shared" si="50"/>
        <v>3.3635694746214015E-2</v>
      </c>
      <c r="AI21" s="720">
        <f t="shared" si="50"/>
        <v>-2.579361417286867E-3</v>
      </c>
      <c r="AJ21" s="721">
        <f t="shared" si="50"/>
        <v>6.9009689844801658E-2</v>
      </c>
      <c r="AK21" s="719">
        <f t="shared" si="50"/>
        <v>-3.5373995098587643E-2</v>
      </c>
    </row>
    <row r="22" spans="2:37" ht="21.75" customHeight="1">
      <c r="C22" s="101"/>
      <c r="D22" s="106" t="s">
        <v>1</v>
      </c>
      <c r="E22" s="773">
        <f t="shared" si="42"/>
        <v>148.97712111149417</v>
      </c>
      <c r="F22" s="774">
        <f t="shared" si="42"/>
        <v>125.51053799999977</v>
      </c>
      <c r="G22" s="750">
        <f t="shared" si="12"/>
        <v>-23.466583111494401</v>
      </c>
      <c r="H22" s="751">
        <f t="shared" ref="H22" si="51">+H12-H17</f>
        <v>152.14719500000024</v>
      </c>
      <c r="I22" s="752">
        <f t="shared" si="13"/>
        <v>-26.636657000000469</v>
      </c>
      <c r="J22" s="773">
        <f t="shared" ref="J22:K22" si="52">+J12-J17</f>
        <v>211.72403495986919</v>
      </c>
      <c r="K22" s="774">
        <f t="shared" si="52"/>
        <v>351.75584199999957</v>
      </c>
      <c r="L22" s="750">
        <f t="shared" si="1"/>
        <v>140.03180704013039</v>
      </c>
      <c r="M22" s="751">
        <f t="shared" ref="M22" si="53">+M12-M17</f>
        <v>188.78845400000046</v>
      </c>
      <c r="N22" s="752">
        <f t="shared" si="2"/>
        <v>162.96738799999912</v>
      </c>
      <c r="O22" s="100"/>
      <c r="P22" s="103"/>
      <c r="Q22" s="345" t="s">
        <v>11</v>
      </c>
      <c r="R22" s="346"/>
      <c r="S22" s="347" t="s">
        <v>15</v>
      </c>
      <c r="T22" s="348" t="s">
        <v>16</v>
      </c>
      <c r="U22" s="349" t="s">
        <v>113</v>
      </c>
      <c r="V22" s="348" t="s">
        <v>17</v>
      </c>
      <c r="W22" s="350" t="s">
        <v>114</v>
      </c>
      <c r="X22" s="105"/>
    </row>
    <row r="23" spans="2:37" ht="21.75" customHeight="1">
      <c r="C23" s="101"/>
      <c r="D23" s="116" t="s">
        <v>4</v>
      </c>
      <c r="E23" s="780">
        <f t="shared" si="42"/>
        <v>136.08553333332907</v>
      </c>
      <c r="F23" s="781">
        <f t="shared" si="42"/>
        <v>136.09686299999589</v>
      </c>
      <c r="G23" s="753">
        <f t="shared" si="12"/>
        <v>1.1329666666824778E-2</v>
      </c>
      <c r="H23" s="754">
        <f t="shared" ref="H23" si="54">+H13-H18</f>
        <v>149.26546899999926</v>
      </c>
      <c r="I23" s="755">
        <f t="shared" si="13"/>
        <v>-13.168606000003365</v>
      </c>
      <c r="J23" s="780">
        <f t="shared" ref="J23:K23" si="55">+J13-J18</f>
        <v>272.05196566666086</v>
      </c>
      <c r="K23" s="781">
        <f t="shared" si="55"/>
        <v>272.06055599999468</v>
      </c>
      <c r="L23" s="753">
        <f t="shared" si="1"/>
        <v>8.59033333381376E-3</v>
      </c>
      <c r="M23" s="754">
        <f t="shared" ref="M23" si="56">+M13-M18</f>
        <v>299.03669799999739</v>
      </c>
      <c r="N23" s="755">
        <f t="shared" si="2"/>
        <v>-26.97614200000271</v>
      </c>
      <c r="O23" s="100"/>
      <c r="P23" s="103"/>
      <c r="Q23" s="160" t="s">
        <v>107</v>
      </c>
      <c r="R23" s="161"/>
      <c r="S23" s="331">
        <f>+'[7]2월'!$F$10</f>
        <v>978125</v>
      </c>
      <c r="T23" s="337">
        <f>+'[7]2월'!$G$10</f>
        <v>886130.8859870329</v>
      </c>
      <c r="U23" s="334">
        <f>+T23-S23</f>
        <v>-91994.114012967097</v>
      </c>
      <c r="V23" s="313">
        <f>+'[8]2월'!$G$10</f>
        <v>1027486.9738044508</v>
      </c>
      <c r="W23" s="310">
        <f>+T23-V23</f>
        <v>-141356.08781741792</v>
      </c>
      <c r="X23" s="105"/>
    </row>
    <row r="24" spans="2:37" ht="21.75" customHeight="1">
      <c r="C24" s="117" t="s">
        <v>8</v>
      </c>
      <c r="D24" s="118"/>
      <c r="E24" s="780">
        <f>SUM(E20:E23)</f>
        <v>3356.936701478724</v>
      </c>
      <c r="F24" s="781">
        <f>SUM(F20:F23)</f>
        <v>2793.5662599999923</v>
      </c>
      <c r="G24" s="753">
        <f t="shared" si="12"/>
        <v>-563.37044147873166</v>
      </c>
      <c r="H24" s="754">
        <f>SUM(H20:H23)</f>
        <v>5450.0382750099961</v>
      </c>
      <c r="I24" s="755">
        <f t="shared" si="13"/>
        <v>-2656.4720150100038</v>
      </c>
      <c r="J24" s="780">
        <f>SUM(J20:J23)</f>
        <v>6686.0618999168901</v>
      </c>
      <c r="K24" s="781">
        <f>SUM(K20:K23)</f>
        <v>6349.3211689999926</v>
      </c>
      <c r="L24" s="753">
        <f t="shared" si="1"/>
        <v>-336.74073091689752</v>
      </c>
      <c r="M24" s="754">
        <f>SUM(M20:M23)</f>
        <v>9072.9767930099933</v>
      </c>
      <c r="N24" s="755">
        <f t="shared" si="2"/>
        <v>-2723.6556240100008</v>
      </c>
      <c r="O24" s="100"/>
      <c r="P24" s="103"/>
      <c r="Q24" s="162" t="s">
        <v>108</v>
      </c>
      <c r="R24" s="163"/>
      <c r="S24" s="332">
        <f>+'[7]2월'!$F$15</f>
        <v>2.3317891373801917E-2</v>
      </c>
      <c r="T24" s="338">
        <f>+'[7]2월'!$G$15</f>
        <v>2.7130154457106714E-2</v>
      </c>
      <c r="U24" s="335">
        <f>+T24-S24</f>
        <v>3.8122630833047969E-3</v>
      </c>
      <c r="V24" s="314">
        <f>+'[8]2월'!$G$15</f>
        <v>1.9650368013442967E-2</v>
      </c>
      <c r="W24" s="311">
        <f>+T24-V24</f>
        <v>7.4797864436637468E-3</v>
      </c>
      <c r="X24" s="105"/>
    </row>
    <row r="25" spans="2:37" ht="21.75" customHeight="1">
      <c r="C25" s="109" t="s">
        <v>6</v>
      </c>
      <c r="D25" s="110" t="s">
        <v>53</v>
      </c>
      <c r="E25" s="775">
        <f>+('[1]2월'!$Z$13+'[1]2월'!$Z$20)/1000</f>
        <v>669.61646999999982</v>
      </c>
      <c r="F25" s="776">
        <f>+('[2]2월'!$Z$13+'[2]2월'!$Z$20)/1000</f>
        <v>661.97847399999989</v>
      </c>
      <c r="G25" s="777">
        <f t="shared" si="12"/>
        <v>-7.6379959999999301</v>
      </c>
      <c r="H25" s="778">
        <f>+('[3]2월'!$Z$13+'[3]2월'!$Z$20)/1000</f>
        <v>622.28520800000013</v>
      </c>
      <c r="I25" s="779">
        <f t="shared" si="13"/>
        <v>39.693265999999767</v>
      </c>
      <c r="J25" s="775">
        <f>+[4]손익총괄!J25+E25</f>
        <v>1323.2925899999998</v>
      </c>
      <c r="K25" s="776">
        <f>+[4]손익총괄!K25+F25</f>
        <v>1333.5028889999999</v>
      </c>
      <c r="L25" s="777">
        <f t="shared" si="1"/>
        <v>10.210299000000077</v>
      </c>
      <c r="M25" s="778">
        <f>+[4]손익총괄!M25+H25</f>
        <v>1347.6222260000004</v>
      </c>
      <c r="N25" s="779">
        <f t="shared" si="2"/>
        <v>-14.119337000000542</v>
      </c>
      <c r="O25" s="100"/>
      <c r="P25" s="103"/>
      <c r="Q25" s="157" t="s">
        <v>109</v>
      </c>
      <c r="R25" s="164"/>
      <c r="S25" s="75"/>
      <c r="T25" s="165"/>
      <c r="U25" s="75"/>
      <c r="X25" s="105"/>
    </row>
    <row r="26" spans="2:37" ht="21.75" customHeight="1">
      <c r="C26" s="101"/>
      <c r="D26" s="106" t="s">
        <v>85</v>
      </c>
      <c r="E26" s="773">
        <f>+('[1]2월'!$AA$13+'[1]2월'!$AA$20)/1000</f>
        <v>129.40029000000001</v>
      </c>
      <c r="F26" s="774">
        <f>+('[2]2월'!$AO$13+'[2]2월'!$AO$20)/1000</f>
        <v>131.23599900000002</v>
      </c>
      <c r="G26" s="750">
        <f>+F26-E26</f>
        <v>1.8357090000000085</v>
      </c>
      <c r="H26" s="751">
        <f>+('[3]2월'!$AO$13+'[3]2월'!$AO$20)/1000</f>
        <v>121.777338</v>
      </c>
      <c r="I26" s="752">
        <f>+F26-H26</f>
        <v>9.4586610000000206</v>
      </c>
      <c r="J26" s="773">
        <f>+[4]손익총괄!J26+E26</f>
        <v>250.64597000000003</v>
      </c>
      <c r="K26" s="774">
        <f>+[4]손익총괄!K26+F26</f>
        <v>253.40099500000002</v>
      </c>
      <c r="L26" s="750">
        <f t="shared" si="1"/>
        <v>2.7550249999999892</v>
      </c>
      <c r="M26" s="751">
        <f>+[4]손익총괄!M26+H26</f>
        <v>217.15808200000001</v>
      </c>
      <c r="N26" s="752">
        <f t="shared" si="2"/>
        <v>36.242913000000016</v>
      </c>
      <c r="O26" s="100"/>
      <c r="P26" s="103"/>
      <c r="Q26" s="345" t="s">
        <v>11</v>
      </c>
      <c r="R26" s="346"/>
      <c r="S26" s="347" t="s">
        <v>15</v>
      </c>
      <c r="T26" s="348" t="s">
        <v>16</v>
      </c>
      <c r="U26" s="349" t="s">
        <v>113</v>
      </c>
      <c r="V26" s="348" t="s">
        <v>17</v>
      </c>
      <c r="W26" s="350" t="s">
        <v>114</v>
      </c>
      <c r="X26" s="105"/>
    </row>
    <row r="27" spans="2:37" ht="21.75" customHeight="1">
      <c r="C27" s="101"/>
      <c r="D27" s="106" t="s">
        <v>1</v>
      </c>
      <c r="E27" s="773">
        <f>+('[1]2월'!$AE$13+'[1]2월'!$AE$20+'[1]2월'!$AE$22)/1000</f>
        <v>38.29663</v>
      </c>
      <c r="F27" s="774">
        <f>+('[2]2월'!$AN$13+'[2]2월'!$AN$20+'[2]2월'!$AN$22)/1000</f>
        <v>46.331172689106999</v>
      </c>
      <c r="G27" s="750">
        <f t="shared" si="12"/>
        <v>8.0345426891069991</v>
      </c>
      <c r="H27" s="751">
        <f>+('[3]2월'!$AN$13+'[3]2월'!$AN$20+'[3]2월'!$AN$22)/1000</f>
        <v>18.142495999999998</v>
      </c>
      <c r="I27" s="752">
        <f t="shared" si="13"/>
        <v>28.188676689107002</v>
      </c>
      <c r="J27" s="773">
        <f>+[4]손익총괄!J27+E27</f>
        <v>74.018519999999995</v>
      </c>
      <c r="K27" s="774">
        <f>+[4]손익총괄!K27+F27</f>
        <v>88.502744447372038</v>
      </c>
      <c r="L27" s="750">
        <f t="shared" si="1"/>
        <v>14.484224447372043</v>
      </c>
      <c r="M27" s="751">
        <f>+[4]손익총괄!M27+H27</f>
        <v>36.349198999999999</v>
      </c>
      <c r="N27" s="752">
        <f t="shared" si="2"/>
        <v>52.153545447372039</v>
      </c>
      <c r="O27" s="100"/>
      <c r="P27" s="103"/>
      <c r="Q27" s="1" t="s">
        <v>110</v>
      </c>
      <c r="R27" s="300" t="s">
        <v>111</v>
      </c>
      <c r="S27" s="331">
        <f>(+'[9]서부산크라샤(당월)'!$N$66+'[9]부산모래장(당월)'!$Q$48+'[9]부산크라샤(당월)'!$N$66)/1000</f>
        <v>39.362081186501989</v>
      </c>
      <c r="T27" s="337">
        <f>(+'[9]서부산크라샤(당월)'!$O$66+'[9]부산모래장(당월)'!$R$48+'[9]부산크라샤(당월)'!$O$66)/1000</f>
        <v>41.722000000000001</v>
      </c>
      <c r="U27" s="334">
        <f>+T27-S27</f>
        <v>2.3599188134980125</v>
      </c>
      <c r="V27" s="313">
        <f>('[10]부산골재(당월)'!$R$48+'[10]서부산골재(당월)'!$O$66+'[10]부산크라샤(당월)'!$O$66)/1000</f>
        <v>44.26</v>
      </c>
      <c r="W27" s="310">
        <f>+T27-V27</f>
        <v>-2.5379999999999967</v>
      </c>
      <c r="X27" s="105"/>
    </row>
    <row r="28" spans="2:37" ht="21.75" customHeight="1">
      <c r="B28" s="98"/>
      <c r="C28" s="101"/>
      <c r="D28" s="116" t="s">
        <v>4</v>
      </c>
      <c r="E28" s="780">
        <f>+('[1]2월'!$E$13+'[1]2월'!$E$20)/1000-E25-E26-E27+('[1]2월'!$E$22/1000)</f>
        <v>1106.828072179502</v>
      </c>
      <c r="F28" s="781">
        <f>+('[2]2월'!$F$13+'[2]2월'!$F$20)/1000-F25-F26-F27+'[2]2월'!$F$22/1000</f>
        <v>794.76419830985105</v>
      </c>
      <c r="G28" s="753">
        <f t="shared" si="12"/>
        <v>-312.06387386965093</v>
      </c>
      <c r="H28" s="754">
        <f>+('[3]2월'!$F$13+'[3]2월'!$F$20)/1000-H25-H26-H27+'[3]2월'!$F$22/1000</f>
        <v>880.67953799999987</v>
      </c>
      <c r="I28" s="755">
        <f t="shared" si="13"/>
        <v>-85.915339690148812</v>
      </c>
      <c r="J28" s="780">
        <f>+[4]손익총괄!J28+E28</f>
        <v>2621.6459492778722</v>
      </c>
      <c r="K28" s="781">
        <f>+[4]손익총괄!K28+F28</f>
        <v>2399.5895875537476</v>
      </c>
      <c r="L28" s="753">
        <f t="shared" si="1"/>
        <v>-222.0563617241246</v>
      </c>
      <c r="M28" s="754">
        <f>+[4]손익총괄!M28+H28</f>
        <v>2192.3358689999995</v>
      </c>
      <c r="N28" s="755">
        <f t="shared" si="2"/>
        <v>207.25371855374806</v>
      </c>
      <c r="O28" s="100"/>
      <c r="P28" s="103"/>
      <c r="Q28" s="2"/>
      <c r="R28" s="301" t="s">
        <v>112</v>
      </c>
      <c r="S28" s="333">
        <f>(+'[9]서부산크라샤(당월)'!$N$59+'[9]부산모래장(당월)'!$Q$47+'[9]부산크라샤(당월)'!$N$59)/1000</f>
        <v>27.5</v>
      </c>
      <c r="T28" s="154">
        <f>(+'[9]서부산크라샤(당월)'!$O$59+'[9]부산모래장(당월)'!$R$47+'[9]부산크라샤(당월)'!$O$59)/1000</f>
        <v>23.55</v>
      </c>
      <c r="U28" s="336">
        <f>+T28-S28</f>
        <v>-3.9499999999999993</v>
      </c>
      <c r="V28" s="73">
        <f>+('[10]부산골재(당월)'!$R$47+'[10]서부산골재(당월)'!$O$59+'[10]부산크라샤(당월)'!$O$59)/1000</f>
        <v>20.488</v>
      </c>
      <c r="W28" s="312">
        <f>+T28-V28</f>
        <v>3.0620000000000012</v>
      </c>
      <c r="X28" s="105"/>
    </row>
    <row r="29" spans="2:37" ht="21.75" customHeight="1">
      <c r="C29" s="117" t="s">
        <v>8</v>
      </c>
      <c r="D29" s="118"/>
      <c r="E29" s="780">
        <f>SUM(E25:E28)</f>
        <v>1944.141462179502</v>
      </c>
      <c r="F29" s="781">
        <f>SUM(F25:F28)</f>
        <v>1634.3098439989581</v>
      </c>
      <c r="G29" s="753">
        <f t="shared" si="12"/>
        <v>-309.83161818054396</v>
      </c>
      <c r="H29" s="754">
        <f>SUM(H25:H28)</f>
        <v>1642.8845799999999</v>
      </c>
      <c r="I29" s="755">
        <f t="shared" si="13"/>
        <v>-8.5747360010418561</v>
      </c>
      <c r="J29" s="780">
        <f>SUM(J25:J28)</f>
        <v>4269.6030292778723</v>
      </c>
      <c r="K29" s="781">
        <f>SUM(K25:K28)</f>
        <v>4074.9962160011196</v>
      </c>
      <c r="L29" s="753">
        <f t="shared" si="1"/>
        <v>-194.60681327675275</v>
      </c>
      <c r="M29" s="754">
        <f>SUM(M25:M28)</f>
        <v>3793.4653760000001</v>
      </c>
      <c r="N29" s="755">
        <f t="shared" si="2"/>
        <v>281.53084000111949</v>
      </c>
      <c r="O29" s="100"/>
      <c r="P29" s="103"/>
      <c r="Q29" s="806" t="s">
        <v>141</v>
      </c>
      <c r="R29" s="807"/>
      <c r="S29" s="333">
        <f>SUM(S27:S28)</f>
        <v>66.862081186501996</v>
      </c>
      <c r="T29" s="154">
        <f>SUM(T27:T28)</f>
        <v>65.272000000000006</v>
      </c>
      <c r="U29" s="336">
        <f>+T29-S29</f>
        <v>-1.5900811865019904</v>
      </c>
      <c r="V29" s="73">
        <f>SUM(V27:V28)</f>
        <v>64.74799999999999</v>
      </c>
      <c r="W29" s="312">
        <f>+T29-V29</f>
        <v>0.52400000000001512</v>
      </c>
      <c r="X29" s="105"/>
    </row>
    <row r="30" spans="2:37" ht="21.75" customHeight="1">
      <c r="B30" s="598"/>
      <c r="C30" s="101" t="s">
        <v>7</v>
      </c>
      <c r="D30" s="110" t="s">
        <v>53</v>
      </c>
      <c r="E30" s="775">
        <f>+E20-E25</f>
        <v>2201.6760942549527</v>
      </c>
      <c r="F30" s="782">
        <f>+F20-F25</f>
        <v>1696.8997069999964</v>
      </c>
      <c r="G30" s="777">
        <f t="shared" si="12"/>
        <v>-504.77638725495626</v>
      </c>
      <c r="H30" s="778">
        <f>+H20-H25</f>
        <v>4327.3358220099954</v>
      </c>
      <c r="I30" s="779">
        <f t="shared" si="13"/>
        <v>-2630.436115009999</v>
      </c>
      <c r="J30" s="775">
        <f>+J20-J25</f>
        <v>4462.4156634798319</v>
      </c>
      <c r="K30" s="782">
        <f>+K20-K25</f>
        <v>4021.4889969999963</v>
      </c>
      <c r="L30" s="777">
        <f t="shared" si="1"/>
        <v>-440.9266664798356</v>
      </c>
      <c r="M30" s="778">
        <f>+M20-M25</f>
        <v>6868.7451560099935</v>
      </c>
      <c r="N30" s="779">
        <f t="shared" si="2"/>
        <v>-2847.2561590099972</v>
      </c>
      <c r="O30" s="100"/>
      <c r="P30" s="103"/>
      <c r="Q30" s="157" t="s">
        <v>184</v>
      </c>
      <c r="X30" s="105"/>
      <c r="Z30" s="598"/>
      <c r="AA30" s="598"/>
    </row>
    <row r="31" spans="2:37" ht="21.75" customHeight="1">
      <c r="B31" s="598"/>
      <c r="C31" s="101"/>
      <c r="D31" s="124" t="s">
        <v>10</v>
      </c>
      <c r="E31" s="323">
        <f>+E30/E10</f>
        <v>9.597530912056125E-2</v>
      </c>
      <c r="F31" s="329">
        <f>+F30/F10</f>
        <v>7.6362822253556104E-2</v>
      </c>
      <c r="G31" s="326">
        <f t="shared" si="12"/>
        <v>-1.9612486867005147E-2</v>
      </c>
      <c r="H31" s="125">
        <f>+H30/H10</f>
        <v>0.14304343780840525</v>
      </c>
      <c r="I31" s="126">
        <f t="shared" si="13"/>
        <v>-6.6680615554849151E-2</v>
      </c>
      <c r="J31" s="323">
        <f>+J30/J10</f>
        <v>9.4714032829814651E-2</v>
      </c>
      <c r="K31" s="329">
        <f>+K30/K10</f>
        <v>8.0273746283534217E-2</v>
      </c>
      <c r="L31" s="326">
        <f t="shared" si="1"/>
        <v>-1.4440286546280434E-2</v>
      </c>
      <c r="M31" s="125">
        <f>+M30/M10</f>
        <v>0.12479606868146642</v>
      </c>
      <c r="N31" s="126">
        <f t="shared" si="2"/>
        <v>-4.4522322397932204E-2</v>
      </c>
      <c r="O31" s="100"/>
      <c r="P31" s="103"/>
      <c r="Q31" s="345" t="s">
        <v>11</v>
      </c>
      <c r="R31" s="346"/>
      <c r="S31" s="347" t="s">
        <v>15</v>
      </c>
      <c r="T31" s="348" t="s">
        <v>16</v>
      </c>
      <c r="U31" s="349" t="s">
        <v>113</v>
      </c>
      <c r="V31" s="348" t="s">
        <v>17</v>
      </c>
      <c r="W31" s="350" t="s">
        <v>114</v>
      </c>
      <c r="X31" s="105"/>
    </row>
    <row r="32" spans="2:37" ht="21.75" customHeight="1">
      <c r="B32" s="598"/>
      <c r="C32" s="101"/>
      <c r="D32" s="106" t="s">
        <v>3</v>
      </c>
      <c r="E32" s="773">
        <f t="shared" ref="E32:F34" si="57">+E21-E26</f>
        <v>71.181192778948144</v>
      </c>
      <c r="F32" s="774">
        <f t="shared" si="57"/>
        <v>41.844679000000241</v>
      </c>
      <c r="G32" s="750">
        <f>+F32-E32</f>
        <v>-29.336513778947904</v>
      </c>
      <c r="H32" s="751">
        <f t="shared" ref="H32" si="58">+H21-H26</f>
        <v>77.227243000001053</v>
      </c>
      <c r="I32" s="752">
        <f>+F32-H32</f>
        <v>-35.382564000000812</v>
      </c>
      <c r="J32" s="773">
        <f t="shared" ref="J32:J34" si="59">+J21-J26</f>
        <v>165.9316758105283</v>
      </c>
      <c r="K32" s="774">
        <f t="shared" ref="K32" si="60">+K21-K26</f>
        <v>117.11189000000189</v>
      </c>
      <c r="L32" s="750">
        <f t="shared" si="1"/>
        <v>-48.819785810526412</v>
      </c>
      <c r="M32" s="751">
        <f t="shared" ref="M32" si="61">+M21-M26</f>
        <v>151.62617700000001</v>
      </c>
      <c r="N32" s="752">
        <f t="shared" si="2"/>
        <v>-34.51428699999812</v>
      </c>
      <c r="O32" s="100"/>
      <c r="P32" s="103"/>
      <c r="Q32" s="808" t="s">
        <v>168</v>
      </c>
      <c r="R32" s="809"/>
      <c r="S32" s="603">
        <f>+'사업장별(당월)'!T33</f>
        <v>72.255091000000007</v>
      </c>
      <c r="T32" s="604">
        <f>+'사업장별(당월)'!U33</f>
        <v>71.965353000000007</v>
      </c>
      <c r="U32" s="605">
        <f>+T32-S32</f>
        <v>-0.28973799999999983</v>
      </c>
      <c r="V32" s="606">
        <f>+'사업장별(당월)'!W33</f>
        <v>63.166801000000007</v>
      </c>
      <c r="W32" s="607">
        <f>+T32-V32</f>
        <v>8.7985520000000008</v>
      </c>
      <c r="X32" s="105"/>
      <c r="Z32" s="598"/>
      <c r="AA32" s="598"/>
    </row>
    <row r="33" spans="2:31" ht="21.75" customHeight="1">
      <c r="B33" s="598"/>
      <c r="C33" s="101"/>
      <c r="D33" s="106" t="s">
        <v>1</v>
      </c>
      <c r="E33" s="773">
        <f t="shared" si="57"/>
        <v>110.68049111149418</v>
      </c>
      <c r="F33" s="774">
        <f t="shared" si="57"/>
        <v>79.179365310892763</v>
      </c>
      <c r="G33" s="750">
        <f t="shared" si="12"/>
        <v>-31.501125800601415</v>
      </c>
      <c r="H33" s="751">
        <f t="shared" ref="H33" si="62">+H22-H27</f>
        <v>134.00469900000024</v>
      </c>
      <c r="I33" s="752">
        <f t="shared" si="13"/>
        <v>-54.825333689107481</v>
      </c>
      <c r="J33" s="773">
        <f t="shared" si="59"/>
        <v>137.70551495986919</v>
      </c>
      <c r="K33" s="774">
        <f t="shared" ref="K33" si="63">+K22-K27</f>
        <v>263.25309755262754</v>
      </c>
      <c r="L33" s="750">
        <f t="shared" si="1"/>
        <v>125.54758259275835</v>
      </c>
      <c r="M33" s="751">
        <f t="shared" ref="M33" si="64">+M22-M27</f>
        <v>152.43925500000046</v>
      </c>
      <c r="N33" s="752">
        <f t="shared" si="2"/>
        <v>110.81384255262708</v>
      </c>
      <c r="O33" s="100"/>
      <c r="P33" s="103"/>
      <c r="Q33" s="810" t="s">
        <v>59</v>
      </c>
      <c r="R33" s="811"/>
      <c r="S33" s="192">
        <f>+'사업장별(당월)'!T34</f>
        <v>62.060442333333334</v>
      </c>
      <c r="T33" s="613">
        <f>+'사업장별(당월)'!U34</f>
        <v>61.893705000000004</v>
      </c>
      <c r="U33" s="205">
        <f>+T33-S33</f>
        <v>-0.16673733333333018</v>
      </c>
      <c r="V33" s="614">
        <f>+'사업장별(당월)'!W34</f>
        <v>24.163334000000003</v>
      </c>
      <c r="W33" s="222">
        <f>+T33-V33</f>
        <v>37.730371000000005</v>
      </c>
      <c r="X33" s="105"/>
      <c r="Z33" s="598"/>
      <c r="AA33" s="598"/>
    </row>
    <row r="34" spans="2:31" ht="21.75" customHeight="1">
      <c r="B34" s="598"/>
      <c r="C34" s="101"/>
      <c r="D34" s="116" t="s">
        <v>4</v>
      </c>
      <c r="E34" s="780">
        <f t="shared" si="57"/>
        <v>-970.74253884617292</v>
      </c>
      <c r="F34" s="781">
        <f t="shared" si="57"/>
        <v>-658.66733530985516</v>
      </c>
      <c r="G34" s="753">
        <f t="shared" si="12"/>
        <v>312.07520353631776</v>
      </c>
      <c r="H34" s="754">
        <f t="shared" ref="H34" si="65">+H23-H28</f>
        <v>-731.41406900000061</v>
      </c>
      <c r="I34" s="755">
        <f t="shared" si="13"/>
        <v>72.746733690145447</v>
      </c>
      <c r="J34" s="780">
        <f t="shared" si="59"/>
        <v>-2349.5939836112111</v>
      </c>
      <c r="K34" s="781">
        <f t="shared" ref="K34" si="66">+K23-K28</f>
        <v>-2127.5290315537532</v>
      </c>
      <c r="L34" s="753">
        <f t="shared" si="1"/>
        <v>222.06495205745796</v>
      </c>
      <c r="M34" s="754">
        <f t="shared" ref="M34" si="67">+M23-M28</f>
        <v>-1893.2991710000022</v>
      </c>
      <c r="N34" s="755">
        <f t="shared" si="2"/>
        <v>-234.229860553751</v>
      </c>
      <c r="O34" s="100"/>
      <c r="P34" s="103"/>
      <c r="Q34" s="625" t="s">
        <v>38</v>
      </c>
      <c r="R34" s="626"/>
      <c r="S34" s="620">
        <f>+'사업장별(당월)'!T35</f>
        <v>-1053.4136967350421</v>
      </c>
      <c r="T34" s="621">
        <f>+'사업장별(당월)'!U35</f>
        <v>-1053.3169703098511</v>
      </c>
      <c r="U34" s="622">
        <f>+T34-S34</f>
        <v>9.6726425191036469E-2</v>
      </c>
      <c r="V34" s="623">
        <f>+'사업장별(당월)'!W35</f>
        <v>-788.78672400000005</v>
      </c>
      <c r="W34" s="624">
        <f>+T34-V34</f>
        <v>-264.53024630985101</v>
      </c>
      <c r="X34" s="105"/>
      <c r="Z34" s="598"/>
      <c r="AA34" s="598"/>
    </row>
    <row r="35" spans="2:31" ht="21.75" customHeight="1">
      <c r="B35" s="598"/>
      <c r="C35" s="101" t="s">
        <v>8</v>
      </c>
      <c r="D35" s="121"/>
      <c r="E35" s="773">
        <f>SUM(E30,E32:E34)</f>
        <v>1412.795239299222</v>
      </c>
      <c r="F35" s="783">
        <f>SUM(F30,F32:F34)</f>
        <v>1159.2564160010343</v>
      </c>
      <c r="G35" s="750">
        <f t="shared" si="12"/>
        <v>-253.53882329818771</v>
      </c>
      <c r="H35" s="751">
        <f>SUM(H30,H32:H34)</f>
        <v>3807.1536950099962</v>
      </c>
      <c r="I35" s="752">
        <f t="shared" si="13"/>
        <v>-2647.897279008962</v>
      </c>
      <c r="J35" s="773">
        <f>SUM(J30,J32:J34)</f>
        <v>2416.4588706390177</v>
      </c>
      <c r="K35" s="783">
        <f>SUM(K30,K32:K34)</f>
        <v>2274.3249529988725</v>
      </c>
      <c r="L35" s="750">
        <f t="shared" si="1"/>
        <v>-142.13391764014523</v>
      </c>
      <c r="M35" s="751">
        <f>SUM(M30,M32:M34)</f>
        <v>5279.5114170099914</v>
      </c>
      <c r="N35" s="752">
        <f t="shared" si="2"/>
        <v>-3005.1864640111189</v>
      </c>
      <c r="O35" s="100"/>
      <c r="P35" s="103"/>
      <c r="Q35" s="627" t="s">
        <v>166</v>
      </c>
      <c r="R35" s="628"/>
      <c r="S35" s="615">
        <f>+S36-S32-S33-S34</f>
        <v>-51.644375444466505</v>
      </c>
      <c r="T35" s="616">
        <f>+T36-T32-T33-T34</f>
        <v>260.79057699999328</v>
      </c>
      <c r="U35" s="617">
        <f>+T35-S35</f>
        <v>312.43495244445978</v>
      </c>
      <c r="V35" s="618">
        <f>+V36-V32-V33-V34</f>
        <v>-29.957479999999919</v>
      </c>
      <c r="W35" s="619">
        <f>+T35-V35</f>
        <v>290.7480569999932</v>
      </c>
      <c r="X35" s="105"/>
      <c r="Z35" s="598"/>
      <c r="AA35" s="598"/>
      <c r="AD35" s="99"/>
      <c r="AE35" s="598"/>
    </row>
    <row r="36" spans="2:31" ht="21.75" customHeight="1" thickBot="1">
      <c r="C36" s="127"/>
      <c r="D36" s="128" t="s">
        <v>9</v>
      </c>
      <c r="E36" s="324">
        <f>+E35/E14</f>
        <v>4.36888683867796E-2</v>
      </c>
      <c r="F36" s="330">
        <f>+F35/F14</f>
        <v>3.8072303361879549E-2</v>
      </c>
      <c r="G36" s="327">
        <f t="shared" si="12"/>
        <v>-5.6165650249000512E-3</v>
      </c>
      <c r="H36" s="129">
        <f>+H35/H14</f>
        <v>9.1894809733566354E-2</v>
      </c>
      <c r="I36" s="130">
        <f t="shared" si="13"/>
        <v>-5.3822506371686805E-2</v>
      </c>
      <c r="J36" s="324">
        <f>+J35/J14</f>
        <v>3.6215056163500882E-2</v>
      </c>
      <c r="K36" s="330">
        <f>+K35/K14</f>
        <v>3.3635694746214015E-2</v>
      </c>
      <c r="L36" s="327">
        <f t="shared" si="1"/>
        <v>-2.579361417286867E-3</v>
      </c>
      <c r="M36" s="129">
        <f>+M35/M14</f>
        <v>6.9009689844801658E-2</v>
      </c>
      <c r="N36" s="130">
        <f t="shared" si="2"/>
        <v>-3.5373995098587643E-2</v>
      </c>
      <c r="O36" s="100"/>
      <c r="P36" s="131"/>
      <c r="Q36" s="798" t="s">
        <v>165</v>
      </c>
      <c r="R36" s="799"/>
      <c r="S36" s="608">
        <f>+'사업장별(당월)'!T41</f>
        <v>-970.74253884617519</v>
      </c>
      <c r="T36" s="609">
        <f>+'사업장별(당월)'!U41</f>
        <v>-658.66733530985778</v>
      </c>
      <c r="U36" s="610">
        <f>+T36-S36</f>
        <v>312.07520353631742</v>
      </c>
      <c r="V36" s="611">
        <f>+'사업장별(당월)'!W41</f>
        <v>-731.41406900000004</v>
      </c>
      <c r="W36" s="612">
        <f>+T36-V36</f>
        <v>72.746733690142264</v>
      </c>
      <c r="X36" s="132"/>
      <c r="AA36" s="598"/>
    </row>
    <row r="37" spans="2:31" ht="20.100000000000001" customHeight="1" thickTop="1">
      <c r="F37" s="598"/>
    </row>
    <row r="38" spans="2:31">
      <c r="E38" s="99">
        <f>+'[1]2월'!$E$26/1000</f>
        <v>1412.795239299222</v>
      </c>
      <c r="F38" s="351">
        <f>+'[2]2월'!$F$26/1000</f>
        <v>1159.256416001034</v>
      </c>
      <c r="H38" s="351">
        <f>+'[3]2월'!$F$26/1000</f>
        <v>3807.1536950100003</v>
      </c>
      <c r="J38" s="600">
        <f>+[4]손익총괄!J38+E38</f>
        <v>2416.4588706390232</v>
      </c>
      <c r="K38" s="600">
        <f>+[4]손익총괄!K38+F38</f>
        <v>2274.3249529988711</v>
      </c>
      <c r="L38" s="601"/>
      <c r="M38" s="600">
        <f>+[4]손익총괄!M38+H38</f>
        <v>5279.5114170099996</v>
      </c>
      <c r="N38" s="601"/>
      <c r="O38" s="601"/>
    </row>
    <row r="39" spans="2:31">
      <c r="E39" t="b">
        <f>+E35=E38</f>
        <v>1</v>
      </c>
      <c r="F39" t="b">
        <f>+F35=F38</f>
        <v>1</v>
      </c>
      <c r="H39" t="b">
        <f>+H35=H38</f>
        <v>1</v>
      </c>
      <c r="J39" t="b">
        <f>+J35=J38</f>
        <v>1</v>
      </c>
      <c r="K39" t="b">
        <f>+K35=K38</f>
        <v>1</v>
      </c>
      <c r="M39" t="b">
        <f>+M35=M38</f>
        <v>0</v>
      </c>
    </row>
    <row r="40" spans="2:31">
      <c r="E40" s="602">
        <f>+E35-E38</f>
        <v>0</v>
      </c>
      <c r="F40" s="602">
        <f>+F35-F38</f>
        <v>0</v>
      </c>
      <c r="G40" s="599"/>
      <c r="H40" s="602">
        <f>+H35-H38</f>
        <v>-4.0927261579781771E-12</v>
      </c>
      <c r="I40" s="599"/>
      <c r="J40" s="602">
        <f>+J35-J38</f>
        <v>-5.4569682106375694E-12</v>
      </c>
      <c r="K40" s="602">
        <f>+K35-K38</f>
        <v>0</v>
      </c>
      <c r="L40" s="599"/>
      <c r="M40" s="602">
        <f>+M35-M38</f>
        <v>-8.1854523159563541E-12</v>
      </c>
      <c r="N40" s="599"/>
      <c r="O40" s="99"/>
      <c r="P40" s="99"/>
    </row>
    <row r="42" spans="2:31">
      <c r="E42" s="98"/>
      <c r="F42" s="98"/>
      <c r="G42" s="98"/>
    </row>
  </sheetData>
  <mergeCells count="12">
    <mergeCell ref="Q36:R36"/>
    <mergeCell ref="C5:D6"/>
    <mergeCell ref="P5:X6"/>
    <mergeCell ref="Q29:R29"/>
    <mergeCell ref="Q32:R32"/>
    <mergeCell ref="Q33:R33"/>
    <mergeCell ref="Z10:Z13"/>
    <mergeCell ref="Z15:Z20"/>
    <mergeCell ref="AB5:AF5"/>
    <mergeCell ref="AG5:AK5"/>
    <mergeCell ref="Z7:Z9"/>
    <mergeCell ref="Z5:AA6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0.249977111117893"/>
    <pageSetUpPr fitToPage="1"/>
  </sheetPr>
  <dimension ref="A1:AL57"/>
  <sheetViews>
    <sheetView showGridLines="0" showZeros="0" tabSelected="1" view="pageBreakPreview" topLeftCell="F1" zoomScale="85" zoomScaleNormal="85" zoomScaleSheetLayoutView="85" workbookViewId="0">
      <selection activeCell="H29" sqref="H29"/>
    </sheetView>
  </sheetViews>
  <sheetFormatPr defaultRowHeight="16.5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13.75" hidden="1" customWidth="1"/>
    <col min="6" max="6" width="9" customWidth="1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2:36" ht="18" customHeight="1">
      <c r="H1" s="4"/>
      <c r="K1" s="6"/>
      <c r="L1" s="6"/>
      <c r="P1" s="6"/>
      <c r="Q1" s="6"/>
    </row>
    <row r="2" spans="2:36" ht="18" customHeight="1">
      <c r="H2" s="7"/>
      <c r="AD2" s="5"/>
      <c r="AG2" s="5"/>
    </row>
    <row r="3" spans="2:36" ht="26.25">
      <c r="H3" s="4" t="s">
        <v>207</v>
      </c>
      <c r="AD3" s="5"/>
      <c r="AG3" s="5"/>
    </row>
    <row r="4" spans="2:36" ht="18" customHeight="1">
      <c r="H4" s="7"/>
      <c r="AD4" s="5"/>
      <c r="AG4" s="5" t="s">
        <v>94</v>
      </c>
    </row>
    <row r="5" spans="2:36" s="8" customFormat="1" ht="19.5" customHeight="1">
      <c r="H5" s="812" t="s">
        <v>48</v>
      </c>
      <c r="I5" s="813"/>
      <c r="J5" s="173" t="s">
        <v>66</v>
      </c>
      <c r="K5" s="174"/>
      <c r="L5" s="174"/>
      <c r="M5" s="174"/>
      <c r="N5" s="175"/>
      <c r="O5" s="173" t="s">
        <v>67</v>
      </c>
      <c r="P5" s="174"/>
      <c r="Q5" s="174"/>
      <c r="R5" s="174"/>
      <c r="S5" s="175"/>
      <c r="T5" s="173" t="s">
        <v>119</v>
      </c>
      <c r="U5" s="174"/>
      <c r="V5" s="174"/>
      <c r="W5" s="174"/>
      <c r="X5" s="175"/>
      <c r="Y5" s="173" t="s">
        <v>68</v>
      </c>
      <c r="Z5" s="174"/>
      <c r="AA5" s="175"/>
      <c r="AB5" s="173" t="s">
        <v>44</v>
      </c>
      <c r="AC5" s="174"/>
      <c r="AD5" s="175"/>
      <c r="AE5" s="173" t="s">
        <v>69</v>
      </c>
      <c r="AF5" s="174"/>
      <c r="AG5" s="175"/>
    </row>
    <row r="6" spans="2:36" s="8" customFormat="1" ht="19.5" customHeight="1">
      <c r="H6" s="814"/>
      <c r="I6" s="815"/>
      <c r="J6" s="176" t="s">
        <v>49</v>
      </c>
      <c r="K6" s="177" t="s">
        <v>50</v>
      </c>
      <c r="L6" s="178" t="s">
        <v>51</v>
      </c>
      <c r="M6" s="177" t="s">
        <v>52</v>
      </c>
      <c r="N6" s="179" t="s">
        <v>51</v>
      </c>
      <c r="O6" s="176" t="s">
        <v>15</v>
      </c>
      <c r="P6" s="177" t="s">
        <v>16</v>
      </c>
      <c r="Q6" s="178" t="s">
        <v>36</v>
      </c>
      <c r="R6" s="177" t="s">
        <v>17</v>
      </c>
      <c r="S6" s="179" t="s">
        <v>36</v>
      </c>
      <c r="T6" s="176" t="s">
        <v>15</v>
      </c>
      <c r="U6" s="177" t="s">
        <v>16</v>
      </c>
      <c r="V6" s="178" t="s">
        <v>36</v>
      </c>
      <c r="W6" s="177" t="s">
        <v>17</v>
      </c>
      <c r="X6" s="179" t="s">
        <v>36</v>
      </c>
      <c r="Y6" s="180" t="s">
        <v>15</v>
      </c>
      <c r="Z6" s="181" t="s">
        <v>16</v>
      </c>
      <c r="AA6" s="182" t="s">
        <v>17</v>
      </c>
      <c r="AB6" s="183" t="s">
        <v>15</v>
      </c>
      <c r="AC6" s="181" t="s">
        <v>16</v>
      </c>
      <c r="AD6" s="179" t="s">
        <v>17</v>
      </c>
      <c r="AE6" s="183" t="s">
        <v>15</v>
      </c>
      <c r="AF6" s="181" t="s">
        <v>16</v>
      </c>
      <c r="AG6" s="179" t="s">
        <v>17</v>
      </c>
    </row>
    <row r="7" spans="2:36" s="8" customFormat="1" ht="19.5" customHeight="1">
      <c r="B7" s="8" t="s">
        <v>22</v>
      </c>
      <c r="G7" s="841" t="str">
        <f>+I7</f>
        <v>안양</v>
      </c>
      <c r="H7" s="78" t="s">
        <v>53</v>
      </c>
      <c r="I7" s="79" t="s">
        <v>22</v>
      </c>
      <c r="J7" s="36">
        <f>+IFERROR(HLOOKUP($B7,'[1]2월'!$D$6:$BN$259,2,),)/1000</f>
        <v>36</v>
      </c>
      <c r="K7" s="37">
        <f>+IFERROR(HLOOKUP($B7,'[2]2월'!$F$6:$CP$99,2,),)/1000</f>
        <v>37.712000000000003</v>
      </c>
      <c r="L7" s="38">
        <f t="shared" ref="L7:L26" si="0">+K7-J7</f>
        <v>1.7120000000000033</v>
      </c>
      <c r="M7" s="39">
        <f>+IFERROR(HLOOKUP($B7,'[3]2월'!$F$6:$CC$57,2,),)/1000</f>
        <v>49.587000000000003</v>
      </c>
      <c r="N7" s="40">
        <f>+K7-M7</f>
        <v>-11.875</v>
      </c>
      <c r="O7" s="36">
        <f>+IFERROR(HLOOKUP($B7,'[1]2월'!$D$6:$BN$259,3,),)/1000</f>
        <v>3479.77565</v>
      </c>
      <c r="P7" s="37">
        <f>+IFERROR(HLOOKUP($B7,'[2]2월'!$F$6:$CP$99,3,),)/1000</f>
        <v>3774.2080000000001</v>
      </c>
      <c r="Q7" s="38">
        <f>+P7-O7</f>
        <v>294.43235000000004</v>
      </c>
      <c r="R7" s="39">
        <f>+IFERROR(HLOOKUP($B7,'[3]2월'!$F$6:$CC$57,3,),)/1000</f>
        <v>4494.7255559999994</v>
      </c>
      <c r="S7" s="40">
        <f>+P7-R7</f>
        <v>-720.51755599999933</v>
      </c>
      <c r="T7" s="36">
        <f>+IFERROR(HLOOKUP($B7,'[1]2월'!$D$6:$BN$259,16,),)/1000</f>
        <v>295.68663989006535</v>
      </c>
      <c r="U7" s="37">
        <f>+IFERROR(HLOOKUP($B7,'[2]2월'!$F$6:$CP$99,16,),)/1000</f>
        <v>451.3056499999999</v>
      </c>
      <c r="V7" s="41">
        <f>+U7-T7</f>
        <v>155.61901010993455</v>
      </c>
      <c r="W7" s="42">
        <f>+IFERROR(HLOOKUP($B7,'[3]2월'!$F$6:$CC$57,16,),)/1000</f>
        <v>627.75827000000038</v>
      </c>
      <c r="X7" s="40">
        <f>+U7-W7</f>
        <v>-176.45262000000048</v>
      </c>
      <c r="Y7" s="36">
        <f>+[5]안양!$Q$85</f>
        <v>96660.434722222213</v>
      </c>
      <c r="Z7" s="37">
        <f>+[5]안양!$R$85</f>
        <v>100079.76240984302</v>
      </c>
      <c r="AA7" s="43">
        <f>+[6]안양!$Q$85</f>
        <v>90588.460725350829</v>
      </c>
      <c r="AB7" s="44">
        <f>+[5]안양!$Q$89</f>
        <v>80132.465881909069</v>
      </c>
      <c r="AC7" s="37">
        <f>+[5]안양!$R$89</f>
        <v>79851.286653587144</v>
      </c>
      <c r="AD7" s="45">
        <f>+[6]안양!$Q$89</f>
        <v>72304.624881060838</v>
      </c>
      <c r="AE7" s="44">
        <f>+Y7-AB7</f>
        <v>16527.968840313144</v>
      </c>
      <c r="AF7" s="37">
        <f>+Z7-AC7</f>
        <v>20228.475756255881</v>
      </c>
      <c r="AG7" s="45">
        <f>+AA7-AD7</f>
        <v>18283.835844289992</v>
      </c>
      <c r="AH7" s="18"/>
      <c r="AI7" s="19"/>
    </row>
    <row r="8" spans="2:36" s="8" customFormat="1" ht="19.5" customHeight="1">
      <c r="B8" s="8" t="s">
        <v>23</v>
      </c>
      <c r="G8" s="9" t="str">
        <f t="shared" ref="G8:G26" si="1">+I8</f>
        <v>인천</v>
      </c>
      <c r="H8" s="80" t="s">
        <v>54</v>
      </c>
      <c r="I8" s="81" t="s">
        <v>23</v>
      </c>
      <c r="J8" s="46">
        <f>+IFERROR(HLOOKUP($B8,'[1]2월'!$D$6:$BN$259,2,),)/1000</f>
        <v>24</v>
      </c>
      <c r="K8" s="47">
        <f>+IFERROR(HLOOKUP($B8,'[2]2월'!$F$6:$CP$99,2,),)/1000</f>
        <v>23.5</v>
      </c>
      <c r="L8" s="48">
        <f t="shared" si="0"/>
        <v>-0.5</v>
      </c>
      <c r="M8" s="49">
        <f>+IFERROR(HLOOKUP($B8,'[3]2월'!$F$6:$CC$57,2,),)/1000</f>
        <v>37.843000000000004</v>
      </c>
      <c r="N8" s="50">
        <f t="shared" ref="N8:N26" si="2">+K8-M8</f>
        <v>-14.343000000000004</v>
      </c>
      <c r="O8" s="46">
        <f>+IFERROR(HLOOKUP($B8,'[1]2월'!$D$6:$BN$259,3,),)/1000</f>
        <v>2338.9065300000002</v>
      </c>
      <c r="P8" s="47">
        <f>+IFERROR(HLOOKUP($B8,'[2]2월'!$F$6:$CP$99,3,),)/1000</f>
        <v>2356.7585210000002</v>
      </c>
      <c r="Q8" s="48">
        <f t="shared" ref="Q8:Q26" si="3">+P8-O8</f>
        <v>17.851990999999998</v>
      </c>
      <c r="R8" s="49">
        <f>+IFERROR(HLOOKUP($B8,'[3]2월'!$F$6:$CC$57,3,),)/1000</f>
        <v>3426.1344019999997</v>
      </c>
      <c r="S8" s="50">
        <f t="shared" ref="S8:S26" si="4">+P8-R8</f>
        <v>-1069.3758809999995</v>
      </c>
      <c r="T8" s="46">
        <f>+IFERROR(HLOOKUP($B8,'[1]2월'!$D$6:$BN$259,16,),)/1000</f>
        <v>72.600987121321907</v>
      </c>
      <c r="U8" s="47">
        <f>+IFERROR(HLOOKUP($B8,'[2]2월'!$F$6:$CP$99,16,),)/1000</f>
        <v>137.95808200000016</v>
      </c>
      <c r="V8" s="48">
        <f t="shared" ref="V8:V26" si="5">+U8-T8</f>
        <v>65.357094878678254</v>
      </c>
      <c r="W8" s="49">
        <f>+IFERROR(HLOOKUP($B8,'[3]2월'!$F$6:$CC$57,16,),)/1000</f>
        <v>372.74815599999988</v>
      </c>
      <c r="X8" s="50">
        <f t="shared" ref="X8:X26" si="6">+U8-W8</f>
        <v>-234.79007399999972</v>
      </c>
      <c r="Y8" s="46">
        <f>+[5]인천!$Q$85</f>
        <v>97454.438750000001</v>
      </c>
      <c r="Z8" s="47">
        <f>+[5]인천!$R$85</f>
        <v>100287.59663829788</v>
      </c>
      <c r="AA8" s="51">
        <f>+[6]인천!$Q$85</f>
        <v>90535.48614010516</v>
      </c>
      <c r="AB8" s="52">
        <f>+[5]인천!$Q$89</f>
        <v>82233.366986777983</v>
      </c>
      <c r="AC8" s="47">
        <f>+[5]인천!$R$89</f>
        <v>82090.723134518848</v>
      </c>
      <c r="AD8" s="53">
        <f>+[6]인천!$Q$89</f>
        <v>73510.158523372869</v>
      </c>
      <c r="AE8" s="52">
        <f t="shared" ref="AE8:AE27" si="7">+Y8-AB8</f>
        <v>15221.071763222018</v>
      </c>
      <c r="AF8" s="47">
        <f t="shared" ref="AF8:AF27" si="8">+Z8-AC8</f>
        <v>18196.873503779032</v>
      </c>
      <c r="AG8" s="53">
        <f t="shared" ref="AG8:AG27" si="9">+AA8-AD8</f>
        <v>17025.327616732291</v>
      </c>
      <c r="AH8" s="18"/>
      <c r="AI8" s="19"/>
      <c r="AJ8" s="97"/>
    </row>
    <row r="9" spans="2:36" s="8" customFormat="1" ht="19.5" customHeight="1">
      <c r="B9" s="8" t="s">
        <v>24</v>
      </c>
      <c r="G9" s="9" t="str">
        <f t="shared" si="1"/>
        <v>파주</v>
      </c>
      <c r="H9" s="80"/>
      <c r="I9" s="81" t="s">
        <v>24</v>
      </c>
      <c r="J9" s="46">
        <f>+IFERROR(HLOOKUP($B9,'[1]2월'!$D$6:$BN$259,2,),)/1000</f>
        <v>21</v>
      </c>
      <c r="K9" s="47">
        <f>+IFERROR(HLOOKUP($B9,'[2]2월'!$F$6:$CP$99,2,),)/1000</f>
        <v>18.47</v>
      </c>
      <c r="L9" s="48">
        <f t="shared" si="0"/>
        <v>-2.5300000000000011</v>
      </c>
      <c r="M9" s="49">
        <f>+IFERROR(HLOOKUP($B9,'[3]2월'!$F$6:$CC$57,2,),)/1000</f>
        <v>23.423999999999999</v>
      </c>
      <c r="N9" s="50">
        <f t="shared" si="2"/>
        <v>-4.9540000000000006</v>
      </c>
      <c r="O9" s="46">
        <f>+IFERROR(HLOOKUP($B9,'[1]2월'!$D$6:$BN$259,3,),)/1000</f>
        <v>2019.1862079293178</v>
      </c>
      <c r="P9" s="47">
        <f>+IFERROR(HLOOKUP($B9,'[2]2월'!$F$6:$CP$99,3,),)/1000</f>
        <v>1919.2949169999999</v>
      </c>
      <c r="Q9" s="48">
        <f t="shared" si="3"/>
        <v>-99.891290929317847</v>
      </c>
      <c r="R9" s="49">
        <f>+IFERROR(HLOOKUP($B9,'[3]2월'!$F$6:$CC$57,3,),)/1000</f>
        <v>2064.8840850000001</v>
      </c>
      <c r="S9" s="50">
        <f t="shared" si="4"/>
        <v>-145.5891680000002</v>
      </c>
      <c r="T9" s="46">
        <f>+IFERROR(HLOOKUP($B9,'[1]2월'!$D$6:$BN$259,16,),)/1000</f>
        <v>172.12968378527941</v>
      </c>
      <c r="U9" s="47">
        <f>+IFERROR(HLOOKUP($B9,'[2]2월'!$F$6:$CP$99,16,),)/1000</f>
        <v>125.58787999999994</v>
      </c>
      <c r="V9" s="48">
        <f t="shared" si="5"/>
        <v>-46.54180378527947</v>
      </c>
      <c r="W9" s="49">
        <f>+IFERROR(HLOOKUP($B9,'[3]2월'!$F$6:$CC$57,16,),)/1000</f>
        <v>167.11117401000033</v>
      </c>
      <c r="X9" s="50">
        <f t="shared" si="6"/>
        <v>-41.523294010000384</v>
      </c>
      <c r="Y9" s="46">
        <f>+[5]파주!$Q$85</f>
        <v>96151.724187110376</v>
      </c>
      <c r="Z9" s="47">
        <f>+[5]파주!$R$85</f>
        <v>103935.69040902681</v>
      </c>
      <c r="AA9" s="51">
        <f>+[6]파주!$Q$85</f>
        <v>88311.601983129949</v>
      </c>
      <c r="AB9" s="52">
        <f>+[5]파주!$Q$89</f>
        <v>78001.43305028163</v>
      </c>
      <c r="AC9" s="47">
        <f>+[5]파주!$R$89</f>
        <v>84337.303199566159</v>
      </c>
      <c r="AD9" s="53">
        <f>+[6]파주!$Q$89</f>
        <v>72216.392703477963</v>
      </c>
      <c r="AE9" s="52">
        <f t="shared" si="7"/>
        <v>18150.291136828746</v>
      </c>
      <c r="AF9" s="47">
        <f t="shared" si="8"/>
        <v>19598.387209460649</v>
      </c>
      <c r="AG9" s="53">
        <f t="shared" si="9"/>
        <v>16095.209279651986</v>
      </c>
      <c r="AH9" s="18"/>
      <c r="AI9" s="19"/>
      <c r="AJ9" s="97"/>
    </row>
    <row r="10" spans="2:36" s="8" customFormat="1" ht="19.5" customHeight="1">
      <c r="B10" s="8" t="s">
        <v>175</v>
      </c>
      <c r="G10" s="9" t="str">
        <f t="shared" si="1"/>
        <v>김포</v>
      </c>
      <c r="H10" s="80"/>
      <c r="I10" s="81" t="s">
        <v>172</v>
      </c>
      <c r="J10" s="46">
        <f>+IFERROR(HLOOKUP($B10,'[1]2월'!$D$6:$BN$259,2,),)/1000</f>
        <v>10</v>
      </c>
      <c r="K10" s="47">
        <f>+IFERROR(HLOOKUP($B10,'[2]2월'!$F$6:$CP$99,2,),)/1000</f>
        <v>5.8769999999999998</v>
      </c>
      <c r="L10" s="48">
        <f t="shared" si="0"/>
        <v>-4.1230000000000002</v>
      </c>
      <c r="M10" s="49">
        <f>+IFERROR(HLOOKUP($B10,'[3]2월'!$F$6:$CC$57,2,),)/1000</f>
        <v>12.281499999999999</v>
      </c>
      <c r="N10" s="50">
        <f t="shared" si="2"/>
        <v>-6.4044999999999996</v>
      </c>
      <c r="O10" s="46">
        <f>+IFERROR(HLOOKUP($B10,'[1]2월'!$D$6:$BN$259,3,),)/1000</f>
        <v>923.86450000000002</v>
      </c>
      <c r="P10" s="47">
        <f>+IFERROR(HLOOKUP($B10,'[2]2월'!$F$6:$CP$99,3,),)/1000</f>
        <v>570.04139099999998</v>
      </c>
      <c r="Q10" s="48">
        <f t="shared" si="3"/>
        <v>-353.82310900000004</v>
      </c>
      <c r="R10" s="49">
        <f>+IFERROR(HLOOKUP($B10,'[3]2월'!$F$6:$CC$57,3,),)/1000</f>
        <v>1048.4467990000001</v>
      </c>
      <c r="S10" s="50">
        <f t="shared" si="4"/>
        <v>-478.40540800000008</v>
      </c>
      <c r="T10" s="46">
        <f>+IFERROR(HLOOKUP($B10,'[1]2월'!$D$6:$BN$259,16,),)/1000</f>
        <v>26.713525517769881</v>
      </c>
      <c r="U10" s="47">
        <f>+IFERROR(HLOOKUP($B10,'[2]2월'!$F$6:$CP$99,16,),)/1000</f>
        <v>-50.621000000000073</v>
      </c>
      <c r="V10" s="48">
        <f t="shared" si="5"/>
        <v>-77.334525517769947</v>
      </c>
      <c r="W10" s="49">
        <f>+IFERROR(HLOOKUP($B10,'[3]2월'!$F$6:$CC$57,16,),)/1000</f>
        <v>87.617854000000051</v>
      </c>
      <c r="X10" s="50">
        <f t="shared" si="6"/>
        <v>-138.23885400000012</v>
      </c>
      <c r="Y10" s="46">
        <f>+[5]김포!$Q$85</f>
        <v>92386.45</v>
      </c>
      <c r="Z10" s="47">
        <f>+[5]김포!$R$85</f>
        <v>96995.302194997435</v>
      </c>
      <c r="AA10" s="51">
        <f>+[6]김포!$Q$85</f>
        <v>85334.467307299128</v>
      </c>
      <c r="AB10" s="52">
        <f>+[5]김포!$Q$89</f>
        <v>73066.866748223008</v>
      </c>
      <c r="AC10" s="47">
        <f>+[5]김포!$R$89</f>
        <v>80274.495155532888</v>
      </c>
      <c r="AD10" s="53">
        <f>+[6]김포!$Q$89</f>
        <v>66417.447066039662</v>
      </c>
      <c r="AE10" s="52">
        <f t="shared" si="7"/>
        <v>19319.583251776989</v>
      </c>
      <c r="AF10" s="47">
        <f t="shared" si="8"/>
        <v>16720.807039464547</v>
      </c>
      <c r="AG10" s="53">
        <f t="shared" si="9"/>
        <v>18917.020241259466</v>
      </c>
      <c r="AH10" s="18"/>
      <c r="AI10" s="19"/>
      <c r="AJ10" s="97"/>
    </row>
    <row r="11" spans="2:36" s="8" customFormat="1" ht="19.5" customHeight="1">
      <c r="B11" s="8" t="s">
        <v>25</v>
      </c>
      <c r="G11" s="8" t="str">
        <f t="shared" si="1"/>
        <v>부산</v>
      </c>
      <c r="H11" s="80"/>
      <c r="I11" s="82" t="s">
        <v>25</v>
      </c>
      <c r="J11" s="63">
        <f>+IFERROR(HLOOKUP($B11,'[1]2월'!$D$6:$BN$259,2,),)/1000</f>
        <v>16</v>
      </c>
      <c r="K11" s="64">
        <f>+IFERROR(HLOOKUP($B11,'[2]2월'!$F$6:$CP$99,2,),)/1000</f>
        <v>16.649999999999999</v>
      </c>
      <c r="L11" s="65">
        <f t="shared" si="0"/>
        <v>0.64999999999999858</v>
      </c>
      <c r="M11" s="66">
        <f>+IFERROR(HLOOKUP($B11,'[3]2월'!$F$6:$CC$57,2,),)/1000</f>
        <v>25.49</v>
      </c>
      <c r="N11" s="67">
        <f t="shared" si="2"/>
        <v>-8.84</v>
      </c>
      <c r="O11" s="63">
        <f>+IFERROR(HLOOKUP($B11,'[1]2월'!$D$6:$BN$259,3,),)/1000</f>
        <v>1721.602429</v>
      </c>
      <c r="P11" s="64">
        <f>+IFERROR(HLOOKUP($B11,'[2]2월'!$F$6:$CP$99,3,),)/1000</f>
        <v>1875.6438999999998</v>
      </c>
      <c r="Q11" s="65">
        <f t="shared" si="3"/>
        <v>154.04147099999977</v>
      </c>
      <c r="R11" s="66">
        <f>+IFERROR(HLOOKUP($B11,'[3]2월'!$F$6:$CC$57,3,),)/1000</f>
        <v>2632.8105</v>
      </c>
      <c r="S11" s="67">
        <f t="shared" si="4"/>
        <v>-757.16660000000024</v>
      </c>
      <c r="T11" s="63">
        <f>+IFERROR(HLOOKUP($B11,'[1]2월'!$D$6:$BN$259,16,),)/1000</f>
        <v>197.20214992961331</v>
      </c>
      <c r="U11" s="64">
        <f>+IFERROR(HLOOKUP($B11,'[2]2월'!$F$6:$CP$99,16,),)/1000</f>
        <v>201.44822399999995</v>
      </c>
      <c r="V11" s="65">
        <f t="shared" si="5"/>
        <v>4.2460740703866406</v>
      </c>
      <c r="W11" s="66">
        <f>+IFERROR(HLOOKUP($B11,'[3]2월'!$F$6:$CC$57,16,),)/1000</f>
        <v>547.75554799999975</v>
      </c>
      <c r="X11" s="67">
        <f t="shared" si="6"/>
        <v>-346.30732399999977</v>
      </c>
      <c r="Y11" s="63">
        <f>+[5]부산!$Q$85</f>
        <v>107600.1518125</v>
      </c>
      <c r="Z11" s="64">
        <f>+[5]부산!$R$85</f>
        <v>112651.28528528528</v>
      </c>
      <c r="AA11" s="68">
        <f>+[6]부산!$Q$85</f>
        <v>103288.86229894077</v>
      </c>
      <c r="AB11" s="69">
        <f>+[5]부산!$Q$89</f>
        <v>78794.798562556491</v>
      </c>
      <c r="AC11" s="64">
        <f>+[5]부산!$R$89</f>
        <v>86432.204146443779</v>
      </c>
      <c r="AD11" s="70">
        <f>+[6]부산!$Q$89</f>
        <v>72821.468226648605</v>
      </c>
      <c r="AE11" s="69">
        <f t="shared" si="7"/>
        <v>28805.35324994351</v>
      </c>
      <c r="AF11" s="64">
        <f t="shared" si="8"/>
        <v>26219.081138841502</v>
      </c>
      <c r="AG11" s="70">
        <f t="shared" si="9"/>
        <v>30467.394072292169</v>
      </c>
      <c r="AH11" s="18"/>
      <c r="AI11" s="19"/>
      <c r="AJ11" s="97"/>
    </row>
    <row r="12" spans="2:36" s="8" customFormat="1" ht="19.5" customHeight="1">
      <c r="B12" s="8" t="s">
        <v>26</v>
      </c>
      <c r="G12" s="8" t="str">
        <f t="shared" si="1"/>
        <v>서부산</v>
      </c>
      <c r="H12" s="80"/>
      <c r="I12" s="81" t="s">
        <v>26</v>
      </c>
      <c r="J12" s="46">
        <f>+IFERROR(HLOOKUP($B12,'[1]2월'!$D$6:$BN$259,2,),)/1000</f>
        <v>19</v>
      </c>
      <c r="K12" s="47">
        <f>+IFERROR(HLOOKUP($B12,'[2]2월'!$F$6:$CP$99,2,),)/1000</f>
        <v>16.841000000000001</v>
      </c>
      <c r="L12" s="48">
        <f t="shared" si="0"/>
        <v>-2.1589999999999989</v>
      </c>
      <c r="M12" s="49">
        <f>+IFERROR(HLOOKUP($B12,'[3]2월'!$F$6:$CC$57,2,),)/1000</f>
        <v>25.042000000000002</v>
      </c>
      <c r="N12" s="50">
        <f t="shared" si="2"/>
        <v>-8.2010000000000005</v>
      </c>
      <c r="O12" s="46">
        <f>+IFERROR(HLOOKUP($B12,'[1]2월'!$D$6:$BN$259,3,),)/1000</f>
        <v>1976.4044800000001</v>
      </c>
      <c r="P12" s="47">
        <f>+IFERROR(HLOOKUP($B12,'[2]2월'!$F$6:$CP$99,3,),)/1000</f>
        <v>1729.3343200000002</v>
      </c>
      <c r="Q12" s="48">
        <f t="shared" si="3"/>
        <v>-247.07015999999999</v>
      </c>
      <c r="R12" s="49">
        <f>+IFERROR(HLOOKUP($B12,'[3]2월'!$F$6:$CC$57,3,),)/1000</f>
        <v>2370.2728999999999</v>
      </c>
      <c r="S12" s="50">
        <f t="shared" si="4"/>
        <v>-640.93857999999977</v>
      </c>
      <c r="T12" s="46">
        <f>+IFERROR(HLOOKUP($B12,'[1]2월'!$D$6:$BN$259,16,),)/1000</f>
        <v>302.28305511154088</v>
      </c>
      <c r="U12" s="47">
        <f>+IFERROR(HLOOKUP($B12,'[2]2월'!$F$6:$CP$99,16,),)/1000</f>
        <v>118.80759900000007</v>
      </c>
      <c r="V12" s="48">
        <f t="shared" si="5"/>
        <v>-183.47545611154081</v>
      </c>
      <c r="W12" s="49">
        <f>+IFERROR(HLOOKUP($B12,'[3]2월'!$F$6:$CC$57,16,),)/1000</f>
        <v>388.9869930000001</v>
      </c>
      <c r="X12" s="50">
        <f t="shared" si="6"/>
        <v>-270.179394</v>
      </c>
      <c r="Y12" s="46">
        <f>+[5]서부산!$Q$85</f>
        <v>104021.28842105264</v>
      </c>
      <c r="Z12" s="47">
        <f>+[5]서부산!$R$85</f>
        <v>102685.96401638858</v>
      </c>
      <c r="AA12" s="51">
        <f>+[6]서부산!$Q$85</f>
        <v>94651.90080664483</v>
      </c>
      <c r="AB12" s="52">
        <f>+[5]서부산!$Q$89</f>
        <v>77941.042637404302</v>
      </c>
      <c r="AC12" s="47">
        <f>+[5]서부산!$R$89</f>
        <v>81711.866575619031</v>
      </c>
      <c r="AD12" s="53">
        <f>+[6]서부산!$Q$89</f>
        <v>70446.737600830602</v>
      </c>
      <c r="AE12" s="52">
        <f t="shared" si="7"/>
        <v>26080.245783648337</v>
      </c>
      <c r="AF12" s="47">
        <f t="shared" si="8"/>
        <v>20974.097440769547</v>
      </c>
      <c r="AG12" s="53">
        <f t="shared" si="9"/>
        <v>24205.163205814228</v>
      </c>
      <c r="AH12" s="18"/>
      <c r="AI12" s="19"/>
      <c r="AJ12" s="97"/>
    </row>
    <row r="13" spans="2:36" s="8" customFormat="1" ht="19.5" customHeight="1">
      <c r="B13" s="8" t="s">
        <v>27</v>
      </c>
      <c r="G13" s="8" t="str">
        <f t="shared" si="1"/>
        <v>김해</v>
      </c>
      <c r="H13" s="80"/>
      <c r="I13" s="81" t="s">
        <v>27</v>
      </c>
      <c r="J13" s="46">
        <f>+IFERROR(HLOOKUP($B13,'[1]2월'!$D$6:$BN$259,2,),)/1000</f>
        <v>11</v>
      </c>
      <c r="K13" s="47">
        <f>+IFERROR(HLOOKUP($B13,'[2]2월'!$F$6:$CP$99,2,),)/1000</f>
        <v>8.6389999999999993</v>
      </c>
      <c r="L13" s="48">
        <f t="shared" si="0"/>
        <v>-2.3610000000000007</v>
      </c>
      <c r="M13" s="49">
        <f>+IFERROR(HLOOKUP($B13,'[3]2월'!$F$6:$CC$57,2,),)/1000</f>
        <v>11.597</v>
      </c>
      <c r="N13" s="50">
        <f t="shared" si="2"/>
        <v>-2.9580000000000002</v>
      </c>
      <c r="O13" s="46">
        <f>+IFERROR(HLOOKUP($B13,'[1]2월'!$D$6:$BN$259,3,),)/1000</f>
        <v>1110.9956000000002</v>
      </c>
      <c r="P13" s="47">
        <f>+IFERROR(HLOOKUP($B13,'[2]2월'!$F$6:$CP$99,3,),)/1000</f>
        <v>890.1857</v>
      </c>
      <c r="Q13" s="48">
        <f t="shared" si="3"/>
        <v>-220.8099000000002</v>
      </c>
      <c r="R13" s="49">
        <f>+IFERROR(HLOOKUP($B13,'[3]2월'!$F$6:$CC$57,3,),)/1000</f>
        <v>1082.2338999999999</v>
      </c>
      <c r="S13" s="50">
        <f t="shared" si="4"/>
        <v>-192.04819999999995</v>
      </c>
      <c r="T13" s="46">
        <f>+IFERROR(HLOOKUP($B13,'[1]2월'!$D$6:$BN$259,16,),)/1000</f>
        <v>119.9037035991346</v>
      </c>
      <c r="U13" s="47">
        <f>+IFERROR(HLOOKUP($B13,'[2]2월'!$F$6:$CP$99,16,),)/1000</f>
        <v>16.811885999999927</v>
      </c>
      <c r="V13" s="48">
        <f t="shared" si="5"/>
        <v>-103.09181759913467</v>
      </c>
      <c r="W13" s="49">
        <f>+IFERROR(HLOOKUP($B13,'[3]2월'!$F$6:$CC$57,16,),)/1000</f>
        <v>115.15900199999986</v>
      </c>
      <c r="X13" s="50">
        <f t="shared" si="6"/>
        <v>-98.347115999999929</v>
      </c>
      <c r="Y13" s="46">
        <f>+[5]김해!$Q$85</f>
        <v>100999.60000000002</v>
      </c>
      <c r="Z13" s="47">
        <f>+[5]김해!$R$85</f>
        <v>103042.67855075818</v>
      </c>
      <c r="AA13" s="51">
        <f>+[6]김해!$Q$85</f>
        <v>93320.160386306801</v>
      </c>
      <c r="AB13" s="52">
        <f>+[5]김해!$Q$89</f>
        <v>76819.31460923134</v>
      </c>
      <c r="AC13" s="47">
        <f>+[5]김해!$R$89</f>
        <v>83785.983678666496</v>
      </c>
      <c r="AD13" s="53">
        <f>+[6]김해!$Q$89</f>
        <v>71654.560058635849</v>
      </c>
      <c r="AE13" s="52">
        <f t="shared" si="7"/>
        <v>24180.28539076868</v>
      </c>
      <c r="AF13" s="47">
        <f t="shared" si="8"/>
        <v>19256.694872091684</v>
      </c>
      <c r="AG13" s="53">
        <f t="shared" si="9"/>
        <v>21665.600327670953</v>
      </c>
      <c r="AH13" s="18"/>
      <c r="AI13" s="19"/>
      <c r="AJ13" s="97"/>
    </row>
    <row r="14" spans="2:36" s="8" customFormat="1" ht="19.5" customHeight="1">
      <c r="B14" s="8" t="s">
        <v>28</v>
      </c>
      <c r="G14" s="8" t="str">
        <f t="shared" si="1"/>
        <v>정관</v>
      </c>
      <c r="H14" s="80"/>
      <c r="I14" s="81" t="s">
        <v>28</v>
      </c>
      <c r="J14" s="46">
        <f>+IFERROR(HLOOKUP($B14,'[1]2월'!$D$6:$BN$259,2,),)/1000</f>
        <v>16</v>
      </c>
      <c r="K14" s="47">
        <f>+IFERROR(HLOOKUP($B14,'[2]2월'!$F$6:$CP$99,2,),)/1000</f>
        <v>14.978</v>
      </c>
      <c r="L14" s="48">
        <f t="shared" si="0"/>
        <v>-1.0220000000000002</v>
      </c>
      <c r="M14" s="49">
        <f>+IFERROR(HLOOKUP($B14,'[3]2월'!$F$6:$CC$57,2,),)/1000</f>
        <v>20.163</v>
      </c>
      <c r="N14" s="50">
        <f t="shared" si="2"/>
        <v>-5.1850000000000005</v>
      </c>
      <c r="O14" s="46">
        <f>+IFERROR(HLOOKUP($B14,'[1]2월'!$D$6:$BN$259,3,),)/1000</f>
        <v>1664</v>
      </c>
      <c r="P14" s="47">
        <f>+IFERROR(HLOOKUP($B14,'[2]2월'!$F$6:$CP$99,3,),)/1000</f>
        <v>1493.4373999999998</v>
      </c>
      <c r="Q14" s="48">
        <f t="shared" si="3"/>
        <v>-170.5626000000002</v>
      </c>
      <c r="R14" s="49">
        <f>+IFERROR(HLOOKUP($B14,'[3]2월'!$F$6:$CC$57,3,),)/1000</f>
        <v>2028.12292</v>
      </c>
      <c r="S14" s="50">
        <f t="shared" si="4"/>
        <v>-534.68552000000022</v>
      </c>
      <c r="T14" s="46">
        <f>+IFERROR(HLOOKUP($B14,'[1]2월'!$D$6:$BN$259,16,),)/1000</f>
        <v>206.8184781681673</v>
      </c>
      <c r="U14" s="47">
        <f>+IFERROR(HLOOKUP($B14,'[2]2월'!$F$6:$CP$99,16,),)/1000</f>
        <v>34.868346999999652</v>
      </c>
      <c r="V14" s="48">
        <f t="shared" si="5"/>
        <v>-171.95013116816764</v>
      </c>
      <c r="W14" s="49">
        <f>+IFERROR(HLOOKUP($B14,'[3]2월'!$F$6:$CC$57,16,),)/1000</f>
        <v>387.15010399999994</v>
      </c>
      <c r="X14" s="50">
        <f t="shared" si="6"/>
        <v>-352.28175700000031</v>
      </c>
      <c r="Y14" s="46">
        <f>+[5]정관!$Q$85</f>
        <v>104000</v>
      </c>
      <c r="Z14" s="47">
        <f>+[5]정관!$R$85</f>
        <v>99708.73280811857</v>
      </c>
      <c r="AA14" s="51">
        <f>+[6]정관!$Q$85</f>
        <v>100586.36710806923</v>
      </c>
      <c r="AB14" s="52">
        <f>+[5]정관!$Q$89</f>
        <v>78994.788301989538</v>
      </c>
      <c r="AC14" s="47">
        <f>+[5]정관!$R$89</f>
        <v>84310.743290158905</v>
      </c>
      <c r="AD14" s="53">
        <f>+[6]정관!$Q$89</f>
        <v>72135.331250619842</v>
      </c>
      <c r="AE14" s="52">
        <f t="shared" si="7"/>
        <v>25005.211698010462</v>
      </c>
      <c r="AF14" s="47">
        <f t="shared" si="8"/>
        <v>15397.989517959664</v>
      </c>
      <c r="AG14" s="53">
        <f t="shared" si="9"/>
        <v>28451.035857449388</v>
      </c>
      <c r="AH14" s="18"/>
      <c r="AI14" s="19"/>
      <c r="AJ14" s="97"/>
    </row>
    <row r="15" spans="2:36" s="8" customFormat="1" ht="19.5" customHeight="1">
      <c r="B15" s="8" t="s">
        <v>29</v>
      </c>
      <c r="G15" s="8" t="str">
        <f t="shared" si="1"/>
        <v>양산</v>
      </c>
      <c r="H15" s="80"/>
      <c r="I15" s="81" t="s">
        <v>29</v>
      </c>
      <c r="J15" s="46">
        <f>+IFERROR(HLOOKUP($B15,'[1]2월'!$D$6:$BN$259,2,),)/1000</f>
        <v>9</v>
      </c>
      <c r="K15" s="47">
        <f>+IFERROR(HLOOKUP($B15,'[2]2월'!$F$6:$CP$99,2,),)/1000</f>
        <v>9.5579999999999998</v>
      </c>
      <c r="L15" s="48">
        <f t="shared" si="0"/>
        <v>0.55799999999999983</v>
      </c>
      <c r="M15" s="49">
        <f>+IFERROR(HLOOKUP($B15,'[3]2월'!$F$6:$CC$57,2,),)/1000</f>
        <v>12.89</v>
      </c>
      <c r="N15" s="50">
        <f t="shared" si="2"/>
        <v>-3.3320000000000007</v>
      </c>
      <c r="O15" s="46">
        <f>+IFERROR(HLOOKUP($B15,'[1]2월'!$D$6:$BN$259,3,),)/1000</f>
        <v>864.59779999999978</v>
      </c>
      <c r="P15" s="47">
        <f>+IFERROR(HLOOKUP($B15,'[2]2월'!$F$6:$CP$99,3,),)/1000</f>
        <v>924.58643000000006</v>
      </c>
      <c r="Q15" s="48">
        <f t="shared" si="3"/>
        <v>59.988630000000285</v>
      </c>
      <c r="R15" s="49">
        <f>+IFERROR(HLOOKUP($B15,'[3]2월'!$F$6:$CC$57,3,),)/1000</f>
        <v>1213.8579320000001</v>
      </c>
      <c r="S15" s="50">
        <f t="shared" si="4"/>
        <v>-289.27150200000005</v>
      </c>
      <c r="T15" s="46">
        <f>+IFERROR(HLOOKUP($B15,'[1]2월'!$D$6:$BN$259,16,),)/1000</f>
        <v>91.002494821449048</v>
      </c>
      <c r="U15" s="47">
        <f>+IFERROR(HLOOKUP($B15,'[2]2월'!$F$6:$CP$99,16,),)/1000</f>
        <v>98.534238000000144</v>
      </c>
      <c r="V15" s="48">
        <f t="shared" si="5"/>
        <v>7.5317431785510962</v>
      </c>
      <c r="W15" s="49">
        <f>+IFERROR(HLOOKUP($B15,'[3]2월'!$F$6:$CC$57,16,),)/1000</f>
        <v>188.53670700000004</v>
      </c>
      <c r="X15" s="50">
        <f t="shared" si="6"/>
        <v>-90.002468999999891</v>
      </c>
      <c r="Y15" s="46">
        <f>+[5]양산!$Q$85</f>
        <v>96066.422222222202</v>
      </c>
      <c r="Z15" s="47">
        <f>+[5]양산!$R$85</f>
        <v>96734.299016530655</v>
      </c>
      <c r="AA15" s="51">
        <f>+[6]양산!$Q$85</f>
        <v>94170.514507370055</v>
      </c>
      <c r="AB15" s="52">
        <f>+[5]양산!$Q$89</f>
        <v>71412.953279098248</v>
      </c>
      <c r="AC15" s="47">
        <f>+[5]양산!$R$89</f>
        <v>71459.126281648874</v>
      </c>
      <c r="AD15" s="53">
        <f>+[6]양산!$Q$89</f>
        <v>68415.923387096787</v>
      </c>
      <c r="AE15" s="52">
        <f t="shared" si="7"/>
        <v>24653.468943123953</v>
      </c>
      <c r="AF15" s="47">
        <f t="shared" si="8"/>
        <v>25275.17273488178</v>
      </c>
      <c r="AG15" s="53">
        <f t="shared" si="9"/>
        <v>25754.591120273268</v>
      </c>
      <c r="AH15" s="18"/>
      <c r="AI15" s="19"/>
      <c r="AJ15" s="97"/>
    </row>
    <row r="16" spans="2:36" s="8" customFormat="1" ht="19.5" customHeight="1">
      <c r="B16" s="8" t="s">
        <v>30</v>
      </c>
      <c r="G16" s="8" t="str">
        <f t="shared" si="1"/>
        <v>창원</v>
      </c>
      <c r="H16" s="80"/>
      <c r="I16" s="81" t="s">
        <v>30</v>
      </c>
      <c r="J16" s="46">
        <f>+IFERROR(HLOOKUP($B16,'[1]2월'!$D$6:$BN$259,2,),)/1000</f>
        <v>14</v>
      </c>
      <c r="K16" s="47">
        <f>+IFERROR(HLOOKUP($B16,'[2]2월'!$F$6:$CP$99,2,),)/1000</f>
        <v>15.452999999999999</v>
      </c>
      <c r="L16" s="48">
        <f t="shared" si="0"/>
        <v>1.4529999999999994</v>
      </c>
      <c r="M16" s="49">
        <f>+IFERROR(HLOOKUP($B16,'[3]2월'!$F$6:$CC$57,2,),)/1000</f>
        <v>20.134</v>
      </c>
      <c r="N16" s="50">
        <f t="shared" si="2"/>
        <v>-4.6810000000000009</v>
      </c>
      <c r="O16" s="46">
        <f>+IFERROR(HLOOKUP($B16,'[1]2월'!$D$6:$BN$259,3,),)/1000</f>
        <v>1394.204</v>
      </c>
      <c r="P16" s="47">
        <f>+IFERROR(HLOOKUP($B16,'[2]2월'!$F$6:$CP$99,3,),)/1000</f>
        <v>1538.5331999999999</v>
      </c>
      <c r="Q16" s="48">
        <f t="shared" si="3"/>
        <v>144.3291999999999</v>
      </c>
      <c r="R16" s="49">
        <f>+IFERROR(HLOOKUP($B16,'[3]2월'!$F$6:$CC$57,3,),)/1000</f>
        <v>1861.4378999999999</v>
      </c>
      <c r="S16" s="50">
        <f t="shared" si="4"/>
        <v>-322.90470000000005</v>
      </c>
      <c r="T16" s="46">
        <f>+IFERROR(HLOOKUP($B16,'[1]2월'!$D$6:$BN$259,16,),)/1000</f>
        <v>199.86228411588726</v>
      </c>
      <c r="U16" s="47">
        <f>+IFERROR(HLOOKUP($B16,'[2]2월'!$F$6:$CP$99,16,),)/1000</f>
        <v>220.45765399999996</v>
      </c>
      <c r="V16" s="48">
        <f t="shared" si="5"/>
        <v>20.595369884112699</v>
      </c>
      <c r="W16" s="49">
        <f>+IFERROR(HLOOKUP($B16,'[3]2월'!$F$6:$CC$57,16,),)/1000</f>
        <v>343.55849199999989</v>
      </c>
      <c r="X16" s="50">
        <f t="shared" si="6"/>
        <v>-123.10083799999992</v>
      </c>
      <c r="Y16" s="46">
        <f>+[5]창원!$Q$85</f>
        <v>99586</v>
      </c>
      <c r="Z16" s="47">
        <f>+[5]창원!$R$85</f>
        <v>99562.104445738689</v>
      </c>
      <c r="AA16" s="51">
        <f>+[6]창원!$Q$85</f>
        <v>92452.463494586264</v>
      </c>
      <c r="AB16" s="52">
        <f>+[5]창원!$Q$89</f>
        <v>72424.548892020073</v>
      </c>
      <c r="AC16" s="47">
        <f>+[5]창원!$R$89</f>
        <v>73759.235811816485</v>
      </c>
      <c r="AD16" s="53">
        <f>+[6]창원!$Q$89</f>
        <v>66726.913479686104</v>
      </c>
      <c r="AE16" s="52">
        <f t="shared" si="7"/>
        <v>27161.451107979927</v>
      </c>
      <c r="AF16" s="47">
        <f t="shared" si="8"/>
        <v>25802.868633922204</v>
      </c>
      <c r="AG16" s="53">
        <f t="shared" si="9"/>
        <v>25725.55001490016</v>
      </c>
      <c r="AH16" s="18"/>
      <c r="AI16" s="19"/>
      <c r="AJ16" s="97"/>
    </row>
    <row r="17" spans="2:38" s="8" customFormat="1" ht="19.5" customHeight="1">
      <c r="B17" s="8" t="s">
        <v>96</v>
      </c>
      <c r="G17" s="8" t="str">
        <f t="shared" si="1"/>
        <v>대구</v>
      </c>
      <c r="H17" s="80"/>
      <c r="I17" s="81" t="s">
        <v>87</v>
      </c>
      <c r="J17" s="46">
        <f>+IFERROR(HLOOKUP($B17,'[1]2월'!$D$6:$BN$259,2,),)/1000</f>
        <v>13.5</v>
      </c>
      <c r="K17" s="47">
        <f>+IFERROR(HLOOKUP($B17,'[2]2월'!$F$6:$CP$99,2,),)/1000</f>
        <v>13.997</v>
      </c>
      <c r="L17" s="48">
        <f t="shared" si="0"/>
        <v>0.49699999999999989</v>
      </c>
      <c r="M17" s="49">
        <f>+IFERROR(HLOOKUP($B17,'[3]2월'!$F$6:$CC$57,2,),)/1000</f>
        <v>22.593499999999999</v>
      </c>
      <c r="N17" s="50">
        <f t="shared" si="2"/>
        <v>-8.5964999999999989</v>
      </c>
      <c r="O17" s="46">
        <f>+IFERROR(HLOOKUP($B17,'[1]2월'!$D$6:$BN$259,3,),)/1000</f>
        <v>1320.3</v>
      </c>
      <c r="P17" s="47">
        <f>+IFERROR(HLOOKUP($B17,'[2]2월'!$F$6:$CP$99,3,),)/1000</f>
        <v>1431.9896999999999</v>
      </c>
      <c r="Q17" s="48">
        <f t="shared" si="3"/>
        <v>111.6896999999999</v>
      </c>
      <c r="R17" s="49">
        <f>+IFERROR(HLOOKUP($B17,'[3]2월'!$F$6:$CC$57,3,),)/1000</f>
        <v>1982.2</v>
      </c>
      <c r="S17" s="50">
        <f t="shared" si="4"/>
        <v>-550.21030000000019</v>
      </c>
      <c r="T17" s="46">
        <f>+IFERROR(HLOOKUP($B17,'[1]2월'!$D$6:$BN$259,16,),)/1000</f>
        <v>188.98876246893872</v>
      </c>
      <c r="U17" s="47">
        <f>+IFERROR(HLOOKUP($B17,'[2]2월'!$F$6:$CP$99,16,),)/1000</f>
        <v>216.44188699999998</v>
      </c>
      <c r="V17" s="48">
        <f t="shared" si="5"/>
        <v>27.453124531061263</v>
      </c>
      <c r="W17" s="49">
        <f>+IFERROR(HLOOKUP($B17,'[3]2월'!$F$6:$CC$57,16,),)/1000</f>
        <v>321.07979499999999</v>
      </c>
      <c r="X17" s="50">
        <f t="shared" si="6"/>
        <v>-104.63790800000001</v>
      </c>
      <c r="Y17" s="46">
        <f>+[5]대구!$Q$85</f>
        <v>97800</v>
      </c>
      <c r="Z17" s="47">
        <f>+[5]대구!$R$85</f>
        <v>102306.90147888834</v>
      </c>
      <c r="AA17" s="51">
        <f>+[6]대구!$Q$85</f>
        <v>87723.065341097797</v>
      </c>
      <c r="AB17" s="52">
        <f>+[5]대구!$Q$89</f>
        <v>71441.174251090255</v>
      </c>
      <c r="AC17" s="47">
        <f>+[5]대구!$R$89</f>
        <v>74620.402199528675</v>
      </c>
      <c r="AD17" s="53">
        <f>+[6]대구!$Q$89</f>
        <v>66045.345260500864</v>
      </c>
      <c r="AE17" s="52">
        <f t="shared" si="7"/>
        <v>26358.825748909745</v>
      </c>
      <c r="AF17" s="47">
        <f t="shared" si="8"/>
        <v>27686.499279359661</v>
      </c>
      <c r="AG17" s="53">
        <f t="shared" si="9"/>
        <v>21677.720080596933</v>
      </c>
      <c r="AH17" s="18"/>
      <c r="AI17" s="19"/>
      <c r="AJ17" s="97"/>
    </row>
    <row r="18" spans="2:38" s="8" customFormat="1" ht="19.5" customHeight="1">
      <c r="B18" s="8" t="s">
        <v>98</v>
      </c>
      <c r="G18" s="9" t="str">
        <f t="shared" si="1"/>
        <v>울산</v>
      </c>
      <c r="H18" s="80"/>
      <c r="I18" s="83" t="s">
        <v>88</v>
      </c>
      <c r="J18" s="10">
        <f>+IFERROR(HLOOKUP($B18,'[1]2월'!$D$6:$BN$259,2,),)/1000</f>
        <v>4</v>
      </c>
      <c r="K18" s="11">
        <f>+IFERROR(HLOOKUP($B18,'[2]2월'!$F$6:$CP$99,2,),)/1000</f>
        <v>4.7885</v>
      </c>
      <c r="L18" s="12">
        <f t="shared" si="0"/>
        <v>0.78849999999999998</v>
      </c>
      <c r="M18" s="13">
        <f>+IFERROR(HLOOKUP($B18,'[3]2월'!$F$6:$CC$57,2,),)/1000</f>
        <v>10.44</v>
      </c>
      <c r="N18" s="14">
        <f t="shared" si="2"/>
        <v>-5.6514999999999995</v>
      </c>
      <c r="O18" s="10">
        <f>+IFERROR(HLOOKUP($B18,'[1]2월'!$D$6:$BN$259,3,),)/1000</f>
        <v>389.68349999999998</v>
      </c>
      <c r="P18" s="11">
        <f>+IFERROR(HLOOKUP($B18,'[2]2월'!$F$6:$CP$99,3,),)/1000</f>
        <v>487.72015000000005</v>
      </c>
      <c r="Q18" s="12">
        <f t="shared" si="3"/>
        <v>98.036650000000066</v>
      </c>
      <c r="R18" s="13">
        <f>+IFERROR(HLOOKUP($B18,'[3]2월'!$F$6:$CC$57,3,),)/1000</f>
        <v>977.44159999999999</v>
      </c>
      <c r="S18" s="14">
        <f t="shared" si="4"/>
        <v>-489.72144999999995</v>
      </c>
      <c r="T18" s="10">
        <f>+IFERROR(HLOOKUP($B18,'[1]2월'!$D$6:$BN$259,16,),)/1000</f>
        <v>-58.251055701612756</v>
      </c>
      <c r="U18" s="11">
        <f>+IFERROR(HLOOKUP($B18,'[2]2월'!$F$6:$CP$99,16,),)/1000</f>
        <v>-66.050996999999938</v>
      </c>
      <c r="V18" s="12">
        <f t="shared" si="5"/>
        <v>-7.7999412983871821</v>
      </c>
      <c r="W18" s="13">
        <f>+IFERROR(HLOOKUP($B18,'[3]2월'!$F$6:$CC$57,16,),)/1000</f>
        <v>64.285416999999939</v>
      </c>
      <c r="X18" s="14">
        <f t="shared" si="6"/>
        <v>-130.33641399999988</v>
      </c>
      <c r="Y18" s="10">
        <f>+[5]울산!$Q$85</f>
        <v>97420.875</v>
      </c>
      <c r="Z18" s="11">
        <f>+[5]울산!$R$85</f>
        <v>101852.38592461105</v>
      </c>
      <c r="AA18" s="15">
        <f>+[6]울산!$Q$85</f>
        <v>93653.584541062795</v>
      </c>
      <c r="AB18" s="16">
        <f>+[5]울산!$Q$89</f>
        <v>79597.840498447593</v>
      </c>
      <c r="AC18" s="11">
        <f>+[5]울산!$R$89</f>
        <v>86917.518011903521</v>
      </c>
      <c r="AD18" s="17">
        <f>+[6]울산!$Q$89</f>
        <v>75146.941352656999</v>
      </c>
      <c r="AE18" s="16">
        <f t="shared" si="7"/>
        <v>17823.034501552407</v>
      </c>
      <c r="AF18" s="11">
        <f t="shared" si="8"/>
        <v>14934.86791270753</v>
      </c>
      <c r="AG18" s="17">
        <f t="shared" si="9"/>
        <v>18506.643188405797</v>
      </c>
      <c r="AH18" s="18"/>
      <c r="AI18" s="19"/>
      <c r="AJ18" s="97"/>
    </row>
    <row r="19" spans="2:38" s="8" customFormat="1" ht="19.5" customHeight="1">
      <c r="B19" s="8" t="s">
        <v>93</v>
      </c>
      <c r="G19" s="9" t="str">
        <f t="shared" si="1"/>
        <v>아산</v>
      </c>
      <c r="H19" s="80"/>
      <c r="I19" s="81" t="s">
        <v>31</v>
      </c>
      <c r="J19" s="46">
        <f>+IFERROR(HLOOKUP($B19,'[1]2월'!$D$6:$BN$259,2,),)/1000</f>
        <v>14.5</v>
      </c>
      <c r="K19" s="47">
        <f>+IFERROR(HLOOKUP($B19,'[2]2월'!$F$6:$CP$99,2,),)/1000</f>
        <v>17.471</v>
      </c>
      <c r="L19" s="48">
        <f t="shared" si="0"/>
        <v>2.9710000000000001</v>
      </c>
      <c r="M19" s="49">
        <f>+IFERROR(HLOOKUP($B19,'[3]2월'!$F$6:$CC$57,2,),)/1000</f>
        <v>27.672999999999998</v>
      </c>
      <c r="N19" s="50">
        <f t="shared" si="2"/>
        <v>-10.201999999999998</v>
      </c>
      <c r="O19" s="46">
        <f>+IFERROR(HLOOKUP($B19,'[1]2월'!$D$6:$BN$259,3,),)/1000</f>
        <v>1464.4955</v>
      </c>
      <c r="P19" s="47">
        <f>+IFERROR(HLOOKUP($B19,'[2]2월'!$F$6:$CP$99,3,),)/1000</f>
        <v>1754.0611550000001</v>
      </c>
      <c r="Q19" s="48">
        <f t="shared" si="3"/>
        <v>289.56565500000011</v>
      </c>
      <c r="R19" s="49">
        <f>+IFERROR(HLOOKUP($B19,'[3]2월'!$F$6:$CC$57,3,),)/1000</f>
        <v>2590.923792</v>
      </c>
      <c r="S19" s="50">
        <f t="shared" si="4"/>
        <v>-836.86263699999995</v>
      </c>
      <c r="T19" s="46">
        <f>+IFERROR(HLOOKUP($B19,'[1]2월'!$D$6:$BN$259,16,),)/1000</f>
        <v>117.38232544016353</v>
      </c>
      <c r="U19" s="47">
        <f>+IFERROR(HLOOKUP($B19,'[2]2월'!$F$6:$CP$99,16,),)/1000</f>
        <v>117.1592380000001</v>
      </c>
      <c r="V19" s="48">
        <f t="shared" si="5"/>
        <v>-0.2230874401634253</v>
      </c>
      <c r="W19" s="49">
        <f>+IFERROR(HLOOKUP($B19,'[3]2월'!$F$6:$CC$57,16,),)/1000</f>
        <v>365.5447989999999</v>
      </c>
      <c r="X19" s="50">
        <f t="shared" si="6"/>
        <v>-248.3855609999998</v>
      </c>
      <c r="Y19" s="46">
        <f>+[5]아산!$Q$85</f>
        <v>100999.68965517242</v>
      </c>
      <c r="Z19" s="47">
        <f>+[5]아산!$R$85</f>
        <v>100398.44055864004</v>
      </c>
      <c r="AA19" s="51">
        <f>+[6]아산!$Q$85</f>
        <v>93800.445368876812</v>
      </c>
      <c r="AB19" s="52">
        <f>+[5]아산!$Q$89</f>
        <v>78008.057332007986</v>
      </c>
      <c r="AC19" s="47">
        <f>+[5]아산!$R$89</f>
        <v>79376.801578676444</v>
      </c>
      <c r="AD19" s="53">
        <f>+[6]아산!$Q$89</f>
        <v>69416.61728499872</v>
      </c>
      <c r="AE19" s="52">
        <f t="shared" si="7"/>
        <v>22991.632323164435</v>
      </c>
      <c r="AF19" s="47">
        <f t="shared" si="8"/>
        <v>21021.638979963594</v>
      </c>
      <c r="AG19" s="53">
        <f t="shared" si="9"/>
        <v>24383.828083878092</v>
      </c>
      <c r="AH19" s="18"/>
      <c r="AI19" s="19"/>
      <c r="AJ19" s="97"/>
    </row>
    <row r="20" spans="2:38" s="8" customFormat="1" ht="19.5" customHeight="1">
      <c r="B20" s="8" t="s">
        <v>89</v>
      </c>
      <c r="G20" s="9" t="str">
        <f t="shared" si="1"/>
        <v>전주</v>
      </c>
      <c r="H20" s="80"/>
      <c r="I20" s="81" t="s">
        <v>89</v>
      </c>
      <c r="J20" s="46">
        <f>+IFERROR(HLOOKUP($B20,'[1]2월'!$D$6:$BN$259,2,),)/1000</f>
        <v>10</v>
      </c>
      <c r="K20" s="47">
        <f>+IFERROR(HLOOKUP($B20,'[2]2월'!$F$6:$CP$99,2,),)/1000</f>
        <v>2.2629999999999999</v>
      </c>
      <c r="L20" s="48">
        <f t="shared" si="0"/>
        <v>-7.7370000000000001</v>
      </c>
      <c r="M20" s="49">
        <f>+IFERROR(HLOOKUP($B20,'[3]2월'!$F$6:$CC$57,2,),)/1000</f>
        <v>8.0365000000000002</v>
      </c>
      <c r="N20" s="50">
        <f t="shared" si="2"/>
        <v>-5.7735000000000003</v>
      </c>
      <c r="O20" s="46">
        <f>+IFERROR(HLOOKUP($B20,'[1]2월'!$D$6:$BN$259,3,),)/1000</f>
        <v>1008.375808</v>
      </c>
      <c r="P20" s="47">
        <f>+IFERROR(HLOOKUP($B20,'[2]2월'!$F$6:$CP$99,3,),)/1000</f>
        <v>226.08199999999999</v>
      </c>
      <c r="Q20" s="48">
        <f t="shared" si="3"/>
        <v>-782.29380800000001</v>
      </c>
      <c r="R20" s="49">
        <f>+IFERROR(HLOOKUP($B20,'[3]2월'!$F$6:$CC$57,3,),)/1000</f>
        <v>706.97394099999997</v>
      </c>
      <c r="S20" s="50">
        <f t="shared" si="4"/>
        <v>-480.89194099999997</v>
      </c>
      <c r="T20" s="46">
        <f>+IFERROR(HLOOKUP($B20,'[1]2월'!$D$6:$BN$259,16,),)/1000</f>
        <v>117.02373707297485</v>
      </c>
      <c r="U20" s="47">
        <f>+IFERROR(HLOOKUP($B20,'[2]2월'!$F$6:$CP$99,16,),)/1000</f>
        <v>-81.422136000000009</v>
      </c>
      <c r="V20" s="48">
        <f t="shared" si="5"/>
        <v>-198.44587307297485</v>
      </c>
      <c r="W20" s="49">
        <f>+IFERROR(HLOOKUP($B20,'[3]2월'!$F$6:$CC$57,16,),)/1000</f>
        <v>10.83182300000003</v>
      </c>
      <c r="X20" s="50">
        <f t="shared" si="6"/>
        <v>-92.253959000000037</v>
      </c>
      <c r="Y20" s="46">
        <f>+[5]전주!$Q$85</f>
        <v>100837.5808</v>
      </c>
      <c r="Z20" s="47">
        <f>+[5]전주!$R$85</f>
        <v>99903.66769774635</v>
      </c>
      <c r="AA20" s="51">
        <f>+[6]전주!$Q$85</f>
        <v>87971.814176364423</v>
      </c>
      <c r="AB20" s="52">
        <f>+[5]전주!$Q$89</f>
        <v>74732.53102206155</v>
      </c>
      <c r="AC20" s="47">
        <f>+[5]전주!$R$89</f>
        <v>73666.573133009282</v>
      </c>
      <c r="AD20" s="53">
        <f>+[6]전주!$Q$89</f>
        <v>67286.452672848332</v>
      </c>
      <c r="AE20" s="52">
        <f t="shared" si="7"/>
        <v>26105.049777938446</v>
      </c>
      <c r="AF20" s="47">
        <f t="shared" si="8"/>
        <v>26237.094564737068</v>
      </c>
      <c r="AG20" s="53">
        <f t="shared" si="9"/>
        <v>20685.361503516091</v>
      </c>
      <c r="AH20" s="18"/>
      <c r="AI20" s="19"/>
      <c r="AJ20" s="97"/>
    </row>
    <row r="21" spans="2:38" s="8" customFormat="1" ht="19.5" customHeight="1">
      <c r="B21" s="8" t="s">
        <v>90</v>
      </c>
      <c r="G21" s="9" t="str">
        <f t="shared" si="1"/>
        <v>군산</v>
      </c>
      <c r="H21" s="80"/>
      <c r="I21" s="81" t="s">
        <v>90</v>
      </c>
      <c r="J21" s="46">
        <f>+IFERROR(HLOOKUP($B21,'[1]2월'!$D$6:$BN$259,2,),)/1000</f>
        <v>4</v>
      </c>
      <c r="K21" s="47">
        <f>+IFERROR(HLOOKUP($B21,'[2]2월'!$F$6:$CP$99,2,),)/1000</f>
        <v>5.5540000000000003</v>
      </c>
      <c r="L21" s="48">
        <f t="shared" si="0"/>
        <v>1.5540000000000003</v>
      </c>
      <c r="M21" s="49">
        <f>+IFERROR(HLOOKUP($B21,'[3]2월'!$F$6:$CC$57,2,),)/1000</f>
        <v>6.6040000000000001</v>
      </c>
      <c r="N21" s="50">
        <f t="shared" si="2"/>
        <v>-1.0499999999999998</v>
      </c>
      <c r="O21" s="46">
        <f>+IFERROR(HLOOKUP($B21,'[1]2월'!$D$6:$BN$259,3,),)/1000</f>
        <v>433.13407500000005</v>
      </c>
      <c r="P21" s="47">
        <f>+IFERROR(HLOOKUP($B21,'[2]2월'!$F$6:$CP$99,3,),)/1000</f>
        <v>576.85868000000005</v>
      </c>
      <c r="Q21" s="48">
        <f t="shared" si="3"/>
        <v>143.724605</v>
      </c>
      <c r="R21" s="49">
        <f>+IFERROR(HLOOKUP($B21,'[3]2월'!$F$6:$CC$57,3,),)/1000</f>
        <v>605.03161299999999</v>
      </c>
      <c r="S21" s="50">
        <f t="shared" si="4"/>
        <v>-28.172932999999944</v>
      </c>
      <c r="T21" s="46">
        <f>+IFERROR(HLOOKUP($B21,'[1]2월'!$D$6:$BN$259,16,),)/1000</f>
        <v>75.802069303816452</v>
      </c>
      <c r="U21" s="47">
        <f>+IFERROR(HLOOKUP($B21,'[2]2월'!$F$6:$CP$99,16,),)/1000</f>
        <v>104.45300700000007</v>
      </c>
      <c r="V21" s="48">
        <f t="shared" si="5"/>
        <v>28.650937696183618</v>
      </c>
      <c r="W21" s="49">
        <f>+IFERROR(HLOOKUP($B21,'[3]2월'!$F$6:$CC$57,16,),)/1000</f>
        <v>113.88141099999999</v>
      </c>
      <c r="X21" s="50">
        <f t="shared" si="6"/>
        <v>-9.4284039999999152</v>
      </c>
      <c r="Y21" s="46">
        <f>+[5]군산!$Q$85</f>
        <v>108283.51875000002</v>
      </c>
      <c r="Z21" s="47">
        <f>+[5]군산!$R$85</f>
        <v>103863.64422038171</v>
      </c>
      <c r="AA21" s="51">
        <f>+[6]군산!$Q$85</f>
        <v>91615.931708055723</v>
      </c>
      <c r="AB21" s="52">
        <f>+[5]군산!$Q$89</f>
        <v>70400.341559139779</v>
      </c>
      <c r="AC21" s="47">
        <f>+[5]군산!$R$89</f>
        <v>70822.396290961464</v>
      </c>
      <c r="AD21" s="53">
        <f>+[6]군산!$Q$89</f>
        <v>63463.673379769833</v>
      </c>
      <c r="AE21" s="52">
        <f t="shared" si="7"/>
        <v>37883.177190860239</v>
      </c>
      <c r="AF21" s="47">
        <f t="shared" si="8"/>
        <v>33041.247929420249</v>
      </c>
      <c r="AG21" s="53">
        <f t="shared" si="9"/>
        <v>28152.25832828589</v>
      </c>
      <c r="AH21" s="18"/>
      <c r="AI21" s="19"/>
      <c r="AJ21" s="97"/>
    </row>
    <row r="22" spans="2:38" s="8" customFormat="1" ht="19.5" customHeight="1">
      <c r="B22" s="8" t="s">
        <v>91</v>
      </c>
      <c r="G22" s="9" t="str">
        <f t="shared" si="1"/>
        <v>원주</v>
      </c>
      <c r="H22" s="80"/>
      <c r="I22" s="81" t="s">
        <v>91</v>
      </c>
      <c r="J22" s="46">
        <f>+IFERROR(HLOOKUP($B22,'[1]2월'!$D$6:$BN$259,2,),)/1000</f>
        <v>3</v>
      </c>
      <c r="K22" s="47">
        <f>+IFERROR(HLOOKUP($B22,'[2]2월'!$F$6:$CP$99,2,),)/1000</f>
        <v>3.4064999999999999</v>
      </c>
      <c r="L22" s="48">
        <f t="shared" si="0"/>
        <v>0.40649999999999986</v>
      </c>
      <c r="M22" s="49">
        <f>+IFERROR(HLOOKUP($B22,'[3]2월'!$F$6:$CC$57,2,),)/1000</f>
        <v>2.8919999999999999</v>
      </c>
      <c r="N22" s="50">
        <f t="shared" si="2"/>
        <v>0.51449999999999996</v>
      </c>
      <c r="O22" s="46">
        <f>+IFERROR(HLOOKUP($B22,'[1]2월'!$D$6:$BN$259,3,),)/1000</f>
        <v>323.7</v>
      </c>
      <c r="P22" s="47">
        <f>+IFERROR(HLOOKUP($B22,'[2]2월'!$F$6:$CP$99,3,),)/1000</f>
        <v>364.36470000000003</v>
      </c>
      <c r="Q22" s="48">
        <f t="shared" si="3"/>
        <v>40.664700000000039</v>
      </c>
      <c r="R22" s="49">
        <f>+IFERROR(HLOOKUP($B22,'[3]2월'!$F$6:$CC$57,3,),)/1000</f>
        <v>301.50109999999995</v>
      </c>
      <c r="S22" s="50">
        <f t="shared" si="4"/>
        <v>62.863600000000076</v>
      </c>
      <c r="T22" s="46">
        <f>+IFERROR(HLOOKUP($B22,'[1]2월'!$D$6:$BN$259,16,),)/1000</f>
        <v>20.262079743808652</v>
      </c>
      <c r="U22" s="47">
        <f>+IFERROR(HLOOKUP($B22,'[2]2월'!$F$6:$CP$99,16,),)/1000</f>
        <v>36.29271199999998</v>
      </c>
      <c r="V22" s="48">
        <f t="shared" si="5"/>
        <v>16.030632256191328</v>
      </c>
      <c r="W22" s="49">
        <f>+IFERROR(HLOOKUP($B22,'[3]2월'!$F$6:$CC$57,16,),)/1000</f>
        <v>36.145728999999953</v>
      </c>
      <c r="X22" s="50">
        <f t="shared" si="6"/>
        <v>0.14698300000002718</v>
      </c>
      <c r="Y22" s="46">
        <f>+[5]원주!$Q$85</f>
        <v>107900</v>
      </c>
      <c r="Z22" s="47">
        <f>+[5]원주!$R$85</f>
        <v>106985.04811250925</v>
      </c>
      <c r="AA22" s="51">
        <f>+[6]원주!$Q$85</f>
        <v>104253.49239280775</v>
      </c>
      <c r="AB22" s="52">
        <f>+[5]원주!$Q$89</f>
        <v>75391.686833409171</v>
      </c>
      <c r="AC22" s="47">
        <f>+[5]원주!$R$89</f>
        <v>72527.647076239824</v>
      </c>
      <c r="AD22" s="53">
        <f>+[6]원주!$Q$89</f>
        <v>66869.221991701241</v>
      </c>
      <c r="AE22" s="52">
        <f t="shared" si="7"/>
        <v>32508.313166590829</v>
      </c>
      <c r="AF22" s="47">
        <f t="shared" si="8"/>
        <v>34457.401036269424</v>
      </c>
      <c r="AG22" s="53">
        <f t="shared" si="9"/>
        <v>37384.270401106507</v>
      </c>
      <c r="AH22" s="18"/>
      <c r="AI22" s="19"/>
      <c r="AJ22" s="97"/>
    </row>
    <row r="23" spans="2:38" s="8" customFormat="1" ht="19.5" customHeight="1">
      <c r="B23" s="8" t="s">
        <v>92</v>
      </c>
      <c r="G23" s="8" t="str">
        <f t="shared" si="1"/>
        <v>제주</v>
      </c>
      <c r="H23" s="80"/>
      <c r="I23" s="81" t="s">
        <v>92</v>
      </c>
      <c r="J23" s="46">
        <f>+IFERROR(HLOOKUP($B23,'[1]2월'!$D$6:$BN$259,2,),)/1000</f>
        <v>4</v>
      </c>
      <c r="K23" s="47">
        <f>+IFERROR(HLOOKUP($B23,'[2]2월'!$F$6:$CP$99,2,),)/1000</f>
        <v>2.3984999999999999</v>
      </c>
      <c r="L23" s="48">
        <f t="shared" si="0"/>
        <v>-1.6015000000000001</v>
      </c>
      <c r="M23" s="49">
        <f>+IFERROR(HLOOKUP($B23,'[3]2월'!$F$6:$CC$57,2,),)/1000</f>
        <v>7.3109999999999999</v>
      </c>
      <c r="N23" s="50">
        <f t="shared" si="2"/>
        <v>-4.9124999999999996</v>
      </c>
      <c r="O23" s="46">
        <f>+IFERROR(HLOOKUP($B23,'[1]2월'!$D$6:$BN$259,3,),)/1000</f>
        <v>506.8</v>
      </c>
      <c r="P23" s="47">
        <f>+IFERROR(HLOOKUP($B23,'[2]2월'!$F$6:$CP$99,3,),)/1000</f>
        <v>308.44242599999995</v>
      </c>
      <c r="Q23" s="48">
        <f t="shared" si="3"/>
        <v>-198.35757400000006</v>
      </c>
      <c r="R23" s="49">
        <f>+IFERROR(HLOOKUP($B23,'[3]2월'!$F$6:$CC$57,3,),)/1000</f>
        <v>864.90138000000002</v>
      </c>
      <c r="S23" s="50">
        <f t="shared" si="4"/>
        <v>-556.45895400000006</v>
      </c>
      <c r="T23" s="46">
        <f>+IFERROR(HLOOKUP($B23,'[1]2월'!$D$6:$BN$259,16,),)/1000</f>
        <v>56.265173866642499</v>
      </c>
      <c r="U23" s="47">
        <f>+IFERROR(HLOOKUP($B23,'[2]2월'!$F$6:$CP$99,16,),)/1000</f>
        <v>14.867435999999978</v>
      </c>
      <c r="V23" s="48">
        <f t="shared" si="5"/>
        <v>-41.397737866642522</v>
      </c>
      <c r="W23" s="49">
        <f>+IFERROR(HLOOKUP($B23,'[3]2월'!$F$6:$CC$57,16,),)/1000</f>
        <v>189.18454799999998</v>
      </c>
      <c r="X23" s="50">
        <f t="shared" si="6"/>
        <v>-174.31711200000001</v>
      </c>
      <c r="Y23" s="46">
        <f>+[5]제주!$Q$85</f>
        <v>126700</v>
      </c>
      <c r="Z23" s="47">
        <f>+[5]제주!$R$85</f>
        <v>128598.05128205127</v>
      </c>
      <c r="AA23" s="51">
        <f>+[6]제주!$Q$85</f>
        <v>118301.37874435782</v>
      </c>
      <c r="AB23" s="52">
        <f>+[5]제주!$Q$89</f>
        <v>89935.469322780293</v>
      </c>
      <c r="AC23" s="47">
        <f>+[5]제주!$R$89</f>
        <v>88785.068025795714</v>
      </c>
      <c r="AD23" s="53">
        <f>+[6]제주!$Q$89</f>
        <v>81530.019833128172</v>
      </c>
      <c r="AE23" s="52">
        <f t="shared" si="7"/>
        <v>36764.530677219707</v>
      </c>
      <c r="AF23" s="47">
        <f t="shared" si="8"/>
        <v>39812.983256255553</v>
      </c>
      <c r="AG23" s="53">
        <f t="shared" si="9"/>
        <v>36771.358911229647</v>
      </c>
      <c r="AH23" s="18"/>
      <c r="AI23" s="19"/>
      <c r="AJ23" s="97"/>
    </row>
    <row r="24" spans="2:38" s="8" customFormat="1" ht="19.5" customHeight="1">
      <c r="G24" s="96" t="str">
        <f t="shared" si="1"/>
        <v>수도권</v>
      </c>
      <c r="H24" s="80"/>
      <c r="I24" s="84" t="s">
        <v>55</v>
      </c>
      <c r="J24" s="23">
        <f>SUM(J7:J10)</f>
        <v>91</v>
      </c>
      <c r="K24" s="20">
        <f>SUM(K7:K10)</f>
        <v>85.558999999999997</v>
      </c>
      <c r="L24" s="21">
        <f t="shared" si="0"/>
        <v>-5.4410000000000025</v>
      </c>
      <c r="M24" s="25">
        <f>SUM(M7:M10)</f>
        <v>123.13550000000001</v>
      </c>
      <c r="N24" s="22">
        <f t="shared" si="2"/>
        <v>-37.57650000000001</v>
      </c>
      <c r="O24" s="23">
        <f>SUM(O7:O10)</f>
        <v>8761.7328879293182</v>
      </c>
      <c r="P24" s="20">
        <f>SUM(P7:P10)</f>
        <v>8620.3028290000002</v>
      </c>
      <c r="Q24" s="21">
        <f t="shared" si="3"/>
        <v>-141.43005892931797</v>
      </c>
      <c r="R24" s="25">
        <f>SUM(R7:R10)</f>
        <v>11034.190841999998</v>
      </c>
      <c r="S24" s="22">
        <f t="shared" si="4"/>
        <v>-2413.888012999998</v>
      </c>
      <c r="T24" s="23">
        <f>SUM(T7:T10)</f>
        <v>567.13083631443658</v>
      </c>
      <c r="U24" s="20">
        <f>SUM(U7:U10)</f>
        <v>664.23061199999995</v>
      </c>
      <c r="V24" s="21">
        <f t="shared" si="5"/>
        <v>97.099775685563372</v>
      </c>
      <c r="W24" s="25">
        <f>SUM(W7:W10)</f>
        <v>1255.2354540100007</v>
      </c>
      <c r="X24" s="22">
        <f t="shared" si="6"/>
        <v>-591.00484201000074</v>
      </c>
      <c r="Y24" s="23">
        <f>+[5]수도권!$Q$85</f>
        <v>96282.778988234248</v>
      </c>
      <c r="Z24" s="20">
        <f>+[5]수도권!$R$85</f>
        <v>100756.03555768623</v>
      </c>
      <c r="AA24" s="24">
        <f>+[6]수도권!$Q$85</f>
        <v>89627.452774937061</v>
      </c>
      <c r="AB24" s="29">
        <f>+[5]수도권!$Q$89</f>
        <v>79418.333417247704</v>
      </c>
      <c r="AC24" s="20">
        <f>+[5]수도권!$R$89</f>
        <v>81462.705810840824</v>
      </c>
      <c r="AD24" s="30">
        <f>+[6]수도권!$Q$89</f>
        <v>72071.96208659235</v>
      </c>
      <c r="AE24" s="29">
        <f t="shared" si="7"/>
        <v>16864.445570986543</v>
      </c>
      <c r="AF24" s="20">
        <f t="shared" si="8"/>
        <v>19293.329746845411</v>
      </c>
      <c r="AG24" s="30">
        <f t="shared" si="9"/>
        <v>17555.490688344711</v>
      </c>
      <c r="AH24" s="18"/>
      <c r="AI24" s="19"/>
      <c r="AJ24" s="97"/>
    </row>
    <row r="25" spans="2:38" s="8" customFormat="1" ht="19.5" customHeight="1">
      <c r="G25" s="8" t="str">
        <f t="shared" si="1"/>
        <v>영남권</v>
      </c>
      <c r="H25" s="80"/>
      <c r="I25" s="84" t="s">
        <v>56</v>
      </c>
      <c r="J25" s="23">
        <f>SUM(J11:J18)</f>
        <v>102.5</v>
      </c>
      <c r="K25" s="20">
        <f>SUM(K11:K18)</f>
        <v>100.9045</v>
      </c>
      <c r="L25" s="21">
        <f t="shared" si="0"/>
        <v>-1.5955000000000013</v>
      </c>
      <c r="M25" s="25">
        <f>SUM(M11:M18)</f>
        <v>148.34950000000001</v>
      </c>
      <c r="N25" s="22">
        <f t="shared" si="2"/>
        <v>-47.445000000000007</v>
      </c>
      <c r="O25" s="23">
        <f>SUM(O11:O18)</f>
        <v>10441.787808999998</v>
      </c>
      <c r="P25" s="20">
        <f>SUM(P11:P18)</f>
        <v>10371.430799999998</v>
      </c>
      <c r="Q25" s="21">
        <f t="shared" si="3"/>
        <v>-70.35700899999938</v>
      </c>
      <c r="R25" s="25">
        <f>SUM(R11:R18)</f>
        <v>14148.377652000001</v>
      </c>
      <c r="S25" s="22">
        <f t="shared" si="4"/>
        <v>-3776.9468520000028</v>
      </c>
      <c r="T25" s="23">
        <f>SUM(T11:T18)</f>
        <v>1247.8098725131183</v>
      </c>
      <c r="U25" s="20">
        <f>SUM(U11:U18)</f>
        <v>841.31883799999969</v>
      </c>
      <c r="V25" s="21">
        <f t="shared" si="5"/>
        <v>-406.49103451311862</v>
      </c>
      <c r="W25" s="25">
        <f>SUM(W11:W18)</f>
        <v>2356.5120579999998</v>
      </c>
      <c r="X25" s="22">
        <f t="shared" si="6"/>
        <v>-1515.1932200000001</v>
      </c>
      <c r="Y25" s="23">
        <f>+[5]영남권!$Q$85</f>
        <v>101871.10057560976</v>
      </c>
      <c r="Z25" s="20">
        <f>+[5]영남권!$R$85</f>
        <v>102784.6211021312</v>
      </c>
      <c r="AA25" s="24">
        <f>+[6]영남권!$Q$85</f>
        <v>95374.233305789297</v>
      </c>
      <c r="AB25" s="29">
        <f>+[5]영남권!$Q$89</f>
        <v>76000.323307596453</v>
      </c>
      <c r="AC25" s="20">
        <f>+[5]영남권!$R$89</f>
        <v>80130.479625951601</v>
      </c>
      <c r="AD25" s="30">
        <f>+[6]영남권!$Q$89</f>
        <v>70161.655736215835</v>
      </c>
      <c r="AE25" s="29">
        <f t="shared" si="7"/>
        <v>25870.777268013306</v>
      </c>
      <c r="AF25" s="20">
        <f t="shared" si="8"/>
        <v>22654.141476179604</v>
      </c>
      <c r="AG25" s="30">
        <f t="shared" si="9"/>
        <v>25212.577569573463</v>
      </c>
      <c r="AH25" s="18"/>
      <c r="AI25" s="19"/>
      <c r="AJ25" s="97"/>
    </row>
    <row r="26" spans="2:38" s="8" customFormat="1" ht="19.5" customHeight="1">
      <c r="G26" s="8" t="str">
        <f t="shared" si="1"/>
        <v>중부권</v>
      </c>
      <c r="H26" s="80"/>
      <c r="I26" s="84" t="s">
        <v>171</v>
      </c>
      <c r="J26" s="23">
        <f>SUM(J19:J23)</f>
        <v>35.5</v>
      </c>
      <c r="K26" s="20">
        <f>SUM(K19:K23)</f>
        <v>31.093000000000004</v>
      </c>
      <c r="L26" s="21">
        <f t="shared" si="0"/>
        <v>-4.4069999999999965</v>
      </c>
      <c r="M26" s="25">
        <f>SUM(M19:M23)</f>
        <v>52.516500000000001</v>
      </c>
      <c r="N26" s="22">
        <f t="shared" si="2"/>
        <v>-21.423499999999997</v>
      </c>
      <c r="O26" s="23">
        <f>SUM(O19:O23)</f>
        <v>3736.5053829999997</v>
      </c>
      <c r="P26" s="20">
        <f>SUM(P19:P23)</f>
        <v>3229.8089610000002</v>
      </c>
      <c r="Q26" s="21">
        <f t="shared" si="3"/>
        <v>-506.69642199999953</v>
      </c>
      <c r="R26" s="25">
        <f>SUM(R19:R23)</f>
        <v>5069.3318260000005</v>
      </c>
      <c r="S26" s="22">
        <f t="shared" si="4"/>
        <v>-1839.5228650000004</v>
      </c>
      <c r="T26" s="23">
        <f>SUM(T19:T23)</f>
        <v>386.73538542740602</v>
      </c>
      <c r="U26" s="20">
        <f>SUM(U19:U23)</f>
        <v>191.35025700000014</v>
      </c>
      <c r="V26" s="21">
        <f t="shared" si="5"/>
        <v>-195.38512842740587</v>
      </c>
      <c r="W26" s="25">
        <f>SUM(W19:W23)</f>
        <v>715.58830999999986</v>
      </c>
      <c r="X26" s="22">
        <f t="shared" si="6"/>
        <v>-524.2380529999997</v>
      </c>
      <c r="Y26" s="23">
        <f>+[5]중부권!$Q$85</f>
        <v>105253.67276056339</v>
      </c>
      <c r="Z26" s="20">
        <f>+[5]중부권!$R$85</f>
        <v>103875.42689286635</v>
      </c>
      <c r="AA26" s="24">
        <f>+[6]중부권!$Q$85</f>
        <v>96860.391656938606</v>
      </c>
      <c r="AB26" s="29">
        <f>+[5]중부권!$Q$89</f>
        <v>77350.99846655321</v>
      </c>
      <c r="AC26" s="20">
        <f>+[5]중부권!$R$89</f>
        <v>77415.678549596225</v>
      </c>
      <c r="AD26" s="30">
        <f>+[6]중부권!$Q$89</f>
        <v>69928.316160290909</v>
      </c>
      <c r="AE26" s="29">
        <f t="shared" si="7"/>
        <v>27902.674294010183</v>
      </c>
      <c r="AF26" s="20">
        <f t="shared" si="8"/>
        <v>26459.748343270126</v>
      </c>
      <c r="AG26" s="30">
        <f t="shared" si="9"/>
        <v>26932.075496647696</v>
      </c>
      <c r="AH26" s="18"/>
      <c r="AI26" s="19"/>
      <c r="AJ26" s="97"/>
    </row>
    <row r="27" spans="2:38" s="3" customFormat="1" ht="19.5" customHeight="1">
      <c r="B27" s="26"/>
      <c r="G27" s="9">
        <f>+K27/J27</f>
        <v>0.95002838427947611</v>
      </c>
      <c r="H27" s="630" t="s">
        <v>115</v>
      </c>
      <c r="I27" s="631"/>
      <c r="J27" s="632">
        <f>SUM(J24:J26)</f>
        <v>229</v>
      </c>
      <c r="K27" s="633">
        <f>SUM(K24:K26)</f>
        <v>217.55650000000003</v>
      </c>
      <c r="L27" s="634">
        <f t="shared" ref="L27:L32" si="10">+K27-J27</f>
        <v>-11.443499999999972</v>
      </c>
      <c r="M27" s="635">
        <f>SUM(M24:M26)</f>
        <v>324.00150000000002</v>
      </c>
      <c r="N27" s="636">
        <f t="shared" ref="N27:N32" si="11">+K27-M27</f>
        <v>-106.44499999999999</v>
      </c>
      <c r="O27" s="632">
        <f>SUM(O24:O26)</f>
        <v>22940.026079929314</v>
      </c>
      <c r="P27" s="633">
        <f>SUM(P24:P26)</f>
        <v>22221.542589999997</v>
      </c>
      <c r="Q27" s="634">
        <f t="shared" ref="Q27:Q43" si="12">+P27-O27</f>
        <v>-718.48348992931642</v>
      </c>
      <c r="R27" s="635">
        <f>SUM(R24:R26)</f>
        <v>30251.900320000001</v>
      </c>
      <c r="S27" s="636">
        <f t="shared" ref="S27:S34" si="13">+P27-R27</f>
        <v>-8030.3577300000034</v>
      </c>
      <c r="T27" s="632">
        <f>SUM(T24:T26)</f>
        <v>2201.6760942549608</v>
      </c>
      <c r="U27" s="633">
        <f>SUM(U24:U26)</f>
        <v>1696.8997069999996</v>
      </c>
      <c r="V27" s="634">
        <f t="shared" ref="V27:V32" si="14">+U27-T27</f>
        <v>-504.77638725496126</v>
      </c>
      <c r="W27" s="635">
        <f>SUM(W24:W26)</f>
        <v>4327.3358220100008</v>
      </c>
      <c r="X27" s="636">
        <f t="shared" ref="X27:X32" si="15">+U27-W27</f>
        <v>-2630.4361150100012</v>
      </c>
      <c r="Y27" s="632">
        <f>+[5]합계!$Q$85</f>
        <v>100174.78637523718</v>
      </c>
      <c r="Z27" s="633">
        <f>+[5]합계!$R$85</f>
        <v>102142.72966989514</v>
      </c>
      <c r="AA27" s="637">
        <f>+[6]합계!$Q$85</f>
        <v>93402.766494392854</v>
      </c>
      <c r="AB27" s="638">
        <f>+[5]합계!$Q$89</f>
        <v>77567.956006815803</v>
      </c>
      <c r="AC27" s="633">
        <f>+[5]합계!$R$89</f>
        <v>80266.473564591928</v>
      </c>
      <c r="AD27" s="639">
        <f>+[6]합계!$Q$89</f>
        <v>70855.946370513033</v>
      </c>
      <c r="AE27" s="638">
        <f t="shared" si="7"/>
        <v>22606.830368421375</v>
      </c>
      <c r="AF27" s="633">
        <f t="shared" si="8"/>
        <v>21876.256105303211</v>
      </c>
      <c r="AG27" s="639">
        <f t="shared" si="9"/>
        <v>22546.820123879821</v>
      </c>
      <c r="AH27" s="27"/>
      <c r="AI27" s="28"/>
      <c r="AJ27" s="97"/>
      <c r="AL27" s="26"/>
    </row>
    <row r="28" spans="2:38" s="8" customFormat="1" ht="19.5" customHeight="1">
      <c r="B28" s="8" t="s">
        <v>194</v>
      </c>
      <c r="E28" s="8" t="s">
        <v>203</v>
      </c>
      <c r="G28" s="8" t="s">
        <v>3</v>
      </c>
      <c r="H28" s="817" t="s">
        <v>63</v>
      </c>
      <c r="I28" s="818"/>
      <c r="J28" s="168">
        <f>+IFERROR(HLOOKUP($B28,'[1]2월'!$D$6:$BN$259,2,),)</f>
        <v>6400</v>
      </c>
      <c r="K28" s="169">
        <f>+IFERROR(HLOOKUP($E28,'[2]2월'!$F$6:$CP$99,2,),)</f>
        <v>6645.402</v>
      </c>
      <c r="L28" s="170">
        <f>+K28-J28</f>
        <v>245.40200000000004</v>
      </c>
      <c r="M28" s="171">
        <f>+IFERROR(HLOOKUP($E28,'[3]2월'!$F$6:$CC$57,2,),)</f>
        <v>8382.34</v>
      </c>
      <c r="N28" s="172">
        <f>+K28-M28</f>
        <v>-1736.9380000000001</v>
      </c>
      <c r="O28" s="168">
        <f>+IFERROR(HLOOKUP($B28,'[1]2월'!$D$6:$BN$259,3,),)/1000</f>
        <v>7830.1978947368434</v>
      </c>
      <c r="P28" s="169">
        <f>+IFERROR(HLOOKUP($E28,'[2]2월'!$F$6:$CP$99,3,),)/1000</f>
        <v>6765.6579750000001</v>
      </c>
      <c r="Q28" s="170">
        <f>+P28-O28</f>
        <v>-1064.5399197368433</v>
      </c>
      <c r="R28" s="171">
        <f>+IFERROR(HLOOKUP($E28,'[3]2월'!$F$6:$CC$57,3,),)/1000</f>
        <v>9789.4710040000009</v>
      </c>
      <c r="S28" s="172">
        <f t="shared" si="13"/>
        <v>-3023.8130290000008</v>
      </c>
      <c r="T28" s="168">
        <f>+IFERROR(HLOOKUP($B28,'[1]2월'!$D$6:$BN$259,16,),)/1000</f>
        <v>71.181192778947789</v>
      </c>
      <c r="U28" s="169">
        <f>+IFERROR(HLOOKUP($E28,'[2]2월'!$F$6:$CP$99,16,),)/1000</f>
        <v>41.844678999999374</v>
      </c>
      <c r="V28" s="170">
        <f t="shared" si="14"/>
        <v>-29.336513778948415</v>
      </c>
      <c r="W28" s="171">
        <f>+IFERROR(HLOOKUP($E28,'[3]2월'!$F$6:$CC$57,16,),)/1000</f>
        <v>77.227243000000229</v>
      </c>
      <c r="X28" s="172">
        <f t="shared" si="15"/>
        <v>-35.382564000000855</v>
      </c>
      <c r="Y28" s="650" t="s">
        <v>174</v>
      </c>
      <c r="Z28" s="651"/>
      <c r="AA28" s="651"/>
      <c r="AB28" s="651"/>
      <c r="AC28" s="651"/>
      <c r="AD28" s="651"/>
      <c r="AE28" s="651"/>
      <c r="AF28" s="651"/>
      <c r="AG28" s="652"/>
      <c r="AH28" s="18"/>
      <c r="AI28" s="19"/>
    </row>
    <row r="29" spans="2:38" s="8" customFormat="1" ht="19.5" customHeight="1">
      <c r="B29" s="8" t="s">
        <v>195</v>
      </c>
      <c r="F29" s="79" t="s">
        <v>61</v>
      </c>
      <c r="G29" s="841" t="str">
        <f>+I29</f>
        <v>부산모래장</v>
      </c>
      <c r="H29" s="86" t="s">
        <v>60</v>
      </c>
      <c r="I29" s="79" t="s">
        <v>226</v>
      </c>
      <c r="J29" s="56">
        <f>+IFERROR(HLOOKUP($B29,'[1]2월'!$D$6:$BN$259,2,),)/1000</f>
        <v>18.067897800162974</v>
      </c>
      <c r="K29" s="57">
        <f>+IFERROR(HLOOKUP($F29,'[2]2월'!$F$6:$CP$99,2,),)/1000</f>
        <v>18.623000000000001</v>
      </c>
      <c r="L29" s="38">
        <f t="shared" si="10"/>
        <v>0.55510219983702669</v>
      </c>
      <c r="M29" s="38">
        <f>+IFERROR(HLOOKUP($F29,'[3]2월'!$F$6:$CC$57,2,),)/1000</f>
        <v>25.751999999999999</v>
      </c>
      <c r="N29" s="58">
        <f t="shared" si="11"/>
        <v>-7.1289999999999978</v>
      </c>
      <c r="O29" s="56">
        <f>+IFERROR(HLOOKUP($B29,'[1]2월'!$D$6:$BN$259,3,),)/1000</f>
        <v>557.43264248418882</v>
      </c>
      <c r="P29" s="57">
        <f>+IFERROR(HLOOKUP($F29,'[2]2월'!$F$6:$CP$99,3,),)/1000</f>
        <v>535.572</v>
      </c>
      <c r="Q29" s="38">
        <f t="shared" si="12"/>
        <v>-21.860642484188816</v>
      </c>
      <c r="R29" s="38">
        <f>+IFERROR(HLOOKUP($F29,'[3]2월'!$F$6:$CC$57,3,),)/1000</f>
        <v>753.90519999999992</v>
      </c>
      <c r="S29" s="58">
        <f t="shared" si="13"/>
        <v>-218.33319999999992</v>
      </c>
      <c r="T29" s="56">
        <f>+IFERROR(HLOOKUP($B29,'[1]2월'!$D$6:$BN$259,21,),)/1000</f>
        <v>34.128551820122659</v>
      </c>
      <c r="U29" s="57">
        <f>+IFERROR(HLOOKUP($F29,'[2]2월'!$F$6:$CP$99,21,),)/1000</f>
        <v>33.694012542892331</v>
      </c>
      <c r="V29" s="38">
        <f t="shared" si="14"/>
        <v>-0.43453927723032848</v>
      </c>
      <c r="W29" s="38">
        <f>+IFERROR(HLOOKUP($F29,'[3]2월'!$F$6:$CC$57,16,),)/1000</f>
        <v>27.686921999999957</v>
      </c>
      <c r="X29" s="58">
        <f t="shared" si="15"/>
        <v>6.0070905428923744</v>
      </c>
      <c r="Y29" s="587"/>
      <c r="Z29" s="588"/>
      <c r="AA29" s="588"/>
      <c r="AB29" s="588"/>
      <c r="AC29" s="588"/>
      <c r="AD29" s="588"/>
      <c r="AE29" s="588"/>
      <c r="AF29" s="588"/>
      <c r="AG29" s="51"/>
      <c r="AH29" s="18"/>
      <c r="AI29" s="19"/>
    </row>
    <row r="30" spans="2:38" s="8" customFormat="1" ht="19.5" customHeight="1">
      <c r="B30" s="8" t="s">
        <v>196</v>
      </c>
      <c r="F30" s="81" t="s">
        <v>62</v>
      </c>
      <c r="G30" s="841" t="str">
        <f t="shared" ref="G30:G31" si="16">+I30</f>
        <v>서부산CR</v>
      </c>
      <c r="H30" s="85"/>
      <c r="I30" s="81" t="s">
        <v>227</v>
      </c>
      <c r="J30" s="54">
        <f>+IFERROR(HLOOKUP($B30,'[1]2월'!$D$6:$BN$259,2,),)/1000</f>
        <v>11.137799999999999</v>
      </c>
      <c r="K30" s="59">
        <f>+IFERROR(HLOOKUP($F30,'[2]2월'!$F$6:$CP$99,2,),)/1000</f>
        <v>23.045999999999999</v>
      </c>
      <c r="L30" s="48">
        <f t="shared" si="10"/>
        <v>11.908200000000001</v>
      </c>
      <c r="M30" s="48">
        <f>+IFERROR(HLOOKUP($F30,'[3]2월'!$F$6:$CC$57,2,),)/1000</f>
        <v>38.996000000000002</v>
      </c>
      <c r="N30" s="60">
        <f t="shared" si="11"/>
        <v>-15.950000000000003</v>
      </c>
      <c r="O30" s="54">
        <f>+IFERROR(HLOOKUP($B30,'[1]2월'!$D$6:$BN$259,3,),)/1000</f>
        <v>173.60679999999999</v>
      </c>
      <c r="P30" s="59">
        <f>+IFERROR(HLOOKUP($F30,'[2]2월'!$F$6:$CP$99,3,),)/1000</f>
        <v>318.71800000000002</v>
      </c>
      <c r="Q30" s="48">
        <f t="shared" si="12"/>
        <v>145.11120000000003</v>
      </c>
      <c r="R30" s="48">
        <f>+IFERROR(HLOOKUP($F30,'[3]2월'!$F$6:$CC$57,3,),)/1000</f>
        <v>460.11</v>
      </c>
      <c r="S30" s="60">
        <f t="shared" si="13"/>
        <v>-141.392</v>
      </c>
      <c r="T30" s="54">
        <f>+IFERROR(HLOOKUP($B30,'[1]2월'!$D$6:$BN$259,21,),)/1000</f>
        <v>78.169968713846174</v>
      </c>
      <c r="U30" s="59">
        <f>+IFERROR(HLOOKUP($F30,'[2]2월'!$F$6:$CP$99,21,),)/1000</f>
        <v>37.250622518000689</v>
      </c>
      <c r="V30" s="48">
        <f t="shared" si="14"/>
        <v>-40.919346195845485</v>
      </c>
      <c r="W30" s="48">
        <f>+IFERROR(HLOOKUP($F30,'[3]2월'!$F$6:$CC$57,16,),)/1000</f>
        <v>115.69047</v>
      </c>
      <c r="X30" s="60">
        <f t="shared" si="15"/>
        <v>-78.439847481999323</v>
      </c>
      <c r="Y30" s="629"/>
      <c r="Z30" s="588"/>
      <c r="AA30" s="588"/>
      <c r="AB30" s="588"/>
      <c r="AC30" s="588"/>
      <c r="AD30" s="588"/>
      <c r="AE30" s="588"/>
      <c r="AF30" s="588"/>
      <c r="AG30" s="51"/>
      <c r="AH30" s="18"/>
      <c r="AI30" s="19"/>
      <c r="AJ30" s="99"/>
      <c r="AK30" s="99"/>
      <c r="AL30" s="99"/>
    </row>
    <row r="31" spans="2:38" s="8" customFormat="1" ht="19.5" customHeight="1">
      <c r="B31" s="8" t="s">
        <v>176</v>
      </c>
      <c r="F31" s="83" t="s">
        <v>176</v>
      </c>
      <c r="G31" s="841" t="str">
        <f t="shared" si="16"/>
        <v>부산CR</v>
      </c>
      <c r="H31" s="85"/>
      <c r="I31" s="83" t="s">
        <v>228</v>
      </c>
      <c r="J31" s="54">
        <f>+IFERROR(HLOOKUP($B31,'[1]2월'!$D$6:$BN$259,2,),)/1000</f>
        <v>37.656383386339009</v>
      </c>
      <c r="K31" s="59">
        <f>+IFERROR(HLOOKUP($F31,'[2]2월'!$F$6:$CP$99,2,),)/1000</f>
        <v>23.603000000000002</v>
      </c>
      <c r="L31" s="48">
        <f t="shared" si="10"/>
        <v>-14.053383386339007</v>
      </c>
      <c r="M31" s="48">
        <f>+IFERROR(HLOOKUP($F31,'[3]2월'!$F$6:$CC$57,2,),)/1000</f>
        <v>0</v>
      </c>
      <c r="N31" s="60">
        <f t="shared" si="11"/>
        <v>23.603000000000002</v>
      </c>
      <c r="O31" s="54">
        <f>+IFERROR(HLOOKUP($B31,'[1]2월'!$D$6:$BN$259,3,),)/1000</f>
        <v>671.47689686755484</v>
      </c>
      <c r="P31" s="59">
        <f>+IFERROR(HLOOKUP($F31,'[2]2월'!$F$6:$CP$99,3,),)/1000</f>
        <v>442.79649999999998</v>
      </c>
      <c r="Q31" s="48">
        <f t="shared" si="12"/>
        <v>-228.68039686755486</v>
      </c>
      <c r="R31" s="48">
        <f>+IFERROR(HLOOKUP($F31,'[3]2월'!$F$6:$CC$57,3,),)/1000</f>
        <v>0</v>
      </c>
      <c r="S31" s="60">
        <f t="shared" si="13"/>
        <v>442.79649999999998</v>
      </c>
      <c r="T31" s="54">
        <f>+IFERROR(HLOOKUP($B31,'[1]2월'!$D$6:$BN$259,21,),)/1000</f>
        <v>-1.6180294224748251</v>
      </c>
      <c r="U31" s="59">
        <f>+IFERROR(HLOOKUP($F31,'[2]2월'!$F$6:$CP$99,21,),)/1000</f>
        <v>8.2347302499999646</v>
      </c>
      <c r="V31" s="48">
        <f t="shared" si="14"/>
        <v>9.8527596724747895</v>
      </c>
      <c r="W31" s="48">
        <f>+IFERROR(HLOOKUP($F31,'[3]2월'!$F$6:$CC$57,16,),)/1000</f>
        <v>-9.3726929999999999</v>
      </c>
      <c r="X31" s="60">
        <f t="shared" si="15"/>
        <v>17.607423249999965</v>
      </c>
      <c r="Y31" s="629"/>
      <c r="Z31" s="588"/>
      <c r="AA31" s="588"/>
      <c r="AB31" s="588"/>
      <c r="AC31" s="588"/>
      <c r="AD31" s="588"/>
      <c r="AE31" s="588"/>
      <c r="AF31" s="588"/>
      <c r="AG31" s="51"/>
      <c r="AH31" s="18"/>
      <c r="AI31" s="19"/>
      <c r="AJ31" s="99"/>
      <c r="AK31" s="99"/>
      <c r="AL31" s="99"/>
    </row>
    <row r="32" spans="2:38" s="3" customFormat="1" ht="19.5" customHeight="1">
      <c r="H32" s="147" t="s">
        <v>42</v>
      </c>
      <c r="I32" s="148"/>
      <c r="J32" s="149">
        <f>SUM(J29:J31)</f>
        <v>66.862081186501982</v>
      </c>
      <c r="K32" s="153">
        <f>SUM(K29:K31)</f>
        <v>65.271999999999991</v>
      </c>
      <c r="L32" s="151">
        <f t="shared" si="10"/>
        <v>-1.5900811865019904</v>
      </c>
      <c r="M32" s="151">
        <f>SUM(M29:M31)</f>
        <v>64.748000000000005</v>
      </c>
      <c r="N32" s="152">
        <f t="shared" si="11"/>
        <v>0.5239999999999867</v>
      </c>
      <c r="O32" s="149">
        <f>SUM(O29:O31)</f>
        <v>1402.5163393517437</v>
      </c>
      <c r="P32" s="153">
        <f>SUM(P29:P31)</f>
        <v>1297.0864999999999</v>
      </c>
      <c r="Q32" s="151">
        <f t="shared" si="12"/>
        <v>-105.42983935174379</v>
      </c>
      <c r="R32" s="151">
        <f>SUM(R29:R31)</f>
        <v>1214.0151999999998</v>
      </c>
      <c r="S32" s="152">
        <f t="shared" si="13"/>
        <v>83.071300000000065</v>
      </c>
      <c r="T32" s="149">
        <f>SUM(T29:T31)</f>
        <v>110.68049111149401</v>
      </c>
      <c r="U32" s="153">
        <f>SUM(U29:U31)</f>
        <v>79.17936531089299</v>
      </c>
      <c r="V32" s="151">
        <f t="shared" si="14"/>
        <v>-31.501125800601017</v>
      </c>
      <c r="W32" s="151">
        <f>SUM(W29:W31)</f>
        <v>134.00469899999996</v>
      </c>
      <c r="X32" s="152">
        <f t="shared" si="15"/>
        <v>-54.825333689106969</v>
      </c>
      <c r="Y32" s="629"/>
      <c r="Z32" s="588"/>
      <c r="AA32" s="588"/>
      <c r="AB32" s="588"/>
      <c r="AC32" s="588"/>
      <c r="AD32" s="588"/>
      <c r="AE32" s="588"/>
      <c r="AF32" s="588"/>
      <c r="AG32" s="51"/>
      <c r="AH32" s="27"/>
      <c r="AI32" s="28"/>
    </row>
    <row r="33" spans="2:38" s="8" customFormat="1" ht="19.5" customHeight="1">
      <c r="B33" s="8" t="s">
        <v>199</v>
      </c>
      <c r="C33" s="8" t="s">
        <v>198</v>
      </c>
      <c r="D33" t="s">
        <v>197</v>
      </c>
      <c r="E33" t="s">
        <v>100</v>
      </c>
      <c r="F33"/>
      <c r="G33" s="8" t="str">
        <f>+I33</f>
        <v>레미콘임대</v>
      </c>
      <c r="H33" s="89" t="s">
        <v>64</v>
      </c>
      <c r="I33" s="88" t="s">
        <v>99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(IFERROR(HLOOKUP($B33,'[1]2월'!$D$6:$BN$259,3,),)++IFERROR(HLOOKUP($C33,'[1]2월'!$D$6:$BN$259,3,),)+IFERROR(HLOOKUP($D33,'[1]2월'!$D$6:$BN$259,3,),))/1000</f>
        <v>90.84</v>
      </c>
      <c r="P33" s="47">
        <f>+IFERROR(HLOOKUP($E33,'[2]2월'!$F$6:$CP$99,3,),)/1000</f>
        <v>90.84</v>
      </c>
      <c r="Q33" s="49">
        <f t="shared" si="12"/>
        <v>0</v>
      </c>
      <c r="R33" s="48">
        <f>+IFERROR(HLOOKUP($E33,'[3]2월'!$F$6:$CC$57,3,),)/1000</f>
        <v>78.34</v>
      </c>
      <c r="S33" s="60">
        <f t="shared" si="13"/>
        <v>12.5</v>
      </c>
      <c r="T33" s="46">
        <f>(IFERROR(HLOOKUP($B33,'[1]2월'!$D$6:$BN$259,21,),)++IFERROR(HLOOKUP($C33,'[1]2월'!$D$6:$BN$259,21,),)+IFERROR(HLOOKUP($D33,'[1]2월'!$D$6:$BN$259,21,),))/1000</f>
        <v>72.255091000000007</v>
      </c>
      <c r="U33" s="47">
        <f>+IFERROR(HLOOKUP($E33,'[2]2월'!$F$6:$CP$99,16,),)/1000</f>
        <v>71.965353000000007</v>
      </c>
      <c r="V33" s="49">
        <f t="shared" ref="V33:V40" si="17">+U33-T33</f>
        <v>-0.28973799999999983</v>
      </c>
      <c r="W33" s="48">
        <f>+IFERROR(HLOOKUP($E33,'[3]2월'!$F$6:$CC$57,16,),)/1000</f>
        <v>63.166801000000007</v>
      </c>
      <c r="X33" s="60">
        <f t="shared" ref="X33:X39" si="18">+U33-W33</f>
        <v>8.7985520000000008</v>
      </c>
      <c r="Y33" s="629"/>
      <c r="Z33" s="588"/>
      <c r="AA33" s="588"/>
      <c r="AB33" s="588"/>
      <c r="AC33" s="588"/>
      <c r="AD33" s="588"/>
      <c r="AE33" s="588"/>
      <c r="AF33" s="588"/>
      <c r="AG33" s="51"/>
      <c r="AH33" s="18"/>
      <c r="AI33" s="19"/>
    </row>
    <row r="34" spans="2:38" s="8" customFormat="1" ht="19.5" customHeight="1">
      <c r="B34" s="8" t="s">
        <v>200</v>
      </c>
      <c r="C34" s="8" t="s">
        <v>201</v>
      </c>
      <c r="D34"/>
      <c r="E34" t="s">
        <v>40</v>
      </c>
      <c r="F34"/>
      <c r="G34" s="8" t="str">
        <f t="shared" ref="G34:G39" si="19">+I34</f>
        <v>임대</v>
      </c>
      <c r="H34" s="89"/>
      <c r="I34" s="88" t="s">
        <v>59</v>
      </c>
      <c r="J34" s="46"/>
      <c r="K34" s="47"/>
      <c r="L34" s="49">
        <f>+K34-J34</f>
        <v>0</v>
      </c>
      <c r="M34" s="48">
        <v>0</v>
      </c>
      <c r="N34" s="60">
        <f t="shared" ref="N34:N41" si="20">+K34-M34</f>
        <v>0</v>
      </c>
      <c r="O34" s="46">
        <f>(+IFERROR(HLOOKUP($B34,'[1]2월'!$D$6:$BN$259,3,),)+IFERROR(HLOOKUP($C34,'[1]2월'!$D$6:$BN$259,3,),))/1000</f>
        <v>72.297500333333332</v>
      </c>
      <c r="P34" s="47">
        <f>+IFERROR(HLOOKUP($E34,'[2]2월'!$F$6:$CP$99,3,),)/1000</f>
        <v>71.982758999999987</v>
      </c>
      <c r="Q34" s="49">
        <f>+P34-O34</f>
        <v>-0.31474133333334464</v>
      </c>
      <c r="R34" s="48">
        <f>+IFERROR(HLOOKUP($E34,'[3]2월'!$F$6:$CC$57,3,),)/1000</f>
        <v>94.061277000000004</v>
      </c>
      <c r="S34" s="60">
        <f t="shared" si="13"/>
        <v>-22.078518000000017</v>
      </c>
      <c r="T34" s="46">
        <f>(+IFERROR(HLOOKUP($B34,'[1]2월'!$D$6:$BN$259,21,),)+IFERROR(HLOOKUP($C34,'[1]2월'!$D$6:$BN$259,21,),))/1000</f>
        <v>62.060442333333334</v>
      </c>
      <c r="U34" s="47">
        <f>+IFERROR(HLOOKUP($E34,'[2]2월'!$F$6:$CP$99,16,),)/1000</f>
        <v>61.893705000000004</v>
      </c>
      <c r="V34" s="49">
        <f t="shared" si="17"/>
        <v>-0.16673733333333018</v>
      </c>
      <c r="W34" s="48">
        <f>+IFERROR(HLOOKUP($E34,'[3]2월'!$F$6:$CC$57,16,),)/1000</f>
        <v>24.163334000000003</v>
      </c>
      <c r="X34" s="60">
        <f t="shared" si="18"/>
        <v>37.730371000000005</v>
      </c>
      <c r="Y34" s="629"/>
      <c r="Z34" s="588"/>
      <c r="AA34" s="588"/>
      <c r="AB34" s="588"/>
      <c r="AC34" s="588"/>
      <c r="AD34" s="588"/>
      <c r="AE34" s="588"/>
      <c r="AF34" s="588"/>
      <c r="AG34" s="51"/>
      <c r="AH34" s="18"/>
      <c r="AI34" s="19"/>
    </row>
    <row r="35" spans="2:38" s="8" customFormat="1" ht="19.5" customHeight="1">
      <c r="B35" s="8" t="s">
        <v>202</v>
      </c>
      <c r="D35"/>
      <c r="E35"/>
      <c r="F35"/>
      <c r="G35" s="8" t="str">
        <f t="shared" si="19"/>
        <v>공통비</v>
      </c>
      <c r="H35" s="87"/>
      <c r="I35" s="88" t="s">
        <v>65</v>
      </c>
      <c r="J35" s="46"/>
      <c r="K35" s="47"/>
      <c r="L35" s="49">
        <f>+K35-J35</f>
        <v>0</v>
      </c>
      <c r="M35" s="48"/>
      <c r="N35" s="60">
        <f t="shared" si="20"/>
        <v>0</v>
      </c>
      <c r="O35" s="46"/>
      <c r="P35" s="47"/>
      <c r="Q35" s="49">
        <f t="shared" ref="Q35:Q40" si="21">+P35-O35</f>
        <v>0</v>
      </c>
      <c r="R35" s="48"/>
      <c r="S35" s="60">
        <f t="shared" ref="S35:S40" si="22">+P35-R35</f>
        <v>0</v>
      </c>
      <c r="T35" s="46">
        <f>-'[1]2월'!$Z$22/1000</f>
        <v>-1053.4136967350421</v>
      </c>
      <c r="U35" s="47">
        <f>+-'[2]2월'!$Z$22/1000</f>
        <v>-1053.3169703098511</v>
      </c>
      <c r="V35" s="49">
        <f t="shared" si="17"/>
        <v>9.6726425191036469E-2</v>
      </c>
      <c r="W35" s="48">
        <f>+-'[3]2월'!$Z$22/1000</f>
        <v>-788.78672400000005</v>
      </c>
      <c r="X35" s="60">
        <f t="shared" si="18"/>
        <v>-264.53024630985101</v>
      </c>
      <c r="Y35" s="629"/>
      <c r="Z35" s="588"/>
      <c r="AA35" s="588"/>
      <c r="AB35" s="588"/>
      <c r="AC35" s="588"/>
      <c r="AD35" s="588"/>
      <c r="AE35" s="588"/>
      <c r="AF35" s="588"/>
      <c r="AG35" s="51"/>
      <c r="AH35" s="18"/>
      <c r="AI35" s="19"/>
      <c r="AK35" s="597"/>
      <c r="AL35" s="99"/>
    </row>
    <row r="36" spans="2:38" s="8" customFormat="1" ht="19.5" customHeight="1">
      <c r="D36"/>
      <c r="E36"/>
      <c r="F36"/>
      <c r="G36" s="8" t="str">
        <f t="shared" si="19"/>
        <v>OPC 소급분</v>
      </c>
      <c r="H36" s="87"/>
      <c r="I36" s="88" t="s">
        <v>116</v>
      </c>
      <c r="J36" s="46"/>
      <c r="K36" s="47"/>
      <c r="L36" s="49"/>
      <c r="M36" s="48"/>
      <c r="N36" s="60">
        <f t="shared" si="20"/>
        <v>0</v>
      </c>
      <c r="O36" s="46"/>
      <c r="P36" s="47"/>
      <c r="Q36" s="49">
        <f t="shared" si="21"/>
        <v>0</v>
      </c>
      <c r="R36" s="48"/>
      <c r="S36" s="60">
        <f t="shared" si="22"/>
        <v>0</v>
      </c>
      <c r="T36" s="46">
        <f>+'[1]2월'!$AS$26/1000</f>
        <v>0</v>
      </c>
      <c r="U36" s="47">
        <f>-'[2]2월'!$BD$26/1000</f>
        <v>0</v>
      </c>
      <c r="V36" s="49">
        <f t="shared" si="17"/>
        <v>0</v>
      </c>
      <c r="W36" s="48">
        <f>-'[3]2월'!$BD$26/1000</f>
        <v>0</v>
      </c>
      <c r="X36" s="60">
        <f t="shared" si="18"/>
        <v>0</v>
      </c>
      <c r="Y36" s="629"/>
      <c r="Z36" s="588"/>
      <c r="AA36" s="588"/>
      <c r="AB36" s="588"/>
      <c r="AC36" s="588"/>
      <c r="AD36" s="588"/>
      <c r="AE36" s="588"/>
      <c r="AF36" s="588"/>
      <c r="AG36" s="51"/>
      <c r="AH36" s="18"/>
      <c r="AI36" s="19"/>
      <c r="AK36" s="99"/>
      <c r="AL36" s="99"/>
    </row>
    <row r="37" spans="2:38" s="8" customFormat="1" ht="19.5" customHeight="1">
      <c r="D37"/>
      <c r="E37"/>
      <c r="F37"/>
      <c r="G37" s="8" t="str">
        <f t="shared" si="19"/>
        <v>대손</v>
      </c>
      <c r="H37" s="87"/>
      <c r="I37" s="88" t="s">
        <v>117</v>
      </c>
      <c r="J37" s="46"/>
      <c r="K37" s="47"/>
      <c r="L37" s="49"/>
      <c r="M37" s="48"/>
      <c r="N37" s="60">
        <f t="shared" si="20"/>
        <v>0</v>
      </c>
      <c r="O37" s="46"/>
      <c r="P37" s="47"/>
      <c r="Q37" s="49">
        <f t="shared" si="21"/>
        <v>0</v>
      </c>
      <c r="R37" s="48"/>
      <c r="S37" s="60">
        <f t="shared" si="22"/>
        <v>0</v>
      </c>
      <c r="T37" s="46"/>
      <c r="U37" s="47">
        <f>'[2]2월'!$BE$26/1000</f>
        <v>310.72652699999998</v>
      </c>
      <c r="V37" s="49">
        <f t="shared" si="17"/>
        <v>310.72652699999998</v>
      </c>
      <c r="W37" s="48">
        <f>-'[3]2월'!$BE$26/1000</f>
        <v>0</v>
      </c>
      <c r="X37" s="60">
        <f t="shared" si="18"/>
        <v>310.72652699999998</v>
      </c>
      <c r="Y37" s="587"/>
      <c r="Z37" s="588"/>
      <c r="AA37" s="588"/>
      <c r="AB37" s="588"/>
      <c r="AC37" s="588"/>
      <c r="AD37" s="588"/>
      <c r="AE37" s="588"/>
      <c r="AF37" s="588"/>
      <c r="AG37" s="51"/>
      <c r="AH37" s="18"/>
      <c r="AI37" s="19"/>
      <c r="AK37" s="99"/>
      <c r="AL37" s="99"/>
    </row>
    <row r="38" spans="2:38" s="8" customFormat="1" ht="19.5" customHeight="1">
      <c r="D38"/>
      <c r="E38"/>
      <c r="F38"/>
      <c r="G38" s="8" t="str">
        <f t="shared" si="19"/>
        <v>미운영 공장</v>
      </c>
      <c r="H38" s="87"/>
      <c r="I38" s="88" t="s">
        <v>177</v>
      </c>
      <c r="J38" s="46"/>
      <c r="K38" s="47"/>
      <c r="L38" s="49"/>
      <c r="M38" s="48">
        <f>SUM(M54:M57)</f>
        <v>0</v>
      </c>
      <c r="N38" s="60">
        <f t="shared" si="20"/>
        <v>0</v>
      </c>
      <c r="O38" s="46"/>
      <c r="P38" s="47"/>
      <c r="Q38" s="49">
        <f t="shared" si="21"/>
        <v>0</v>
      </c>
      <c r="R38" s="48"/>
      <c r="S38" s="60">
        <f t="shared" si="22"/>
        <v>0</v>
      </c>
      <c r="T38" s="46">
        <f>SUM('[1]2월'!$AM$26:$AQ$26)/1000</f>
        <v>-35.658967444459648</v>
      </c>
      <c r="U38" s="47">
        <f>+'[2]2월'!$BF$26/1000</f>
        <v>-35.452237000000004</v>
      </c>
      <c r="V38" s="49">
        <f t="shared" si="17"/>
        <v>0.2067304444596445</v>
      </c>
      <c r="W38" s="48">
        <f>+'[3]2월'!$BF$26/1000</f>
        <v>-12.884253000000001</v>
      </c>
      <c r="X38" s="60">
        <f>+U38-W38</f>
        <v>-22.567984000000003</v>
      </c>
      <c r="Y38" s="587"/>
      <c r="Z38" s="588"/>
      <c r="AA38" s="588"/>
      <c r="AB38" s="588"/>
      <c r="AC38" s="588"/>
      <c r="AD38" s="588"/>
      <c r="AE38" s="588"/>
      <c r="AF38" s="588"/>
      <c r="AG38" s="51"/>
      <c r="AH38" s="18"/>
      <c r="AI38" s="19"/>
      <c r="AK38" s="99"/>
      <c r="AL38" s="99"/>
    </row>
    <row r="39" spans="2:38" s="8" customFormat="1" ht="19.5" customHeight="1">
      <c r="B39" t="s">
        <v>39</v>
      </c>
      <c r="D39"/>
      <c r="G39" s="8" t="str">
        <f t="shared" si="19"/>
        <v>기타</v>
      </c>
      <c r="H39" s="87"/>
      <c r="I39" s="88" t="s">
        <v>4</v>
      </c>
      <c r="J39" s="46"/>
      <c r="K39" s="47"/>
      <c r="L39" s="55">
        <f>+K39-J39</f>
        <v>0</v>
      </c>
      <c r="M39" s="61"/>
      <c r="N39" s="62">
        <f t="shared" si="20"/>
        <v>0</v>
      </c>
      <c r="O39" s="46">
        <f>IFERROR(HLOOKUP($B39,'[1]2월'!$D$6:$BN$259,3,),)/1000</f>
        <v>1.77</v>
      </c>
      <c r="P39" s="47">
        <f>+('[2]2월'!$F$8-SUM('[2]2월'!$Z$8,'[2]2월'!$AH$8,'[2]2월'!$AN$8,'[2]2월'!$AO$8,'[2]2월'!$BA$8,'[2]2월'!$BD$8,'[2]2월'!$BE$8,'[2]2월'!$BF$8))/1000</f>
        <v>1.70239999999851</v>
      </c>
      <c r="Q39" s="55">
        <f t="shared" si="21"/>
        <v>-6.7600000001490024E-2</v>
      </c>
      <c r="R39" s="61">
        <f>+('[3]2월'!$F$8-SUM('[3]2월'!$Z$8,'[3]2월'!$AH$8,'[3]2월'!$AN$8,'[3]2월'!$AO$8,'[3]2월'!$BA$8,'[3]2월'!$BD$8,'[3]2월'!$BE$8,'[3]2월'!$BF$8))/1000</f>
        <v>1.6868999999985099</v>
      </c>
      <c r="S39" s="62">
        <f t="shared" si="22"/>
        <v>1.5500000000000069E-2</v>
      </c>
      <c r="T39" s="46">
        <f>+('[1]2월'!$E$26-'[1]2월'!$Z$26-'[1]2월'!$AA$26-'[1]2월'!$AE$26-'[1]2월'!$AL$26-'[1]2월'!$AM$26-'[1]2월'!$AN$26-'[1]2월'!$AO$26-'[1]2월'!$AP$26-'[1]2월'!$AQ$26-'[1]2월'!$AS$26)/1000</f>
        <v>-15.9854080000068</v>
      </c>
      <c r="U39" s="47">
        <f>+('[2]2월'!$F$26-SUM('[2]2월'!$Z$26,'[2]2월'!$AH$26,'[2]2월'!$AN$26,'[2]2월'!$AO$26,'[2]2월'!$BA$26,'[2]2월'!$BD$26,'[2]2월'!$BE$26,'[2]2월'!$BF$26))/1000</f>
        <v>-14.483713000006741</v>
      </c>
      <c r="V39" s="49">
        <f t="shared" si="17"/>
        <v>1.5016950000000584</v>
      </c>
      <c r="W39" s="61">
        <f>+('[3]2월'!$F$26-SUM('[3]2월'!$Z$26,'[3]2월'!$AH$26,'[3]2월'!$AN$26,'[3]2월'!$AO$26,'[3]2월'!$BA$26,'[3]2월'!$BD$26,'[3]2월'!$BE$26,'[3]2월'!$BF$26))/1000</f>
        <v>-17.073226999999957</v>
      </c>
      <c r="X39" s="60">
        <f t="shared" si="18"/>
        <v>2.5895139999932155</v>
      </c>
      <c r="Y39" s="596"/>
      <c r="Z39" s="588"/>
      <c r="AA39" s="588"/>
      <c r="AB39" s="588"/>
      <c r="AC39" s="588"/>
      <c r="AD39" s="588"/>
      <c r="AE39" s="588"/>
      <c r="AF39" s="588"/>
      <c r="AG39" s="51"/>
      <c r="AH39" s="18"/>
      <c r="AI39" s="19"/>
    </row>
    <row r="40" spans="2:38" s="8" customFormat="1" ht="19.5" customHeight="1">
      <c r="H40" s="87"/>
      <c r="I40" s="88"/>
      <c r="J40" s="46"/>
      <c r="K40" s="47"/>
      <c r="L40" s="55"/>
      <c r="M40" s="61"/>
      <c r="N40" s="62">
        <f t="shared" si="20"/>
        <v>0</v>
      </c>
      <c r="O40" s="46"/>
      <c r="P40" s="47"/>
      <c r="Q40" s="55">
        <f t="shared" si="21"/>
        <v>0</v>
      </c>
      <c r="R40" s="61"/>
      <c r="S40" s="62">
        <f t="shared" si="22"/>
        <v>0</v>
      </c>
      <c r="T40" s="46"/>
      <c r="U40" s="47"/>
      <c r="V40" s="49">
        <f t="shared" si="17"/>
        <v>0</v>
      </c>
      <c r="W40" s="61"/>
      <c r="X40" s="60"/>
      <c r="Y40" s="587"/>
      <c r="Z40" s="588"/>
      <c r="AA40" s="588"/>
      <c r="AB40" s="588"/>
      <c r="AC40" s="588"/>
      <c r="AD40" s="588"/>
      <c r="AE40" s="588"/>
      <c r="AF40" s="588"/>
      <c r="AG40" s="51"/>
      <c r="AH40" s="31"/>
    </row>
    <row r="41" spans="2:38" s="3" customFormat="1" ht="19.5" customHeight="1">
      <c r="D41" s="658"/>
      <c r="H41" s="147" t="s">
        <v>118</v>
      </c>
      <c r="I41" s="148"/>
      <c r="J41" s="647">
        <f>SUM(J33:J40)</f>
        <v>0</v>
      </c>
      <c r="K41" s="648">
        <f>SUM(K33:K40)</f>
        <v>0</v>
      </c>
      <c r="L41" s="648">
        <f>+K41-J41</f>
        <v>0</v>
      </c>
      <c r="M41" s="648">
        <f>SUM(M33:M40)</f>
        <v>0</v>
      </c>
      <c r="N41" s="649">
        <f t="shared" si="20"/>
        <v>0</v>
      </c>
      <c r="O41" s="149">
        <f>SUM(O33:O40)</f>
        <v>164.90750033333333</v>
      </c>
      <c r="P41" s="150">
        <f>SUM(P33:P40)</f>
        <v>164.5251589999985</v>
      </c>
      <c r="Q41" s="154">
        <f t="shared" si="12"/>
        <v>-0.38234133333483555</v>
      </c>
      <c r="R41" s="155">
        <f>SUM(R33:R40)</f>
        <v>174.0881769999985</v>
      </c>
      <c r="S41" s="156">
        <f>+P41-R41</f>
        <v>-9.5630179999999996</v>
      </c>
      <c r="T41" s="149">
        <f>SUM(T33:T40)</f>
        <v>-970.74253884617519</v>
      </c>
      <c r="U41" s="150">
        <f>SUM(U33:U40)</f>
        <v>-658.66733530985778</v>
      </c>
      <c r="V41" s="154">
        <f>+U41-T41</f>
        <v>312.07520353631742</v>
      </c>
      <c r="W41" s="155">
        <f>SUM(W33:W40)</f>
        <v>-731.41406900000004</v>
      </c>
      <c r="X41" s="156">
        <f>+U41-W41</f>
        <v>72.746733690142264</v>
      </c>
      <c r="Y41" s="589"/>
      <c r="Z41" s="590"/>
      <c r="AA41" s="590"/>
      <c r="AB41" s="590"/>
      <c r="AC41" s="590"/>
      <c r="AD41" s="590"/>
      <c r="AE41" s="590"/>
      <c r="AF41" s="590"/>
      <c r="AG41" s="591"/>
      <c r="AH41" s="26"/>
    </row>
    <row r="42" spans="2:38" s="8" customFormat="1" ht="19.5" customHeight="1">
      <c r="J42" s="33"/>
      <c r="K42" s="33"/>
      <c r="L42" s="32"/>
      <c r="M42" s="32"/>
      <c r="N42" s="32"/>
      <c r="O42" s="33"/>
      <c r="P42" s="33"/>
      <c r="Q42" s="32"/>
      <c r="R42" s="32"/>
      <c r="S42" s="32"/>
      <c r="T42" s="33"/>
      <c r="U42" s="33"/>
      <c r="V42" s="32"/>
      <c r="W42" s="32"/>
      <c r="X42" s="32"/>
      <c r="Y42" s="33"/>
      <c r="Z42" s="33"/>
      <c r="AA42" s="33"/>
      <c r="AB42" s="33"/>
      <c r="AC42" s="33"/>
      <c r="AD42" s="33"/>
      <c r="AE42" s="33"/>
      <c r="AF42" s="33"/>
      <c r="AG42" s="33"/>
      <c r="AH42" s="31"/>
    </row>
    <row r="43" spans="2:38" s="3" customFormat="1" ht="19.5" customHeight="1">
      <c r="G43" s="665">
        <f>+P43/O43</f>
        <v>0.94159019848336067</v>
      </c>
      <c r="H43" s="640" t="s">
        <v>41</v>
      </c>
      <c r="I43" s="641"/>
      <c r="J43" s="653"/>
      <c r="K43" s="654"/>
      <c r="L43" s="654"/>
      <c r="M43" s="654"/>
      <c r="N43" s="655"/>
      <c r="O43" s="642">
        <f>+O27+O32+O28+O41</f>
        <v>32337.647814351236</v>
      </c>
      <c r="P43" s="643">
        <f>+P27+P32+P28+P41</f>
        <v>30448.812223999994</v>
      </c>
      <c r="Q43" s="644">
        <f t="shared" si="12"/>
        <v>-1888.835590351242</v>
      </c>
      <c r="R43" s="645">
        <f>+R27+R32+R28+R41</f>
        <v>41429.474700999999</v>
      </c>
      <c r="S43" s="646">
        <f>+P43-R43</f>
        <v>-10980.662477000005</v>
      </c>
      <c r="T43" s="642">
        <f>+T27+T32+T28+T41</f>
        <v>1412.7952392992274</v>
      </c>
      <c r="U43" s="643">
        <f>+U27+U32+U28+U41</f>
        <v>1159.2564160010343</v>
      </c>
      <c r="V43" s="644">
        <f>+U43-T43</f>
        <v>-253.53882329819317</v>
      </c>
      <c r="W43" s="645">
        <f>+W27+W32+W28+W41</f>
        <v>3807.1536950100012</v>
      </c>
      <c r="X43" s="646">
        <f>+U43-W43</f>
        <v>-2647.897279008967</v>
      </c>
      <c r="Y43" s="819"/>
      <c r="Z43" s="820"/>
      <c r="AA43" s="820"/>
      <c r="AB43" s="820"/>
      <c r="AC43" s="820"/>
      <c r="AD43" s="820"/>
      <c r="AE43" s="820"/>
      <c r="AF43" s="820"/>
      <c r="AG43" s="821"/>
      <c r="AH43" s="26"/>
    </row>
    <row r="44" spans="2:38" s="34" customFormat="1">
      <c r="G44" s="662">
        <f>+U43/T43</f>
        <v>0.82054099826670346</v>
      </c>
      <c r="T44" s="662">
        <f>+T43/O43</f>
        <v>4.3688868386779767E-2</v>
      </c>
      <c r="U44" s="662">
        <f>+U43/P43</f>
        <v>3.8072303361879556E-2</v>
      </c>
      <c r="AC44" s="35"/>
      <c r="AF44" s="35"/>
    </row>
    <row r="45" spans="2:38" s="34" customFormat="1" ht="17.25" thickBot="1">
      <c r="AC45" s="35"/>
      <c r="AF45" s="35"/>
    </row>
    <row r="46" spans="2:38" s="34" customFormat="1">
      <c r="I46" s="816" t="s">
        <v>101</v>
      </c>
      <c r="J46" s="139">
        <f>+'[1]2월'!$Z$7/1000</f>
        <v>229</v>
      </c>
      <c r="K46" s="140">
        <f>+'[2]2월'!$AI$7/1000</f>
        <v>217.5565</v>
      </c>
      <c r="L46" s="140"/>
      <c r="M46" s="140">
        <f>+'[3]2월'!$Z$7/1000</f>
        <v>324.00150000000002</v>
      </c>
      <c r="N46" s="140"/>
      <c r="O46" s="140">
        <f>+'[1]2월'!$E$8/1000</f>
        <v>32337.647814351232</v>
      </c>
      <c r="P46" s="140">
        <f>+'[2]2월'!$F$8/1000</f>
        <v>30448.812223999998</v>
      </c>
      <c r="Q46" s="140"/>
      <c r="R46" s="140">
        <f>+'[3]2월'!$F$8/1000</f>
        <v>41429.474701000006</v>
      </c>
      <c r="S46" s="140"/>
      <c r="T46" s="145">
        <f>+'[1]2월'!$E$26/1000</f>
        <v>1412.795239299222</v>
      </c>
      <c r="U46" s="140">
        <f>+'[2]2월'!$F$26/1000</f>
        <v>1159.256416001034</v>
      </c>
      <c r="V46" s="140"/>
      <c r="W46" s="140">
        <f>+'[3]2월'!$F$26/1000</f>
        <v>3807.1536950100003</v>
      </c>
      <c r="X46" s="141"/>
      <c r="AC46" s="35"/>
      <c r="AF46" s="35"/>
    </row>
    <row r="47" spans="2:38" s="34" customFormat="1" ht="17.25" thickBot="1">
      <c r="I47" s="816"/>
      <c r="J47" s="144">
        <f>+J46-J27</f>
        <v>0</v>
      </c>
      <c r="K47" s="142">
        <f>+K46-K27</f>
        <v>0</v>
      </c>
      <c r="L47" s="142"/>
      <c r="M47" s="142">
        <f>+M46-M27</f>
        <v>0</v>
      </c>
      <c r="N47" s="142"/>
      <c r="O47" s="146">
        <f>+O46-O43</f>
        <v>0</v>
      </c>
      <c r="P47" s="146">
        <f>+P46-P43</f>
        <v>0</v>
      </c>
      <c r="Q47" s="142"/>
      <c r="R47" s="146">
        <f>+R46-R43</f>
        <v>0</v>
      </c>
      <c r="S47" s="142"/>
      <c r="T47" s="146">
        <f>+T46-T43</f>
        <v>-5.4569682106375694E-12</v>
      </c>
      <c r="U47" s="146">
        <f>+U46-U43</f>
        <v>0</v>
      </c>
      <c r="V47" s="142"/>
      <c r="W47" s="142">
        <f>+W46-W43</f>
        <v>0</v>
      </c>
      <c r="X47" s="143"/>
      <c r="AC47" s="35"/>
      <c r="AF47" s="35"/>
      <c r="AG47" s="34" t="s">
        <v>102</v>
      </c>
    </row>
    <row r="48" spans="2:38">
      <c r="T48" s="659"/>
      <c r="U48" s="659"/>
      <c r="V48" s="659"/>
    </row>
    <row r="49" spans="10:33">
      <c r="T49" s="659"/>
      <c r="U49" s="659"/>
      <c r="V49" s="659"/>
    </row>
    <row r="50" spans="10:33">
      <c r="T50" s="659"/>
      <c r="U50" s="659"/>
      <c r="V50" s="659"/>
    </row>
    <row r="51" spans="10:33">
      <c r="T51" s="660"/>
      <c r="U51" s="660"/>
      <c r="V51" s="659"/>
    </row>
    <row r="52" spans="10:33">
      <c r="T52" s="660"/>
      <c r="U52" s="660"/>
      <c r="V52" s="659"/>
    </row>
    <row r="54" spans="10:33">
      <c r="J54" s="599"/>
      <c r="K54" s="599"/>
      <c r="L54" s="599"/>
      <c r="M54" s="599"/>
      <c r="N54" s="599"/>
      <c r="O54" s="599"/>
      <c r="P54" s="599"/>
      <c r="Q54" s="599"/>
      <c r="R54" s="599"/>
      <c r="S54" s="599"/>
      <c r="T54" s="599"/>
      <c r="U54" s="599"/>
      <c r="V54" s="599"/>
      <c r="W54" s="599"/>
      <c r="X54" s="599"/>
      <c r="Y54" s="599"/>
      <c r="Z54" s="599"/>
      <c r="AA54" s="599"/>
      <c r="AB54" s="599"/>
      <c r="AC54" s="599"/>
      <c r="AD54" s="599"/>
      <c r="AE54" s="599"/>
      <c r="AF54" s="599"/>
      <c r="AG54" s="599"/>
    </row>
    <row r="55" spans="10:33">
      <c r="J55" s="599"/>
      <c r="K55" s="599"/>
      <c r="L55" s="599"/>
      <c r="M55" s="599"/>
      <c r="N55" s="599"/>
      <c r="O55" s="599"/>
      <c r="P55" s="599"/>
      <c r="Q55" s="599"/>
      <c r="R55" s="599"/>
      <c r="S55" s="599"/>
      <c r="T55" s="599"/>
      <c r="U55" s="599"/>
      <c r="V55" s="599"/>
      <c r="W55" s="599"/>
      <c r="X55" s="599"/>
      <c r="Y55" s="599"/>
      <c r="Z55" s="599"/>
      <c r="AA55" s="599"/>
      <c r="AB55" s="599"/>
      <c r="AC55" s="599"/>
      <c r="AD55" s="599"/>
      <c r="AE55" s="599"/>
      <c r="AF55" s="599"/>
      <c r="AG55" s="599"/>
    </row>
    <row r="56" spans="10:33">
      <c r="J56" s="599"/>
      <c r="K56" s="599"/>
      <c r="L56" s="599"/>
      <c r="M56" s="599"/>
      <c r="N56" s="599"/>
      <c r="O56" s="599"/>
      <c r="P56" s="599"/>
      <c r="Q56" s="599"/>
      <c r="R56" s="599"/>
      <c r="S56" s="599"/>
      <c r="T56" s="599"/>
      <c r="U56" s="599"/>
      <c r="V56" s="599"/>
      <c r="W56" s="599"/>
      <c r="X56" s="599"/>
      <c r="Y56" s="599"/>
      <c r="Z56" s="599"/>
      <c r="AA56" s="599"/>
      <c r="AB56" s="599"/>
      <c r="AC56" s="599"/>
      <c r="AD56" s="599"/>
      <c r="AE56" s="599"/>
      <c r="AF56" s="599"/>
      <c r="AG56" s="599"/>
    </row>
    <row r="57" spans="10:33">
      <c r="J57" s="599"/>
      <c r="K57" s="599"/>
      <c r="L57" s="599"/>
      <c r="M57" s="599"/>
      <c r="N57" s="599"/>
      <c r="O57" s="599"/>
      <c r="P57" s="599"/>
      <c r="Q57" s="599"/>
      <c r="R57" s="599"/>
      <c r="S57" s="599"/>
      <c r="T57" s="599"/>
      <c r="U57" s="599"/>
      <c r="V57" s="599"/>
      <c r="W57" s="599"/>
      <c r="X57" s="599"/>
      <c r="Y57" s="599"/>
      <c r="Z57" s="599"/>
      <c r="AA57" s="599"/>
      <c r="AB57" s="599"/>
      <c r="AC57" s="599"/>
      <c r="AD57" s="599"/>
      <c r="AE57" s="599"/>
      <c r="AF57" s="599"/>
      <c r="AG57" s="599"/>
    </row>
  </sheetData>
  <mergeCells count="4">
    <mergeCell ref="H5:I6"/>
    <mergeCell ref="I46:I47"/>
    <mergeCell ref="H28:I28"/>
    <mergeCell ref="Y43:AG4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27E8-E3FD-4F59-8665-50753CDC460A}">
  <sheetPr>
    <tabColor theme="1" tint="0.249977111117893"/>
    <pageSetUpPr fitToPage="1"/>
  </sheetPr>
  <dimension ref="A1:AL57"/>
  <sheetViews>
    <sheetView showGridLines="0" showZeros="0" view="pageBreakPreview" topLeftCell="F1" zoomScale="85" zoomScaleNormal="85" zoomScaleSheetLayoutView="85" workbookViewId="0">
      <selection activeCell="J29" sqref="J29"/>
    </sheetView>
  </sheetViews>
  <sheetFormatPr defaultRowHeight="16.5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13.75" hidden="1" customWidth="1"/>
    <col min="6" max="6" width="9" customWidth="1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2:36" ht="18" customHeight="1">
      <c r="H1" s="4"/>
      <c r="K1" s="6"/>
      <c r="L1" s="6"/>
      <c r="P1" s="6"/>
      <c r="Q1" s="6"/>
    </row>
    <row r="2" spans="2:36" ht="18" customHeight="1">
      <c r="H2" s="7"/>
      <c r="AD2" s="5"/>
      <c r="AG2" s="5"/>
    </row>
    <row r="3" spans="2:36" ht="26.25">
      <c r="H3" s="4" t="s">
        <v>208</v>
      </c>
      <c r="AD3" s="5"/>
      <c r="AG3" s="5"/>
    </row>
    <row r="4" spans="2:36" ht="18" customHeight="1">
      <c r="H4" s="7"/>
      <c r="AD4" s="5"/>
      <c r="AG4" s="5" t="s">
        <v>94</v>
      </c>
    </row>
    <row r="5" spans="2:36" s="8" customFormat="1" ht="19.5" customHeight="1">
      <c r="H5" s="812" t="s">
        <v>11</v>
      </c>
      <c r="I5" s="813"/>
      <c r="J5" s="173" t="s">
        <v>0</v>
      </c>
      <c r="K5" s="174"/>
      <c r="L5" s="174"/>
      <c r="M5" s="174"/>
      <c r="N5" s="175"/>
      <c r="O5" s="173" t="s">
        <v>2</v>
      </c>
      <c r="P5" s="174"/>
      <c r="Q5" s="174"/>
      <c r="R5" s="174"/>
      <c r="S5" s="175"/>
      <c r="T5" s="173" t="s">
        <v>119</v>
      </c>
      <c r="U5" s="174"/>
      <c r="V5" s="174"/>
      <c r="W5" s="174"/>
      <c r="X5" s="175"/>
      <c r="Y5" s="173" t="s">
        <v>21</v>
      </c>
      <c r="Z5" s="174"/>
      <c r="AA5" s="175"/>
      <c r="AB5" s="173" t="s">
        <v>44</v>
      </c>
      <c r="AC5" s="174"/>
      <c r="AD5" s="175"/>
      <c r="AE5" s="173" t="s">
        <v>69</v>
      </c>
      <c r="AF5" s="174"/>
      <c r="AG5" s="175"/>
    </row>
    <row r="6" spans="2:36" s="8" customFormat="1" ht="19.5" customHeight="1">
      <c r="H6" s="814"/>
      <c r="I6" s="815"/>
      <c r="J6" s="176" t="s">
        <v>12</v>
      </c>
      <c r="K6" s="177" t="s">
        <v>13</v>
      </c>
      <c r="L6" s="178" t="s">
        <v>37</v>
      </c>
      <c r="M6" s="177" t="s">
        <v>14</v>
      </c>
      <c r="N6" s="179" t="s">
        <v>37</v>
      </c>
      <c r="O6" s="176" t="s">
        <v>15</v>
      </c>
      <c r="P6" s="177" t="s">
        <v>16</v>
      </c>
      <c r="Q6" s="178" t="s">
        <v>36</v>
      </c>
      <c r="R6" s="177" t="s">
        <v>17</v>
      </c>
      <c r="S6" s="179" t="s">
        <v>36</v>
      </c>
      <c r="T6" s="176" t="s">
        <v>15</v>
      </c>
      <c r="U6" s="177" t="s">
        <v>16</v>
      </c>
      <c r="V6" s="178" t="s">
        <v>36</v>
      </c>
      <c r="W6" s="177" t="s">
        <v>17</v>
      </c>
      <c r="X6" s="179" t="s">
        <v>36</v>
      </c>
      <c r="Y6" s="180" t="s">
        <v>15</v>
      </c>
      <c r="Z6" s="181" t="s">
        <v>16</v>
      </c>
      <c r="AA6" s="182" t="s">
        <v>17</v>
      </c>
      <c r="AB6" s="183" t="s">
        <v>15</v>
      </c>
      <c r="AC6" s="181" t="s">
        <v>16</v>
      </c>
      <c r="AD6" s="179" t="s">
        <v>17</v>
      </c>
      <c r="AE6" s="183" t="s">
        <v>15</v>
      </c>
      <c r="AF6" s="181" t="s">
        <v>16</v>
      </c>
      <c r="AG6" s="179" t="s">
        <v>17</v>
      </c>
    </row>
    <row r="7" spans="2:36" s="8" customFormat="1" ht="19.5" customHeight="1">
      <c r="B7" s="8" t="s">
        <v>22</v>
      </c>
      <c r="G7" s="9"/>
      <c r="H7" s="78" t="s">
        <v>53</v>
      </c>
      <c r="I7" s="79" t="s">
        <v>22</v>
      </c>
      <c r="J7" s="36">
        <f>+'사업장별(당월)'!J7+'[4]사업장별(누계)'!J7</f>
        <v>73</v>
      </c>
      <c r="K7" s="37">
        <f>+'사업장별(당월)'!K7+'[4]사업장별(누계)'!K7</f>
        <v>83.473000000000013</v>
      </c>
      <c r="L7" s="38">
        <f t="shared" ref="L7:L32" si="0">+K7-J7</f>
        <v>10.473000000000013</v>
      </c>
      <c r="M7" s="39">
        <f>+'사업장별(당월)'!M7+'[4]사업장별(누계)'!M7</f>
        <v>88.853000000000009</v>
      </c>
      <c r="N7" s="40">
        <f>+K7-M7</f>
        <v>-5.3799999999999955</v>
      </c>
      <c r="O7" s="36">
        <f>+'사업장별(당월)'!O7+'[4]사업장별(누계)'!O7</f>
        <v>7061.5275000000001</v>
      </c>
      <c r="P7" s="37">
        <f>+'사업장별(당월)'!P7+'[4]사업장별(누계)'!P7</f>
        <v>8145.4069</v>
      </c>
      <c r="Q7" s="38">
        <f>+P7-O7</f>
        <v>1083.8793999999998</v>
      </c>
      <c r="R7" s="39">
        <f>+'사업장별(당월)'!R7+'[4]사업장별(누계)'!R7</f>
        <v>8024.5553599999994</v>
      </c>
      <c r="S7" s="40">
        <f>+P7-R7</f>
        <v>120.85154000000057</v>
      </c>
      <c r="T7" s="36">
        <f>+'사업장별(당월)'!T7+'[4]사업장별(누계)'!T7</f>
        <v>622.57957482653819</v>
      </c>
      <c r="U7" s="37">
        <f>+'사업장별(당월)'!U7+'[4]사업장별(누계)'!U7</f>
        <v>788.53204400000004</v>
      </c>
      <c r="V7" s="41">
        <f>+U7-T7</f>
        <v>165.95246917346185</v>
      </c>
      <c r="W7" s="42">
        <f>+'사업장별(당월)'!W7+'[4]사업장별(누계)'!W7</f>
        <v>1021.0494040000005</v>
      </c>
      <c r="X7" s="40">
        <f>+U7-W7</f>
        <v>-232.51736000000051</v>
      </c>
      <c r="Y7" s="36">
        <f>+[11]안양!$Q$85</f>
        <v>96733.253424657538</v>
      </c>
      <c r="Z7" s="37">
        <f>+[11]안양!$R$85</f>
        <v>97581.336480059414</v>
      </c>
      <c r="AA7" s="43">
        <f>+[12]안양!$Q$85</f>
        <v>90281.444347933982</v>
      </c>
      <c r="AB7" s="44">
        <f>+[11]안양!$Q$89</f>
        <v>80010.74875960339</v>
      </c>
      <c r="AC7" s="37">
        <f>+[11]안양!$R$89</f>
        <v>80540.047562012682</v>
      </c>
      <c r="AD7" s="45">
        <f>+[12]안양!$Q$89</f>
        <v>72366.173998331491</v>
      </c>
      <c r="AE7" s="44">
        <f>+Y7-AB7</f>
        <v>16722.504665054148</v>
      </c>
      <c r="AF7" s="37">
        <f>+Z7-AC7</f>
        <v>17041.288918046732</v>
      </c>
      <c r="AG7" s="45">
        <f>+AA7-AD7</f>
        <v>17915.270349602491</v>
      </c>
      <c r="AH7" s="18"/>
      <c r="AI7" s="19"/>
    </row>
    <row r="8" spans="2:36" s="8" customFormat="1" ht="19.5" customHeight="1">
      <c r="B8" s="8" t="s">
        <v>23</v>
      </c>
      <c r="G8" s="9"/>
      <c r="H8" s="80" t="s">
        <v>54</v>
      </c>
      <c r="I8" s="81" t="s">
        <v>23</v>
      </c>
      <c r="J8" s="46">
        <f>+'사업장별(당월)'!J8+'[4]사업장별(누계)'!J8</f>
        <v>52</v>
      </c>
      <c r="K8" s="47">
        <f>+'사업장별(당월)'!K8+'[4]사업장별(누계)'!K8</f>
        <v>51.84</v>
      </c>
      <c r="L8" s="48">
        <f t="shared" si="0"/>
        <v>-0.15999999999999659</v>
      </c>
      <c r="M8" s="49">
        <f>+'사업장별(당월)'!M8+'[4]사업장별(누계)'!M8</f>
        <v>62.800000000000004</v>
      </c>
      <c r="N8" s="50">
        <f t="shared" ref="N8:N32" si="1">+K8-M8</f>
        <v>-10.96</v>
      </c>
      <c r="O8" s="46">
        <f>+'사업장별(당월)'!O8+'[4]사업장별(누계)'!O8</f>
        <v>5078.6580599999998</v>
      </c>
      <c r="P8" s="47">
        <f>+'사업장별(당월)'!P8+'[4]사업장별(누계)'!P8</f>
        <v>5123.5698490000004</v>
      </c>
      <c r="Q8" s="48">
        <f t="shared" ref="Q8:Q43" si="2">+P8-O8</f>
        <v>44.911789000000681</v>
      </c>
      <c r="R8" s="49">
        <f>+'사업장별(당월)'!R8+'[4]사업장별(누계)'!R8</f>
        <v>5646.3011200000001</v>
      </c>
      <c r="S8" s="50">
        <f t="shared" ref="S8:S40" si="3">+P8-R8</f>
        <v>-522.73127099999965</v>
      </c>
      <c r="T8" s="46">
        <f>+'사업장별(당월)'!T8+'[4]사업장별(누계)'!T8</f>
        <v>197.8356991611488</v>
      </c>
      <c r="U8" s="47">
        <f>+'사업장별(당월)'!U8+'[4]사업장별(누계)'!U8</f>
        <v>240.88270400000067</v>
      </c>
      <c r="V8" s="48">
        <f t="shared" ref="V8:V40" si="4">+U8-T8</f>
        <v>43.047004838851876</v>
      </c>
      <c r="W8" s="49">
        <f>+'사업장별(당월)'!W8+'[4]사업장별(누계)'!W8</f>
        <v>402.0419519999997</v>
      </c>
      <c r="X8" s="50">
        <f t="shared" ref="X8:X39" si="5">+U8-W8</f>
        <v>-161.15924799999902</v>
      </c>
      <c r="Y8" s="46">
        <f>+[11]인천!$Q$85</f>
        <v>97666.50115384614</v>
      </c>
      <c r="Z8" s="47">
        <f>+[11]인천!$R$85</f>
        <v>98834.294926697534</v>
      </c>
      <c r="AA8" s="51">
        <f>+[12]인천!$Q$85</f>
        <v>89899.903024116371</v>
      </c>
      <c r="AB8" s="52">
        <f>+[11]인천!$Q$89</f>
        <v>82036.165816285356</v>
      </c>
      <c r="AC8" s="47">
        <f>+[11]인천!$R$89</f>
        <v>83169.15364884671</v>
      </c>
      <c r="AD8" s="53">
        <f>+[12]인천!$Q$89</f>
        <v>74059.991723544037</v>
      </c>
      <c r="AE8" s="52">
        <f t="shared" ref="AE8:AG27" si="6">+Y8-AB8</f>
        <v>15630.335337560784</v>
      </c>
      <c r="AF8" s="47">
        <f t="shared" si="6"/>
        <v>15665.141277850824</v>
      </c>
      <c r="AG8" s="53">
        <f t="shared" si="6"/>
        <v>15839.911300572334</v>
      </c>
      <c r="AH8" s="18"/>
      <c r="AI8" s="19"/>
      <c r="AJ8" s="97"/>
    </row>
    <row r="9" spans="2:36" s="8" customFormat="1" ht="19.5" customHeight="1">
      <c r="B9" s="8" t="s">
        <v>24</v>
      </c>
      <c r="G9" s="9"/>
      <c r="H9" s="80"/>
      <c r="I9" s="81" t="s">
        <v>24</v>
      </c>
      <c r="J9" s="46">
        <f>+'사업장별(당월)'!J9+'[4]사업장별(누계)'!J9</f>
        <v>41</v>
      </c>
      <c r="K9" s="47">
        <f>+'사업장별(당월)'!K9+'[4]사업장별(누계)'!K9</f>
        <v>41.352000000000004</v>
      </c>
      <c r="L9" s="48">
        <f t="shared" si="0"/>
        <v>0.35200000000000387</v>
      </c>
      <c r="M9" s="49">
        <f>+'사업장별(당월)'!M9+'[4]사업장별(누계)'!M9</f>
        <v>44.329000000000001</v>
      </c>
      <c r="N9" s="50">
        <f t="shared" si="1"/>
        <v>-2.9769999999999968</v>
      </c>
      <c r="O9" s="46">
        <f>+'사업장별(당월)'!O9+'[4]사업장별(누계)'!O9</f>
        <v>3937.8058952595693</v>
      </c>
      <c r="P9" s="47">
        <f>+'사업장별(당월)'!P9+'[4]사업장별(누계)'!P9</f>
        <v>4220.6218449999997</v>
      </c>
      <c r="Q9" s="48">
        <f t="shared" si="2"/>
        <v>282.81594974043037</v>
      </c>
      <c r="R9" s="49">
        <f>+'사업장별(당월)'!R9+'[4]사업장별(누계)'!R9</f>
        <v>3901.5158240000001</v>
      </c>
      <c r="S9" s="50">
        <f t="shared" si="3"/>
        <v>319.1060209999996</v>
      </c>
      <c r="T9" s="46">
        <f>+'사업장별(당월)'!T9+'[4]사업장별(누계)'!T9</f>
        <v>314.09598725249572</v>
      </c>
      <c r="U9" s="47">
        <f>+'사업장별(당월)'!U9+'[4]사업장별(누계)'!U9</f>
        <v>241.86419099999995</v>
      </c>
      <c r="V9" s="48">
        <f t="shared" si="4"/>
        <v>-72.231796252495769</v>
      </c>
      <c r="W9" s="49">
        <f>+'사업장별(당월)'!W9+'[4]사업장별(누계)'!W9</f>
        <v>167.75494001000015</v>
      </c>
      <c r="X9" s="50">
        <f t="shared" si="5"/>
        <v>74.109250989999794</v>
      </c>
      <c r="Y9" s="46">
        <f>+[11]파주!$Q$85</f>
        <v>96044.046225843165</v>
      </c>
      <c r="Z9" s="47">
        <f>+[11]파주!$R$85</f>
        <v>102073.71103204571</v>
      </c>
      <c r="AA9" s="51">
        <f>+[12]파주!$Q$85</f>
        <v>88117.568738362927</v>
      </c>
      <c r="AB9" s="52">
        <f>+[11]파주!$Q$89</f>
        <v>77932.526803461849</v>
      </c>
      <c r="AC9" s="47">
        <f>+[11]파주!$R$89</f>
        <v>84198.572673152317</v>
      </c>
      <c r="AD9" s="53">
        <f>+[12]파주!$Q$89</f>
        <v>74065.536876074722</v>
      </c>
      <c r="AE9" s="52">
        <f t="shared" si="6"/>
        <v>18111.519422381316</v>
      </c>
      <c r="AF9" s="47">
        <f t="shared" si="6"/>
        <v>17875.138358893397</v>
      </c>
      <c r="AG9" s="53">
        <f t="shared" si="6"/>
        <v>14052.031862288204</v>
      </c>
      <c r="AH9" s="18"/>
      <c r="AI9" s="19"/>
      <c r="AJ9" s="97"/>
    </row>
    <row r="10" spans="2:36" s="8" customFormat="1" ht="19.5" customHeight="1">
      <c r="B10" s="8" t="s">
        <v>175</v>
      </c>
      <c r="G10" s="9"/>
      <c r="H10" s="80"/>
      <c r="I10" s="81" t="s">
        <v>172</v>
      </c>
      <c r="J10" s="46">
        <f>+'사업장별(당월)'!J10+'[4]사업장별(누계)'!J10</f>
        <v>18</v>
      </c>
      <c r="K10" s="47">
        <f>+'사업장별(당월)'!K10+'[4]사업장별(누계)'!K10</f>
        <v>11.157999999999999</v>
      </c>
      <c r="L10" s="48">
        <f t="shared" si="0"/>
        <v>-6.8420000000000005</v>
      </c>
      <c r="M10" s="49">
        <f>+'사업장별(당월)'!M10+'[4]사업장별(누계)'!M10</f>
        <v>20.529499999999999</v>
      </c>
      <c r="N10" s="50">
        <f t="shared" si="1"/>
        <v>-9.3714999999999993</v>
      </c>
      <c r="O10" s="46">
        <f>+'사업장별(당월)'!O10+'[4]사업장별(누계)'!O10</f>
        <v>1666.0810000000001</v>
      </c>
      <c r="P10" s="47">
        <f>+'사업장별(당월)'!P10+'[4]사업장별(누계)'!P10</f>
        <v>1056.8849909999999</v>
      </c>
      <c r="Q10" s="48">
        <f t="shared" si="2"/>
        <v>-609.19600900000023</v>
      </c>
      <c r="R10" s="49">
        <f>+'사업장별(당월)'!R10+'[4]사업장별(누계)'!R10</f>
        <v>1744.2662909999999</v>
      </c>
      <c r="S10" s="50">
        <f t="shared" si="3"/>
        <v>-687.38130000000001</v>
      </c>
      <c r="T10" s="46">
        <f>+'사업장별(당월)'!T10+'[4]사업장별(누계)'!T10</f>
        <v>13.627931934868629</v>
      </c>
      <c r="U10" s="47">
        <f>+'사업장별(당월)'!U10+'[4]사업장별(누계)'!U10</f>
        <v>-120.97256200000004</v>
      </c>
      <c r="V10" s="48">
        <f t="shared" si="4"/>
        <v>-134.60049393486867</v>
      </c>
      <c r="W10" s="49">
        <f>+'사업장별(당월)'!W10+'[4]사업장별(누계)'!W10</f>
        <v>71.934781000000001</v>
      </c>
      <c r="X10" s="50">
        <f t="shared" si="5"/>
        <v>-192.90734300000003</v>
      </c>
      <c r="Y10" s="46">
        <f>+[11]김포!$Q$85</f>
        <v>92560.055555555547</v>
      </c>
      <c r="Z10" s="47">
        <f>+[11]김포!$R$85</f>
        <v>94719.931080838855</v>
      </c>
      <c r="AA10" s="51">
        <f>+[12]김포!$Q$85</f>
        <v>84942.819027618389</v>
      </c>
      <c r="AB10" s="52">
        <f>+[11]김포!$Q$89</f>
        <v>73347.666818433223</v>
      </c>
      <c r="AC10" s="47">
        <f>+[11]김포!$R$89</f>
        <v>78222.8405511811</v>
      </c>
      <c r="AD10" s="53">
        <f>+[12]김포!$Q$89</f>
        <v>66403.818465971519</v>
      </c>
      <c r="AE10" s="52">
        <f t="shared" si="6"/>
        <v>19212.388737122325</v>
      </c>
      <c r="AF10" s="47">
        <f t="shared" si="6"/>
        <v>16497.090529657755</v>
      </c>
      <c r="AG10" s="53">
        <f t="shared" si="6"/>
        <v>18539.00056164687</v>
      </c>
      <c r="AH10" s="18"/>
      <c r="AI10" s="19"/>
      <c r="AJ10" s="97"/>
    </row>
    <row r="11" spans="2:36" s="8" customFormat="1" ht="19.5" customHeight="1">
      <c r="B11" s="8" t="s">
        <v>25</v>
      </c>
      <c r="H11" s="80"/>
      <c r="I11" s="82" t="s">
        <v>25</v>
      </c>
      <c r="J11" s="63">
        <f>+'사업장별(당월)'!J11+'[4]사업장별(누계)'!J11</f>
        <v>34</v>
      </c>
      <c r="K11" s="64">
        <f>+'사업장별(당월)'!K11+'[4]사업장별(누계)'!K11</f>
        <v>40.465000000000003</v>
      </c>
      <c r="L11" s="65">
        <f t="shared" si="0"/>
        <v>6.4650000000000034</v>
      </c>
      <c r="M11" s="66">
        <f>+'사업장별(당월)'!M11+'[4]사업장별(누계)'!M11</f>
        <v>49.607999999999997</v>
      </c>
      <c r="N11" s="67">
        <f t="shared" si="1"/>
        <v>-9.1429999999999936</v>
      </c>
      <c r="O11" s="63">
        <f>+'사업장별(당월)'!O11+'[4]사업장별(누계)'!O11</f>
        <v>3658.3966590000005</v>
      </c>
      <c r="P11" s="64">
        <f>+'사업장별(당월)'!P11+'[4]사업장별(누계)'!P11</f>
        <v>4393.8047659999993</v>
      </c>
      <c r="Q11" s="65">
        <f t="shared" si="2"/>
        <v>735.40810699999884</v>
      </c>
      <c r="R11" s="66">
        <f>+'사업장별(당월)'!R11+'[4]사업장별(누계)'!R11</f>
        <v>5084.8670000000002</v>
      </c>
      <c r="S11" s="67">
        <f t="shared" si="3"/>
        <v>-691.0622340000009</v>
      </c>
      <c r="T11" s="63">
        <f>+'사업장별(당월)'!T11+'[4]사업장별(누계)'!T11</f>
        <v>442.56726111294188</v>
      </c>
      <c r="U11" s="64">
        <f>+'사업장별(당월)'!U11+'[4]사업장별(누계)'!U11</f>
        <v>500.25937499999986</v>
      </c>
      <c r="V11" s="65">
        <f t="shared" si="4"/>
        <v>57.692113887057985</v>
      </c>
      <c r="W11" s="66">
        <f>+'사업장별(당월)'!W11+'[4]사업장별(누계)'!W11</f>
        <v>980.79131399999972</v>
      </c>
      <c r="X11" s="67">
        <f t="shared" si="5"/>
        <v>-480.53193899999985</v>
      </c>
      <c r="Y11" s="63">
        <f>+[11]부산!$Q$85</f>
        <v>107599.90173529413</v>
      </c>
      <c r="Z11" s="64">
        <f>+[11]부산!$R$85</f>
        <v>108582.84359322871</v>
      </c>
      <c r="AA11" s="68">
        <f>+[12]부산!$Q$85</f>
        <v>102500.94742783422</v>
      </c>
      <c r="AB11" s="69">
        <f>+[11]부산!$Q$89</f>
        <v>78563.752803048483</v>
      </c>
      <c r="AC11" s="64">
        <f>+[11]부산!$R$89</f>
        <v>84409.345412832728</v>
      </c>
      <c r="AD11" s="70">
        <f>+[12]부산!$Q$89</f>
        <v>73050.537158800464</v>
      </c>
      <c r="AE11" s="69">
        <f t="shared" si="6"/>
        <v>29036.148932245647</v>
      </c>
      <c r="AF11" s="64">
        <f t="shared" si="6"/>
        <v>24173.498180395982</v>
      </c>
      <c r="AG11" s="70">
        <f t="shared" si="6"/>
        <v>29450.41026903376</v>
      </c>
      <c r="AH11" s="18"/>
      <c r="AI11" s="19"/>
      <c r="AJ11" s="97"/>
    </row>
    <row r="12" spans="2:36" s="8" customFormat="1" ht="19.5" customHeight="1">
      <c r="B12" s="8" t="s">
        <v>26</v>
      </c>
      <c r="H12" s="80"/>
      <c r="I12" s="81" t="s">
        <v>26</v>
      </c>
      <c r="J12" s="46">
        <f>+'사업장별(당월)'!J12+'[4]사업장별(누계)'!J12</f>
        <v>40</v>
      </c>
      <c r="K12" s="47">
        <f>+'사업장별(당월)'!K12+'[4]사업장별(누계)'!K12</f>
        <v>40.751000000000005</v>
      </c>
      <c r="L12" s="48">
        <f t="shared" si="0"/>
        <v>0.75100000000000477</v>
      </c>
      <c r="M12" s="49">
        <f>+'사업장별(당월)'!M12+'[4]사업장별(누계)'!M12</f>
        <v>45.21</v>
      </c>
      <c r="N12" s="50">
        <f t="shared" si="1"/>
        <v>-4.4589999999999961</v>
      </c>
      <c r="O12" s="46">
        <f>+'사업장별(당월)'!O12+'[4]사업장별(누계)'!O12</f>
        <v>4141.5398000000005</v>
      </c>
      <c r="P12" s="47">
        <f>+'사업장별(당월)'!P12+'[4]사업장별(누계)'!P12</f>
        <v>4067.8206200000004</v>
      </c>
      <c r="Q12" s="48">
        <f t="shared" si="2"/>
        <v>-73.719180000000051</v>
      </c>
      <c r="R12" s="49">
        <f>+'사업장별(당월)'!R12+'[4]사업장별(누계)'!R12</f>
        <v>4215.3068000000003</v>
      </c>
      <c r="S12" s="50">
        <f t="shared" si="3"/>
        <v>-147.48617999999988</v>
      </c>
      <c r="T12" s="46">
        <f>+'사업장별(당월)'!T12+'[4]사업장별(누계)'!T12</f>
        <v>616.12547407411489</v>
      </c>
      <c r="U12" s="47">
        <f>+'사업장별(당월)'!U12+'[4]사업장별(누계)'!U12</f>
        <v>316.89600099999996</v>
      </c>
      <c r="V12" s="48">
        <f t="shared" si="4"/>
        <v>-299.22947307411494</v>
      </c>
      <c r="W12" s="49">
        <f>+'사업장별(당월)'!W12+'[4]사업장별(누계)'!W12</f>
        <v>576.25843299999974</v>
      </c>
      <c r="X12" s="50">
        <f t="shared" si="5"/>
        <v>-259.36243199999979</v>
      </c>
      <c r="Y12" s="46">
        <f>+[11]서부산!$Q$85</f>
        <v>103538.495</v>
      </c>
      <c r="Z12" s="47">
        <f>+[11]서부산!$R$85</f>
        <v>99821.369291551135</v>
      </c>
      <c r="AA12" s="51">
        <f>+[12]서부산!$Q$85</f>
        <v>93238.372041583716</v>
      </c>
      <c r="AB12" s="52">
        <f>+[11]서부산!$Q$89</f>
        <v>77640.399692591571</v>
      </c>
      <c r="AC12" s="47">
        <f>+[11]서부산!$R$89</f>
        <v>80640.021839954847</v>
      </c>
      <c r="AD12" s="53">
        <f>+[12]서부산!$Q$89</f>
        <v>70765.656404812456</v>
      </c>
      <c r="AE12" s="52">
        <f t="shared" si="6"/>
        <v>25898.095307408425</v>
      </c>
      <c r="AF12" s="47">
        <f t="shared" si="6"/>
        <v>19181.347451596288</v>
      </c>
      <c r="AG12" s="53">
        <f t="shared" si="6"/>
        <v>22472.71563677126</v>
      </c>
      <c r="AH12" s="18"/>
      <c r="AI12" s="19"/>
      <c r="AJ12" s="97"/>
    </row>
    <row r="13" spans="2:36" s="8" customFormat="1" ht="19.5" customHeight="1">
      <c r="B13" s="8" t="s">
        <v>27</v>
      </c>
      <c r="H13" s="80"/>
      <c r="I13" s="81" t="s">
        <v>27</v>
      </c>
      <c r="J13" s="46">
        <f>+'사업장별(당월)'!J13+'[4]사업장별(누계)'!J13</f>
        <v>21</v>
      </c>
      <c r="K13" s="47">
        <f>+'사업장별(당월)'!K13+'[4]사업장별(누계)'!K13</f>
        <v>20.978000000000002</v>
      </c>
      <c r="L13" s="48">
        <f t="shared" si="0"/>
        <v>-2.1999999999998465E-2</v>
      </c>
      <c r="M13" s="49">
        <f>+'사업장별(당월)'!M13+'[4]사업장별(누계)'!M13</f>
        <v>23.195</v>
      </c>
      <c r="N13" s="50">
        <f t="shared" si="1"/>
        <v>-2.2169999999999987</v>
      </c>
      <c r="O13" s="46">
        <f>+'사업장별(당월)'!O13+'[4]사업장별(누계)'!O13</f>
        <v>2120.9916000000003</v>
      </c>
      <c r="P13" s="47">
        <f>+'사업장별(당월)'!P13+'[4]사업장별(누계)'!P13</f>
        <v>2115.8959</v>
      </c>
      <c r="Q13" s="48">
        <f t="shared" si="2"/>
        <v>-5.0957000000003063</v>
      </c>
      <c r="R13" s="49">
        <f>+'사업장별(당월)'!R13+'[4]사업장별(누계)'!R13</f>
        <v>2178.922</v>
      </c>
      <c r="S13" s="50">
        <f t="shared" si="3"/>
        <v>-63.026100000000042</v>
      </c>
      <c r="T13" s="46">
        <f>+'사업장별(당월)'!T13+'[4]사업장별(누계)'!T13</f>
        <v>194.41680472880901</v>
      </c>
      <c r="U13" s="47">
        <f>+'사업장별(당월)'!U13+'[4]사업장별(누계)'!U13</f>
        <v>99.251054999999965</v>
      </c>
      <c r="V13" s="48">
        <f t="shared" si="4"/>
        <v>-95.165749728809047</v>
      </c>
      <c r="W13" s="49">
        <f>+'사업장별(당월)'!W13+'[4]사업장별(누계)'!W13</f>
        <v>202.49287000000004</v>
      </c>
      <c r="X13" s="50">
        <f t="shared" si="5"/>
        <v>-103.24181500000007</v>
      </c>
      <c r="Y13" s="46">
        <f>+[11]김해!$Q$85</f>
        <v>100999.6</v>
      </c>
      <c r="Z13" s="47">
        <f>+[11]김해!$R$85</f>
        <v>100865.56806257751</v>
      </c>
      <c r="AA13" s="51">
        <f>+[12]김해!$Q$85</f>
        <v>93950.901933641901</v>
      </c>
      <c r="AB13" s="52">
        <f>+[11]김해!$Q$89</f>
        <v>76784.213073296007</v>
      </c>
      <c r="AC13" s="47">
        <f>+[11]김해!$R$89</f>
        <v>81962.048125536574</v>
      </c>
      <c r="AD13" s="53">
        <f>+[12]김해!$Q$89</f>
        <v>72645.114374702593</v>
      </c>
      <c r="AE13" s="52">
        <f t="shared" si="6"/>
        <v>24215.386926703999</v>
      </c>
      <c r="AF13" s="47">
        <f t="shared" si="6"/>
        <v>18903.519937040939</v>
      </c>
      <c r="AG13" s="53">
        <f t="shared" si="6"/>
        <v>21305.787558939308</v>
      </c>
      <c r="AH13" s="18"/>
      <c r="AI13" s="19"/>
      <c r="AJ13" s="97"/>
    </row>
    <row r="14" spans="2:36" s="8" customFormat="1" ht="19.5" customHeight="1">
      <c r="B14" s="8" t="s">
        <v>28</v>
      </c>
      <c r="H14" s="80"/>
      <c r="I14" s="81" t="s">
        <v>28</v>
      </c>
      <c r="J14" s="46">
        <f>+'사업장별(당월)'!J14+'[4]사업장별(누계)'!J14</f>
        <v>34</v>
      </c>
      <c r="K14" s="47">
        <f>+'사업장별(당월)'!K14+'[4]사업장별(누계)'!K14</f>
        <v>36.4955</v>
      </c>
      <c r="L14" s="48">
        <f t="shared" si="0"/>
        <v>2.4954999999999998</v>
      </c>
      <c r="M14" s="49">
        <f>+'사업장별(당월)'!M14+'[4]사업장별(누계)'!M14</f>
        <v>38.427</v>
      </c>
      <c r="N14" s="50">
        <f t="shared" si="1"/>
        <v>-1.9314999999999998</v>
      </c>
      <c r="O14" s="46">
        <f>+'사업장별(당월)'!O14+'[4]사업장별(누계)'!O14</f>
        <v>3536</v>
      </c>
      <c r="P14" s="47">
        <f>+'사업장별(당월)'!P14+'[4]사업장별(누계)'!P14</f>
        <v>3711.5430499999998</v>
      </c>
      <c r="Q14" s="48">
        <f t="shared" si="2"/>
        <v>175.54304999999977</v>
      </c>
      <c r="R14" s="49">
        <f>+'사업장별(당월)'!R14+'[4]사업장별(누계)'!R14</f>
        <v>3798.9180200000001</v>
      </c>
      <c r="S14" s="50">
        <f t="shared" si="3"/>
        <v>-87.374970000000303</v>
      </c>
      <c r="T14" s="46">
        <f>+'사업장별(당월)'!T14+'[4]사업장별(누계)'!T14</f>
        <v>451.18986218235545</v>
      </c>
      <c r="U14" s="47">
        <f>+'사업장별(당월)'!U14+'[4]사업장별(누계)'!U14</f>
        <v>291.83418799999964</v>
      </c>
      <c r="V14" s="48">
        <f t="shared" si="4"/>
        <v>-159.35567418235581</v>
      </c>
      <c r="W14" s="49">
        <f>+'사업장별(당월)'!W14+'[4]사업장별(누계)'!W14</f>
        <v>622.87115499999993</v>
      </c>
      <c r="X14" s="50">
        <f t="shared" si="5"/>
        <v>-331.03696700000029</v>
      </c>
      <c r="Y14" s="46">
        <f>+[11]정관!$Q$85</f>
        <v>104000</v>
      </c>
      <c r="Z14" s="47">
        <f>+[11]정관!$R$85</f>
        <v>101698.64914852515</v>
      </c>
      <c r="AA14" s="51">
        <f>+[12]정관!$Q$85</f>
        <v>98860.645379550828</v>
      </c>
      <c r="AB14" s="52">
        <f>+[11]정관!$Q$89</f>
        <v>78960.711024048345</v>
      </c>
      <c r="AC14" s="47">
        <f>+[11]정관!$R$89</f>
        <v>82925.774713462146</v>
      </c>
      <c r="AD14" s="53">
        <f>+[12]정관!$Q$89</f>
        <v>72586.639733790886</v>
      </c>
      <c r="AE14" s="52">
        <f t="shared" si="6"/>
        <v>25039.288975951655</v>
      </c>
      <c r="AF14" s="47">
        <f t="shared" si="6"/>
        <v>18772.874435063</v>
      </c>
      <c r="AG14" s="53">
        <f t="shared" si="6"/>
        <v>26274.005645759942</v>
      </c>
      <c r="AH14" s="18"/>
      <c r="AI14" s="19"/>
      <c r="AJ14" s="97"/>
    </row>
    <row r="15" spans="2:36" s="8" customFormat="1" ht="19.5" customHeight="1">
      <c r="B15" s="8" t="s">
        <v>29</v>
      </c>
      <c r="H15" s="80"/>
      <c r="I15" s="81" t="s">
        <v>29</v>
      </c>
      <c r="J15" s="46">
        <f>+'사업장별(당월)'!J15+'[4]사업장별(누계)'!J15</f>
        <v>20</v>
      </c>
      <c r="K15" s="47">
        <f>+'사업장별(당월)'!K15+'[4]사업장별(누계)'!K15</f>
        <v>23.422000000000001</v>
      </c>
      <c r="L15" s="48">
        <f t="shared" si="0"/>
        <v>3.4220000000000006</v>
      </c>
      <c r="M15" s="49">
        <f>+'사업장별(당월)'!M15+'[4]사업장별(누계)'!M15</f>
        <v>24.981999999999999</v>
      </c>
      <c r="N15" s="50">
        <f t="shared" si="1"/>
        <v>-1.5599999999999987</v>
      </c>
      <c r="O15" s="46">
        <f>+'사업장별(당월)'!O15+'[4]사업장별(누계)'!O15</f>
        <v>1923.6864639999997</v>
      </c>
      <c r="P15" s="47">
        <f>+'사업장별(당월)'!P15+'[4]사업장별(누계)'!P15</f>
        <v>2236.5023300000003</v>
      </c>
      <c r="Q15" s="48">
        <f t="shared" si="2"/>
        <v>312.8158660000006</v>
      </c>
      <c r="R15" s="49">
        <f>+'사업장별(당월)'!R15+'[4]사업장별(누계)'!R15</f>
        <v>2318.7713320000003</v>
      </c>
      <c r="S15" s="50">
        <f t="shared" si="3"/>
        <v>-82.269002</v>
      </c>
      <c r="T15" s="46">
        <f>+'사업장별(당월)'!T15+'[4]사업장별(누계)'!T15</f>
        <v>211.73756275475523</v>
      </c>
      <c r="U15" s="47">
        <f>+'사업장별(당월)'!U15+'[4]사업장별(누계)'!U15</f>
        <v>250.79478700000004</v>
      </c>
      <c r="V15" s="48">
        <f t="shared" si="4"/>
        <v>39.057224245244811</v>
      </c>
      <c r="W15" s="49">
        <f>+'사업장별(당월)'!W15+'[4]사업장별(누계)'!W15</f>
        <v>326.81266099999993</v>
      </c>
      <c r="X15" s="50">
        <f t="shared" si="5"/>
        <v>-76.017873999999892</v>
      </c>
      <c r="Y15" s="46">
        <f>+[11]양산!$Q$85</f>
        <v>96184.323199999984</v>
      </c>
      <c r="Z15" s="47">
        <f>+[11]양산!$R$85</f>
        <v>95487.248313551361</v>
      </c>
      <c r="AA15" s="51">
        <f>+[12]양산!$Q$85</f>
        <v>92825.002284843868</v>
      </c>
      <c r="AB15" s="52">
        <f>+[11]양산!$Q$89</f>
        <v>71621.087323373329</v>
      </c>
      <c r="AC15" s="47">
        <f>+[11]양산!$R$89</f>
        <v>72690.595209631982</v>
      </c>
      <c r="AD15" s="53">
        <f>+[12]양산!$Q$89</f>
        <v>68117.553240091365</v>
      </c>
      <c r="AE15" s="52">
        <f t="shared" si="6"/>
        <v>24563.235876626655</v>
      </c>
      <c r="AF15" s="47">
        <f t="shared" si="6"/>
        <v>22796.65310391938</v>
      </c>
      <c r="AG15" s="53">
        <f t="shared" si="6"/>
        <v>24707.449044752502</v>
      </c>
      <c r="AH15" s="18"/>
      <c r="AI15" s="19"/>
      <c r="AJ15" s="97"/>
    </row>
    <row r="16" spans="2:36" s="8" customFormat="1" ht="19.5" customHeight="1">
      <c r="B16" s="8" t="s">
        <v>30</v>
      </c>
      <c r="H16" s="80"/>
      <c r="I16" s="81" t="s">
        <v>30</v>
      </c>
      <c r="J16" s="46">
        <f>+'사업장별(당월)'!J16+'[4]사업장별(누계)'!J16</f>
        <v>28</v>
      </c>
      <c r="K16" s="47">
        <f>+'사업장별(당월)'!K16+'[4]사업장별(누계)'!K16</f>
        <v>32.768000000000001</v>
      </c>
      <c r="L16" s="48">
        <f t="shared" si="0"/>
        <v>4.7680000000000007</v>
      </c>
      <c r="M16" s="49">
        <f>+'사업장별(당월)'!M16+'[4]사업장별(누계)'!M16</f>
        <v>38.298999999999999</v>
      </c>
      <c r="N16" s="50">
        <f t="shared" si="1"/>
        <v>-5.5309999999999988</v>
      </c>
      <c r="O16" s="46">
        <f>+'사업장별(당월)'!O16+'[4]사업장별(누계)'!O16</f>
        <v>2788.4079999999999</v>
      </c>
      <c r="P16" s="47">
        <f>+'사업장별(당월)'!P16+'[4]사업장별(누계)'!P16</f>
        <v>3382.2042999999999</v>
      </c>
      <c r="Q16" s="48">
        <f t="shared" si="2"/>
        <v>593.79629999999997</v>
      </c>
      <c r="R16" s="49">
        <f>+'사업장별(당월)'!R16+'[4]사업장별(누계)'!R16</f>
        <v>3546.1466</v>
      </c>
      <c r="S16" s="50">
        <f t="shared" si="3"/>
        <v>-163.94230000000016</v>
      </c>
      <c r="T16" s="46">
        <f>+'사업장별(당월)'!T16+'[4]사업장별(누계)'!T16</f>
        <v>382.3016435769282</v>
      </c>
      <c r="U16" s="47">
        <f>+'사업장별(당월)'!U16+'[4]사업장별(누계)'!U16</f>
        <v>520.35788100000002</v>
      </c>
      <c r="V16" s="48">
        <f t="shared" si="4"/>
        <v>138.05623742307182</v>
      </c>
      <c r="W16" s="49">
        <f>+'사업장별(당월)'!W16+'[4]사업장별(누계)'!W16</f>
        <v>635.5841039999998</v>
      </c>
      <c r="X16" s="50">
        <f t="shared" si="5"/>
        <v>-115.22622299999978</v>
      </c>
      <c r="Y16" s="46">
        <f>+[11]창원!$Q$85</f>
        <v>99586</v>
      </c>
      <c r="Z16" s="47">
        <f>+[11]창원!$R$85</f>
        <v>103216.68395996094</v>
      </c>
      <c r="AA16" s="51">
        <f>+[12]창원!$Q$85</f>
        <v>92591.101595341912</v>
      </c>
      <c r="AB16" s="52">
        <f>+[11]창원!$Q$89</f>
        <v>72372.547562232838</v>
      </c>
      <c r="AC16" s="47">
        <f>+[11]창원!$R$89</f>
        <v>75624.313676439182</v>
      </c>
      <c r="AD16" s="53">
        <f>+[12]창원!$Q$89</f>
        <v>66457.6916629677</v>
      </c>
      <c r="AE16" s="52">
        <f t="shared" si="6"/>
        <v>27213.452437767162</v>
      </c>
      <c r="AF16" s="47">
        <f t="shared" si="6"/>
        <v>27592.370283521755</v>
      </c>
      <c r="AG16" s="53">
        <f t="shared" si="6"/>
        <v>26133.409932374212</v>
      </c>
      <c r="AH16" s="18"/>
      <c r="AI16" s="19"/>
      <c r="AJ16" s="97"/>
    </row>
    <row r="17" spans="2:38" s="8" customFormat="1" ht="19.5" customHeight="1">
      <c r="B17" s="8" t="s">
        <v>87</v>
      </c>
      <c r="H17" s="80"/>
      <c r="I17" s="81" t="s">
        <v>87</v>
      </c>
      <c r="J17" s="46">
        <f>+'사업장별(당월)'!J17+'[4]사업장별(누계)'!J17</f>
        <v>27</v>
      </c>
      <c r="K17" s="47">
        <f>+'사업장별(당월)'!K17+'[4]사업장별(누계)'!K17</f>
        <v>28.7515</v>
      </c>
      <c r="L17" s="48">
        <f t="shared" si="0"/>
        <v>1.7515000000000001</v>
      </c>
      <c r="M17" s="49">
        <f>+'사업장별(당월)'!M17+'[4]사업장별(누계)'!M17</f>
        <v>42.192999999999998</v>
      </c>
      <c r="N17" s="50">
        <f t="shared" si="1"/>
        <v>-13.441499999999998</v>
      </c>
      <c r="O17" s="46">
        <f>+'사업장별(당월)'!O17+'[4]사업장별(누계)'!O17</f>
        <v>2640.5999999999995</v>
      </c>
      <c r="P17" s="47">
        <f>+'사업장별(당월)'!P17+'[4]사업장별(누계)'!P17</f>
        <v>2906.5255999999999</v>
      </c>
      <c r="Q17" s="48">
        <f t="shared" si="2"/>
        <v>265.92560000000049</v>
      </c>
      <c r="R17" s="49">
        <f>+'사업장별(당월)'!R17+'[4]사업장별(누계)'!R17</f>
        <v>3708.9423500000003</v>
      </c>
      <c r="S17" s="50">
        <f t="shared" si="3"/>
        <v>-802.41675000000032</v>
      </c>
      <c r="T17" s="46">
        <f>+'사업장별(당월)'!T17+'[4]사업장별(누계)'!T17</f>
        <v>357.25256260454393</v>
      </c>
      <c r="U17" s="47">
        <f>+'사업장별(당월)'!U17+'[4]사업장별(누계)'!U17</f>
        <v>421.89956799999993</v>
      </c>
      <c r="V17" s="48">
        <f t="shared" si="4"/>
        <v>64.647005395456006</v>
      </c>
      <c r="W17" s="49">
        <f>+'사업장별(당월)'!W17+'[4]사업장별(누계)'!W17</f>
        <v>572.70908100000008</v>
      </c>
      <c r="X17" s="50">
        <f t="shared" si="5"/>
        <v>-150.80951300000015</v>
      </c>
      <c r="Y17" s="46">
        <f>+[11]대구!$Q$85</f>
        <v>97800</v>
      </c>
      <c r="Z17" s="47">
        <f>+[11]대구!$R$85</f>
        <v>101091.26828165486</v>
      </c>
      <c r="AA17" s="51">
        <f>+[12]대구!$Q$85</f>
        <v>87898.834783433296</v>
      </c>
      <c r="AB17" s="52">
        <f>+[11]대구!$Q$89</f>
        <v>71441.174251090255</v>
      </c>
      <c r="AC17" s="47">
        <f>+[11]대구!$R$89</f>
        <v>74548.294705728942</v>
      </c>
      <c r="AD17" s="53">
        <f>+[12]대구!$Q$89</f>
        <v>65838.358739716932</v>
      </c>
      <c r="AE17" s="52">
        <f t="shared" si="6"/>
        <v>26358.825748909745</v>
      </c>
      <c r="AF17" s="47">
        <f t="shared" si="6"/>
        <v>26542.97357592592</v>
      </c>
      <c r="AG17" s="53">
        <f t="shared" si="6"/>
        <v>22060.476043716364</v>
      </c>
      <c r="AH17" s="18"/>
      <c r="AI17" s="19"/>
      <c r="AJ17" s="97"/>
    </row>
    <row r="18" spans="2:38" s="8" customFormat="1" ht="19.5" customHeight="1">
      <c r="B18" s="8" t="s">
        <v>88</v>
      </c>
      <c r="G18" s="9"/>
      <c r="H18" s="80"/>
      <c r="I18" s="83" t="s">
        <v>88</v>
      </c>
      <c r="J18" s="10">
        <f>+'사업장별(당월)'!J18+'[4]사업장별(누계)'!J18</f>
        <v>9</v>
      </c>
      <c r="K18" s="11">
        <f>+'사업장별(당월)'!K18+'[4]사업장별(누계)'!K18</f>
        <v>10.1715</v>
      </c>
      <c r="L18" s="12">
        <f t="shared" si="0"/>
        <v>1.1715</v>
      </c>
      <c r="M18" s="13">
        <f>+'사업장별(당월)'!M18+'[4]사업장별(누계)'!M18</f>
        <v>18.570499999999999</v>
      </c>
      <c r="N18" s="14">
        <f t="shared" si="1"/>
        <v>-8.3989999999999991</v>
      </c>
      <c r="O18" s="10">
        <f>+'사업장별(당월)'!O18+'[4]사업장별(누계)'!O18</f>
        <v>879.69715999999994</v>
      </c>
      <c r="P18" s="11">
        <f>+'사업장별(당월)'!P18+'[4]사업장별(누계)'!P18</f>
        <v>1048.3277499999999</v>
      </c>
      <c r="Q18" s="12">
        <f t="shared" si="2"/>
        <v>168.63058999999998</v>
      </c>
      <c r="R18" s="13">
        <f>+'사업장별(당월)'!R18+'[4]사업장별(누계)'!R18</f>
        <v>1758.20145</v>
      </c>
      <c r="S18" s="14">
        <f t="shared" si="3"/>
        <v>-709.8737000000001</v>
      </c>
      <c r="T18" s="10">
        <f>+'사업장별(당월)'!T18+'[4]사업장별(누계)'!T18</f>
        <v>-108.53527516548475</v>
      </c>
      <c r="U18" s="11">
        <f>+'사업장별(당월)'!U18+'[4]사업장별(누계)'!U18</f>
        <v>-68.738831999999945</v>
      </c>
      <c r="V18" s="12">
        <f t="shared" si="4"/>
        <v>39.796443165484803</v>
      </c>
      <c r="W18" s="13">
        <f>+'사업장별(당월)'!W18+'[4]사업장별(누계)'!W18</f>
        <v>103.13011499999996</v>
      </c>
      <c r="X18" s="14">
        <f t="shared" si="5"/>
        <v>-171.86894699999991</v>
      </c>
      <c r="Y18" s="10">
        <f>+[11]울산!$Q$85</f>
        <v>97744.128888888881</v>
      </c>
      <c r="Z18" s="11">
        <f>+[11]울산!$R$85</f>
        <v>103065.20670500908</v>
      </c>
      <c r="AA18" s="15">
        <f>+[12]울산!$Q$85</f>
        <v>94701.757488369563</v>
      </c>
      <c r="AB18" s="16">
        <f>+[11]울산!$Q$89</f>
        <v>79658.270861093348</v>
      </c>
      <c r="AC18" s="11">
        <f>+[11]울산!$R$89</f>
        <v>84815.78491771064</v>
      </c>
      <c r="AD18" s="17">
        <f>+[12]울산!$Q$89</f>
        <v>75041.896804025571</v>
      </c>
      <c r="AE18" s="16">
        <f t="shared" si="6"/>
        <v>18085.858027795533</v>
      </c>
      <c r="AF18" s="11">
        <f t="shared" si="6"/>
        <v>18249.421787298445</v>
      </c>
      <c r="AG18" s="17">
        <f t="shared" si="6"/>
        <v>19659.860684343992</v>
      </c>
      <c r="AH18" s="18"/>
      <c r="AI18" s="19"/>
      <c r="AJ18" s="97"/>
    </row>
    <row r="19" spans="2:38" s="8" customFormat="1" ht="19.5" customHeight="1">
      <c r="B19" s="8" t="s">
        <v>93</v>
      </c>
      <c r="G19" s="9"/>
      <c r="H19" s="80"/>
      <c r="I19" s="81" t="s">
        <v>31</v>
      </c>
      <c r="J19" s="46">
        <f>+'사업장별(당월)'!J19+'[4]사업장별(누계)'!J19</f>
        <v>30</v>
      </c>
      <c r="K19" s="47">
        <f>+'사업장별(당월)'!K19+'[4]사업장별(누계)'!K19</f>
        <v>40.47</v>
      </c>
      <c r="L19" s="48">
        <f t="shared" si="0"/>
        <v>10.469999999999999</v>
      </c>
      <c r="M19" s="49">
        <f>+'사업장별(당월)'!M19+'[4]사업장별(누계)'!M19</f>
        <v>47.819000000000003</v>
      </c>
      <c r="N19" s="50">
        <f t="shared" si="1"/>
        <v>-7.3490000000000038</v>
      </c>
      <c r="O19" s="46">
        <f>+'사업장별(당월)'!O19+'[4]사업장별(누계)'!O19</f>
        <v>3029.9948999999997</v>
      </c>
      <c r="P19" s="47">
        <f>+'사업장별(당월)'!P19+'[4]사업장별(누계)'!P19</f>
        <v>3979.3380510000006</v>
      </c>
      <c r="Q19" s="48">
        <f t="shared" si="2"/>
        <v>949.34315100000094</v>
      </c>
      <c r="R19" s="49">
        <f>+'사업장별(당월)'!R19+'[4]사업장별(누계)'!R19</f>
        <v>4442.1238919999996</v>
      </c>
      <c r="S19" s="50">
        <f t="shared" si="3"/>
        <v>-462.78584099999898</v>
      </c>
      <c r="T19" s="46">
        <f>+'사업장별(당월)'!T19+'[4]사업장별(누계)'!T19</f>
        <v>252.8671306684968</v>
      </c>
      <c r="U19" s="47">
        <f>+'사업장별(당월)'!U19+'[4]사업장별(누계)'!U19</f>
        <v>193.74319600000018</v>
      </c>
      <c r="V19" s="48">
        <f t="shared" si="4"/>
        <v>-59.123934668496616</v>
      </c>
      <c r="W19" s="49">
        <f>+'사업장별(당월)'!W19+'[4]사업장별(누계)'!W19</f>
        <v>607.32532299999957</v>
      </c>
      <c r="X19" s="50">
        <f t="shared" si="5"/>
        <v>-413.58212699999939</v>
      </c>
      <c r="Y19" s="46">
        <f>+[11]아산!$Q$85</f>
        <v>100999.83</v>
      </c>
      <c r="Z19" s="47">
        <f>+[11]아산!$R$85</f>
        <v>98328.096145292802</v>
      </c>
      <c r="AA19" s="51">
        <f>+[12]아산!$Q$85</f>
        <v>92889.303246538446</v>
      </c>
      <c r="AB19" s="52">
        <f>+[11]아산!$Q$89</f>
        <v>77928.567490965012</v>
      </c>
      <c r="AC19" s="47">
        <f>+[11]아산!$R$89</f>
        <v>81310.324983943487</v>
      </c>
      <c r="AD19" s="53">
        <f>+[12]아산!$Q$89</f>
        <v>68706.455047951997</v>
      </c>
      <c r="AE19" s="52">
        <f t="shared" si="6"/>
        <v>23071.26250903499</v>
      </c>
      <c r="AF19" s="47">
        <f t="shared" si="6"/>
        <v>17017.771161349316</v>
      </c>
      <c r="AG19" s="53">
        <f t="shared" si="6"/>
        <v>24182.848198586449</v>
      </c>
      <c r="AH19" s="18"/>
      <c r="AI19" s="19"/>
      <c r="AJ19" s="97"/>
    </row>
    <row r="20" spans="2:38" s="8" customFormat="1" ht="19.5" customHeight="1">
      <c r="B20" s="8" t="s">
        <v>89</v>
      </c>
      <c r="G20" s="9"/>
      <c r="H20" s="80"/>
      <c r="I20" s="81" t="s">
        <v>89</v>
      </c>
      <c r="J20" s="46">
        <f>+'사업장별(당월)'!J20+'[4]사업장별(누계)'!J20</f>
        <v>20</v>
      </c>
      <c r="K20" s="47">
        <f>+'사업장별(당월)'!K20+'[4]사업장별(누계)'!K20</f>
        <v>8.83</v>
      </c>
      <c r="L20" s="48">
        <f t="shared" si="0"/>
        <v>-11.17</v>
      </c>
      <c r="M20" s="49">
        <f>+'사업장별(당월)'!M20+'[4]사업장별(누계)'!M20</f>
        <v>16.299500000000002</v>
      </c>
      <c r="N20" s="50">
        <f t="shared" si="1"/>
        <v>-7.4695000000000018</v>
      </c>
      <c r="O20" s="46">
        <f>+'사업장별(당월)'!O20+'[4]사업장별(누계)'!O20</f>
        <v>2014.9649010000003</v>
      </c>
      <c r="P20" s="47">
        <f>+'사업장별(당월)'!P20+'[4]사업장별(누계)'!P20</f>
        <v>874.29073600000004</v>
      </c>
      <c r="Q20" s="48">
        <f t="shared" si="2"/>
        <v>-1140.6741650000004</v>
      </c>
      <c r="R20" s="49">
        <f>+'사업장별(당월)'!R20+'[4]사업장별(누계)'!R20</f>
        <v>1424.6024910000001</v>
      </c>
      <c r="S20" s="50">
        <f t="shared" si="3"/>
        <v>-550.31175500000006</v>
      </c>
      <c r="T20" s="46">
        <f>+'사업장별(당월)'!T20+'[4]사업장별(누계)'!T20</f>
        <v>226.59253591915467</v>
      </c>
      <c r="U20" s="47">
        <f>+'사업장별(당월)'!U20+'[4]사업장별(누계)'!U20</f>
        <v>-56.857422000000021</v>
      </c>
      <c r="V20" s="48">
        <f t="shared" si="4"/>
        <v>-283.44995791915471</v>
      </c>
      <c r="W20" s="49">
        <f>+'사업장별(당월)'!W20+'[4]사업장별(누계)'!W20</f>
        <v>25.509294999999995</v>
      </c>
      <c r="X20" s="50">
        <f t="shared" si="5"/>
        <v>-82.366717000000023</v>
      </c>
      <c r="Y20" s="46">
        <f>+[11]전주!$Q$85</f>
        <v>100748.24505000001</v>
      </c>
      <c r="Z20" s="47">
        <f>+[11]전주!$R$85</f>
        <v>99013.673386183465</v>
      </c>
      <c r="AA20" s="51">
        <f>+[12]전주!$Q$85</f>
        <v>87420.351447532943</v>
      </c>
      <c r="AB20" s="52">
        <f>+[11]전주!$Q$89</f>
        <v>74730.01422784575</v>
      </c>
      <c r="AC20" s="47">
        <f>+[11]전주!$R$89</f>
        <v>74049.869422423566</v>
      </c>
      <c r="AD20" s="53">
        <f>+[12]전주!$Q$89</f>
        <v>66224.912955660286</v>
      </c>
      <c r="AE20" s="52">
        <f t="shared" si="6"/>
        <v>26018.230822154263</v>
      </c>
      <c r="AF20" s="47">
        <f t="shared" si="6"/>
        <v>24963.803963759899</v>
      </c>
      <c r="AG20" s="53">
        <f t="shared" si="6"/>
        <v>21195.438491872657</v>
      </c>
      <c r="AH20" s="18"/>
      <c r="AI20" s="19"/>
      <c r="AJ20" s="97"/>
    </row>
    <row r="21" spans="2:38" s="8" customFormat="1" ht="19.5" customHeight="1">
      <c r="B21" s="8" t="s">
        <v>90</v>
      </c>
      <c r="G21" s="9"/>
      <c r="H21" s="80"/>
      <c r="I21" s="81" t="s">
        <v>90</v>
      </c>
      <c r="J21" s="46">
        <f>+'사업장별(당월)'!J21+'[4]사업장별(누계)'!J21</f>
        <v>8</v>
      </c>
      <c r="K21" s="47">
        <f>+'사업장별(당월)'!K21+'[4]사업장별(누계)'!K21</f>
        <v>12.917000000000002</v>
      </c>
      <c r="L21" s="48">
        <f t="shared" si="0"/>
        <v>4.9170000000000016</v>
      </c>
      <c r="M21" s="49">
        <f>+'사업장별(당월)'!M21+'[4]사업장별(누계)'!M21</f>
        <v>13.123999999999999</v>
      </c>
      <c r="N21" s="50">
        <f t="shared" si="1"/>
        <v>-0.20699999999999719</v>
      </c>
      <c r="O21" s="46">
        <f>+'사업장별(당월)'!O21+'[4]사업장별(누계)'!O21</f>
        <v>867.36804000000006</v>
      </c>
      <c r="P21" s="47">
        <f>+'사업장별(당월)'!P21+'[4]사업장별(누계)'!P21</f>
        <v>1329.6202600000001</v>
      </c>
      <c r="Q21" s="48">
        <f t="shared" si="2"/>
        <v>462.25222000000008</v>
      </c>
      <c r="R21" s="49">
        <f>+'사업장별(당월)'!R21+'[4]사업장별(누계)'!R21</f>
        <v>1187.565963</v>
      </c>
      <c r="S21" s="50">
        <f t="shared" si="3"/>
        <v>142.05429700000013</v>
      </c>
      <c r="T21" s="46">
        <f>+'사업장별(당월)'!T21+'[4]사업장별(누계)'!T21</f>
        <v>133.89785894096619</v>
      </c>
      <c r="U21" s="47">
        <f>+'사업장별(당월)'!U21+'[4]사업장별(누계)'!U21</f>
        <v>261.78264400000006</v>
      </c>
      <c r="V21" s="48">
        <f t="shared" si="4"/>
        <v>127.88478505903387</v>
      </c>
      <c r="W21" s="49">
        <f>+'사업장별(당월)'!W21+'[4]사업장별(누계)'!W21</f>
        <v>199.94210899999993</v>
      </c>
      <c r="X21" s="50">
        <f t="shared" si="5"/>
        <v>61.840535000000131</v>
      </c>
      <c r="Y21" s="46">
        <f>+[11]군산!$Q$85</f>
        <v>108421.005</v>
      </c>
      <c r="Z21" s="47">
        <f>+[11]군산!$R$85</f>
        <v>102935.68630486955</v>
      </c>
      <c r="AA21" s="51">
        <f>+[12]군산!$Q$85</f>
        <v>90481.439056056202</v>
      </c>
      <c r="AB21" s="52">
        <f>+[11]군산!$Q$89</f>
        <v>70400.341559139779</v>
      </c>
      <c r="AC21" s="47">
        <f>+[11]군산!$R$89</f>
        <v>70126.652318649838</v>
      </c>
      <c r="AD21" s="53">
        <f>+[12]군산!$Q$89</f>
        <v>63006.040286891497</v>
      </c>
      <c r="AE21" s="52">
        <f t="shared" si="6"/>
        <v>38020.663440860226</v>
      </c>
      <c r="AF21" s="47">
        <f t="shared" si="6"/>
        <v>32809.033986219714</v>
      </c>
      <c r="AG21" s="53">
        <f t="shared" si="6"/>
        <v>27475.398769164705</v>
      </c>
      <c r="AH21" s="18"/>
      <c r="AI21" s="19"/>
      <c r="AJ21" s="97"/>
    </row>
    <row r="22" spans="2:38" s="8" customFormat="1" ht="19.5" customHeight="1">
      <c r="B22" s="8" t="s">
        <v>91</v>
      </c>
      <c r="G22" s="9"/>
      <c r="H22" s="80"/>
      <c r="I22" s="81" t="s">
        <v>91</v>
      </c>
      <c r="J22" s="46">
        <f>+'사업장별(당월)'!J22+'[4]사업장별(누계)'!J22</f>
        <v>7</v>
      </c>
      <c r="K22" s="47">
        <f>+'사업장별(당월)'!K22+'[4]사업장별(누계)'!K22</f>
        <v>6.9394999999999998</v>
      </c>
      <c r="L22" s="48">
        <f t="shared" si="0"/>
        <v>-6.050000000000022E-2</v>
      </c>
      <c r="M22" s="49">
        <f>+'사업장별(당월)'!M22+'[4]사업장별(누계)'!M22</f>
        <v>4.7050000000000001</v>
      </c>
      <c r="N22" s="50">
        <f t="shared" si="1"/>
        <v>2.2344999999999997</v>
      </c>
      <c r="O22" s="46">
        <f>+'사업장별(당월)'!O22+'[4]사업장별(누계)'!O22</f>
        <v>755.3</v>
      </c>
      <c r="P22" s="47">
        <f>+'사업장별(당월)'!P22+'[4]사업장별(누계)'!P22</f>
        <v>776.63979999999992</v>
      </c>
      <c r="Q22" s="48">
        <f t="shared" si="2"/>
        <v>21.339799999999968</v>
      </c>
      <c r="R22" s="49">
        <f>+'사업장별(당월)'!R22+'[4]사업장별(누계)'!R22</f>
        <v>455.71379999999999</v>
      </c>
      <c r="S22" s="50">
        <f t="shared" si="3"/>
        <v>320.92599999999993</v>
      </c>
      <c r="T22" s="46">
        <f>+'사업장별(당월)'!T22+'[4]사업장별(누계)'!T22</f>
        <v>54.619080173921375</v>
      </c>
      <c r="U22" s="47">
        <f>+'사업장별(당월)'!U22+'[4]사업장별(누계)'!U22</f>
        <v>89.717245999999989</v>
      </c>
      <c r="V22" s="48">
        <f t="shared" si="4"/>
        <v>35.098165826078613</v>
      </c>
      <c r="W22" s="49">
        <f>+'사업장별(당월)'!W22+'[4]사업장별(누계)'!W22</f>
        <v>-12.320387000000053</v>
      </c>
      <c r="X22" s="50">
        <f t="shared" si="5"/>
        <v>102.03763300000004</v>
      </c>
      <c r="Y22" s="46">
        <f>+[11]원주!$Q$85</f>
        <v>107900</v>
      </c>
      <c r="Z22" s="47">
        <f>+[11]원주!$R$85</f>
        <v>111948.06453946892</v>
      </c>
      <c r="AA22" s="51">
        <f>+[12]원주!$Q$85</f>
        <v>96857.343251859711</v>
      </c>
      <c r="AB22" s="52">
        <f>+[11]원주!$Q$89</f>
        <v>75418.706203608861</v>
      </c>
      <c r="AC22" s="47">
        <f>+[11]원주!$R$89</f>
        <v>74467.080963750806</v>
      </c>
      <c r="AD22" s="53">
        <f>+[12]원주!$Q$89</f>
        <v>66452.039057524933</v>
      </c>
      <c r="AE22" s="52">
        <f t="shared" si="6"/>
        <v>32481.293796391139</v>
      </c>
      <c r="AF22" s="47">
        <f t="shared" si="6"/>
        <v>37480.983575718114</v>
      </c>
      <c r="AG22" s="53">
        <f t="shared" si="6"/>
        <v>30405.304194334778</v>
      </c>
      <c r="AH22" s="18"/>
      <c r="AI22" s="19"/>
      <c r="AJ22" s="97"/>
    </row>
    <row r="23" spans="2:38" s="8" customFormat="1" ht="19.5" customHeight="1">
      <c r="B23" s="8" t="s">
        <v>92</v>
      </c>
      <c r="H23" s="80"/>
      <c r="I23" s="81" t="s">
        <v>92</v>
      </c>
      <c r="J23" s="46">
        <f>+'사업장별(당월)'!J23+'[4]사업장별(누계)'!J23</f>
        <v>8</v>
      </c>
      <c r="K23" s="47">
        <f>+'사업장별(당월)'!K23+'[4]사업장별(누계)'!K23</f>
        <v>5.66</v>
      </c>
      <c r="L23" s="48">
        <f t="shared" si="0"/>
        <v>-2.34</v>
      </c>
      <c r="M23" s="49">
        <f>+'사업장별(당월)'!M23+'[4]사업장별(누계)'!M23</f>
        <v>13.638999999999999</v>
      </c>
      <c r="N23" s="50">
        <f t="shared" si="1"/>
        <v>-7.9789999999999992</v>
      </c>
      <c r="O23" s="46">
        <f>+'사업장별(당월)'!O23+'[4]사업장별(누계)'!O23</f>
        <v>1013.6</v>
      </c>
      <c r="P23" s="47">
        <f>+'사업장별(당월)'!P23+'[4]사업장별(누계)'!P23</f>
        <v>728.19172499999991</v>
      </c>
      <c r="Q23" s="48">
        <f t="shared" si="2"/>
        <v>-285.40827500000012</v>
      </c>
      <c r="R23" s="49">
        <f>+'사업장별(당월)'!R23+'[4]사업장별(누계)'!R23</f>
        <v>1603.0355949999998</v>
      </c>
      <c r="S23" s="50">
        <f t="shared" si="3"/>
        <v>-874.84386999999992</v>
      </c>
      <c r="T23" s="46">
        <f>+'사업장별(당월)'!T23+'[4]사업장별(누계)'!T23</f>
        <v>99.243968733285016</v>
      </c>
      <c r="U23" s="47">
        <f>+'사업장별(당월)'!U23+'[4]사업장별(누계)'!U23</f>
        <v>50.242932999999965</v>
      </c>
      <c r="V23" s="48">
        <f t="shared" si="4"/>
        <v>-49.00103573328505</v>
      </c>
      <c r="W23" s="49">
        <f>+'사업장별(당월)'!W23+'[4]사업장별(누계)'!W23</f>
        <v>364.8580060000001</v>
      </c>
      <c r="X23" s="50">
        <f t="shared" si="5"/>
        <v>-314.61507300000017</v>
      </c>
      <c r="Y23" s="46">
        <f>+[11]제주!$Q$85</f>
        <v>126700</v>
      </c>
      <c r="Z23" s="47">
        <f>+[11]제주!$R$85</f>
        <v>128655.78180212015</v>
      </c>
      <c r="AA23" s="51">
        <f>+[12]제주!$Q$85</f>
        <v>117535.41825248415</v>
      </c>
      <c r="AB23" s="52">
        <f>+[11]제주!$Q$89</f>
        <v>89935.469322780293</v>
      </c>
      <c r="AC23" s="47">
        <f>+[11]제주!$R$89</f>
        <v>89930.057722859681</v>
      </c>
      <c r="AD23" s="53">
        <f>+[12]제주!$Q$89</f>
        <v>78806.71777948887</v>
      </c>
      <c r="AE23" s="52">
        <f t="shared" si="6"/>
        <v>36764.530677219707</v>
      </c>
      <c r="AF23" s="47">
        <f t="shared" si="6"/>
        <v>38725.724079260472</v>
      </c>
      <c r="AG23" s="53">
        <f t="shared" si="6"/>
        <v>38728.700472995275</v>
      </c>
      <c r="AH23" s="18"/>
      <c r="AI23" s="19"/>
      <c r="AJ23" s="97"/>
    </row>
    <row r="24" spans="2:38" s="8" customFormat="1" ht="19.5" customHeight="1">
      <c r="G24" s="96"/>
      <c r="H24" s="80"/>
      <c r="I24" s="84" t="s">
        <v>55</v>
      </c>
      <c r="J24" s="23">
        <f>SUM(J7:J10)</f>
        <v>184</v>
      </c>
      <c r="K24" s="20">
        <f>SUM(K7:K10)</f>
        <v>187.82300000000001</v>
      </c>
      <c r="L24" s="21">
        <f t="shared" si="0"/>
        <v>3.8230000000000075</v>
      </c>
      <c r="M24" s="25">
        <f>SUM(M7:M10)</f>
        <v>216.51150000000001</v>
      </c>
      <c r="N24" s="22">
        <f t="shared" si="1"/>
        <v>-28.688500000000005</v>
      </c>
      <c r="O24" s="23">
        <f>SUM(O7:O10)</f>
        <v>17744.072455259571</v>
      </c>
      <c r="P24" s="20">
        <f>SUM(P7:P10)</f>
        <v>18546.483585000002</v>
      </c>
      <c r="Q24" s="21">
        <f t="shared" si="2"/>
        <v>802.41112974043062</v>
      </c>
      <c r="R24" s="25">
        <f>SUM(R7:R10)</f>
        <v>19316.638594999997</v>
      </c>
      <c r="S24" s="22">
        <f t="shared" si="3"/>
        <v>-770.15500999999495</v>
      </c>
      <c r="T24" s="23">
        <f>SUM(T7:T10)</f>
        <v>1148.1391931750513</v>
      </c>
      <c r="U24" s="20">
        <f>SUM(U7:U10)</f>
        <v>1150.3063770000003</v>
      </c>
      <c r="V24" s="21">
        <f t="shared" si="4"/>
        <v>2.1671838249490065</v>
      </c>
      <c r="W24" s="25">
        <f>SUM(W7:W10)</f>
        <v>1662.7810770100004</v>
      </c>
      <c r="X24" s="22">
        <f t="shared" si="5"/>
        <v>-512.47470001000011</v>
      </c>
      <c r="Y24" s="23">
        <f>+[11]수도권!$Q$85</f>
        <v>96435.176387280269</v>
      </c>
      <c r="Z24" s="20">
        <f>+[11]수도권!$R$85</f>
        <v>98745.595728138811</v>
      </c>
      <c r="AA24" s="24">
        <f>+[12]수도권!$Q$85</f>
        <v>89231.065160012033</v>
      </c>
      <c r="AB24" s="29">
        <f>+[11]수도권!$Q$89</f>
        <v>79468.243932454454</v>
      </c>
      <c r="AC24" s="20">
        <f>+[11]수도권!$R$89</f>
        <v>81932.740732853854</v>
      </c>
      <c r="AD24" s="30">
        <f>+[12]수도권!$Q$89</f>
        <v>72628.734217137826</v>
      </c>
      <c r="AE24" s="29">
        <f t="shared" si="6"/>
        <v>16966.932454825816</v>
      </c>
      <c r="AF24" s="20">
        <f t="shared" si="6"/>
        <v>16812.854995284957</v>
      </c>
      <c r="AG24" s="30">
        <f t="shared" si="6"/>
        <v>16602.330942874207</v>
      </c>
      <c r="AH24" s="18"/>
      <c r="AI24" s="19"/>
      <c r="AJ24" s="97"/>
    </row>
    <row r="25" spans="2:38" s="8" customFormat="1" ht="19.5" customHeight="1">
      <c r="H25" s="80"/>
      <c r="I25" s="84" t="s">
        <v>56</v>
      </c>
      <c r="J25" s="23">
        <f>SUM(J11:J18)</f>
        <v>213</v>
      </c>
      <c r="K25" s="20">
        <f>SUM(K11:K18)</f>
        <v>233.80250000000001</v>
      </c>
      <c r="L25" s="21">
        <f t="shared" si="0"/>
        <v>20.802500000000009</v>
      </c>
      <c r="M25" s="25">
        <f>SUM(M11:M18)</f>
        <v>280.48449999999997</v>
      </c>
      <c r="N25" s="22">
        <f t="shared" si="1"/>
        <v>-46.68199999999996</v>
      </c>
      <c r="O25" s="23">
        <f>SUM(O11:O18)</f>
        <v>21689.319683000002</v>
      </c>
      <c r="P25" s="20">
        <f>SUM(P11:P18)</f>
        <v>23862.624316000001</v>
      </c>
      <c r="Q25" s="21">
        <f t="shared" si="2"/>
        <v>2173.3046329999997</v>
      </c>
      <c r="R25" s="25">
        <f>SUM(R11:R18)</f>
        <v>26610.075552000002</v>
      </c>
      <c r="S25" s="22">
        <f t="shared" si="3"/>
        <v>-2747.4512360000008</v>
      </c>
      <c r="T25" s="23">
        <f>SUM(T11:T18)</f>
        <v>2547.0558958689639</v>
      </c>
      <c r="U25" s="20">
        <f>SUM(U11:U18)</f>
        <v>2332.5540229999992</v>
      </c>
      <c r="V25" s="21">
        <f t="shared" si="4"/>
        <v>-214.50187286896471</v>
      </c>
      <c r="W25" s="25">
        <f>SUM(W11:W18)</f>
        <v>4020.6497329999993</v>
      </c>
      <c r="X25" s="22">
        <f t="shared" si="5"/>
        <v>-1688.0957100000001</v>
      </c>
      <c r="Y25" s="23">
        <f>+[11]영남권!$Q$85</f>
        <v>101827.79193896716</v>
      </c>
      <c r="Z25" s="20">
        <f>+[11]영남권!$R$85</f>
        <v>102063.49666047168</v>
      </c>
      <c r="AA25" s="24">
        <f>+[12]영남권!$Q$85</f>
        <v>94875.186279636284</v>
      </c>
      <c r="AB25" s="29">
        <f>+[11]영남권!$Q$89</f>
        <v>75955.894146025516</v>
      </c>
      <c r="AC25" s="20">
        <f>+[11]영남권!$R$89</f>
        <v>79702.413499584232</v>
      </c>
      <c r="AD25" s="30">
        <f>+[12]영남권!$Q$89</f>
        <v>70305.515219030232</v>
      </c>
      <c r="AE25" s="29">
        <f t="shared" si="6"/>
        <v>25871.897792941643</v>
      </c>
      <c r="AF25" s="20">
        <f t="shared" si="6"/>
        <v>22361.083160887443</v>
      </c>
      <c r="AG25" s="30">
        <f t="shared" si="6"/>
        <v>24569.671060606051</v>
      </c>
      <c r="AH25" s="18"/>
      <c r="AI25" s="19"/>
      <c r="AJ25" s="97"/>
    </row>
    <row r="26" spans="2:38" s="8" customFormat="1" ht="19.5" customHeight="1">
      <c r="H26" s="80"/>
      <c r="I26" s="84" t="s">
        <v>170</v>
      </c>
      <c r="J26" s="23">
        <f>SUM(J19:J23)</f>
        <v>73</v>
      </c>
      <c r="K26" s="20">
        <f>SUM(K19:K23)</f>
        <v>74.816499999999991</v>
      </c>
      <c r="L26" s="21">
        <f t="shared" si="0"/>
        <v>1.8164999999999907</v>
      </c>
      <c r="M26" s="25">
        <f>SUM(M19:M23)</f>
        <v>95.586500000000001</v>
      </c>
      <c r="N26" s="22">
        <f t="shared" si="1"/>
        <v>-20.77000000000001</v>
      </c>
      <c r="O26" s="23">
        <f>SUM(O19:O23)</f>
        <v>7681.2278410000008</v>
      </c>
      <c r="P26" s="20">
        <f>SUM(P19:P23)</f>
        <v>7688.0805720000008</v>
      </c>
      <c r="Q26" s="21">
        <f t="shared" si="2"/>
        <v>6.8527309999999488</v>
      </c>
      <c r="R26" s="25">
        <f>SUM(R19:R23)</f>
        <v>9113.0417409999991</v>
      </c>
      <c r="S26" s="22">
        <f t="shared" si="3"/>
        <v>-1424.9611689999983</v>
      </c>
      <c r="T26" s="23">
        <f>SUM(T19:T23)</f>
        <v>767.22057443582401</v>
      </c>
      <c r="U26" s="20">
        <f>SUM(U19:U23)</f>
        <v>538.62859700000013</v>
      </c>
      <c r="V26" s="21">
        <f t="shared" si="4"/>
        <v>-228.59197743582388</v>
      </c>
      <c r="W26" s="25">
        <f>SUM(W19:W23)</f>
        <v>1185.3143459999994</v>
      </c>
      <c r="X26" s="22">
        <f t="shared" si="5"/>
        <v>-646.6857489999993</v>
      </c>
      <c r="Y26" s="23">
        <f>+[11]중부권!$Q$85</f>
        <v>105222.29919178082</v>
      </c>
      <c r="Z26" s="20">
        <f>+[11]중부권!$R$85</f>
        <v>102758.58762493733</v>
      </c>
      <c r="AA26" s="24">
        <f>+[12]중부권!$Q$85</f>
        <v>95552.188253332308</v>
      </c>
      <c r="AB26" s="29">
        <f>+[11]중부권!$Q$89</f>
        <v>77302.393695431339</v>
      </c>
      <c r="AC26" s="20">
        <f>+[11]중부권!$R$89</f>
        <v>78542.727122031429</v>
      </c>
      <c r="AD26" s="30">
        <f>+[12]중부권!$Q$89</f>
        <v>68859.740946264938</v>
      </c>
      <c r="AE26" s="29">
        <f t="shared" si="6"/>
        <v>27919.905496349485</v>
      </c>
      <c r="AF26" s="20">
        <f t="shared" si="6"/>
        <v>24215.860502905896</v>
      </c>
      <c r="AG26" s="30">
        <f t="shared" si="6"/>
        <v>26692.44730706737</v>
      </c>
      <c r="AH26" s="18"/>
      <c r="AI26" s="19"/>
      <c r="AJ26" s="97"/>
    </row>
    <row r="27" spans="2:38" s="3" customFormat="1" ht="19.5" customHeight="1">
      <c r="B27" s="26"/>
      <c r="G27" s="9">
        <f>+K27/J27</f>
        <v>1.0562595744680852</v>
      </c>
      <c r="H27" s="630" t="s">
        <v>115</v>
      </c>
      <c r="I27" s="631"/>
      <c r="J27" s="632">
        <f>SUM(J24:J26)</f>
        <v>470</v>
      </c>
      <c r="K27" s="633">
        <f>SUM(K24:K26)</f>
        <v>496.44200000000001</v>
      </c>
      <c r="L27" s="634">
        <f t="shared" si="0"/>
        <v>26.442000000000007</v>
      </c>
      <c r="M27" s="635">
        <f>SUM(M24:M26)</f>
        <v>592.58249999999998</v>
      </c>
      <c r="N27" s="636">
        <f t="shared" si="1"/>
        <v>-96.140499999999975</v>
      </c>
      <c r="O27" s="632">
        <f>SUM(O24:O26)</f>
        <v>47114.619979259573</v>
      </c>
      <c r="P27" s="633">
        <f>SUM(P24:P26)</f>
        <v>50097.188473000002</v>
      </c>
      <c r="Q27" s="634">
        <f t="shared" si="2"/>
        <v>2982.5684937404294</v>
      </c>
      <c r="R27" s="635">
        <f>SUM(R24:R26)</f>
        <v>55039.755888</v>
      </c>
      <c r="S27" s="636">
        <f t="shared" si="3"/>
        <v>-4942.5674149999977</v>
      </c>
      <c r="T27" s="632">
        <f>SUM(T24:T26)</f>
        <v>4462.4156634798392</v>
      </c>
      <c r="U27" s="633">
        <f>SUM(U24:U26)</f>
        <v>4021.4889969999995</v>
      </c>
      <c r="V27" s="634">
        <f t="shared" si="4"/>
        <v>-440.9266664798397</v>
      </c>
      <c r="W27" s="635">
        <f>SUM(W24:W26)</f>
        <v>6868.7451560099989</v>
      </c>
      <c r="X27" s="636">
        <f t="shared" si="5"/>
        <v>-2847.2561590099995</v>
      </c>
      <c r="Y27" s="632">
        <f>+[11]합계!$Q$85</f>
        <v>100243.87229629695</v>
      </c>
      <c r="Z27" s="633">
        <f>+[11]합계!$R$85</f>
        <v>100912.98333484432</v>
      </c>
      <c r="AA27" s="637">
        <f>+[12]합계!$Q$85</f>
        <v>92907.359960258313</v>
      </c>
      <c r="AB27" s="638">
        <f>+[11]합계!$Q$89</f>
        <v>77540.078886045827</v>
      </c>
      <c r="AC27" s="633">
        <f>+[11]합계!$R$89</f>
        <v>80371.425295388792</v>
      </c>
      <c r="AD27" s="639">
        <f>+[12]합계!$Q$89</f>
        <v>70935.184890768098</v>
      </c>
      <c r="AE27" s="638">
        <f t="shared" si="6"/>
        <v>22703.793410251121</v>
      </c>
      <c r="AF27" s="633">
        <f t="shared" si="6"/>
        <v>20541.558039455529</v>
      </c>
      <c r="AG27" s="639">
        <f t="shared" si="6"/>
        <v>21972.175069490215</v>
      </c>
      <c r="AH27" s="27"/>
      <c r="AI27" s="28"/>
      <c r="AJ27" s="97"/>
      <c r="AL27" s="26"/>
    </row>
    <row r="28" spans="2:38" s="8" customFormat="1" ht="19.5" customHeight="1">
      <c r="B28" s="8" t="s">
        <v>3</v>
      </c>
      <c r="E28" s="8" t="s">
        <v>203</v>
      </c>
      <c r="H28" s="817" t="s">
        <v>3</v>
      </c>
      <c r="I28" s="818"/>
      <c r="J28" s="168">
        <f>+'사업장별(당월)'!J28+'[4]사업장별(누계)'!J28</f>
        <v>13300</v>
      </c>
      <c r="K28" s="169">
        <f>+'사업장별(당월)'!K28+'[4]사업장별(누계)'!K28</f>
        <v>13070.494999999999</v>
      </c>
      <c r="L28" s="170">
        <f>+K28-J28</f>
        <v>-229.50500000000102</v>
      </c>
      <c r="M28" s="171">
        <f>+'사업장별(당월)'!M28+'[4]사업장별(누계)'!M28</f>
        <v>15329.127</v>
      </c>
      <c r="N28" s="172">
        <f>+K28-M28</f>
        <v>-2258.6320000000014</v>
      </c>
      <c r="O28" s="168">
        <f>+'사업장별(당월)'!O28+'[4]사업장별(누계)'!O28</f>
        <v>16278.141052631581</v>
      </c>
      <c r="P28" s="169">
        <f>+'사업장별(당월)'!P28+'[4]사업장별(누계)'!P28</f>
        <v>14173.615142000001</v>
      </c>
      <c r="Q28" s="170">
        <f>+P28-O28</f>
        <v>-2104.5259106315807</v>
      </c>
      <c r="R28" s="171">
        <f>+'사업장별(당월)'!R28+'[4]사업장별(누계)'!R28</f>
        <v>18603.105296000002</v>
      </c>
      <c r="S28" s="172">
        <f t="shared" si="3"/>
        <v>-4429.490154000001</v>
      </c>
      <c r="T28" s="168">
        <f>+'사업장별(당월)'!T28+'[4]사업장별(누계)'!T28</f>
        <v>165.93167581052865</v>
      </c>
      <c r="U28" s="169">
        <f>+'사업장별(당월)'!U28+'[4]사업장별(누계)'!U28</f>
        <v>117.11188999999979</v>
      </c>
      <c r="V28" s="170">
        <f t="shared" si="4"/>
        <v>-48.819785810528856</v>
      </c>
      <c r="W28" s="171">
        <f>+'사업장별(당월)'!W28+'[4]사업장별(누계)'!W28</f>
        <v>151.62617699999959</v>
      </c>
      <c r="X28" s="172">
        <f t="shared" si="5"/>
        <v>-34.514286999999797</v>
      </c>
      <c r="Y28" s="650" t="s">
        <v>174</v>
      </c>
      <c r="Z28" s="651"/>
      <c r="AA28" s="651"/>
      <c r="AB28" s="651"/>
      <c r="AC28" s="651"/>
      <c r="AD28" s="651"/>
      <c r="AE28" s="651"/>
      <c r="AF28" s="651"/>
      <c r="AG28" s="652"/>
      <c r="AH28" s="18"/>
      <c r="AI28" s="19"/>
    </row>
    <row r="29" spans="2:38" s="8" customFormat="1" ht="19.5" customHeight="1">
      <c r="B29" s="8" t="s">
        <v>195</v>
      </c>
      <c r="H29" s="86" t="s">
        <v>1</v>
      </c>
      <c r="I29" s="79" t="s">
        <v>226</v>
      </c>
      <c r="J29" s="56">
        <f>+'사업장별(당월)'!J29+'[4]사업장별(누계)'!J29</f>
        <v>42.65476848315393</v>
      </c>
      <c r="K29" s="57">
        <f>+'사업장별(당월)'!K29+'[4]사업장별(누계)'!K29</f>
        <v>45.828000000000003</v>
      </c>
      <c r="L29" s="38">
        <f t="shared" si="0"/>
        <v>3.173231516846073</v>
      </c>
      <c r="M29" s="38">
        <f>+'사업장별(당월)'!M29+'[4]사업장별(누계)'!M29</f>
        <v>57.897000000000006</v>
      </c>
      <c r="N29" s="58">
        <f t="shared" si="1"/>
        <v>-12.069000000000003</v>
      </c>
      <c r="O29" s="56">
        <f>+'사업장별(당월)'!O29+'[4]사업장별(누계)'!O29</f>
        <v>1255.2757857280003</v>
      </c>
      <c r="P29" s="57">
        <f>+'사업장별(당월)'!P29+'[4]사업장별(누계)'!P29</f>
        <v>1315.6179999999999</v>
      </c>
      <c r="Q29" s="38">
        <f t="shared" si="2"/>
        <v>60.342214271999637</v>
      </c>
      <c r="R29" s="38">
        <f>+'사업장별(당월)'!R29+'[4]사업장별(누계)'!R29</f>
        <v>1659.3871999999999</v>
      </c>
      <c r="S29" s="58">
        <f t="shared" si="3"/>
        <v>-343.76919999999996</v>
      </c>
      <c r="T29" s="56">
        <f>+'사업장별(당월)'!T29+'[4]사업장별(누계)'!T29</f>
        <v>50.949972355951545</v>
      </c>
      <c r="U29" s="57">
        <f>+'사업장별(당월)'!U29+'[4]사업장별(누계)'!U29</f>
        <v>91.128479639209004</v>
      </c>
      <c r="V29" s="38">
        <f t="shared" si="4"/>
        <v>40.17850728325746</v>
      </c>
      <c r="W29" s="38">
        <f>+'사업장별(당월)'!W29+'[4]사업장별(누계)'!W29</f>
        <v>41.685130999999906</v>
      </c>
      <c r="X29" s="58">
        <f t="shared" si="5"/>
        <v>49.443348639209098</v>
      </c>
      <c r="Y29" s="587"/>
      <c r="Z29" s="588"/>
      <c r="AA29" s="588"/>
      <c r="AB29" s="588"/>
      <c r="AC29" s="588"/>
      <c r="AD29" s="588"/>
      <c r="AE29" s="588"/>
      <c r="AF29" s="588"/>
      <c r="AG29" s="51"/>
      <c r="AH29" s="18"/>
      <c r="AI29" s="19"/>
    </row>
    <row r="30" spans="2:38" s="8" customFormat="1" ht="19.5" customHeight="1">
      <c r="B30" s="8" t="s">
        <v>196</v>
      </c>
      <c r="H30" s="85"/>
      <c r="I30" s="81" t="s">
        <v>227</v>
      </c>
      <c r="J30" s="54">
        <f>+'사업장별(당월)'!J30+'[4]사업장별(누계)'!J30</f>
        <v>23.509599999999999</v>
      </c>
      <c r="K30" s="59">
        <f>+'사업장별(당월)'!K30+'[4]사업장별(누계)'!K30</f>
        <v>50.917999999999999</v>
      </c>
      <c r="L30" s="48">
        <f t="shared" si="0"/>
        <v>27.4084</v>
      </c>
      <c r="M30" s="48">
        <f>+'사업장별(당월)'!M30+'[4]사업장별(누계)'!M30</f>
        <v>72.736000000000004</v>
      </c>
      <c r="N30" s="60">
        <f t="shared" si="1"/>
        <v>-21.818000000000005</v>
      </c>
      <c r="O30" s="54">
        <f>+'사업장별(당월)'!O30+'[4]사업장별(누계)'!O30</f>
        <v>366.51980000000003</v>
      </c>
      <c r="P30" s="59">
        <f>+'사업장별(당월)'!P30+'[4]사업장별(누계)'!P30</f>
        <v>692.03</v>
      </c>
      <c r="Q30" s="48">
        <f t="shared" si="2"/>
        <v>325.51019999999994</v>
      </c>
      <c r="R30" s="48">
        <f>+'사업장별(당월)'!R30+'[4]사업장별(누계)'!R30</f>
        <v>853.45600000000002</v>
      </c>
      <c r="S30" s="60">
        <f t="shared" si="3"/>
        <v>-161.42600000000004</v>
      </c>
      <c r="T30" s="54">
        <f>+'사업장별(당월)'!T30+'[4]사업장별(누계)'!T30</f>
        <v>143.89149908397297</v>
      </c>
      <c r="U30" s="59">
        <f>+'사업장별(당월)'!U30+'[4]사업장별(누계)'!U30</f>
        <v>91.726724213418862</v>
      </c>
      <c r="V30" s="48">
        <f t="shared" si="4"/>
        <v>-52.164774870554112</v>
      </c>
      <c r="W30" s="48">
        <f>+'사업장별(당월)'!W30+'[4]사업장별(누계)'!W30</f>
        <v>129.46054699999999</v>
      </c>
      <c r="X30" s="60">
        <f t="shared" si="5"/>
        <v>-37.733822786581129</v>
      </c>
      <c r="Y30" s="629"/>
      <c r="Z30" s="588"/>
      <c r="AA30" s="588"/>
      <c r="AB30" s="588"/>
      <c r="AC30" s="588"/>
      <c r="AD30" s="588"/>
      <c r="AE30" s="588"/>
      <c r="AF30" s="588"/>
      <c r="AG30" s="51"/>
      <c r="AH30" s="18"/>
      <c r="AI30" s="19"/>
      <c r="AJ30" s="99"/>
      <c r="AK30" s="99"/>
      <c r="AL30" s="99"/>
    </row>
    <row r="31" spans="2:38" s="8" customFormat="1" ht="19.5" customHeight="1">
      <c r="B31" s="8" t="s">
        <v>176</v>
      </c>
      <c r="H31" s="85"/>
      <c r="I31" s="83" t="s">
        <v>228</v>
      </c>
      <c r="J31" s="54">
        <f>+'사업장별(당월)'!J31+'[4]사업장별(누계)'!J31</f>
        <v>77.326683351936822</v>
      </c>
      <c r="K31" s="59">
        <f>+'사업장별(당월)'!K31+'[4]사업장별(누계)'!K31</f>
        <v>53.043000000000006</v>
      </c>
      <c r="L31" s="48">
        <f t="shared" si="0"/>
        <v>-24.283683351936816</v>
      </c>
      <c r="M31" s="48">
        <f>+'사업장별(당월)'!M31+'[4]사업장별(누계)'!M31</f>
        <v>0</v>
      </c>
      <c r="N31" s="60">
        <f t="shared" si="1"/>
        <v>53.043000000000006</v>
      </c>
      <c r="O31" s="54">
        <f>+'사업장별(당월)'!O31+'[4]사업장별(누계)'!O31</f>
        <v>1380.8837486913849</v>
      </c>
      <c r="P31" s="59">
        <f>+'사업장별(당월)'!P31+'[4]사업장별(누계)'!P31</f>
        <v>1008.9585</v>
      </c>
      <c r="Q31" s="48">
        <f t="shared" si="2"/>
        <v>-371.92524869138492</v>
      </c>
      <c r="R31" s="48">
        <f>+'사업장별(당월)'!R31+'[4]사업장별(누계)'!R31</f>
        <v>0</v>
      </c>
      <c r="S31" s="60">
        <f t="shared" si="3"/>
        <v>1008.9585</v>
      </c>
      <c r="T31" s="54">
        <f>+'사업장별(당월)'!T31+'[4]사업장별(누계)'!T31</f>
        <v>-57.135956480055604</v>
      </c>
      <c r="U31" s="59">
        <f>+'사업장별(당월)'!U31+'[4]사업장별(누계)'!U31</f>
        <v>80.397893700000012</v>
      </c>
      <c r="V31" s="48">
        <f t="shared" si="4"/>
        <v>137.53385018005562</v>
      </c>
      <c r="W31" s="48">
        <f>+'사업장별(당월)'!W31+'[4]사업장별(누계)'!W31</f>
        <v>-18.706423000000001</v>
      </c>
      <c r="X31" s="60">
        <f t="shared" si="5"/>
        <v>99.104316700000012</v>
      </c>
      <c r="Y31" s="629"/>
      <c r="Z31" s="588"/>
      <c r="AA31" s="588"/>
      <c r="AB31" s="588"/>
      <c r="AC31" s="588"/>
      <c r="AD31" s="588"/>
      <c r="AE31" s="588"/>
      <c r="AF31" s="588"/>
      <c r="AG31" s="51"/>
      <c r="AH31" s="18"/>
      <c r="AI31" s="19"/>
      <c r="AJ31" s="99"/>
      <c r="AK31" s="99"/>
      <c r="AL31" s="99"/>
    </row>
    <row r="32" spans="2:38" s="3" customFormat="1" ht="19.5" customHeight="1">
      <c r="H32" s="147" t="s">
        <v>42</v>
      </c>
      <c r="I32" s="148"/>
      <c r="J32" s="149">
        <f>SUM(J29:J31)</f>
        <v>143.49105183509076</v>
      </c>
      <c r="K32" s="153">
        <f>SUM(K29:K31)</f>
        <v>149.78900000000002</v>
      </c>
      <c r="L32" s="151">
        <f t="shared" si="0"/>
        <v>6.2979481649092577</v>
      </c>
      <c r="M32" s="151">
        <f>SUM(M29:M31)</f>
        <v>130.63300000000001</v>
      </c>
      <c r="N32" s="152">
        <f t="shared" si="1"/>
        <v>19.156000000000006</v>
      </c>
      <c r="O32" s="149">
        <f>SUM(O29:O31)</f>
        <v>3002.6793344193852</v>
      </c>
      <c r="P32" s="153">
        <f>SUM(P29:P31)</f>
        <v>3016.6064999999999</v>
      </c>
      <c r="Q32" s="151">
        <f t="shared" si="2"/>
        <v>13.927165580614655</v>
      </c>
      <c r="R32" s="151">
        <f>SUM(R29:R31)</f>
        <v>2512.8431999999998</v>
      </c>
      <c r="S32" s="152">
        <f t="shared" si="3"/>
        <v>503.76330000000007</v>
      </c>
      <c r="T32" s="149">
        <f>SUM(T29:T31)</f>
        <v>137.70551495986894</v>
      </c>
      <c r="U32" s="153">
        <f>SUM(U29:U31)</f>
        <v>263.25309755262788</v>
      </c>
      <c r="V32" s="151">
        <f t="shared" si="4"/>
        <v>125.54758259275894</v>
      </c>
      <c r="W32" s="151">
        <f>SUM(W29:W31)</f>
        <v>152.43925499999989</v>
      </c>
      <c r="X32" s="152">
        <f t="shared" si="5"/>
        <v>110.81384255262799</v>
      </c>
      <c r="Y32" s="629"/>
      <c r="Z32" s="588"/>
      <c r="AA32" s="588"/>
      <c r="AB32" s="588"/>
      <c r="AC32" s="588"/>
      <c r="AD32" s="588"/>
      <c r="AE32" s="588"/>
      <c r="AF32" s="588"/>
      <c r="AG32" s="51"/>
      <c r="AH32" s="27"/>
      <c r="AI32" s="28"/>
    </row>
    <row r="33" spans="2:38" s="8" customFormat="1" ht="19.5" customHeight="1">
      <c r="B33" s="8" t="s">
        <v>199</v>
      </c>
      <c r="C33" s="8" t="s">
        <v>198</v>
      </c>
      <c r="D33" t="s">
        <v>197</v>
      </c>
      <c r="E33" t="s">
        <v>100</v>
      </c>
      <c r="F33"/>
      <c r="H33" s="89" t="s">
        <v>4</v>
      </c>
      <c r="I33" s="88" t="s">
        <v>99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+'사업장별(당월)'!O33+'[4]사업장별(누계)'!O33</f>
        <v>181.68</v>
      </c>
      <c r="P33" s="47">
        <f>+'사업장별(당월)'!P33+'[4]사업장별(누계)'!P33</f>
        <v>181.68</v>
      </c>
      <c r="Q33" s="49">
        <f t="shared" si="2"/>
        <v>0</v>
      </c>
      <c r="R33" s="48">
        <f>+'사업장별(당월)'!R33+'[4]사업장별(누계)'!R33</f>
        <v>156.68</v>
      </c>
      <c r="S33" s="60">
        <f t="shared" si="3"/>
        <v>25</v>
      </c>
      <c r="T33" s="46">
        <f>+'사업장별(당월)'!T33+'[4]사업장별(누계)'!T33</f>
        <v>144.42105000000001</v>
      </c>
      <c r="U33" s="47">
        <f>+'사업장별(당월)'!U33+'[4]사업장별(누계)'!U33</f>
        <v>143.761933</v>
      </c>
      <c r="V33" s="49">
        <f t="shared" si="4"/>
        <v>-0.65911700000000906</v>
      </c>
      <c r="W33" s="48">
        <f>+'사업장별(당월)'!W33+'[4]사업장별(누계)'!W33</f>
        <v>122.852002</v>
      </c>
      <c r="X33" s="60">
        <f t="shared" si="5"/>
        <v>20.909931</v>
      </c>
      <c r="Y33" s="629"/>
      <c r="Z33" s="588"/>
      <c r="AA33" s="588"/>
      <c r="AB33" s="588"/>
      <c r="AC33" s="588"/>
      <c r="AD33" s="588"/>
      <c r="AE33" s="588"/>
      <c r="AF33" s="588"/>
      <c r="AG33" s="51"/>
      <c r="AH33" s="18"/>
      <c r="AI33" s="19"/>
    </row>
    <row r="34" spans="2:38" s="8" customFormat="1" ht="19.5" customHeight="1">
      <c r="B34" s="8" t="s">
        <v>200</v>
      </c>
      <c r="C34" s="8" t="s">
        <v>201</v>
      </c>
      <c r="D34"/>
      <c r="E34" t="s">
        <v>40</v>
      </c>
      <c r="F34"/>
      <c r="H34" s="89"/>
      <c r="I34" s="88" t="s">
        <v>59</v>
      </c>
      <c r="J34" s="46"/>
      <c r="K34" s="47"/>
      <c r="L34" s="49">
        <f>+K34-J34</f>
        <v>0</v>
      </c>
      <c r="M34" s="48">
        <v>0</v>
      </c>
      <c r="N34" s="60">
        <f t="shared" ref="N34:N41" si="7">+K34-M34</f>
        <v>0</v>
      </c>
      <c r="O34" s="46">
        <f>+'사업장별(당월)'!O34+'[4]사업장별(누계)'!O34</f>
        <v>144.59500066666666</v>
      </c>
      <c r="P34" s="47">
        <f>+'사업장별(당월)'!P34+'[4]사업장별(누계)'!P34</f>
        <v>143.91586999999998</v>
      </c>
      <c r="Q34" s="49">
        <f>+P34-O34</f>
        <v>-0.67913066666667987</v>
      </c>
      <c r="R34" s="48">
        <f>+'사업장별(당월)'!R34+'[4]사업장별(누계)'!R34</f>
        <v>188.17719500000001</v>
      </c>
      <c r="S34" s="60">
        <f t="shared" si="3"/>
        <v>-44.261325000000028</v>
      </c>
      <c r="T34" s="46">
        <f>+'사업장별(당월)'!T34+'[4]사업장별(누계)'!T34</f>
        <v>124.09091566666666</v>
      </c>
      <c r="U34" s="47">
        <f>+'사업장별(당월)'!U34+'[4]사업장별(누계)'!U34</f>
        <v>123.71799899999999</v>
      </c>
      <c r="V34" s="49">
        <f t="shared" si="4"/>
        <v>-0.37291666666666856</v>
      </c>
      <c r="W34" s="48">
        <f>+'사업장별(당월)'!W34+'[4]사업장별(누계)'!W34</f>
        <v>64.074962000000014</v>
      </c>
      <c r="X34" s="60">
        <f t="shared" si="5"/>
        <v>59.643036999999978</v>
      </c>
      <c r="Y34" s="629"/>
      <c r="Z34" s="588"/>
      <c r="AA34" s="588"/>
      <c r="AB34" s="588"/>
      <c r="AC34" s="588"/>
      <c r="AD34" s="588"/>
      <c r="AE34" s="588"/>
      <c r="AF34" s="588"/>
      <c r="AG34" s="51"/>
      <c r="AH34" s="18"/>
      <c r="AI34" s="19"/>
    </row>
    <row r="35" spans="2:38" s="8" customFormat="1" ht="19.5" customHeight="1">
      <c r="B35" s="8" t="s">
        <v>202</v>
      </c>
      <c r="D35"/>
      <c r="E35"/>
      <c r="F35"/>
      <c r="G35"/>
      <c r="H35" s="87"/>
      <c r="I35" s="88" t="s">
        <v>38</v>
      </c>
      <c r="J35" s="46"/>
      <c r="K35" s="47"/>
      <c r="L35" s="49">
        <f>+K35-J35</f>
        <v>0</v>
      </c>
      <c r="M35" s="48"/>
      <c r="N35" s="60">
        <f t="shared" si="7"/>
        <v>0</v>
      </c>
      <c r="O35" s="46">
        <f>+'사업장별(당월)'!O35+'[4]사업장별(누계)'!O35</f>
        <v>0</v>
      </c>
      <c r="P35" s="47">
        <f>+'사업장별(당월)'!P35+'[4]사업장별(누계)'!P35</f>
        <v>0</v>
      </c>
      <c r="Q35" s="49">
        <f t="shared" ref="Q35:Q40" si="8">+P35-O35</f>
        <v>0</v>
      </c>
      <c r="R35" s="48">
        <f>+'사업장별(당월)'!R35+'[4]사업장별(누계)'!R35</f>
        <v>0</v>
      </c>
      <c r="S35" s="60">
        <f t="shared" si="3"/>
        <v>0</v>
      </c>
      <c r="T35" s="46">
        <f>+'사업장별(당월)'!T35+'[4]사업장별(누계)'!T35</f>
        <v>-2514.7086813889523</v>
      </c>
      <c r="U35" s="47">
        <f>+'사업장별(당월)'!U35+'[4]사업장별(누계)'!U35</f>
        <v>-2602.6161175537472</v>
      </c>
      <c r="V35" s="49">
        <f t="shared" si="4"/>
        <v>-87.907436164794944</v>
      </c>
      <c r="W35" s="48">
        <f>+'사업장별(당월)'!W35+'[4]사업장별(누계)'!W35</f>
        <v>-2025.064116</v>
      </c>
      <c r="X35" s="60">
        <f t="shared" si="5"/>
        <v>-577.55200155374723</v>
      </c>
      <c r="Y35" s="629"/>
      <c r="Z35" s="588"/>
      <c r="AA35" s="588"/>
      <c r="AB35" s="588"/>
      <c r="AC35" s="588"/>
      <c r="AD35" s="588"/>
      <c r="AE35" s="588"/>
      <c r="AF35" s="588"/>
      <c r="AG35" s="51"/>
      <c r="AH35" s="18"/>
      <c r="AI35" s="19"/>
      <c r="AK35" s="597"/>
      <c r="AL35" s="99"/>
    </row>
    <row r="36" spans="2:38" s="8" customFormat="1" ht="19.5" customHeight="1">
      <c r="D36"/>
      <c r="E36"/>
      <c r="F36"/>
      <c r="G36"/>
      <c r="H36" s="87"/>
      <c r="I36" s="88" t="s">
        <v>116</v>
      </c>
      <c r="J36" s="46"/>
      <c r="K36" s="47"/>
      <c r="L36" s="49"/>
      <c r="M36" s="48"/>
      <c r="N36" s="60">
        <f t="shared" si="7"/>
        <v>0</v>
      </c>
      <c r="O36" s="46">
        <f>+'사업장별(당월)'!O36+'[4]사업장별(누계)'!O36</f>
        <v>0</v>
      </c>
      <c r="P36" s="47">
        <f>+'사업장별(당월)'!P36+'[4]사업장별(누계)'!P36</f>
        <v>0</v>
      </c>
      <c r="Q36" s="49">
        <f t="shared" si="8"/>
        <v>0</v>
      </c>
      <c r="R36" s="48">
        <f>+'사업장별(당월)'!R36+'[4]사업장별(누계)'!R36</f>
        <v>0</v>
      </c>
      <c r="S36" s="60">
        <f t="shared" si="3"/>
        <v>0</v>
      </c>
      <c r="T36" s="46">
        <f>+'사업장별(당월)'!T36+'[4]사업장별(누계)'!T36</f>
        <v>0</v>
      </c>
      <c r="U36" s="47">
        <f>+'사업장별(당월)'!U36+'[4]사업장별(누계)'!U36</f>
        <v>0</v>
      </c>
      <c r="V36" s="49">
        <f t="shared" si="4"/>
        <v>0</v>
      </c>
      <c r="W36" s="48">
        <f>+'사업장별(당월)'!W36+'[4]사업장별(누계)'!W36</f>
        <v>0</v>
      </c>
      <c r="X36" s="60">
        <f t="shared" si="5"/>
        <v>0</v>
      </c>
      <c r="Y36" s="629"/>
      <c r="Z36" s="588"/>
      <c r="AA36" s="588"/>
      <c r="AB36" s="588"/>
      <c r="AC36" s="588"/>
      <c r="AD36" s="588"/>
      <c r="AE36" s="588"/>
      <c r="AF36" s="588"/>
      <c r="AG36" s="51"/>
      <c r="AH36" s="18"/>
      <c r="AI36" s="19"/>
      <c r="AK36" s="99"/>
      <c r="AL36" s="99"/>
    </row>
    <row r="37" spans="2:38" s="8" customFormat="1" ht="19.5" customHeight="1">
      <c r="D37"/>
      <c r="E37"/>
      <c r="F37"/>
      <c r="G37"/>
      <c r="H37" s="87"/>
      <c r="I37" s="88" t="s">
        <v>117</v>
      </c>
      <c r="J37" s="46"/>
      <c r="K37" s="47"/>
      <c r="L37" s="49"/>
      <c r="M37" s="48"/>
      <c r="N37" s="60">
        <f t="shared" si="7"/>
        <v>0</v>
      </c>
      <c r="O37" s="46">
        <f>+'사업장별(당월)'!O37+'[4]사업장별(누계)'!O37</f>
        <v>0</v>
      </c>
      <c r="P37" s="47">
        <f>+'사업장별(당월)'!P37+'[4]사업장별(누계)'!P37</f>
        <v>0</v>
      </c>
      <c r="Q37" s="49">
        <f t="shared" si="8"/>
        <v>0</v>
      </c>
      <c r="R37" s="48">
        <f>+'사업장별(당월)'!R37+'[4]사업장별(누계)'!R37</f>
        <v>0</v>
      </c>
      <c r="S37" s="60">
        <f t="shared" si="3"/>
        <v>0</v>
      </c>
      <c r="T37" s="46">
        <f>+'사업장별(당월)'!T37+'[4]사업장별(누계)'!T37</f>
        <v>0</v>
      </c>
      <c r="U37" s="47">
        <f>+'사업장별(당월)'!U37+'[4]사업장별(누계)'!U37</f>
        <v>310.72652699999998</v>
      </c>
      <c r="V37" s="49">
        <f t="shared" si="4"/>
        <v>310.72652699999998</v>
      </c>
      <c r="W37" s="48">
        <f>+'사업장별(당월)'!W37+'[4]사업장별(누계)'!W37</f>
        <v>0</v>
      </c>
      <c r="X37" s="60">
        <f t="shared" si="5"/>
        <v>310.72652699999998</v>
      </c>
      <c r="Y37" s="587"/>
      <c r="Z37" s="588"/>
      <c r="AA37" s="588"/>
      <c r="AB37" s="588"/>
      <c r="AC37" s="588"/>
      <c r="AD37" s="588"/>
      <c r="AE37" s="588"/>
      <c r="AF37" s="588"/>
      <c r="AG37" s="51"/>
      <c r="AH37" s="18"/>
      <c r="AI37" s="19"/>
      <c r="AK37" s="99"/>
      <c r="AL37" s="99"/>
    </row>
    <row r="38" spans="2:38" s="8" customFormat="1" ht="19.5" customHeight="1">
      <c r="D38"/>
      <c r="E38"/>
      <c r="F38"/>
      <c r="G38"/>
      <c r="H38" s="87"/>
      <c r="I38" s="88" t="s">
        <v>177</v>
      </c>
      <c r="J38" s="46"/>
      <c r="K38" s="47"/>
      <c r="L38" s="49"/>
      <c r="M38" s="48">
        <f>SUM(M54:M57)</f>
        <v>0</v>
      </c>
      <c r="N38" s="60">
        <f t="shared" si="7"/>
        <v>0</v>
      </c>
      <c r="O38" s="46">
        <f>+'사업장별(당월)'!O38+'[4]사업장별(누계)'!O38</f>
        <v>0</v>
      </c>
      <c r="P38" s="47">
        <f>+'사업장별(당월)'!P38+'[4]사업장별(누계)'!P38</f>
        <v>0</v>
      </c>
      <c r="Q38" s="49">
        <f t="shared" si="8"/>
        <v>0</v>
      </c>
      <c r="R38" s="48">
        <f>+'사업장별(당월)'!R38+'[4]사업장별(누계)'!R38</f>
        <v>0</v>
      </c>
      <c r="S38" s="60">
        <f t="shared" si="3"/>
        <v>0</v>
      </c>
      <c r="T38" s="46">
        <f>+'사업장별(당월)'!T38+'[4]사업장별(누계)'!T38</f>
        <v>-71.426451888919289</v>
      </c>
      <c r="U38" s="47">
        <f>+'사업장별(당월)'!U38+'[4]사업장별(누계)'!U38</f>
        <v>-71.521523999999999</v>
      </c>
      <c r="V38" s="49">
        <f t="shared" si="4"/>
        <v>-9.5072111080710897E-2</v>
      </c>
      <c r="W38" s="48">
        <f>+'사업장별(당월)'!W38+'[4]사업장별(누계)'!W38</f>
        <v>-21.085096</v>
      </c>
      <c r="X38" s="60">
        <f>+U38-W38</f>
        <v>-50.436427999999999</v>
      </c>
      <c r="Y38" s="587"/>
      <c r="Z38" s="588"/>
      <c r="AA38" s="588"/>
      <c r="AB38" s="588"/>
      <c r="AC38" s="588"/>
      <c r="AD38" s="588"/>
      <c r="AE38" s="588"/>
      <c r="AF38" s="588"/>
      <c r="AG38" s="51"/>
      <c r="AH38" s="18"/>
      <c r="AI38" s="19"/>
      <c r="AK38" s="99"/>
      <c r="AL38" s="99"/>
    </row>
    <row r="39" spans="2:38" s="8" customFormat="1" ht="19.5" customHeight="1">
      <c r="B39" t="s">
        <v>39</v>
      </c>
      <c r="D39"/>
      <c r="H39" s="87"/>
      <c r="I39" s="88" t="s">
        <v>4</v>
      </c>
      <c r="J39" s="46"/>
      <c r="K39" s="47"/>
      <c r="L39" s="55">
        <f>+K39-J39</f>
        <v>0</v>
      </c>
      <c r="M39" s="61"/>
      <c r="N39" s="62">
        <f t="shared" si="7"/>
        <v>0</v>
      </c>
      <c r="O39" s="46">
        <f>+'사업장별(당월)'!O39+'[4]사업장별(누계)'!O39</f>
        <v>3.54</v>
      </c>
      <c r="P39" s="47">
        <f>+'사업장별(당월)'!P39+'[4]사업장별(누계)'!P39</f>
        <v>3.40479999999702</v>
      </c>
      <c r="Q39" s="55">
        <f t="shared" si="8"/>
        <v>-0.13520000000298005</v>
      </c>
      <c r="R39" s="61">
        <f>+'사업장별(당월)'!R39+'[4]사업장별(누계)'!R39</f>
        <v>3.3529999999999998</v>
      </c>
      <c r="S39" s="62">
        <f t="shared" si="3"/>
        <v>5.179999999702023E-2</v>
      </c>
      <c r="T39" s="46">
        <f>+'사업장별(당월)'!T39+'[4]사업장별(누계)'!T39</f>
        <v>-31.970816000007204</v>
      </c>
      <c r="U39" s="47">
        <f>+'사업장별(당월)'!U39+'[4]사업장별(누계)'!U39</f>
        <v>-31.597849000008079</v>
      </c>
      <c r="V39" s="49">
        <f t="shared" si="4"/>
        <v>0.37296699999912519</v>
      </c>
      <c r="W39" s="61">
        <f>+'사업장별(당월)'!W39+'[4]사업장별(누계)'!W39</f>
        <v>-34.076922999999482</v>
      </c>
      <c r="X39" s="60">
        <f t="shared" si="5"/>
        <v>2.4790739999914031</v>
      </c>
      <c r="Y39" s="596"/>
      <c r="Z39" s="588"/>
      <c r="AA39" s="588"/>
      <c r="AB39" s="588"/>
      <c r="AC39" s="588"/>
      <c r="AD39" s="588"/>
      <c r="AE39" s="588"/>
      <c r="AF39" s="588"/>
      <c r="AG39" s="51"/>
      <c r="AH39" s="18"/>
      <c r="AI39" s="19"/>
    </row>
    <row r="40" spans="2:38" s="8" customFormat="1" ht="19.5" customHeight="1">
      <c r="H40" s="87"/>
      <c r="I40" s="88"/>
      <c r="J40" s="46"/>
      <c r="K40" s="47"/>
      <c r="L40" s="55"/>
      <c r="M40" s="61"/>
      <c r="N40" s="62">
        <f t="shared" si="7"/>
        <v>0</v>
      </c>
      <c r="O40" s="46">
        <f>+'사업장별(당월)'!O40+'[4]사업장별(누계)'!O40</f>
        <v>0</v>
      </c>
      <c r="P40" s="47">
        <f>+'사업장별(당월)'!P40+'[4]사업장별(누계)'!P40</f>
        <v>0</v>
      </c>
      <c r="Q40" s="55">
        <f t="shared" si="8"/>
        <v>0</v>
      </c>
      <c r="R40" s="61">
        <f>+'사업장별(당월)'!R40+'[4]사업장별(누계)'!R40</f>
        <v>0</v>
      </c>
      <c r="S40" s="62">
        <f t="shared" si="3"/>
        <v>0</v>
      </c>
      <c r="T40" s="46">
        <f>+'사업장별(당월)'!T40+'[4]사업장별(누계)'!T40</f>
        <v>0</v>
      </c>
      <c r="U40" s="47">
        <f>+'사업장별(당월)'!U40+'[4]사업장별(누계)'!U40</f>
        <v>0</v>
      </c>
      <c r="V40" s="49">
        <f t="shared" si="4"/>
        <v>0</v>
      </c>
      <c r="W40" s="61">
        <f>+'사업장별(당월)'!W40+'[4]사업장별(누계)'!W40</f>
        <v>0</v>
      </c>
      <c r="X40" s="60"/>
      <c r="Y40" s="587"/>
      <c r="Z40" s="588"/>
      <c r="AA40" s="588"/>
      <c r="AB40" s="588"/>
      <c r="AC40" s="588"/>
      <c r="AD40" s="588"/>
      <c r="AE40" s="588"/>
      <c r="AF40" s="588"/>
      <c r="AG40" s="51"/>
      <c r="AH40" s="31"/>
    </row>
    <row r="41" spans="2:38" s="3" customFormat="1" ht="19.5" customHeight="1">
      <c r="D41" s="658"/>
      <c r="H41" s="147" t="s">
        <v>118</v>
      </c>
      <c r="I41" s="148"/>
      <c r="J41" s="647">
        <f>SUM(J33:J40)</f>
        <v>0</v>
      </c>
      <c r="K41" s="648">
        <f>SUM(K33:K40)</f>
        <v>0</v>
      </c>
      <c r="L41" s="648">
        <f>+K41-J41</f>
        <v>0</v>
      </c>
      <c r="M41" s="648">
        <f>SUM(M33:M40)</f>
        <v>0</v>
      </c>
      <c r="N41" s="649">
        <f t="shared" si="7"/>
        <v>0</v>
      </c>
      <c r="O41" s="149">
        <f>SUM(O33:O40)</f>
        <v>329.81500066666666</v>
      </c>
      <c r="P41" s="150">
        <f>SUM(P33:P40)</f>
        <v>329.000669999997</v>
      </c>
      <c r="Q41" s="154">
        <f t="shared" si="2"/>
        <v>-0.8143306666696617</v>
      </c>
      <c r="R41" s="155">
        <f>SUM(R33:R40)</f>
        <v>348.21019500000006</v>
      </c>
      <c r="S41" s="156">
        <f>+P41-R41</f>
        <v>-19.209525000003055</v>
      </c>
      <c r="T41" s="149">
        <f>SUM(T33:T40)</f>
        <v>-2349.5939836112125</v>
      </c>
      <c r="U41" s="150">
        <f>SUM(U33:U40)</f>
        <v>-2127.529031553755</v>
      </c>
      <c r="V41" s="154">
        <f>+U41-T41</f>
        <v>222.0649520574575</v>
      </c>
      <c r="W41" s="155">
        <f>SUM(W33:W40)</f>
        <v>-1893.2991709999994</v>
      </c>
      <c r="X41" s="156">
        <f>+U41-W41</f>
        <v>-234.22986055375554</v>
      </c>
      <c r="Y41" s="589"/>
      <c r="Z41" s="590"/>
      <c r="AA41" s="590"/>
      <c r="AB41" s="590"/>
      <c r="AC41" s="590"/>
      <c r="AD41" s="590"/>
      <c r="AE41" s="590"/>
      <c r="AF41" s="590"/>
      <c r="AG41" s="591"/>
      <c r="AH41" s="26"/>
    </row>
    <row r="42" spans="2:38" s="8" customFormat="1" ht="19.5" customHeight="1">
      <c r="J42" s="33"/>
      <c r="K42" s="33"/>
      <c r="L42" s="32"/>
      <c r="M42" s="32"/>
      <c r="N42" s="32"/>
      <c r="O42" s="33"/>
      <c r="P42" s="33"/>
      <c r="Q42" s="32"/>
      <c r="R42" s="32"/>
      <c r="S42" s="32"/>
      <c r="T42" s="33"/>
      <c r="U42" s="33"/>
      <c r="V42" s="32"/>
      <c r="W42" s="32"/>
      <c r="X42" s="32"/>
      <c r="Y42" s="33"/>
      <c r="Z42" s="33"/>
      <c r="AA42" s="33"/>
      <c r="AB42" s="33"/>
      <c r="AC42" s="33"/>
      <c r="AD42" s="33"/>
      <c r="AE42" s="33"/>
      <c r="AF42" s="33"/>
      <c r="AG42" s="33"/>
      <c r="AH42" s="31"/>
    </row>
    <row r="43" spans="2:38" s="3" customFormat="1" ht="19.5" customHeight="1">
      <c r="G43" s="665">
        <f>+P43/O43</f>
        <v>1.0133555939669561</v>
      </c>
      <c r="H43" s="640" t="s">
        <v>41</v>
      </c>
      <c r="I43" s="641"/>
      <c r="J43" s="653"/>
      <c r="K43" s="654"/>
      <c r="L43" s="654"/>
      <c r="M43" s="654"/>
      <c r="N43" s="655"/>
      <c r="O43" s="642">
        <f>+O27+O32+O28+O41</f>
        <v>66725.255366977202</v>
      </c>
      <c r="P43" s="643">
        <f>+P27+P32+P28+P41</f>
        <v>67616.410785</v>
      </c>
      <c r="Q43" s="644">
        <f t="shared" si="2"/>
        <v>891.15541802279768</v>
      </c>
      <c r="R43" s="645">
        <f>+R27+R32+R28+R41</f>
        <v>76503.914579000018</v>
      </c>
      <c r="S43" s="646">
        <f>+P43-R43</f>
        <v>-8887.5037940000184</v>
      </c>
      <c r="T43" s="642">
        <f>+T27+T32+T28+T41</f>
        <v>2416.4588706390246</v>
      </c>
      <c r="U43" s="643">
        <f>+U27+U32+U28+U41</f>
        <v>2274.3249529988725</v>
      </c>
      <c r="V43" s="644">
        <f>+U43-T43</f>
        <v>-142.13391764015205</v>
      </c>
      <c r="W43" s="645">
        <f>+W27+W32+W28+W41</f>
        <v>5279.5114170099987</v>
      </c>
      <c r="X43" s="646">
        <f>+U43-W43</f>
        <v>-3005.1864640111262</v>
      </c>
      <c r="Y43" s="819"/>
      <c r="Z43" s="820"/>
      <c r="AA43" s="820"/>
      <c r="AB43" s="820"/>
      <c r="AC43" s="820"/>
      <c r="AD43" s="820"/>
      <c r="AE43" s="820"/>
      <c r="AF43" s="820"/>
      <c r="AG43" s="821"/>
      <c r="AH43" s="26"/>
    </row>
    <row r="44" spans="2:38" s="34" customFormat="1">
      <c r="G44" s="662">
        <f>+U43/T43</f>
        <v>0.94118090758045259</v>
      </c>
      <c r="T44" s="662">
        <f>+T43/O43</f>
        <v>3.6215056163500979E-2</v>
      </c>
      <c r="U44" s="662">
        <f>+U43/P43</f>
        <v>3.3635694746214008E-2</v>
      </c>
      <c r="AC44" s="35"/>
      <c r="AF44" s="35"/>
    </row>
    <row r="45" spans="2:38" s="34" customFormat="1" ht="17.25" thickBot="1">
      <c r="AC45" s="35"/>
      <c r="AF45" s="35"/>
    </row>
    <row r="46" spans="2:38" s="34" customFormat="1">
      <c r="I46" s="816" t="s">
        <v>101</v>
      </c>
      <c r="J46" s="139">
        <f>+'사업장별(당월)'!J46+'[4]사업장별(누계)'!J46</f>
        <v>470</v>
      </c>
      <c r="K46" s="140">
        <f>+'사업장별(당월)'!K46+'[4]사업장별(누계)'!K46</f>
        <v>496.44200000000001</v>
      </c>
      <c r="L46" s="140"/>
      <c r="M46" s="140">
        <f>+'사업장별(당월)'!M46+'[4]사업장별(누계)'!M46</f>
        <v>592.58249999999998</v>
      </c>
      <c r="N46" s="140"/>
      <c r="O46" s="140">
        <f>+'사업장별(당월)'!O46+'[4]사업장별(누계)'!O46</f>
        <v>66725.255366977188</v>
      </c>
      <c r="P46" s="140">
        <f>+'사업장별(당월)'!P46+'[4]사업장별(누계)'!P46</f>
        <v>67616.410785</v>
      </c>
      <c r="Q46" s="140"/>
      <c r="R46" s="140">
        <f>+'사업장별(당월)'!R46+'[4]사업장별(누계)'!R46</f>
        <v>76503.914579000004</v>
      </c>
      <c r="S46" s="140"/>
      <c r="T46" s="145">
        <f>+'사업장별(당월)'!T46+'[4]사업장별(누계)'!T46</f>
        <v>2416.4588706390232</v>
      </c>
      <c r="U46" s="140">
        <f>+'사업장별(당월)'!U46+'[4]사업장별(누계)'!U46</f>
        <v>2274.3249529988711</v>
      </c>
      <c r="V46" s="140"/>
      <c r="W46" s="140">
        <f>+'사업장별(당월)'!W46+'[4]사업장별(누계)'!W46</f>
        <v>5279.5114170099996</v>
      </c>
      <c r="X46" s="141"/>
      <c r="AC46" s="35"/>
      <c r="AF46" s="35"/>
    </row>
    <row r="47" spans="2:38" s="34" customFormat="1" ht="17.25" thickBot="1">
      <c r="I47" s="816"/>
      <c r="J47" s="144">
        <f>+J46-J27</f>
        <v>0</v>
      </c>
      <c r="K47" s="142">
        <f>+K46-K27</f>
        <v>0</v>
      </c>
      <c r="L47" s="142"/>
      <c r="M47" s="142">
        <f>+M46-M27</f>
        <v>0</v>
      </c>
      <c r="N47" s="142"/>
      <c r="O47" s="146">
        <f>+O46-O43</f>
        <v>0</v>
      </c>
      <c r="P47" s="146">
        <f>+P46-P43</f>
        <v>0</v>
      </c>
      <c r="Q47" s="142"/>
      <c r="R47" s="146">
        <f>+R46-R43</f>
        <v>0</v>
      </c>
      <c r="S47" s="142"/>
      <c r="T47" s="146">
        <f>+T46-T43</f>
        <v>0</v>
      </c>
      <c r="U47" s="146">
        <f>+U46-U43</f>
        <v>0</v>
      </c>
      <c r="V47" s="142"/>
      <c r="W47" s="142">
        <f>+W46-W43</f>
        <v>0</v>
      </c>
      <c r="X47" s="143"/>
      <c r="AC47" s="35"/>
      <c r="AF47" s="35"/>
      <c r="AG47" s="34" t="s">
        <v>102</v>
      </c>
    </row>
    <row r="48" spans="2:38">
      <c r="T48" s="659"/>
      <c r="U48" s="659"/>
      <c r="V48" s="659"/>
    </row>
    <row r="49" spans="10:33">
      <c r="T49" s="659"/>
      <c r="U49" s="659"/>
      <c r="V49" s="659"/>
    </row>
    <row r="50" spans="10:33">
      <c r="T50" s="659"/>
      <c r="U50" s="659"/>
      <c r="V50" s="659"/>
    </row>
    <row r="51" spans="10:33">
      <c r="T51" s="660"/>
      <c r="U51" s="660"/>
      <c r="V51" s="659"/>
    </row>
    <row r="52" spans="10:33">
      <c r="T52" s="660"/>
      <c r="U52" s="660"/>
      <c r="V52" s="659"/>
    </row>
    <row r="54" spans="10:33">
      <c r="J54" s="599"/>
      <c r="K54" s="599"/>
      <c r="L54" s="599"/>
      <c r="M54" s="599"/>
      <c r="N54" s="599"/>
      <c r="O54" s="599"/>
      <c r="P54" s="599"/>
      <c r="Q54" s="599"/>
      <c r="R54" s="599"/>
      <c r="S54" s="599"/>
      <c r="T54" s="599"/>
      <c r="U54" s="599"/>
      <c r="V54" s="599"/>
      <c r="W54" s="599"/>
      <c r="X54" s="599"/>
      <c r="Y54" s="599"/>
      <c r="Z54" s="599"/>
      <c r="AA54" s="599"/>
      <c r="AB54" s="599"/>
      <c r="AC54" s="599"/>
      <c r="AD54" s="599"/>
      <c r="AE54" s="599"/>
      <c r="AF54" s="599"/>
      <c r="AG54" s="599"/>
    </row>
    <row r="55" spans="10:33">
      <c r="J55" s="599"/>
      <c r="K55" s="599"/>
      <c r="L55" s="599"/>
      <c r="M55" s="599"/>
      <c r="N55" s="599"/>
      <c r="O55" s="599"/>
      <c r="P55" s="599"/>
      <c r="Q55" s="599"/>
      <c r="R55" s="599"/>
      <c r="S55" s="599"/>
      <c r="T55" s="599"/>
      <c r="U55" s="599"/>
      <c r="V55" s="599"/>
      <c r="W55" s="599"/>
      <c r="X55" s="599"/>
      <c r="Y55" s="599"/>
      <c r="Z55" s="599"/>
      <c r="AA55" s="599"/>
      <c r="AB55" s="599"/>
      <c r="AC55" s="599"/>
      <c r="AD55" s="599"/>
      <c r="AE55" s="599"/>
      <c r="AF55" s="599"/>
      <c r="AG55" s="599"/>
    </row>
    <row r="56" spans="10:33">
      <c r="J56" s="599"/>
      <c r="K56" s="599"/>
      <c r="L56" s="599"/>
      <c r="M56" s="599"/>
      <c r="N56" s="599"/>
      <c r="O56" s="599"/>
      <c r="P56" s="599"/>
      <c r="Q56" s="599"/>
      <c r="R56" s="599"/>
      <c r="S56" s="599"/>
      <c r="T56" s="599"/>
      <c r="U56" s="599"/>
      <c r="V56" s="599"/>
      <c r="W56" s="599"/>
      <c r="X56" s="599"/>
      <c r="Y56" s="599"/>
      <c r="Z56" s="599"/>
      <c r="AA56" s="599"/>
      <c r="AB56" s="599"/>
      <c r="AC56" s="599"/>
      <c r="AD56" s="599"/>
      <c r="AE56" s="599"/>
      <c r="AF56" s="599"/>
      <c r="AG56" s="599"/>
    </row>
    <row r="57" spans="10:33">
      <c r="J57" s="599"/>
      <c r="K57" s="599"/>
      <c r="L57" s="599"/>
      <c r="M57" s="599"/>
      <c r="N57" s="599"/>
      <c r="O57" s="599"/>
      <c r="P57" s="599"/>
      <c r="Q57" s="599"/>
      <c r="R57" s="599"/>
      <c r="S57" s="599"/>
      <c r="T57" s="599"/>
      <c r="U57" s="599"/>
      <c r="V57" s="599"/>
      <c r="W57" s="599"/>
      <c r="X57" s="599"/>
      <c r="Y57" s="599"/>
      <c r="Z57" s="599"/>
      <c r="AA57" s="599"/>
      <c r="AB57" s="599"/>
      <c r="AC57" s="599"/>
      <c r="AD57" s="599"/>
      <c r="AE57" s="599"/>
      <c r="AF57" s="599"/>
      <c r="AG57" s="599"/>
    </row>
  </sheetData>
  <mergeCells count="4">
    <mergeCell ref="H5:I6"/>
    <mergeCell ref="H28:I28"/>
    <mergeCell ref="Y43:AG43"/>
    <mergeCell ref="I46:I47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B5C6-6B54-4BD2-9BBC-FD101DF49F35}">
  <sheetPr>
    <tabColor theme="1" tint="0.249977111117893"/>
    <pageSetUpPr fitToPage="1"/>
  </sheetPr>
  <dimension ref="D1:Z52"/>
  <sheetViews>
    <sheetView showGridLines="0" showZeros="0" view="pageBreakPreview" zoomScale="60" zoomScaleNormal="85" workbookViewId="0">
      <pane xSplit="4" ySplit="7" topLeftCell="E8" activePane="bottomRight" state="frozen"/>
      <selection activeCell="N18" sqref="N18"/>
      <selection pane="topRight" activeCell="N18" sqref="N18"/>
      <selection pane="bottomLeft" activeCell="N18" sqref="N18"/>
      <selection pane="bottomRight" activeCell="N18" sqref="N18"/>
    </sheetView>
  </sheetViews>
  <sheetFormatPr defaultRowHeight="16.5"/>
  <cols>
    <col min="1" max="3" width="5.625" style="6" customWidth="1"/>
    <col min="4" max="4" width="9.875" style="6" customWidth="1"/>
    <col min="5" max="7" width="9.625" style="6" customWidth="1"/>
    <col min="8" max="10" width="8.625" style="6" customWidth="1"/>
    <col min="11" max="23" width="9.625" style="6" customWidth="1"/>
    <col min="24" max="16384" width="9" style="6"/>
  </cols>
  <sheetData>
    <row r="1" spans="4:26" ht="9.9499999999999993" customHeight="1"/>
    <row r="2" spans="4:26" ht="9.9499999999999993" hidden="1" customHeight="1"/>
    <row r="3" spans="4:26" ht="9.9499999999999993" customHeight="1"/>
    <row r="4" spans="4:26" ht="31.5">
      <c r="D4" s="184" t="s">
        <v>209</v>
      </c>
      <c r="F4" s="184"/>
      <c r="I4" s="184"/>
      <c r="J4" s="184"/>
    </row>
    <row r="5" spans="4:26" ht="21.95" customHeight="1">
      <c r="W5" s="186" t="s">
        <v>149</v>
      </c>
    </row>
    <row r="6" spans="4:26" ht="24" customHeight="1" thickBot="1">
      <c r="D6" s="822" t="s">
        <v>11</v>
      </c>
      <c r="E6" s="439" t="s">
        <v>143</v>
      </c>
      <c r="F6" s="440"/>
      <c r="G6" s="441"/>
      <c r="H6" s="439" t="s">
        <v>144</v>
      </c>
      <c r="I6" s="440"/>
      <c r="J6" s="440"/>
      <c r="K6" s="441"/>
      <c r="L6" s="439" t="s">
        <v>145</v>
      </c>
      <c r="M6" s="440"/>
      <c r="N6" s="440"/>
      <c r="O6" s="441"/>
      <c r="P6" s="439" t="s">
        <v>146</v>
      </c>
      <c r="Q6" s="440"/>
      <c r="R6" s="440"/>
      <c r="S6" s="441"/>
      <c r="T6" s="439" t="s">
        <v>147</v>
      </c>
      <c r="U6" s="440"/>
      <c r="V6" s="440"/>
      <c r="W6" s="441"/>
    </row>
    <row r="7" spans="4:26" ht="24" customHeight="1">
      <c r="D7" s="823"/>
      <c r="E7" s="442" t="s">
        <v>12</v>
      </c>
      <c r="F7" s="443" t="s">
        <v>13</v>
      </c>
      <c r="G7" s="444" t="s">
        <v>37</v>
      </c>
      <c r="H7" s="442" t="s">
        <v>15</v>
      </c>
      <c r="I7" s="443" t="s">
        <v>16</v>
      </c>
      <c r="J7" s="445" t="s">
        <v>37</v>
      </c>
      <c r="K7" s="446" t="s">
        <v>148</v>
      </c>
      <c r="L7" s="442" t="s">
        <v>15</v>
      </c>
      <c r="M7" s="443" t="s">
        <v>16</v>
      </c>
      <c r="N7" s="445" t="s">
        <v>37</v>
      </c>
      <c r="O7" s="446" t="s">
        <v>148</v>
      </c>
      <c r="P7" s="442" t="s">
        <v>15</v>
      </c>
      <c r="Q7" s="443" t="s">
        <v>16</v>
      </c>
      <c r="R7" s="445" t="s">
        <v>37</v>
      </c>
      <c r="S7" s="446" t="s">
        <v>148</v>
      </c>
      <c r="T7" s="442" t="s">
        <v>15</v>
      </c>
      <c r="U7" s="443" t="s">
        <v>16</v>
      </c>
      <c r="V7" s="445" t="s">
        <v>37</v>
      </c>
      <c r="W7" s="446" t="s">
        <v>148</v>
      </c>
    </row>
    <row r="8" spans="4:26" ht="24" customHeight="1">
      <c r="D8" s="470" t="s">
        <v>41</v>
      </c>
      <c r="E8" s="460">
        <f>+[5]합계!$H$86/1000</f>
        <v>2201.6760942549554</v>
      </c>
      <c r="F8" s="462">
        <f>+[5]합계!$I$86/1000</f>
        <v>1696.899707000003</v>
      </c>
      <c r="G8" s="461">
        <f>+F8-E8</f>
        <v>-504.7763872549524</v>
      </c>
      <c r="H8" s="460">
        <f>+[5]합계!$T$5/1000</f>
        <v>229</v>
      </c>
      <c r="I8" s="462">
        <f>+[5]합계!$U$5/1000</f>
        <v>217.5565</v>
      </c>
      <c r="J8" s="461">
        <f>+I8-H8</f>
        <v>-11.4435</v>
      </c>
      <c r="K8" s="464">
        <f>+[5]합계!$M$86/1000</f>
        <v>-161.22479629166088</v>
      </c>
      <c r="L8" s="460">
        <f>+[5]합계!$Q$85</f>
        <v>100174.78637523718</v>
      </c>
      <c r="M8" s="462">
        <f>+[5]합계!$R$85</f>
        <v>102142.72966989514</v>
      </c>
      <c r="N8" s="461">
        <f>+M8-L8</f>
        <v>1967.9432946579618</v>
      </c>
      <c r="O8" s="464">
        <f>+[5]합계!$K$86/1000</f>
        <v>428.0109390701021</v>
      </c>
      <c r="P8" s="460">
        <f>+[5]합계!$Q$50</f>
        <v>86153.489395469092</v>
      </c>
      <c r="Q8" s="462">
        <f>+[5]합계!$R$50</f>
        <v>89727.364644781745</v>
      </c>
      <c r="R8" s="461">
        <f>+Q8-P8</f>
        <v>3573.8752493126522</v>
      </c>
      <c r="S8" s="464">
        <f>+[5]합계!$L$56/1000</f>
        <v>-721.3819605353242</v>
      </c>
      <c r="T8" s="460">
        <f>+([5]합계!$H$80+[5]합계!$H$85)/1000</f>
        <v>1009.2009141119349</v>
      </c>
      <c r="U8" s="462">
        <f>+([5]합계!$I$80+[5]합계!$I$85)/1000</f>
        <v>1059.38148361</v>
      </c>
      <c r="V8" s="461">
        <f>+U8-T8</f>
        <v>50.180569498065097</v>
      </c>
      <c r="W8" s="469">
        <f>+([5]합계!$L$80+[5]합계!$L$85)/1000</f>
        <v>-50.180569498064983</v>
      </c>
      <c r="Y8" s="6">
        <f>+G8-K8-O8-S8-W8</f>
        <v>-4.4337866711430252E-12</v>
      </c>
      <c r="Z8" s="6">
        <f>+Y8*1000000</f>
        <v>-4.4337866711430252E-6</v>
      </c>
    </row>
    <row r="9" spans="4:26" ht="24" customHeight="1">
      <c r="D9" s="471" t="s">
        <v>19</v>
      </c>
      <c r="E9" s="465">
        <f>+[5]수도권!$H$86/1000</f>
        <v>567.13083631443499</v>
      </c>
      <c r="F9" s="479">
        <f>+[5]수도권!$I$86/1000</f>
        <v>664.23061199999904</v>
      </c>
      <c r="G9" s="466">
        <f t="shared" ref="G9:G28" si="0">+F9-E9</f>
        <v>97.099775685564055</v>
      </c>
      <c r="H9" s="465">
        <f>+[5]수도권!$T$5/1000</f>
        <v>91</v>
      </c>
      <c r="I9" s="479">
        <f>+[5]수도권!$U$5/1000</f>
        <v>85.558999999999997</v>
      </c>
      <c r="J9" s="466">
        <f t="shared" ref="J9:J28" si="1">+I9-H9</f>
        <v>-5.4410000000000025</v>
      </c>
      <c r="K9" s="482">
        <f>+[5]수도권!$M$86/1000</f>
        <v>-53.204378671770975</v>
      </c>
      <c r="L9" s="465">
        <f>+[5]수도권!$Q$85</f>
        <v>96282.778988234248</v>
      </c>
      <c r="M9" s="479">
        <f>+[5]수도권!$R$85</f>
        <v>100756.03555768623</v>
      </c>
      <c r="N9" s="466">
        <f t="shared" ref="N9:N28" si="2">+M9-L9</f>
        <v>4473.2565694519872</v>
      </c>
      <c r="O9" s="482">
        <f>+[5]수도권!$K$86/1000</f>
        <v>382.56632158924225</v>
      </c>
      <c r="P9" s="465">
        <f>+[5]수도권!$Q$50</f>
        <v>86555.486917434348</v>
      </c>
      <c r="Q9" s="479">
        <f>+[5]수도권!$R$50</f>
        <v>89340.019123990322</v>
      </c>
      <c r="R9" s="466">
        <f t="shared" ref="R9:R28" si="3">+Q9-P9</f>
        <v>2784.532206555974</v>
      </c>
      <c r="S9" s="482">
        <f>+[5]수도권!$L$56/1000</f>
        <v>-238.08913328026293</v>
      </c>
      <c r="T9" s="465">
        <f>+([5]수도권!$H$80+[5]수도권!$H$85)/1000</f>
        <v>318.05274212835553</v>
      </c>
      <c r="U9" s="479">
        <f>+([5]수도권!$I$80+[5]수도권!$I$85)/1000</f>
        <v>312.22577608</v>
      </c>
      <c r="V9" s="466">
        <f t="shared" ref="V9:V28" si="4">+U9-T9</f>
        <v>-5.8269660483555299</v>
      </c>
      <c r="W9" s="482">
        <f>+([5]수도권!$L$80+[5]수도권!$L$85)/1000</f>
        <v>5.8269660483555601</v>
      </c>
      <c r="Y9" s="6">
        <f t="shared" ref="Y9:Y28" si="5">+G9-K9-O9-S9-W9</f>
        <v>1.4033219031261979E-13</v>
      </c>
      <c r="Z9" s="6">
        <f t="shared" ref="Z9:Z28" si="6">+Y9*1000000</f>
        <v>1.4033219031261979E-7</v>
      </c>
    </row>
    <row r="10" spans="4:26" ht="24" customHeight="1">
      <c r="D10" s="472" t="s">
        <v>20</v>
      </c>
      <c r="E10" s="467">
        <f>+[5]영남권!$H$86/1000</f>
        <v>1247.8098725131183</v>
      </c>
      <c r="F10" s="480">
        <f>+[5]영남권!$I$86/1000</f>
        <v>841.31883799999991</v>
      </c>
      <c r="G10" s="477">
        <f t="shared" si="0"/>
        <v>-406.49103451311839</v>
      </c>
      <c r="H10" s="467">
        <f>+[5]영남권!$T$5/1000</f>
        <v>102.5</v>
      </c>
      <c r="I10" s="480">
        <f>+[5]영남권!$U$5/1000</f>
        <v>100.9045</v>
      </c>
      <c r="J10" s="477">
        <f t="shared" si="1"/>
        <v>-1.5955000000000013</v>
      </c>
      <c r="K10" s="483">
        <f>+[5]영남권!$M$86/1000</f>
        <v>-27.260459155327613</v>
      </c>
      <c r="L10" s="467">
        <f>+[5]영남권!$Q$85</f>
        <v>101871.10057560976</v>
      </c>
      <c r="M10" s="480">
        <f>+[5]영남권!$R$85</f>
        <v>102784.6211021312</v>
      </c>
      <c r="N10" s="477">
        <f t="shared" si="2"/>
        <v>913.5205265214463</v>
      </c>
      <c r="O10" s="483">
        <f>+[5]영남권!$K$86/1000</f>
        <v>92.178331968383276</v>
      </c>
      <c r="P10" s="467">
        <f>+[5]영남권!$Q$50</f>
        <v>84785.259675999841</v>
      </c>
      <c r="Q10" s="480">
        <f>+[5]영남권!$R$50</f>
        <v>89482.809969341106</v>
      </c>
      <c r="R10" s="477">
        <f t="shared" si="3"/>
        <v>4697.5502933412645</v>
      </c>
      <c r="S10" s="483">
        <f>+[5]영남권!$L$56/1000</f>
        <v>-417.45479907307265</v>
      </c>
      <c r="T10" s="467">
        <f>+([5]영남권!$H$80+[5]영남권!$H$85)/1000</f>
        <v>503.48881969689853</v>
      </c>
      <c r="U10" s="480">
        <f>+([5]영남권!$I$80+[5]영남권!$I$85)/1000</f>
        <v>557.44292795000001</v>
      </c>
      <c r="V10" s="477">
        <f t="shared" si="4"/>
        <v>53.954108253101481</v>
      </c>
      <c r="W10" s="483">
        <f>+([5]영남권!$L$80+[5]영남권!$L$85)/1000</f>
        <v>-53.954108253101502</v>
      </c>
      <c r="Y10" s="6">
        <f t="shared" si="5"/>
        <v>1.3500311979441904E-13</v>
      </c>
      <c r="Z10" s="6">
        <f t="shared" si="6"/>
        <v>1.3500311979441904E-7</v>
      </c>
    </row>
    <row r="11" spans="4:26" ht="24" customHeight="1">
      <c r="D11" s="473" t="s">
        <v>57</v>
      </c>
      <c r="E11" s="468">
        <f>+[5]중부권!$H$86/1000</f>
        <v>386.73538542740636</v>
      </c>
      <c r="F11" s="481">
        <f>+[5]중부권!$I$86/1000</f>
        <v>191.35025700000099</v>
      </c>
      <c r="G11" s="478">
        <f t="shared" si="0"/>
        <v>-195.38512842740536</v>
      </c>
      <c r="H11" s="468">
        <f>+[5]중부권!$T$5/1000</f>
        <v>35.5</v>
      </c>
      <c r="I11" s="481">
        <f>+[5]중부권!$U$5/1000</f>
        <v>31.093</v>
      </c>
      <c r="J11" s="478">
        <f t="shared" si="1"/>
        <v>-4.407</v>
      </c>
      <c r="K11" s="484">
        <f>+[5]중부권!$M$86/1000</f>
        <v>-71.707772014075829</v>
      </c>
      <c r="L11" s="468">
        <f>+[5]중부권!$Q$85</f>
        <v>105253.67276056339</v>
      </c>
      <c r="M11" s="481">
        <f>+[5]중부권!$R$85</f>
        <v>103875.42689286635</v>
      </c>
      <c r="N11" s="478">
        <f t="shared" si="2"/>
        <v>-1378.2458676970418</v>
      </c>
      <c r="O11" s="484">
        <f>+[5]중부권!$K$86/1000</f>
        <v>-42.813829634140909</v>
      </c>
      <c r="P11" s="468">
        <f>+[5]중부권!$Q$50</f>
        <v>89073.53930382854</v>
      </c>
      <c r="Q11" s="481">
        <f>+[5]중부권!$R$50</f>
        <v>91587.79125510763</v>
      </c>
      <c r="R11" s="478">
        <f t="shared" si="3"/>
        <v>2514.2519512790896</v>
      </c>
      <c r="S11" s="484">
        <f>+[5]중부권!$L$56/1000</f>
        <v>-78.810099485869728</v>
      </c>
      <c r="T11" s="468">
        <f>+([5]중부권!$H$80+[5]중부권!$H$85)/1000</f>
        <v>187.65935228668079</v>
      </c>
      <c r="U11" s="481">
        <f>+([5]중부권!$I$80+[5]중부권!$I$85)/1000</f>
        <v>189.71277957999999</v>
      </c>
      <c r="V11" s="478">
        <f t="shared" si="4"/>
        <v>2.0534272933192028</v>
      </c>
      <c r="W11" s="484">
        <f>+([5]중부권!$L$80+[5]중부권!$L$85)/1000</f>
        <v>-2.0534272933192579</v>
      </c>
      <c r="Y11" s="6">
        <f t="shared" si="5"/>
        <v>3.6770586575585185E-13</v>
      </c>
      <c r="Z11" s="6">
        <f t="shared" si="6"/>
        <v>3.6770586575585185E-7</v>
      </c>
    </row>
    <row r="12" spans="4:26" ht="24" customHeight="1">
      <c r="D12" s="474" t="s">
        <v>22</v>
      </c>
      <c r="E12" s="447">
        <f>+[5]안양!$H$86/1000</f>
        <v>295.68663989006535</v>
      </c>
      <c r="F12" s="448">
        <f>+[5]안양!$I$86/1000</f>
        <v>451.3056499999999</v>
      </c>
      <c r="G12" s="449">
        <f t="shared" si="0"/>
        <v>155.61901010993455</v>
      </c>
      <c r="H12" s="447">
        <f>+[5]안양!$T$5/1000</f>
        <v>36</v>
      </c>
      <c r="I12" s="448">
        <f>+[5]안양!$U$5/1000</f>
        <v>37.712000000000003</v>
      </c>
      <c r="J12" s="450">
        <f t="shared" si="1"/>
        <v>1.7120000000000033</v>
      </c>
      <c r="K12" s="74">
        <f>+[5]안양!$M$86/1000</f>
        <v>18.763916798327525</v>
      </c>
      <c r="L12" s="447">
        <f>+[5]안양!$Q$85</f>
        <v>96660.434722222213</v>
      </c>
      <c r="M12" s="448">
        <f>+[5]안양!$R$85</f>
        <v>100079.76240984302</v>
      </c>
      <c r="N12" s="450">
        <f t="shared" si="2"/>
        <v>3419.327687620811</v>
      </c>
      <c r="O12" s="74">
        <f>+[5]안양!$K$86/1000</f>
        <v>128.94968575555603</v>
      </c>
      <c r="P12" s="447">
        <f>+[5]안양!$Q$50</f>
        <v>85700.202947498154</v>
      </c>
      <c r="Q12" s="448">
        <f>+[5]안양!$R$50</f>
        <v>85490.027652579665</v>
      </c>
      <c r="R12" s="450">
        <f t="shared" si="3"/>
        <v>-210.17529491848836</v>
      </c>
      <c r="S12" s="74">
        <f>+[5]안양!$L$56/1000</f>
        <v>7.9166417860512848</v>
      </c>
      <c r="T12" s="447">
        <f>+([5]안양!$H$80+[5]안양!$H$85)/1000</f>
        <v>98.881703999999985</v>
      </c>
      <c r="U12" s="448">
        <f>+([5]안양!$I$80+[5]안양!$I$85)/1000</f>
        <v>98.892938229999999</v>
      </c>
      <c r="V12" s="450">
        <f t="shared" si="4"/>
        <v>1.1234230000013667E-2</v>
      </c>
      <c r="W12" s="74">
        <f>+([5]안양!$L$80+[5]안양!$L$85)/1000</f>
        <v>-1.1234229999998888E-2</v>
      </c>
      <c r="Y12" s="6">
        <f t="shared" si="5"/>
        <v>-2.9722058147996222E-13</v>
      </c>
      <c r="Z12" s="6">
        <f t="shared" si="6"/>
        <v>-2.9722058147996222E-7</v>
      </c>
    </row>
    <row r="13" spans="4:26" ht="24" customHeight="1">
      <c r="D13" s="475" t="s">
        <v>23</v>
      </c>
      <c r="E13" s="452">
        <f>+[5]인천!$H$86/1000</f>
        <v>72.600987121321907</v>
      </c>
      <c r="F13" s="453">
        <f>+[5]인천!$I$86/1000</f>
        <v>137.95808200000016</v>
      </c>
      <c r="G13" s="189">
        <f t="shared" si="0"/>
        <v>65.357094878678254</v>
      </c>
      <c r="H13" s="452">
        <f>+[5]인천!$T$5/1000</f>
        <v>24</v>
      </c>
      <c r="I13" s="453">
        <f>+[5]인천!$U$5/1000</f>
        <v>23.5</v>
      </c>
      <c r="J13" s="165">
        <f t="shared" si="1"/>
        <v>-0.5</v>
      </c>
      <c r="K13" s="454">
        <f>+[5]인천!$M$86/1000</f>
        <v>-3.562274188071977</v>
      </c>
      <c r="L13" s="452">
        <f>+[5]인천!$Q$85</f>
        <v>97454.438750000001</v>
      </c>
      <c r="M13" s="453">
        <f>+[5]인천!$R$85</f>
        <v>100287.59663829788</v>
      </c>
      <c r="N13" s="165">
        <f t="shared" si="2"/>
        <v>2833.1578882978793</v>
      </c>
      <c r="O13" s="454">
        <f>+[5]인천!$K$86/1000</f>
        <v>66.579210375000173</v>
      </c>
      <c r="P13" s="452">
        <f>+[5]인천!$Q$50</f>
        <v>90329.890373856033</v>
      </c>
      <c r="Q13" s="453">
        <f>+[5]인천!$R$50</f>
        <v>90425.589168722887</v>
      </c>
      <c r="R13" s="165">
        <f t="shared" si="3"/>
        <v>95.698794866853859</v>
      </c>
      <c r="S13" s="454">
        <f>+[5]인천!$L$56/1000</f>
        <v>-2.2558447443829426</v>
      </c>
      <c r="T13" s="452">
        <f>+([5]인천!$H$80+[5]인천!$H$85)/1000</f>
        <v>98.388173906133332</v>
      </c>
      <c r="U13" s="453">
        <f>+([5]인천!$I$80+[5]인천!$I$85)/1000</f>
        <v>93.792170470000016</v>
      </c>
      <c r="V13" s="165">
        <f t="shared" si="4"/>
        <v>-4.5960034361333157</v>
      </c>
      <c r="W13" s="454">
        <f>+([5]인천!$L$80+[5]인천!$L$85)/1000</f>
        <v>4.5960034361333468</v>
      </c>
      <c r="Y13" s="6">
        <f t="shared" si="5"/>
        <v>-3.4194869158454821E-13</v>
      </c>
      <c r="Z13" s="6">
        <f t="shared" si="6"/>
        <v>-3.4194869158454821E-7</v>
      </c>
    </row>
    <row r="14" spans="4:26" ht="24" customHeight="1">
      <c r="D14" s="475" t="s">
        <v>24</v>
      </c>
      <c r="E14" s="452">
        <f>+[5]파주!$H$86/1000</f>
        <v>172.12968378527941</v>
      </c>
      <c r="F14" s="453">
        <f>+[5]파주!$I$86/1000</f>
        <v>125.58787999999994</v>
      </c>
      <c r="G14" s="189">
        <f t="shared" si="0"/>
        <v>-46.54180378527947</v>
      </c>
      <c r="H14" s="452">
        <f>+[5]파주!$T$5/1000</f>
        <v>21</v>
      </c>
      <c r="I14" s="453">
        <f>+[5]파주!$U$5/1000</f>
        <v>18.47</v>
      </c>
      <c r="J14" s="165">
        <f t="shared" si="1"/>
        <v>-2.5300000000000011</v>
      </c>
      <c r="K14" s="454">
        <f>+[5]파주!$M$86/1000</f>
        <v>-29.338185947646796</v>
      </c>
      <c r="L14" s="452">
        <f>+[5]파주!$Q$85</f>
        <v>96151.724187110376</v>
      </c>
      <c r="M14" s="453">
        <f>+[5]파주!$R$85</f>
        <v>103935.69040902681</v>
      </c>
      <c r="N14" s="165">
        <f t="shared" si="2"/>
        <v>7783.9662219164311</v>
      </c>
      <c r="O14" s="454">
        <f>+[5]파주!$K$86/1000</f>
        <v>143.48963333480751</v>
      </c>
      <c r="P14" s="452">
        <f>+[5]파주!$Q$50</f>
        <v>84690.233170880136</v>
      </c>
      <c r="Q14" s="453">
        <f>+[5]파주!$R$50</f>
        <v>93479.746312364427</v>
      </c>
      <c r="R14" s="165">
        <f t="shared" si="3"/>
        <v>8789.5131414842908</v>
      </c>
      <c r="S14" s="454">
        <f>+[5]파주!$L$56/1000</f>
        <v>-162.0084454379955</v>
      </c>
      <c r="T14" s="452">
        <f>+([5]파주!$H$80+[5]파주!$H$85)/1000</f>
        <v>68.561627555555546</v>
      </c>
      <c r="U14" s="453">
        <f>+([5]파주!$I$80+[5]파주!$I$85)/1000</f>
        <v>67.246433289999999</v>
      </c>
      <c r="V14" s="165">
        <f t="shared" si="4"/>
        <v>-1.3151942655555473</v>
      </c>
      <c r="W14" s="454">
        <f>+([5]파주!$L$80+[5]파주!$L$85)/1000</f>
        <v>1.3151942655555486</v>
      </c>
      <c r="Y14" s="6">
        <f t="shared" si="5"/>
        <v>-2.1449508835758024E-13</v>
      </c>
      <c r="Z14" s="6">
        <f t="shared" si="6"/>
        <v>-2.1449508835758024E-7</v>
      </c>
    </row>
    <row r="15" spans="4:26" ht="24" customHeight="1">
      <c r="D15" s="475" t="s">
        <v>178</v>
      </c>
      <c r="E15" s="452">
        <f>+[5]김포!$H$86/1000</f>
        <v>26.713525517769881</v>
      </c>
      <c r="F15" s="453">
        <f>+[5]김포!$I$86/1000</f>
        <v>-50.621000000000073</v>
      </c>
      <c r="G15" s="189">
        <f t="shared" si="0"/>
        <v>-77.334525517769947</v>
      </c>
      <c r="H15" s="452">
        <f>+[5]김포!$T$5/1000</f>
        <v>10</v>
      </c>
      <c r="I15" s="453">
        <f>+[5]김포!$U$5/1000</f>
        <v>5.8769999999999998</v>
      </c>
      <c r="J15" s="165">
        <f t="shared" si="1"/>
        <v>-4.1230000000000002</v>
      </c>
      <c r="K15" s="454">
        <f>+[5]김포!$M$86/1000</f>
        <v>-32.544802448643139</v>
      </c>
      <c r="L15" s="452">
        <f>+[5]김포!$Q$85</f>
        <v>92386.45</v>
      </c>
      <c r="M15" s="453">
        <f>+[5]김포!$R$85</f>
        <v>96995.302194997435</v>
      </c>
      <c r="N15" s="165">
        <f t="shared" si="2"/>
        <v>4608.8521949974383</v>
      </c>
      <c r="O15" s="454">
        <f>+[5]김포!$K$86/1000</f>
        <v>27.086224349999945</v>
      </c>
      <c r="P15" s="452">
        <f>+[5]김포!$Q$50</f>
        <v>84492.973781556342</v>
      </c>
      <c r="Q15" s="463">
        <f>+[5]김포!$R$50</f>
        <v>96710.408295087516</v>
      </c>
      <c r="R15" s="165">
        <f t="shared" si="3"/>
        <v>12217.434513531174</v>
      </c>
      <c r="S15" s="454">
        <f>+[5]김포!$L$56/1000</f>
        <v>-71.802949995793369</v>
      </c>
      <c r="T15" s="452">
        <f>+([5]김포!$H$80+[5]김포!$H$85)/1000</f>
        <v>52.221236666666663</v>
      </c>
      <c r="U15" s="453">
        <f>+([5]김포!$I$80+[5]김포!$I$85)/1000</f>
        <v>52.294234089999996</v>
      </c>
      <c r="V15" s="165">
        <f t="shared" si="4"/>
        <v>7.29974233333337E-2</v>
      </c>
      <c r="W15" s="454">
        <f>+([5]김포!$L$80+[5]김포!$L$85)/1000</f>
        <v>-7.2997423333337794E-2</v>
      </c>
      <c r="Y15" s="6">
        <f t="shared" si="5"/>
        <v>-5.274947145750275E-14</v>
      </c>
      <c r="Z15" s="6">
        <f t="shared" si="6"/>
        <v>-5.274947145750275E-8</v>
      </c>
    </row>
    <row r="16" spans="4:26" ht="24" customHeight="1">
      <c r="D16" s="476" t="s">
        <v>25</v>
      </c>
      <c r="E16" s="455">
        <f>+[5]부산!$H$86/1000</f>
        <v>197.20214992961331</v>
      </c>
      <c r="F16" s="456">
        <f>+[5]부산!$I$86/1000</f>
        <v>201.44822399999995</v>
      </c>
      <c r="G16" s="457">
        <f t="shared" si="0"/>
        <v>4.2460740703866406</v>
      </c>
      <c r="H16" s="455">
        <f>+[5]부산!$T$5/1000</f>
        <v>16</v>
      </c>
      <c r="I16" s="456">
        <f>+[5]부산!$U$5/1000</f>
        <v>16.649999999999999</v>
      </c>
      <c r="J16" s="458">
        <f t="shared" si="1"/>
        <v>0.64999999999999858</v>
      </c>
      <c r="K16" s="459">
        <f>+[5]부산!$M$86/1000</f>
        <v>12.218768716584986</v>
      </c>
      <c r="L16" s="455">
        <f>+[5]부산!$Q$85</f>
        <v>107600.1518125</v>
      </c>
      <c r="M16" s="456">
        <f>+[5]부산!$R$85</f>
        <v>112651.28528528528</v>
      </c>
      <c r="N16" s="458">
        <f t="shared" si="2"/>
        <v>5051.1334727852809</v>
      </c>
      <c r="O16" s="459">
        <f>+[5]부산!$K$86/1000</f>
        <v>84.101372321874933</v>
      </c>
      <c r="P16" s="455">
        <f>+[5]부산!$Q$50</f>
        <v>88802.046094676945</v>
      </c>
      <c r="Q16" s="456">
        <f>+[5]부산!$R$50</f>
        <v>95025.767930972506</v>
      </c>
      <c r="R16" s="458">
        <f t="shared" si="3"/>
        <v>6223.7218362955609</v>
      </c>
      <c r="S16" s="459">
        <f>+[5]부산!$L$56/1000</f>
        <v>-71.55648798362877</v>
      </c>
      <c r="T16" s="455">
        <f>+([5]부산!$H$80+[5]부산!$H$85)/1000</f>
        <v>103.56754155555556</v>
      </c>
      <c r="U16" s="456">
        <f>+([5]부산!$I$80+[5]부산!$I$85)/1000</f>
        <v>124.08512054000001</v>
      </c>
      <c r="V16" s="458">
        <f t="shared" si="4"/>
        <v>20.517578984444441</v>
      </c>
      <c r="W16" s="459">
        <f>+([5]부산!$L$80+[5]부산!$L$85)/1000</f>
        <v>-20.517578984444448</v>
      </c>
      <c r="Y16" s="6">
        <f t="shared" si="5"/>
        <v>-6.3948846218409017E-14</v>
      </c>
      <c r="Z16" s="6">
        <f t="shared" si="6"/>
        <v>-6.3948846218409017E-8</v>
      </c>
    </row>
    <row r="17" spans="4:26" ht="24" customHeight="1">
      <c r="D17" s="475" t="s">
        <v>26</v>
      </c>
      <c r="E17" s="452">
        <f>+[5]서부산!$H$86/1000</f>
        <v>302.28305511154088</v>
      </c>
      <c r="F17" s="453">
        <f>+[5]서부산!$I$86/1000</f>
        <v>118.80759900000007</v>
      </c>
      <c r="G17" s="189">
        <f t="shared" si="0"/>
        <v>-183.47545611154081</v>
      </c>
      <c r="H17" s="452">
        <f>+[5]서부산!$T$5/1000</f>
        <v>19</v>
      </c>
      <c r="I17" s="453">
        <f>+[5]서부산!$U$5/1000</f>
        <v>16.841000000000001</v>
      </c>
      <c r="J17" s="165">
        <f t="shared" si="1"/>
        <v>-2.1589999999999989</v>
      </c>
      <c r="K17" s="454">
        <f>+[5]서부산!$M$86/1000</f>
        <v>-42.855012762580998</v>
      </c>
      <c r="L17" s="452">
        <f>+[5]서부산!$Q$85</f>
        <v>104021.28842105264</v>
      </c>
      <c r="M17" s="453">
        <f>+[5]서부산!$R$85</f>
        <v>102685.96401638858</v>
      </c>
      <c r="N17" s="165">
        <f t="shared" si="2"/>
        <v>-1335.3244046640611</v>
      </c>
      <c r="O17" s="454">
        <f>+[5]서부산!$K$86/1000</f>
        <v>-22.488198298947452</v>
      </c>
      <c r="P17" s="452">
        <f>+[5]서부산!$Q$50</f>
        <v>84171.815163720108</v>
      </c>
      <c r="Q17" s="453">
        <f>+[5]서부산!$R$50</f>
        <v>91032.099400273146</v>
      </c>
      <c r="R17" s="165">
        <f t="shared" si="3"/>
        <v>6860.2842365530378</v>
      </c>
      <c r="S17" s="454">
        <f>+[5]서부산!$L$56/1000</f>
        <v>-99.452197647790257</v>
      </c>
      <c r="T17" s="452">
        <f>+([5]서부산!$H$80+[5]서부산!$H$85)/1000</f>
        <v>74.85693677777779</v>
      </c>
      <c r="U17" s="453">
        <f>+([5]서부산!$I$80+[5]서부산!$I$85)/1000</f>
        <v>93.536984180000005</v>
      </c>
      <c r="V17" s="165">
        <f t="shared" si="4"/>
        <v>18.680047402222215</v>
      </c>
      <c r="W17" s="454">
        <f>+([5]서부산!$L$80+[5]서부산!$L$85)/1000</f>
        <v>-18.680047402222215</v>
      </c>
      <c r="Y17" s="6">
        <f t="shared" si="5"/>
        <v>1.1368683772161603E-13</v>
      </c>
      <c r="Z17" s="6">
        <f t="shared" si="6"/>
        <v>1.1368683772161603E-7</v>
      </c>
    </row>
    <row r="18" spans="4:26" ht="24" customHeight="1">
      <c r="D18" s="475" t="s">
        <v>27</v>
      </c>
      <c r="E18" s="452">
        <f>+[5]김해!$H$86/1000</f>
        <v>119.9037035991346</v>
      </c>
      <c r="F18" s="453">
        <f>+[5]김해!$I$86/1000</f>
        <v>16.811885999999927</v>
      </c>
      <c r="G18" s="189">
        <f t="shared" si="0"/>
        <v>-103.09181759913467</v>
      </c>
      <c r="H18" s="452">
        <f>+[5]김해!$T$5/1000</f>
        <v>11</v>
      </c>
      <c r="I18" s="453">
        <f>+[5]김해!$U$5/1000</f>
        <v>8.6389999999999993</v>
      </c>
      <c r="J18" s="165">
        <f t="shared" si="1"/>
        <v>-2.3610000000000007</v>
      </c>
      <c r="K18" s="454">
        <f>+[5]김해!$M$86/1000</f>
        <v>-35.9975153733537</v>
      </c>
      <c r="L18" s="452">
        <f>+[5]김해!$Q$85</f>
        <v>100999.60000000002</v>
      </c>
      <c r="M18" s="453">
        <f>+[5]김해!$R$85</f>
        <v>103042.67855075818</v>
      </c>
      <c r="N18" s="165">
        <f t="shared" si="2"/>
        <v>2043.0785507581604</v>
      </c>
      <c r="O18" s="454">
        <f>+[5]김해!$K$86/1000</f>
        <v>17.650155599999746</v>
      </c>
      <c r="P18" s="452">
        <f>+[5]김해!$Q$50</f>
        <v>85752.875996038274</v>
      </c>
      <c r="Q18" s="453">
        <f>+[5]김해!$R$50</f>
        <v>94858.142609098271</v>
      </c>
      <c r="R18" s="165">
        <f t="shared" si="3"/>
        <v>9105.2666130599973</v>
      </c>
      <c r="S18" s="454">
        <f>+[5]김해!$L$56/1000</f>
        <v>-75.766616480225451</v>
      </c>
      <c r="T18" s="452">
        <f>+([5]김해!$H$80+[5]김해!$H$85)/1000</f>
        <v>47.810260444444445</v>
      </c>
      <c r="U18" s="453">
        <f>+([5]김해!$I$80+[5]김해!$I$85)/1000</f>
        <v>56.788101789999999</v>
      </c>
      <c r="V18" s="165">
        <f t="shared" si="4"/>
        <v>8.9778413455555537</v>
      </c>
      <c r="W18" s="454">
        <f>+([5]김해!$L$80+[5]김해!$L$85)/1000</f>
        <v>-8.9778413455555537</v>
      </c>
      <c r="Y18" s="6">
        <f t="shared" si="5"/>
        <v>2.7711166694643907E-13</v>
      </c>
      <c r="Z18" s="6">
        <f t="shared" si="6"/>
        <v>2.7711166694643907E-7</v>
      </c>
    </row>
    <row r="19" spans="4:26" ht="24" customHeight="1">
      <c r="D19" s="475" t="s">
        <v>28</v>
      </c>
      <c r="E19" s="452">
        <f>+[5]정관!$H$86/1000</f>
        <v>206.8184781681673</v>
      </c>
      <c r="F19" s="453">
        <f>+[5]정관!$I$86/1000</f>
        <v>34.868346999999652</v>
      </c>
      <c r="G19" s="189">
        <f t="shared" si="0"/>
        <v>-171.95013116816764</v>
      </c>
      <c r="H19" s="452">
        <f>+[5]정관!$T$5/1000</f>
        <v>16</v>
      </c>
      <c r="I19" s="453">
        <f>+[5]정관!$U$5/1000</f>
        <v>14.978</v>
      </c>
      <c r="J19" s="165">
        <f t="shared" si="1"/>
        <v>-1.0220000000000002</v>
      </c>
      <c r="K19" s="454">
        <f>+[5]정관!$M$86/1000</f>
        <v>-17.648956207991695</v>
      </c>
      <c r="L19" s="452">
        <f>+[5]정관!$Q$85</f>
        <v>104000</v>
      </c>
      <c r="M19" s="453">
        <f>+[5]정관!$R$85</f>
        <v>99708.73280811857</v>
      </c>
      <c r="N19" s="165">
        <f t="shared" si="2"/>
        <v>-4291.2671918814303</v>
      </c>
      <c r="O19" s="454">
        <f>+[5]정관!$K$86/1000</f>
        <v>-64.274600000000063</v>
      </c>
      <c r="P19" s="452">
        <f>+[5]정관!$Q$50</f>
        <v>86730.962614489545</v>
      </c>
      <c r="Q19" s="453">
        <f>+[5]정관!$R$50</f>
        <v>92659.596741888105</v>
      </c>
      <c r="R19" s="165">
        <f t="shared" si="3"/>
        <v>5928.6341273985599</v>
      </c>
      <c r="S19" s="454">
        <f>+[5]정관!$L$56/1000</f>
        <v>-84.166567630175678</v>
      </c>
      <c r="T19" s="452">
        <f>+([5]정관!$H$80+[5]정관!$H$85)/1000</f>
        <v>69.486120000000014</v>
      </c>
      <c r="U19" s="453">
        <f>+([5]정관!$I$80+[5]정관!$I$85)/1000</f>
        <v>75.346127329999987</v>
      </c>
      <c r="V19" s="165">
        <f t="shared" si="4"/>
        <v>5.8600073299999735</v>
      </c>
      <c r="W19" s="454">
        <f>+([5]정관!$L$80+[5]정관!$L$85)/1000</f>
        <v>-5.8600073299999913</v>
      </c>
      <c r="Y19" s="6">
        <f t="shared" si="5"/>
        <v>-2.2382096176443156E-13</v>
      </c>
      <c r="Z19" s="6">
        <f t="shared" si="6"/>
        <v>-2.2382096176443156E-7</v>
      </c>
    </row>
    <row r="20" spans="4:26" ht="24" customHeight="1">
      <c r="D20" s="475" t="s">
        <v>29</v>
      </c>
      <c r="E20" s="452">
        <f>+[5]양산!$H$86/1000</f>
        <v>91.002494821449048</v>
      </c>
      <c r="F20" s="453">
        <f>+[5]양산!$I$86/1000</f>
        <v>98.534238000000144</v>
      </c>
      <c r="G20" s="189">
        <f t="shared" si="0"/>
        <v>7.5317431785510962</v>
      </c>
      <c r="H20" s="452">
        <f>+[5]양산!$T$5/1000</f>
        <v>9</v>
      </c>
      <c r="I20" s="453">
        <f>+[5]양산!$U$5/1000</f>
        <v>9.5579999999999998</v>
      </c>
      <c r="J20" s="165">
        <f t="shared" si="1"/>
        <v>0.55799999999999983</v>
      </c>
      <c r="K20" s="454">
        <f>+[5]양산!$M$86/1000</f>
        <v>8.5162802262631736</v>
      </c>
      <c r="L20" s="452">
        <f>+[5]양산!$Q$85</f>
        <v>96066.422222222202</v>
      </c>
      <c r="M20" s="453">
        <f>+[5]양산!$R$85</f>
        <v>96734.299016530655</v>
      </c>
      <c r="N20" s="165">
        <f t="shared" si="2"/>
        <v>667.8767943084531</v>
      </c>
      <c r="O20" s="454">
        <f>+[5]양산!$K$86/1000</f>
        <v>6.3835664000001948</v>
      </c>
      <c r="P20" s="452">
        <f>+[5]양산!$Q$50</f>
        <v>80804.271279098233</v>
      </c>
      <c r="Q20" s="453">
        <f>+[5]양산!$R$50</f>
        <v>82599.333751830913</v>
      </c>
      <c r="R20" s="165">
        <f t="shared" si="3"/>
        <v>1795.0624727326795</v>
      </c>
      <c r="S20" s="454">
        <f>+[5]양산!$L$56/1000</f>
        <v>-16.928006634379102</v>
      </c>
      <c r="T20" s="452">
        <f>+([5]양산!$H$80+[5]양산!$H$85)/1000</f>
        <v>46.356863666666669</v>
      </c>
      <c r="U20" s="453">
        <f>+([5]양산!$I$80+[5]양산!$I$85)/1000</f>
        <v>36.796960479999996</v>
      </c>
      <c r="V20" s="165">
        <f t="shared" si="4"/>
        <v>-9.5599031866666735</v>
      </c>
      <c r="W20" s="454">
        <f>+([5]양산!$L$80+[5]양산!$L$85)/1000</f>
        <v>9.5599031866666664</v>
      </c>
      <c r="Y20" s="6">
        <f t="shared" si="5"/>
        <v>1.6342482922482304E-13</v>
      </c>
      <c r="Z20" s="6">
        <f t="shared" si="6"/>
        <v>1.6342482922482304E-7</v>
      </c>
    </row>
    <row r="21" spans="4:26" ht="24" customHeight="1">
      <c r="D21" s="475" t="s">
        <v>30</v>
      </c>
      <c r="E21" s="452">
        <f>+[5]창원!$H$86/1000</f>
        <v>199.86228411588726</v>
      </c>
      <c r="F21" s="453">
        <f>+[5]창원!$I$86/1000</f>
        <v>220.45765399999996</v>
      </c>
      <c r="G21" s="189">
        <f t="shared" si="0"/>
        <v>20.595369884112699</v>
      </c>
      <c r="H21" s="452">
        <f>+[5]창원!$T$5/1000</f>
        <v>14</v>
      </c>
      <c r="I21" s="453">
        <f>+[5]창원!$U$5/1000</f>
        <v>15.452999999999999</v>
      </c>
      <c r="J21" s="165">
        <f t="shared" si="1"/>
        <v>1.4529999999999994</v>
      </c>
      <c r="K21" s="454">
        <f>+[5]창원!$M$86/1000</f>
        <v>28.260899748448093</v>
      </c>
      <c r="L21" s="452">
        <f>+[5]창원!$Q$85</f>
        <v>99586</v>
      </c>
      <c r="M21" s="453">
        <f>+[5]창원!$R$85</f>
        <v>99562.104445738689</v>
      </c>
      <c r="N21" s="165">
        <f t="shared" si="2"/>
        <v>-23.89555426131119</v>
      </c>
      <c r="O21" s="454">
        <f>+[5]창원!$K$86/1000</f>
        <v>-0.36925800000004183</v>
      </c>
      <c r="P21" s="452">
        <f>+[5]창원!$Q$50</f>
        <v>80135.96576156361</v>
      </c>
      <c r="Q21" s="453">
        <f>+[5]창원!$R$50</f>
        <v>80481.043939688097</v>
      </c>
      <c r="R21" s="165">
        <f t="shared" si="3"/>
        <v>345.07817812448775</v>
      </c>
      <c r="S21" s="454">
        <f>+[5]창원!$L$56/1000</f>
        <v>-4.8925821365575102</v>
      </c>
      <c r="T21" s="452">
        <f>+([5]창원!$H$80+[5]창원!$H$85)/1000</f>
        <v>72.43819522222222</v>
      </c>
      <c r="U21" s="453">
        <f>+([5]창원!$I$80+[5]창원!$I$85)/1000</f>
        <v>74.841884949999994</v>
      </c>
      <c r="V21" s="165">
        <f t="shared" si="4"/>
        <v>2.403689727777774</v>
      </c>
      <c r="W21" s="454">
        <f>+([5]창원!$L$80+[5]창원!$L$85)/1000</f>
        <v>-2.4036897277777816</v>
      </c>
      <c r="Y21" s="6">
        <f t="shared" si="5"/>
        <v>-5.9952043329758453E-14</v>
      </c>
      <c r="Z21" s="6">
        <f t="shared" si="6"/>
        <v>-5.9952043329758453E-8</v>
      </c>
    </row>
    <row r="22" spans="4:26" ht="24" customHeight="1">
      <c r="D22" s="475" t="s">
        <v>95</v>
      </c>
      <c r="E22" s="452">
        <f>+[5]대구!$H$86/1000</f>
        <v>188.98876246893872</v>
      </c>
      <c r="F22" s="453">
        <f>+[5]대구!$I$86/1000</f>
        <v>216.44188699999998</v>
      </c>
      <c r="G22" s="189">
        <f t="shared" si="0"/>
        <v>27.453124531061263</v>
      </c>
      <c r="H22" s="452">
        <f>+[5]대구!$T$5/1000</f>
        <v>13.5</v>
      </c>
      <c r="I22" s="453">
        <f>+[5]대구!$U$5/1000</f>
        <v>13.997</v>
      </c>
      <c r="J22" s="165">
        <f t="shared" si="1"/>
        <v>0.49699999999999989</v>
      </c>
      <c r="K22" s="454">
        <f>+[5]대구!$M$86/1000</f>
        <v>8.8115351630599985</v>
      </c>
      <c r="L22" s="452">
        <f>+[5]대구!$Q$85</f>
        <v>97800</v>
      </c>
      <c r="M22" s="453">
        <f>+[5]대구!$R$85</f>
        <v>102306.90147888834</v>
      </c>
      <c r="N22" s="165">
        <f t="shared" si="2"/>
        <v>4506.901478888336</v>
      </c>
      <c r="O22" s="454">
        <f>+[5]대구!$K$86/1000</f>
        <v>63.083100000000037</v>
      </c>
      <c r="P22" s="452">
        <f>+[5]대구!$Q$50</f>
        <v>80070.552991830991</v>
      </c>
      <c r="Q22" s="453">
        <f>+[5]대구!$R$50</f>
        <v>82906.311861743918</v>
      </c>
      <c r="R22" s="165">
        <f t="shared" si="3"/>
        <v>2835.7588699129265</v>
      </c>
      <c r="S22" s="454">
        <f>+[5]대구!$L$56/1000</f>
        <v>-39.665402713341742</v>
      </c>
      <c r="T22" s="452">
        <f>+([5]대구!$H$80+[5]대구!$H$85)/1000</f>
        <v>50.358772141342975</v>
      </c>
      <c r="U22" s="453">
        <f>+([5]대구!$I$80+[5]대구!$I$85)/1000</f>
        <v>55.13488006</v>
      </c>
      <c r="V22" s="165">
        <f t="shared" si="4"/>
        <v>4.7761079186570257</v>
      </c>
      <c r="W22" s="454">
        <f>+([5]대구!$L$80+[5]대구!$L$85)/1000</f>
        <v>-4.7761079186570283</v>
      </c>
      <c r="Y22" s="6">
        <f t="shared" si="5"/>
        <v>0</v>
      </c>
      <c r="Z22" s="6">
        <f t="shared" si="6"/>
        <v>0</v>
      </c>
    </row>
    <row r="23" spans="4:26" ht="24" customHeight="1">
      <c r="D23" s="475" t="s">
        <v>97</v>
      </c>
      <c r="E23" s="452">
        <f>+[5]울산!$H$86/1000</f>
        <v>-58.251055701612756</v>
      </c>
      <c r="F23" s="453">
        <f>+[5]울산!$I$86/1000</f>
        <v>-66.050996999999938</v>
      </c>
      <c r="G23" s="189">
        <f t="shared" si="0"/>
        <v>-7.7999412983871821</v>
      </c>
      <c r="H23" s="452">
        <f>+[5]울산!$T$5/1000</f>
        <v>4</v>
      </c>
      <c r="I23" s="453">
        <f>+[5]울산!$U$5/1000</f>
        <v>4.7885</v>
      </c>
      <c r="J23" s="165">
        <f t="shared" si="1"/>
        <v>0.78849999999999998</v>
      </c>
      <c r="K23" s="454">
        <f>+[5]울산!$M$86/1000</f>
        <v>-3.870929000833188</v>
      </c>
      <c r="L23" s="452">
        <f>+[5]울산!$Q$85</f>
        <v>97420.875</v>
      </c>
      <c r="M23" s="453">
        <f>+[5]울산!$R$85</f>
        <v>101852.38592461105</v>
      </c>
      <c r="N23" s="165">
        <f t="shared" si="2"/>
        <v>4431.5109246110515</v>
      </c>
      <c r="O23" s="454">
        <f>+[5]울산!$K$86/1000</f>
        <v>21.22029006250002</v>
      </c>
      <c r="P23" s="452">
        <f>+[5]울산!$Q$50</f>
        <v>102330.10645318095</v>
      </c>
      <c r="Q23" s="453">
        <f>+[5]울산!$R$50</f>
        <v>107102.07267411507</v>
      </c>
      <c r="R23" s="165">
        <f t="shared" si="3"/>
        <v>4771.9662209341186</v>
      </c>
      <c r="S23" s="454">
        <f>+[5]울산!$L$56/1000</f>
        <v>-22.850563628942918</v>
      </c>
      <c r="T23" s="452">
        <f>+([5]울산!$H$80+[5]울산!$H$85)/1000</f>
        <v>38.614129888888883</v>
      </c>
      <c r="U23" s="453">
        <f>+([5]울산!$I$80+[5]울산!$I$85)/1000</f>
        <v>40.912868619999998</v>
      </c>
      <c r="V23" s="165">
        <f t="shared" si="4"/>
        <v>2.2987387311111149</v>
      </c>
      <c r="W23" s="454">
        <f>+([5]울산!$L$80+[5]울산!$L$85)/1000</f>
        <v>-2.2987387311111114</v>
      </c>
      <c r="Y23" s="6">
        <f t="shared" si="5"/>
        <v>1.4210854715202004E-14</v>
      </c>
      <c r="Z23" s="6">
        <f t="shared" si="6"/>
        <v>1.4210854715202004E-8</v>
      </c>
    </row>
    <row r="24" spans="4:26" ht="24" customHeight="1">
      <c r="D24" s="476" t="s">
        <v>31</v>
      </c>
      <c r="E24" s="455">
        <f>+[5]아산!$H$86/1000</f>
        <v>117.38232544016353</v>
      </c>
      <c r="F24" s="456">
        <f>+[5]아산!$I$86/1000</f>
        <v>117.1592380000001</v>
      </c>
      <c r="G24" s="457">
        <f t="shared" si="0"/>
        <v>-0.2230874401634253</v>
      </c>
      <c r="H24" s="455">
        <f>+[5]아산!$T$5/1000</f>
        <v>14.5</v>
      </c>
      <c r="I24" s="456">
        <f>+[5]아산!$U$5/1000</f>
        <v>17.471</v>
      </c>
      <c r="J24" s="458">
        <f t="shared" si="1"/>
        <v>2.9710000000000001</v>
      </c>
      <c r="K24" s="459">
        <f>+[5]아산!$M$86/1000</f>
        <v>39.583000446938996</v>
      </c>
      <c r="L24" s="455">
        <f>+[5]아산!$Q$85</f>
        <v>100999.68965517242</v>
      </c>
      <c r="M24" s="456">
        <f>+[5]아산!$R$85</f>
        <v>100398.44055864004</v>
      </c>
      <c r="N24" s="458">
        <f t="shared" si="2"/>
        <v>-601.24909653238137</v>
      </c>
      <c r="O24" s="459">
        <f>+[5]아산!$K$86/1000</f>
        <v>-10.504422965517234</v>
      </c>
      <c r="P24" s="455">
        <f>+[5]아산!$Q$50</f>
        <v>87676.565977306731</v>
      </c>
      <c r="Q24" s="456">
        <f>+[5]아산!$R$50</f>
        <v>89152.636790024611</v>
      </c>
      <c r="R24" s="458">
        <f t="shared" si="3"/>
        <v>1476.0708127178805</v>
      </c>
      <c r="S24" s="459">
        <f>+[5]아산!$L$56/1000</f>
        <v>-25.787644130473918</v>
      </c>
      <c r="T24" s="455">
        <f>+([5]아산!$H$80+[5]아산!$H$85)/1000</f>
        <v>75.802967888888872</v>
      </c>
      <c r="U24" s="456">
        <f>+([5]아산!$I$80+[5]아산!$I$85)/1000</f>
        <v>79.316988679999994</v>
      </c>
      <c r="V24" s="458">
        <f t="shared" si="4"/>
        <v>3.5140207911111219</v>
      </c>
      <c r="W24" s="459">
        <f>+([5]아산!$L$80+[5]아산!$L$85)/1000</f>
        <v>-3.514020791111121</v>
      </c>
      <c r="Y24" s="6">
        <f t="shared" si="5"/>
        <v>-1.4654943925052066E-13</v>
      </c>
      <c r="Z24" s="6">
        <f t="shared" si="6"/>
        <v>-1.4654943925052066E-7</v>
      </c>
    </row>
    <row r="25" spans="4:26" ht="24" customHeight="1">
      <c r="D25" s="475" t="s">
        <v>34</v>
      </c>
      <c r="E25" s="452">
        <f>+[5]전주!$H$86/1000</f>
        <v>117.02373707297485</v>
      </c>
      <c r="F25" s="453">
        <f>+[5]전주!$I$86/1000</f>
        <v>-81.422136000000009</v>
      </c>
      <c r="G25" s="189">
        <f t="shared" si="0"/>
        <v>-198.44587307297485</v>
      </c>
      <c r="H25" s="452">
        <f>+[5]전주!$T$5/1000</f>
        <v>10</v>
      </c>
      <c r="I25" s="453">
        <f>+[5]전주!$U$5/1000</f>
        <v>2.2629999999999999</v>
      </c>
      <c r="J25" s="165">
        <f t="shared" si="1"/>
        <v>-7.7370000000000001</v>
      </c>
      <c r="K25" s="454">
        <f>+[5]전주!$M$86/1000</f>
        <v>-128.68644319189409</v>
      </c>
      <c r="L25" s="452">
        <f>+[5]전주!$Q$85</f>
        <v>100837.5808</v>
      </c>
      <c r="M25" s="453">
        <f>+[5]전주!$R$85</f>
        <v>99903.66769774635</v>
      </c>
      <c r="N25" s="165">
        <f t="shared" si="2"/>
        <v>-933.91310225364577</v>
      </c>
      <c r="O25" s="454">
        <f>+[5]전주!$K$86/1000</f>
        <v>-2.1134453504000001</v>
      </c>
      <c r="P25" s="452">
        <f>+[5]전주!$Q$50</f>
        <v>84204.978603813623</v>
      </c>
      <c r="Q25" s="453">
        <f>+[5]전주!$R$50</f>
        <v>114968.75298276624</v>
      </c>
      <c r="R25" s="165">
        <f t="shared" si="3"/>
        <v>30763.774378952614</v>
      </c>
      <c r="S25" s="454">
        <f>+[5]전주!$L$56/1000</f>
        <v>-69.618421409569777</v>
      </c>
      <c r="T25" s="452">
        <f>+([5]전주!$H$80+[5]전주!$H$85)/1000</f>
        <v>49.302284888888892</v>
      </c>
      <c r="U25" s="453">
        <f>+([5]전주!$I$80+[5]전주!$I$85)/1000</f>
        <v>47.329848009999999</v>
      </c>
      <c r="V25" s="165">
        <f t="shared" si="4"/>
        <v>-1.9724368788888924</v>
      </c>
      <c r="W25" s="454">
        <f>+([5]전주!$L$80+[5]전주!$L$85)/1000</f>
        <v>1.9724368788888869</v>
      </c>
      <c r="Y25" s="6">
        <f t="shared" si="5"/>
        <v>1.2634338020234281E-13</v>
      </c>
      <c r="Z25" s="6">
        <f t="shared" si="6"/>
        <v>1.2634338020234281E-7</v>
      </c>
    </row>
    <row r="26" spans="4:26" ht="24" customHeight="1">
      <c r="D26" s="451" t="s">
        <v>33</v>
      </c>
      <c r="E26" s="452">
        <f>+[5]군산!$H$86/1000</f>
        <v>75.802069303816452</v>
      </c>
      <c r="F26" s="453">
        <f>+[5]군산!$I$86/1000</f>
        <v>104.45300700000007</v>
      </c>
      <c r="G26" s="189">
        <f t="shared" si="0"/>
        <v>28.650937696183618</v>
      </c>
      <c r="H26" s="452">
        <f>+[5]군산!$T$5/1000</f>
        <v>4</v>
      </c>
      <c r="I26" s="453">
        <f>+[5]군산!$U$5/1000</f>
        <v>5.5540000000000003</v>
      </c>
      <c r="J26" s="165">
        <f t="shared" si="1"/>
        <v>1.5540000000000003</v>
      </c>
      <c r="K26" s="454">
        <f>+[5]군산!$M$86/1000</f>
        <v>37.550035821866025</v>
      </c>
      <c r="L26" s="452">
        <f>+[5]군산!$Q$85</f>
        <v>108283.51875000002</v>
      </c>
      <c r="M26" s="453">
        <f>+[5]군산!$R$85</f>
        <v>103863.64422038171</v>
      </c>
      <c r="N26" s="165">
        <f t="shared" si="2"/>
        <v>-4419.8745296183042</v>
      </c>
      <c r="O26" s="454">
        <f>+[5]군산!$K$86/1000</f>
        <v>-24.547983137500061</v>
      </c>
      <c r="P26" s="452">
        <f>+[5]군산!$Q$50</f>
        <v>84120.046535157002</v>
      </c>
      <c r="Q26" s="453">
        <f>+[5]군산!$R$50</f>
        <v>81135.4106949946</v>
      </c>
      <c r="R26" s="165">
        <f t="shared" si="3"/>
        <v>-2984.635840162402</v>
      </c>
      <c r="S26" s="454">
        <f>+[5]군산!$L$56/1000</f>
        <v>16.576668246262102</v>
      </c>
      <c r="T26" s="452">
        <f>+([5]군산!$H$80+[5]군산!$H$85)/1000</f>
        <v>20.851819555555558</v>
      </c>
      <c r="U26" s="453">
        <f>+([5]군산!$I$80+[5]군산!$I$85)/1000</f>
        <v>21.779602790000002</v>
      </c>
      <c r="V26" s="165">
        <f t="shared" si="4"/>
        <v>0.9277832344444441</v>
      </c>
      <c r="W26" s="454">
        <f>+([5]군산!$L$80+[5]군산!$L$85)/1000</f>
        <v>-0.92778323444444599</v>
      </c>
      <c r="Y26" s="6">
        <f t="shared" si="5"/>
        <v>-1.6653345369377348E-15</v>
      </c>
      <c r="Z26" s="6">
        <f t="shared" si="6"/>
        <v>-1.6653345369377348E-9</v>
      </c>
    </row>
    <row r="27" spans="4:26" ht="24" customHeight="1">
      <c r="D27" s="451" t="s">
        <v>32</v>
      </c>
      <c r="E27" s="452">
        <f>+[5]원주!$H$86/1000</f>
        <v>20.262079743808652</v>
      </c>
      <c r="F27" s="453">
        <f>+[5]원주!$I$86/1000</f>
        <v>36.29271199999998</v>
      </c>
      <c r="G27" s="189">
        <f t="shared" si="0"/>
        <v>16.030632256191328</v>
      </c>
      <c r="H27" s="452">
        <f>+[5]원주!$T$5/1000</f>
        <v>3</v>
      </c>
      <c r="I27" s="453">
        <f>+[5]원주!$U$5/1000</f>
        <v>3.4064999999999999</v>
      </c>
      <c r="J27" s="165">
        <f t="shared" si="1"/>
        <v>0.40649999999999986</v>
      </c>
      <c r="K27" s="454">
        <f>+[5]원주!$M$86/1000</f>
        <v>4.6353628034107315</v>
      </c>
      <c r="L27" s="452">
        <f>+[5]원주!$Q$85</f>
        <v>107900</v>
      </c>
      <c r="M27" s="453">
        <f>+[5]원주!$R$85</f>
        <v>106985.04811250925</v>
      </c>
      <c r="N27" s="165">
        <f t="shared" si="2"/>
        <v>-914.95188749075169</v>
      </c>
      <c r="O27" s="454">
        <f>+[5]원주!$K$86/1000</f>
        <v>-3.0902500000000139</v>
      </c>
      <c r="P27" s="452">
        <f>+[5]원주!$Q$50</f>
        <v>95799.171381693421</v>
      </c>
      <c r="Q27" s="453">
        <f>+[5]원주!$R$50</f>
        <v>91170.743449296817</v>
      </c>
      <c r="R27" s="165">
        <f t="shared" si="3"/>
        <v>-4628.4279323966039</v>
      </c>
      <c r="S27" s="454">
        <f>+[5]원주!$L$56/1000</f>
        <v>14.903810111669461</v>
      </c>
      <c r="T27" s="452">
        <f>+([5]원주!$H$80+[5]원주!$H$85)/1000</f>
        <v>16.04040611111111</v>
      </c>
      <c r="U27" s="453">
        <f>+([5]원주!$I$80+[5]원주!$I$85)/1000</f>
        <v>16.45869677</v>
      </c>
      <c r="V27" s="165">
        <f t="shared" si="4"/>
        <v>0.41829065888888906</v>
      </c>
      <c r="W27" s="454">
        <f>+([5]원주!$L$80+[5]원주!$L$85)/1000</f>
        <v>-0.41829065888888795</v>
      </c>
      <c r="Y27" s="6">
        <f t="shared" si="5"/>
        <v>3.6193270602780103E-14</v>
      </c>
      <c r="Z27" s="6">
        <f t="shared" si="6"/>
        <v>3.6193270602780103E-8</v>
      </c>
    </row>
    <row r="28" spans="4:26" ht="24" customHeight="1" thickBot="1">
      <c r="D28" s="500" t="s">
        <v>35</v>
      </c>
      <c r="E28" s="523">
        <f>+[5]제주!$H$86/1000</f>
        <v>56.265173866642499</v>
      </c>
      <c r="F28" s="656">
        <f>+[5]제주!$I$86/1000</f>
        <v>14.867435999999978</v>
      </c>
      <c r="G28" s="198">
        <f t="shared" si="0"/>
        <v>-41.397737866642522</v>
      </c>
      <c r="H28" s="523">
        <f>+[5]제주!$T$5/1000</f>
        <v>4</v>
      </c>
      <c r="I28" s="656">
        <f>+[5]제주!$U$5/1000</f>
        <v>2.3984999999999999</v>
      </c>
      <c r="J28" s="199">
        <f t="shared" si="1"/>
        <v>-1.6015000000000001</v>
      </c>
      <c r="K28" s="657">
        <f>+[5]제주!$M$86/1000</f>
        <v>-32.801541726442345</v>
      </c>
      <c r="L28" s="523">
        <f>+[5]제주!$Q$85</f>
        <v>126700</v>
      </c>
      <c r="M28" s="656">
        <f>+[5]제주!$R$85</f>
        <v>128598.05128205127</v>
      </c>
      <c r="N28" s="199">
        <f t="shared" si="2"/>
        <v>1898.0512820512668</v>
      </c>
      <c r="O28" s="657">
        <f>+[5]제주!$K$86/1000</f>
        <v>4.5524759999999631</v>
      </c>
      <c r="P28" s="523">
        <f>+[5]제주!$Q$50</f>
        <v>106218.2380727803</v>
      </c>
      <c r="Q28" s="656">
        <f>+[5]제주!$R$50</f>
        <v>112026.23091325151</v>
      </c>
      <c r="R28" s="199">
        <f t="shared" si="3"/>
        <v>5807.9928404712118</v>
      </c>
      <c r="S28" s="657">
        <f>+[5]제주!$L$56/1000</f>
        <v>-13.982902652436477</v>
      </c>
      <c r="T28" s="523">
        <f>+([5]제주!$H$80+[5]제주!$H$85)/1000</f>
        <v>25.661873842236318</v>
      </c>
      <c r="U28" s="656">
        <f>+([5]제주!$I$80+[5]제주!$I$85)/1000</f>
        <v>24.827643329999997</v>
      </c>
      <c r="V28" s="199">
        <f t="shared" si="4"/>
        <v>-0.83423051223632072</v>
      </c>
      <c r="W28" s="657">
        <f>+([5]제주!$L$80+[5]제주!$L$85)/1000</f>
        <v>0.83423051223631528</v>
      </c>
      <c r="Y28" s="6">
        <f t="shared" si="5"/>
        <v>2.1427304375265521E-14</v>
      </c>
      <c r="Z28" s="6">
        <f t="shared" si="6"/>
        <v>2.1427304375265521E-8</v>
      </c>
    </row>
    <row r="29" spans="4:26" ht="24" customHeight="1"/>
    <row r="30" spans="4:26" ht="24" customHeight="1"/>
    <row r="31" spans="4:26" ht="24" customHeight="1"/>
    <row r="32" spans="4:26" ht="21.95" customHeight="1">
      <c r="F32" s="592"/>
    </row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EF1B-105D-4AB3-9604-2DF289878442}">
  <sheetPr>
    <tabColor theme="1" tint="0.249977111117893"/>
    <pageSetUpPr fitToPage="1"/>
  </sheetPr>
  <dimension ref="D1:V52"/>
  <sheetViews>
    <sheetView showGridLines="0" showZeros="0" view="pageBreakPreview" zoomScale="60" zoomScaleNormal="85" workbookViewId="0">
      <pane xSplit="4" ySplit="7" topLeftCell="E8" activePane="bottomRight" state="frozen"/>
      <selection activeCell="N18" sqref="N18"/>
      <selection pane="topRight" activeCell="N18" sqref="N18"/>
      <selection pane="bottomLeft" activeCell="N18" sqref="N18"/>
      <selection pane="bottomRight" activeCell="N18" sqref="N18"/>
    </sheetView>
  </sheetViews>
  <sheetFormatPr defaultRowHeight="16.5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4:22" ht="9.9499999999999993" customHeight="1"/>
    <row r="2" spans="4:22" ht="9.9499999999999993" hidden="1" customHeight="1"/>
    <row r="3" spans="4:22" ht="9.9499999999999993" customHeight="1"/>
    <row r="4" spans="4:22" ht="31.5">
      <c r="D4" s="184" t="s">
        <v>212</v>
      </c>
      <c r="F4" s="184"/>
      <c r="I4" s="184"/>
    </row>
    <row r="5" spans="4:22" ht="21.95" customHeight="1">
      <c r="V5" s="186" t="s">
        <v>150</v>
      </c>
    </row>
    <row r="6" spans="4:22" ht="24" customHeight="1" thickBot="1">
      <c r="D6" s="822" t="s">
        <v>11</v>
      </c>
      <c r="E6" s="439" t="s">
        <v>21</v>
      </c>
      <c r="F6" s="440"/>
      <c r="G6" s="441"/>
      <c r="H6" s="439" t="s">
        <v>45</v>
      </c>
      <c r="I6" s="440"/>
      <c r="J6" s="441"/>
      <c r="K6" s="439" t="s">
        <v>46</v>
      </c>
      <c r="L6" s="440"/>
      <c r="M6" s="441"/>
      <c r="N6" s="439" t="s">
        <v>103</v>
      </c>
      <c r="O6" s="440"/>
      <c r="P6" s="441"/>
      <c r="Q6" s="439" t="s">
        <v>104</v>
      </c>
      <c r="R6" s="440"/>
      <c r="S6" s="441"/>
      <c r="T6" s="439" t="s">
        <v>69</v>
      </c>
      <c r="U6" s="440"/>
      <c r="V6" s="441"/>
    </row>
    <row r="7" spans="4:22" ht="24" customHeight="1">
      <c r="D7" s="823"/>
      <c r="E7" s="442" t="s">
        <v>12</v>
      </c>
      <c r="F7" s="443" t="s">
        <v>13</v>
      </c>
      <c r="G7" s="444" t="s">
        <v>36</v>
      </c>
      <c r="H7" s="442" t="s">
        <v>15</v>
      </c>
      <c r="I7" s="443" t="s">
        <v>16</v>
      </c>
      <c r="J7" s="444" t="s">
        <v>36</v>
      </c>
      <c r="K7" s="442" t="s">
        <v>15</v>
      </c>
      <c r="L7" s="443" t="s">
        <v>16</v>
      </c>
      <c r="M7" s="444" t="s">
        <v>36</v>
      </c>
      <c r="N7" s="442" t="s">
        <v>15</v>
      </c>
      <c r="O7" s="443" t="s">
        <v>16</v>
      </c>
      <c r="P7" s="444" t="s">
        <v>36</v>
      </c>
      <c r="Q7" s="442" t="s">
        <v>15</v>
      </c>
      <c r="R7" s="443" t="s">
        <v>16</v>
      </c>
      <c r="S7" s="444" t="s">
        <v>36</v>
      </c>
      <c r="T7" s="442" t="s">
        <v>15</v>
      </c>
      <c r="U7" s="443" t="s">
        <v>16</v>
      </c>
      <c r="V7" s="444" t="s">
        <v>36</v>
      </c>
    </row>
    <row r="8" spans="4:22" ht="24" customHeight="1">
      <c r="D8" s="470" t="s">
        <v>47</v>
      </c>
      <c r="E8" s="460">
        <f>+[5]합계!$Q$85</f>
        <v>100174.78637523718</v>
      </c>
      <c r="F8" s="462">
        <f>+[5]합계!$R$85</f>
        <v>102142.72966989514</v>
      </c>
      <c r="G8" s="487">
        <f>+F8-E8</f>
        <v>1967.9432946579618</v>
      </c>
      <c r="H8" s="460">
        <f>+[5]합계!$Q$20</f>
        <v>60018.621251250428</v>
      </c>
      <c r="I8" s="462">
        <f>+[5]합계!$R$20</f>
        <v>62656.450878422627</v>
      </c>
      <c r="J8" s="487">
        <f>+I8-H8</f>
        <v>2637.8296271721993</v>
      </c>
      <c r="K8" s="460">
        <f>+[5]합계!$Q$21</f>
        <v>17232.555279582841</v>
      </c>
      <c r="L8" s="462">
        <f>+[5]합계!$R$21</f>
        <v>17371.261738920621</v>
      </c>
      <c r="M8" s="487">
        <f>+L8-K8</f>
        <v>138.70645933777996</v>
      </c>
      <c r="N8" s="460">
        <f>+[5]합계!$Q$22</f>
        <v>316.77947598253274</v>
      </c>
      <c r="O8" s="462">
        <f>+[5]합계!$R$22</f>
        <v>238.76094724868153</v>
      </c>
      <c r="P8" s="487">
        <f>+O8-N8</f>
        <v>-78.018528733851213</v>
      </c>
      <c r="Q8" s="460">
        <f>H8+K8+N8</f>
        <v>77567.956006815803</v>
      </c>
      <c r="R8" s="462">
        <f>I8+L8+O8</f>
        <v>80266.473564591928</v>
      </c>
      <c r="S8" s="487">
        <f>+R8-Q8</f>
        <v>2698.5175577761256</v>
      </c>
      <c r="T8" s="460">
        <f>+E8-Q8</f>
        <v>22606.830368421375</v>
      </c>
      <c r="U8" s="462">
        <f>+F8-R8</f>
        <v>21876.256105303211</v>
      </c>
      <c r="V8" s="487">
        <f>+U8-T8</f>
        <v>-730.5742631181638</v>
      </c>
    </row>
    <row r="9" spans="4:22" ht="24" customHeight="1">
      <c r="D9" s="471" t="s">
        <v>19</v>
      </c>
      <c r="E9" s="465">
        <f>+[5]수도권!$Q$85</f>
        <v>96282.778988234248</v>
      </c>
      <c r="F9" s="479">
        <f>+[5]수도권!$R$85</f>
        <v>100756.03555768623</v>
      </c>
      <c r="G9" s="488">
        <f t="shared" ref="G9:G28" si="0">+F9-E9</f>
        <v>4473.2565694519872</v>
      </c>
      <c r="H9" s="465">
        <f>+[5]수도권!$Q$20</f>
        <v>61899.034044040789</v>
      </c>
      <c r="I9" s="479">
        <f>+[5]수도권!$R$20</f>
        <v>63800.385624276714</v>
      </c>
      <c r="J9" s="488">
        <f t="shared" ref="J9:J28" si="1">+I9-H9</f>
        <v>1901.3515802359252</v>
      </c>
      <c r="K9" s="465">
        <f>+[5]수도권!$Q$21</f>
        <v>17077.513658921209</v>
      </c>
      <c r="L9" s="479">
        <f>+[5]수도권!$R$21</f>
        <v>17363.345844974108</v>
      </c>
      <c r="M9" s="488">
        <f t="shared" ref="M9:M28" si="2">+L9-K9</f>
        <v>285.83218605289949</v>
      </c>
      <c r="N9" s="465">
        <f>+[5]수도권!$Q$22</f>
        <v>441.78571428571428</v>
      </c>
      <c r="O9" s="479">
        <f>+[5]수도권!$R$22</f>
        <v>298.97434159000312</v>
      </c>
      <c r="P9" s="488">
        <f t="shared" ref="P9:P28" si="3">+O9-N9</f>
        <v>-142.81137269571116</v>
      </c>
      <c r="Q9" s="465">
        <f t="shared" ref="Q9:Q28" si="4">H9+K9+N9</f>
        <v>79418.333417247704</v>
      </c>
      <c r="R9" s="479">
        <f t="shared" ref="R9:R28" si="5">I9+L9+O9</f>
        <v>81462.705810840824</v>
      </c>
      <c r="S9" s="488">
        <f t="shared" ref="S9:S28" si="6">+R9-Q9</f>
        <v>2044.3723935931193</v>
      </c>
      <c r="T9" s="465">
        <f t="shared" ref="T9:T28" si="7">+E9-Q9</f>
        <v>16864.445570986543</v>
      </c>
      <c r="U9" s="479">
        <f t="shared" ref="U9:U28" si="8">+F9-R9</f>
        <v>19293.329746845411</v>
      </c>
      <c r="V9" s="488">
        <f t="shared" ref="V9:V28" si="9">+U9-T9</f>
        <v>2428.8841758588678</v>
      </c>
    </row>
    <row r="10" spans="4:22" ht="24" customHeight="1">
      <c r="D10" s="472" t="s">
        <v>20</v>
      </c>
      <c r="E10" s="467">
        <f>+[5]영남권!$Q$85</f>
        <v>101871.10057560976</v>
      </c>
      <c r="F10" s="480">
        <f>+[5]영남권!$R$85</f>
        <v>102784.6211021312</v>
      </c>
      <c r="G10" s="489">
        <f t="shared" si="0"/>
        <v>913.5205265214463</v>
      </c>
      <c r="H10" s="467">
        <f>+[5]영남권!$Q$20</f>
        <v>58282.47361793404</v>
      </c>
      <c r="I10" s="480">
        <f>+[5]영남권!$R$20</f>
        <v>62518.336217613753</v>
      </c>
      <c r="J10" s="489">
        <f t="shared" si="1"/>
        <v>4235.8625996797127</v>
      </c>
      <c r="K10" s="467">
        <f>+[5]영남권!$Q$21</f>
        <v>17499.410665272171</v>
      </c>
      <c r="L10" s="480">
        <f>+[5]영남권!$R$21</f>
        <v>17417.31866923561</v>
      </c>
      <c r="M10" s="489">
        <f t="shared" si="2"/>
        <v>-82.091996036560886</v>
      </c>
      <c r="N10" s="467">
        <f>+[5]영남권!$Q$22</f>
        <v>218.4390243902439</v>
      </c>
      <c r="O10" s="480">
        <f>+[5]영남권!$R$22</f>
        <v>194.82473910222441</v>
      </c>
      <c r="P10" s="489">
        <f t="shared" si="3"/>
        <v>-23.614285288019488</v>
      </c>
      <c r="Q10" s="467">
        <f t="shared" si="4"/>
        <v>76000.323307596453</v>
      </c>
      <c r="R10" s="480">
        <f t="shared" si="5"/>
        <v>80130.479625951601</v>
      </c>
      <c r="S10" s="489">
        <f t="shared" si="6"/>
        <v>4130.156318355148</v>
      </c>
      <c r="T10" s="467">
        <f t="shared" si="7"/>
        <v>25870.777268013306</v>
      </c>
      <c r="U10" s="480">
        <f t="shared" si="8"/>
        <v>22654.141476179604</v>
      </c>
      <c r="V10" s="489">
        <f t="shared" si="9"/>
        <v>-3216.6357918337017</v>
      </c>
    </row>
    <row r="11" spans="4:22" ht="24" customHeight="1">
      <c r="D11" s="473" t="s">
        <v>57</v>
      </c>
      <c r="E11" s="468">
        <f>+[5]중부권!$Q$85</f>
        <v>105253.67276056339</v>
      </c>
      <c r="F11" s="481">
        <f>+[5]중부권!$R$85</f>
        <v>103875.42689286635</v>
      </c>
      <c r="G11" s="490">
        <f t="shared" si="0"/>
        <v>-1378.2458676970418</v>
      </c>
      <c r="H11" s="468">
        <f>+[5]중부권!$Q$20</f>
        <v>60211.228808180189</v>
      </c>
      <c r="I11" s="481">
        <f>+[5]중부권!$R$20</f>
        <v>59956.486921270232</v>
      </c>
      <c r="J11" s="490">
        <f t="shared" si="1"/>
        <v>-254.74188690995652</v>
      </c>
      <c r="K11" s="468">
        <f>+[5]중부권!$Q$21</f>
        <v>16859.487968232177</v>
      </c>
      <c r="L11" s="481">
        <f>+[5]중부권!$R$21</f>
        <v>17243.458801196874</v>
      </c>
      <c r="M11" s="490">
        <f t="shared" si="2"/>
        <v>383.97083296469646</v>
      </c>
      <c r="N11" s="468">
        <f>+[5]중부권!$Q$22</f>
        <v>280.28169014084506</v>
      </c>
      <c r="O11" s="481">
        <f>+[5]중부권!$R$22</f>
        <v>215.73282712911421</v>
      </c>
      <c r="P11" s="490">
        <f t="shared" si="3"/>
        <v>-64.548863011730845</v>
      </c>
      <c r="Q11" s="468">
        <f t="shared" si="4"/>
        <v>77350.99846655321</v>
      </c>
      <c r="R11" s="481">
        <f t="shared" si="5"/>
        <v>77415.678549596225</v>
      </c>
      <c r="S11" s="490">
        <f t="shared" si="6"/>
        <v>64.680083043014747</v>
      </c>
      <c r="T11" s="468">
        <f t="shared" si="7"/>
        <v>27902.674294010183</v>
      </c>
      <c r="U11" s="481">
        <f t="shared" si="8"/>
        <v>26459.748343270126</v>
      </c>
      <c r="V11" s="490">
        <f t="shared" si="9"/>
        <v>-1442.9259507400566</v>
      </c>
    </row>
    <row r="12" spans="4:22" ht="24" customHeight="1">
      <c r="D12" s="485" t="s">
        <v>22</v>
      </c>
      <c r="E12" s="491">
        <f>+[5]안양!$Q$85</f>
        <v>96660.434722222213</v>
      </c>
      <c r="F12" s="492">
        <f>+[5]안양!$R$85</f>
        <v>100079.76240984302</v>
      </c>
      <c r="G12" s="493">
        <f t="shared" si="0"/>
        <v>3419.327687620811</v>
      </c>
      <c r="H12" s="491">
        <f>+[5]안양!$Q$20</f>
        <v>63152.646612903227</v>
      </c>
      <c r="I12" s="492">
        <f>+[5]안양!$R$20</f>
        <v>63408.626889018502</v>
      </c>
      <c r="J12" s="493">
        <f t="shared" si="1"/>
        <v>255.98027611527505</v>
      </c>
      <c r="K12" s="491">
        <f>+[5]안양!$Q$21</f>
        <v>16660.374824561404</v>
      </c>
      <c r="L12" s="492">
        <f>+[5]안양!$R$21</f>
        <v>16182.896813192638</v>
      </c>
      <c r="M12" s="493">
        <f t="shared" si="2"/>
        <v>-477.4780113687666</v>
      </c>
      <c r="N12" s="491">
        <f>+[5]안양!$Q$22</f>
        <v>319.4444444444444</v>
      </c>
      <c r="O12" s="492">
        <f>+[5]안양!$R$22</f>
        <v>259.76295137600084</v>
      </c>
      <c r="P12" s="493">
        <f t="shared" si="3"/>
        <v>-59.681493068443558</v>
      </c>
      <c r="Q12" s="491">
        <f t="shared" si="4"/>
        <v>80132.465881909069</v>
      </c>
      <c r="R12" s="492">
        <f t="shared" si="5"/>
        <v>79851.286653587144</v>
      </c>
      <c r="S12" s="493">
        <f t="shared" si="6"/>
        <v>-281.17922832192562</v>
      </c>
      <c r="T12" s="491">
        <f t="shared" si="7"/>
        <v>16527.968840313144</v>
      </c>
      <c r="U12" s="492">
        <f t="shared" si="8"/>
        <v>20228.475756255881</v>
      </c>
      <c r="V12" s="493">
        <f t="shared" si="9"/>
        <v>3700.5069159427367</v>
      </c>
    </row>
    <row r="13" spans="4:22" ht="24" customHeight="1">
      <c r="D13" s="451" t="s">
        <v>23</v>
      </c>
      <c r="E13" s="494">
        <f>+[5]인천!$Q$85</f>
        <v>97454.438750000001</v>
      </c>
      <c r="F13" s="495">
        <f>+[5]인천!$R$85</f>
        <v>100287.59663829788</v>
      </c>
      <c r="G13" s="496">
        <f t="shared" si="0"/>
        <v>2833.1578882978793</v>
      </c>
      <c r="H13" s="494">
        <f>+[5]인천!$Q$20</f>
        <v>64338.111969595848</v>
      </c>
      <c r="I13" s="495">
        <f>+[5]인천!$R$20</f>
        <v>64541.094018548458</v>
      </c>
      <c r="J13" s="496">
        <f t="shared" si="1"/>
        <v>202.98204895261006</v>
      </c>
      <c r="K13" s="494">
        <f>+[5]인천!$Q$21</f>
        <v>17045.255017182128</v>
      </c>
      <c r="L13" s="495">
        <f>+[5]인천!$R$21</f>
        <v>17128.155832553388</v>
      </c>
      <c r="M13" s="496">
        <f t="shared" si="2"/>
        <v>82.900815371260251</v>
      </c>
      <c r="N13" s="494">
        <f>+[5]인천!$Q$22</f>
        <v>850</v>
      </c>
      <c r="O13" s="495">
        <f>+[5]인천!$R$22</f>
        <v>421.47328341699989</v>
      </c>
      <c r="P13" s="496">
        <f t="shared" si="3"/>
        <v>-428.52671658300011</v>
      </c>
      <c r="Q13" s="494">
        <f t="shared" si="4"/>
        <v>82233.366986777983</v>
      </c>
      <c r="R13" s="495">
        <f t="shared" si="5"/>
        <v>82090.723134518848</v>
      </c>
      <c r="S13" s="496">
        <f t="shared" si="6"/>
        <v>-142.64385225913429</v>
      </c>
      <c r="T13" s="494">
        <f t="shared" si="7"/>
        <v>15221.071763222018</v>
      </c>
      <c r="U13" s="495">
        <f t="shared" si="8"/>
        <v>18196.873503779032</v>
      </c>
      <c r="V13" s="496">
        <f t="shared" si="9"/>
        <v>2975.8017405570135</v>
      </c>
    </row>
    <row r="14" spans="4:22" ht="24" customHeight="1">
      <c r="D14" s="451" t="s">
        <v>24</v>
      </c>
      <c r="E14" s="494">
        <f>+[5]파주!$Q$85</f>
        <v>96151.724187110376</v>
      </c>
      <c r="F14" s="495">
        <f>+[5]파주!$R$85</f>
        <v>103935.69040902681</v>
      </c>
      <c r="G14" s="496">
        <f t="shared" si="0"/>
        <v>7783.9662219164311</v>
      </c>
      <c r="H14" s="494">
        <f>+[5]파주!$Q$20</f>
        <v>60017.764002662574</v>
      </c>
      <c r="I14" s="495">
        <f>+[5]파주!$R$20</f>
        <v>64645.188991323208</v>
      </c>
      <c r="J14" s="496">
        <f t="shared" si="1"/>
        <v>4627.424988660634</v>
      </c>
      <c r="K14" s="494">
        <f>+[5]파주!$Q$21</f>
        <v>17733.55</v>
      </c>
      <c r="L14" s="495">
        <f>+[5]파주!$R$21</f>
        <v>19503.323915401303</v>
      </c>
      <c r="M14" s="496">
        <f t="shared" si="2"/>
        <v>1769.7739154013034</v>
      </c>
      <c r="N14" s="494">
        <f>+[5]파주!$Q$22</f>
        <v>250.11904761904762</v>
      </c>
      <c r="O14" s="495">
        <f>+[5]파주!$R$22</f>
        <v>188.79029284164861</v>
      </c>
      <c r="P14" s="496">
        <f t="shared" si="3"/>
        <v>-61.328754777399013</v>
      </c>
      <c r="Q14" s="494">
        <f t="shared" si="4"/>
        <v>78001.43305028163</v>
      </c>
      <c r="R14" s="495">
        <f t="shared" si="5"/>
        <v>84337.303199566159</v>
      </c>
      <c r="S14" s="496">
        <f t="shared" si="6"/>
        <v>6335.8701492845285</v>
      </c>
      <c r="T14" s="494">
        <f t="shared" si="7"/>
        <v>18150.291136828746</v>
      </c>
      <c r="U14" s="495">
        <f t="shared" si="8"/>
        <v>19598.387209460649</v>
      </c>
      <c r="V14" s="496">
        <f t="shared" si="9"/>
        <v>1448.0960726319026</v>
      </c>
    </row>
    <row r="15" spans="4:22" ht="24" customHeight="1">
      <c r="D15" s="451" t="s">
        <v>178</v>
      </c>
      <c r="E15" s="494">
        <f>+[5]김포!$Q$85</f>
        <v>92386.45</v>
      </c>
      <c r="F15" s="495">
        <f>+[5]김포!$R$85</f>
        <v>96995.302194997435</v>
      </c>
      <c r="G15" s="496">
        <f t="shared" si="0"/>
        <v>4608.8521949974383</v>
      </c>
      <c r="H15" s="494">
        <f>+[5]김포!$Q$20</f>
        <v>55482.908861698183</v>
      </c>
      <c r="I15" s="495">
        <f>+[5]김포!$R$20</f>
        <v>60704.531531531524</v>
      </c>
      <c r="J15" s="496">
        <f t="shared" si="1"/>
        <v>5221.6226698333412</v>
      </c>
      <c r="K15" s="494">
        <f>+[5]김포!$Q$21</f>
        <v>17278.957886524822</v>
      </c>
      <c r="L15" s="495">
        <f>+[5]김포!$R$21</f>
        <v>19163.678565357808</v>
      </c>
      <c r="M15" s="496">
        <f t="shared" si="2"/>
        <v>1884.7206788329859</v>
      </c>
      <c r="N15" s="494">
        <f>+[5]김포!$Q$22</f>
        <v>305</v>
      </c>
      <c r="O15" s="495">
        <f>+[5]김포!$R$22</f>
        <v>406.28505864354923</v>
      </c>
      <c r="P15" s="496">
        <f t="shared" si="3"/>
        <v>101.28505864354923</v>
      </c>
      <c r="Q15" s="494">
        <f t="shared" si="4"/>
        <v>73066.866748223008</v>
      </c>
      <c r="R15" s="495">
        <f t="shared" si="5"/>
        <v>80274.495155532888</v>
      </c>
      <c r="S15" s="496">
        <f t="shared" si="6"/>
        <v>7207.6284073098795</v>
      </c>
      <c r="T15" s="494">
        <f t="shared" si="7"/>
        <v>19319.583251776989</v>
      </c>
      <c r="U15" s="495">
        <f t="shared" si="8"/>
        <v>16720.807039464547</v>
      </c>
      <c r="V15" s="496">
        <f t="shared" si="9"/>
        <v>-2598.7762123124412</v>
      </c>
    </row>
    <row r="16" spans="4:22" ht="24" customHeight="1">
      <c r="D16" s="486" t="s">
        <v>25</v>
      </c>
      <c r="E16" s="497">
        <f>+[5]부산!$Q$85</f>
        <v>107600.1518125</v>
      </c>
      <c r="F16" s="498">
        <f>+[5]부산!$R$85</f>
        <v>112651.28528528528</v>
      </c>
      <c r="G16" s="499">
        <f t="shared" si="0"/>
        <v>5051.1334727852809</v>
      </c>
      <c r="H16" s="497">
        <f>+[5]부산!$Q$20</f>
        <v>59374.580507000937</v>
      </c>
      <c r="I16" s="498">
        <f>+[5]부산!$R$20</f>
        <v>66743.823476541438</v>
      </c>
      <c r="J16" s="499">
        <f t="shared" si="1"/>
        <v>7369.2429695405008</v>
      </c>
      <c r="K16" s="497">
        <f>+[5]부산!$Q$21</f>
        <v>19170.218055555557</v>
      </c>
      <c r="L16" s="498">
        <f>+[5]부산!$R$21</f>
        <v>19688.380669902333</v>
      </c>
      <c r="M16" s="499">
        <f t="shared" si="2"/>
        <v>518.16261434677654</v>
      </c>
      <c r="N16" s="497">
        <f>+[5]부산!$Q$22</f>
        <v>250</v>
      </c>
      <c r="O16" s="498">
        <f>+[5]부산!$R$22</f>
        <v>0</v>
      </c>
      <c r="P16" s="499">
        <f t="shared" si="3"/>
        <v>-250</v>
      </c>
      <c r="Q16" s="497">
        <f t="shared" si="4"/>
        <v>78794.798562556491</v>
      </c>
      <c r="R16" s="498">
        <f t="shared" si="5"/>
        <v>86432.204146443779</v>
      </c>
      <c r="S16" s="499">
        <f t="shared" si="6"/>
        <v>7637.4055838872882</v>
      </c>
      <c r="T16" s="497">
        <f t="shared" si="7"/>
        <v>28805.35324994351</v>
      </c>
      <c r="U16" s="498">
        <f t="shared" si="8"/>
        <v>26219.081138841502</v>
      </c>
      <c r="V16" s="499">
        <f t="shared" si="9"/>
        <v>-2586.2721111020073</v>
      </c>
    </row>
    <row r="17" spans="4:22" ht="24" customHeight="1">
      <c r="D17" s="451" t="s">
        <v>26</v>
      </c>
      <c r="E17" s="494">
        <f>+[5]서부산!$Q$85</f>
        <v>104021.28842105264</v>
      </c>
      <c r="F17" s="495">
        <f>+[5]서부산!$R$85</f>
        <v>102685.96401638858</v>
      </c>
      <c r="G17" s="496">
        <f t="shared" si="0"/>
        <v>-1335.3244046640611</v>
      </c>
      <c r="H17" s="494">
        <f>+[5]서부산!$Q$20</f>
        <v>61634.803697270472</v>
      </c>
      <c r="I17" s="495">
        <f>+[5]서부산!$R$20</f>
        <v>65384.109375927801</v>
      </c>
      <c r="J17" s="496">
        <f t="shared" si="1"/>
        <v>3749.3056786573288</v>
      </c>
      <c r="K17" s="494">
        <f>+[5]서부산!$Q$21</f>
        <v>16200.975782239102</v>
      </c>
      <c r="L17" s="495">
        <f>+[5]서부산!$R$21</f>
        <v>16039.733388753639</v>
      </c>
      <c r="M17" s="496">
        <f t="shared" si="2"/>
        <v>-161.24239348546325</v>
      </c>
      <c r="N17" s="494">
        <f>+[5]서부산!$Q$22</f>
        <v>105.26315789473684</v>
      </c>
      <c r="O17" s="495">
        <f>+[5]서부산!$R$22</f>
        <v>288.02381093759283</v>
      </c>
      <c r="P17" s="496">
        <f t="shared" si="3"/>
        <v>182.76065304285601</v>
      </c>
      <c r="Q17" s="494">
        <f t="shared" si="4"/>
        <v>77941.042637404302</v>
      </c>
      <c r="R17" s="495">
        <f t="shared" si="5"/>
        <v>81711.866575619031</v>
      </c>
      <c r="S17" s="496">
        <f t="shared" si="6"/>
        <v>3770.8239382147294</v>
      </c>
      <c r="T17" s="494">
        <f t="shared" si="7"/>
        <v>26080.245783648337</v>
      </c>
      <c r="U17" s="495">
        <f t="shared" si="8"/>
        <v>20974.097440769547</v>
      </c>
      <c r="V17" s="496">
        <f t="shared" si="9"/>
        <v>-5106.1483428787906</v>
      </c>
    </row>
    <row r="18" spans="4:22" ht="24" customHeight="1">
      <c r="D18" s="451" t="s">
        <v>27</v>
      </c>
      <c r="E18" s="494">
        <f>+[5]김해!$Q$85</f>
        <v>100999.60000000002</v>
      </c>
      <c r="F18" s="495">
        <f>+[5]김해!$R$85</f>
        <v>103042.67855075818</v>
      </c>
      <c r="G18" s="496">
        <f t="shared" si="0"/>
        <v>2043.0785507581604</v>
      </c>
      <c r="H18" s="494">
        <f>+[5]김해!$Q$20</f>
        <v>58876.02485378211</v>
      </c>
      <c r="I18" s="495">
        <f>+[5]김해!$R$20</f>
        <v>64324.89061233939</v>
      </c>
      <c r="J18" s="496">
        <f t="shared" si="1"/>
        <v>5448.8657585572801</v>
      </c>
      <c r="K18" s="494">
        <f>+[5]김해!$Q$21</f>
        <v>17688.744300903774</v>
      </c>
      <c r="L18" s="495">
        <f>+[5]김해!$R$21</f>
        <v>18947.440212987611</v>
      </c>
      <c r="M18" s="496">
        <f t="shared" si="2"/>
        <v>1258.6959120838364</v>
      </c>
      <c r="N18" s="494">
        <f>+[5]김해!$Q$22</f>
        <v>254.54545454545453</v>
      </c>
      <c r="O18" s="495">
        <f>+[5]김해!$R$22</f>
        <v>513.65285333950692</v>
      </c>
      <c r="P18" s="496">
        <f t="shared" si="3"/>
        <v>259.10739879405241</v>
      </c>
      <c r="Q18" s="494">
        <f t="shared" si="4"/>
        <v>76819.31460923134</v>
      </c>
      <c r="R18" s="495">
        <f t="shared" si="5"/>
        <v>83785.983678666496</v>
      </c>
      <c r="S18" s="496">
        <f t="shared" si="6"/>
        <v>6966.6690694351564</v>
      </c>
      <c r="T18" s="494">
        <f t="shared" si="7"/>
        <v>24180.28539076868</v>
      </c>
      <c r="U18" s="495">
        <f t="shared" si="8"/>
        <v>19256.694872091684</v>
      </c>
      <c r="V18" s="496">
        <f t="shared" si="9"/>
        <v>-4923.590518676996</v>
      </c>
    </row>
    <row r="19" spans="4:22" ht="24" customHeight="1">
      <c r="D19" s="451" t="s">
        <v>28</v>
      </c>
      <c r="E19" s="494">
        <f>+[5]정관!$Q$85</f>
        <v>104000</v>
      </c>
      <c r="F19" s="495">
        <f>+[5]정관!$R$85</f>
        <v>99708.73280811857</v>
      </c>
      <c r="G19" s="496">
        <f t="shared" si="0"/>
        <v>-4291.2671918814303</v>
      </c>
      <c r="H19" s="494">
        <f>+[5]정관!$Q$20</f>
        <v>60131.215732545097</v>
      </c>
      <c r="I19" s="495">
        <f>+[5]정관!$R$20</f>
        <v>65957.019895847247</v>
      </c>
      <c r="J19" s="496">
        <f t="shared" si="1"/>
        <v>5825.8041633021494</v>
      </c>
      <c r="K19" s="494">
        <f>+[5]정관!$Q$21</f>
        <v>18582.322569444445</v>
      </c>
      <c r="L19" s="495">
        <f>+[5]정관!$R$21</f>
        <v>18142.178261450128</v>
      </c>
      <c r="M19" s="496">
        <f t="shared" si="2"/>
        <v>-440.14430799431648</v>
      </c>
      <c r="N19" s="494">
        <f>+[5]정관!$Q$22</f>
        <v>281.25</v>
      </c>
      <c r="O19" s="495">
        <f>+[5]정관!$R$22</f>
        <v>211.54513286153025</v>
      </c>
      <c r="P19" s="496">
        <f t="shared" si="3"/>
        <v>-69.704867138469751</v>
      </c>
      <c r="Q19" s="494">
        <f t="shared" si="4"/>
        <v>78994.788301989538</v>
      </c>
      <c r="R19" s="495">
        <f t="shared" si="5"/>
        <v>84310.743290158905</v>
      </c>
      <c r="S19" s="496">
        <f t="shared" si="6"/>
        <v>5315.9549881693674</v>
      </c>
      <c r="T19" s="494">
        <f t="shared" si="7"/>
        <v>25005.211698010462</v>
      </c>
      <c r="U19" s="495">
        <f t="shared" si="8"/>
        <v>15397.989517959664</v>
      </c>
      <c r="V19" s="496">
        <f t="shared" si="9"/>
        <v>-9607.2221800507978</v>
      </c>
    </row>
    <row r="20" spans="4:22" ht="24" customHeight="1">
      <c r="D20" s="451" t="s">
        <v>29</v>
      </c>
      <c r="E20" s="494">
        <f>+[5]양산!$Q$85</f>
        <v>96066.422222222202</v>
      </c>
      <c r="F20" s="495">
        <f>+[5]양산!$R$85</f>
        <v>96734.299016530655</v>
      </c>
      <c r="G20" s="496">
        <f t="shared" si="0"/>
        <v>667.8767943084531</v>
      </c>
      <c r="H20" s="494">
        <f>+[5]양산!$Q$20</f>
        <v>54407.081495472507</v>
      </c>
      <c r="I20" s="495">
        <f>+[5]양산!$R$20</f>
        <v>55515.013915044983</v>
      </c>
      <c r="J20" s="496">
        <f t="shared" si="1"/>
        <v>1107.9324195724766</v>
      </c>
      <c r="K20" s="494">
        <f>+[5]양산!$Q$21</f>
        <v>16900.316228070176</v>
      </c>
      <c r="L20" s="495">
        <f>+[5]양산!$R$21</f>
        <v>15888.200564971752</v>
      </c>
      <c r="M20" s="496">
        <f t="shared" si="2"/>
        <v>-1012.1156630984242</v>
      </c>
      <c r="N20" s="494">
        <f>+[5]양산!$Q$22</f>
        <v>105.55555555555556</v>
      </c>
      <c r="O20" s="495">
        <f>+[5]양산!$R$22</f>
        <v>55.911801632140616</v>
      </c>
      <c r="P20" s="496">
        <f t="shared" si="3"/>
        <v>-49.643753923414941</v>
      </c>
      <c r="Q20" s="494">
        <f t="shared" si="4"/>
        <v>71412.953279098248</v>
      </c>
      <c r="R20" s="495">
        <f t="shared" si="5"/>
        <v>71459.126281648874</v>
      </c>
      <c r="S20" s="496">
        <f t="shared" si="6"/>
        <v>46.173002550625824</v>
      </c>
      <c r="T20" s="494">
        <f t="shared" si="7"/>
        <v>24653.468943123953</v>
      </c>
      <c r="U20" s="495">
        <f t="shared" si="8"/>
        <v>25275.17273488178</v>
      </c>
      <c r="V20" s="496">
        <f t="shared" si="9"/>
        <v>621.70379175782728</v>
      </c>
    </row>
    <row r="21" spans="4:22" ht="24" customHeight="1">
      <c r="D21" s="451" t="s">
        <v>30</v>
      </c>
      <c r="E21" s="494">
        <f>+[5]창원!$Q$85</f>
        <v>99586</v>
      </c>
      <c r="F21" s="495">
        <f>+[5]창원!$R$85</f>
        <v>99562.104445738689</v>
      </c>
      <c r="G21" s="496">
        <f t="shared" si="0"/>
        <v>-23.89555426131119</v>
      </c>
      <c r="H21" s="494">
        <f>+[5]창원!$Q$20</f>
        <v>55903.538197997783</v>
      </c>
      <c r="I21" s="495">
        <f>+[5]창원!$R$20</f>
        <v>58502.714553808328</v>
      </c>
      <c r="J21" s="496">
        <f t="shared" si="1"/>
        <v>2599.1763558105449</v>
      </c>
      <c r="K21" s="494">
        <f>+[5]창원!$Q$21</f>
        <v>16328.153551165144</v>
      </c>
      <c r="L21" s="495">
        <f>+[5]창원!$R$21</f>
        <v>15150.228693457582</v>
      </c>
      <c r="M21" s="496">
        <f t="shared" si="2"/>
        <v>-1177.9248577075614</v>
      </c>
      <c r="N21" s="494">
        <f>+[5]창원!$Q$22</f>
        <v>192.85714285714286</v>
      </c>
      <c r="O21" s="495">
        <f>+[5]창원!$R$22</f>
        <v>106.29256455057271</v>
      </c>
      <c r="P21" s="496">
        <f t="shared" si="3"/>
        <v>-86.564578306570155</v>
      </c>
      <c r="Q21" s="494">
        <f t="shared" si="4"/>
        <v>72424.548892020073</v>
      </c>
      <c r="R21" s="495">
        <f t="shared" si="5"/>
        <v>73759.235811816485</v>
      </c>
      <c r="S21" s="496">
        <f t="shared" si="6"/>
        <v>1334.6869197964115</v>
      </c>
      <c r="T21" s="494">
        <f t="shared" si="7"/>
        <v>27161.451107979927</v>
      </c>
      <c r="U21" s="495">
        <f t="shared" si="8"/>
        <v>25802.868633922204</v>
      </c>
      <c r="V21" s="496">
        <f t="shared" si="9"/>
        <v>-1358.5824740577227</v>
      </c>
    </row>
    <row r="22" spans="4:22" ht="24" customHeight="1">
      <c r="D22" s="451" t="s">
        <v>95</v>
      </c>
      <c r="E22" s="494">
        <f>+[5]대구!$Q$85</f>
        <v>97800</v>
      </c>
      <c r="F22" s="495">
        <f>+[5]대구!$R$85</f>
        <v>102306.90147888834</v>
      </c>
      <c r="G22" s="496">
        <f t="shared" si="0"/>
        <v>4506.901478888336</v>
      </c>
      <c r="H22" s="494">
        <f>+[5]대구!$Q$20</f>
        <v>54506.921623775437</v>
      </c>
      <c r="I22" s="495">
        <f>+[5]대구!$R$20</f>
        <v>59239.609440834109</v>
      </c>
      <c r="J22" s="496">
        <f t="shared" si="1"/>
        <v>4732.6878170586715</v>
      </c>
      <c r="K22" s="494">
        <f>+[5]대구!$Q$21</f>
        <v>16608.326701388891</v>
      </c>
      <c r="L22" s="495">
        <f>+[5]대구!$R$21</f>
        <v>15128.767335570948</v>
      </c>
      <c r="M22" s="496">
        <f t="shared" si="2"/>
        <v>-1479.5593658179423</v>
      </c>
      <c r="N22" s="494">
        <f>+[5]대구!$Q$22</f>
        <v>325.92592592592598</v>
      </c>
      <c r="O22" s="495">
        <f>+[5]대구!$R$22</f>
        <v>252.02542312361638</v>
      </c>
      <c r="P22" s="496">
        <f t="shared" si="3"/>
        <v>-73.900502802309603</v>
      </c>
      <c r="Q22" s="494">
        <f t="shared" si="4"/>
        <v>71441.174251090255</v>
      </c>
      <c r="R22" s="495">
        <f t="shared" si="5"/>
        <v>74620.402199528675</v>
      </c>
      <c r="S22" s="496">
        <f t="shared" si="6"/>
        <v>3179.2279484384198</v>
      </c>
      <c r="T22" s="494">
        <f t="shared" si="7"/>
        <v>26358.825748909745</v>
      </c>
      <c r="U22" s="495">
        <f t="shared" si="8"/>
        <v>27686.499279359661</v>
      </c>
      <c r="V22" s="496">
        <f t="shared" si="9"/>
        <v>1327.6735304499161</v>
      </c>
    </row>
    <row r="23" spans="4:22" ht="24" customHeight="1">
      <c r="D23" s="451" t="s">
        <v>97</v>
      </c>
      <c r="E23" s="494">
        <f>+[5]울산!$Q$85</f>
        <v>97420.875</v>
      </c>
      <c r="F23" s="495">
        <f>+[5]울산!$R$85</f>
        <v>101852.38592461105</v>
      </c>
      <c r="G23" s="496">
        <f t="shared" si="0"/>
        <v>4431.5109246110515</v>
      </c>
      <c r="H23" s="494">
        <f>+[5]울산!$Q$20</f>
        <v>58751.638053392657</v>
      </c>
      <c r="I23" s="495">
        <f>+[5]울산!$R$20</f>
        <v>60223.274511851312</v>
      </c>
      <c r="J23" s="496">
        <f t="shared" si="1"/>
        <v>1471.6364584586554</v>
      </c>
      <c r="K23" s="494">
        <f>+[5]울산!$Q$21</f>
        <v>20586.202445054943</v>
      </c>
      <c r="L23" s="495">
        <f>+[5]울산!$R$21</f>
        <v>26379.985381643521</v>
      </c>
      <c r="M23" s="496">
        <f t="shared" si="2"/>
        <v>5793.7829365885773</v>
      </c>
      <c r="N23" s="494">
        <f>+[5]울산!$Q$22</f>
        <v>260</v>
      </c>
      <c r="O23" s="495">
        <f>+[5]울산!$R$22</f>
        <v>314.25811840868749</v>
      </c>
      <c r="P23" s="496">
        <f t="shared" si="3"/>
        <v>54.258118408687494</v>
      </c>
      <c r="Q23" s="494">
        <f t="shared" si="4"/>
        <v>79597.840498447593</v>
      </c>
      <c r="R23" s="495">
        <f t="shared" si="5"/>
        <v>86917.518011903521</v>
      </c>
      <c r="S23" s="496">
        <f t="shared" si="6"/>
        <v>7319.6775134559284</v>
      </c>
      <c r="T23" s="494">
        <f t="shared" si="7"/>
        <v>17823.034501552407</v>
      </c>
      <c r="U23" s="495">
        <f t="shared" si="8"/>
        <v>14934.86791270753</v>
      </c>
      <c r="V23" s="496">
        <f t="shared" si="9"/>
        <v>-2888.166588844877</v>
      </c>
    </row>
    <row r="24" spans="4:22" ht="24" customHeight="1">
      <c r="D24" s="486" t="s">
        <v>31</v>
      </c>
      <c r="E24" s="497">
        <f>+[5]아산!$Q$85</f>
        <v>100999.68965517242</v>
      </c>
      <c r="F24" s="498">
        <f>+[5]아산!$R$85</f>
        <v>100398.44055864004</v>
      </c>
      <c r="G24" s="499">
        <f t="shared" si="0"/>
        <v>-601.24909653238137</v>
      </c>
      <c r="H24" s="497">
        <f>+[5]아산!$Q$20</f>
        <v>58318.79435817575</v>
      </c>
      <c r="I24" s="498">
        <f>+[5]아산!$R$20</f>
        <v>59504.554824686849</v>
      </c>
      <c r="J24" s="499">
        <f t="shared" si="1"/>
        <v>1185.7604665110994</v>
      </c>
      <c r="K24" s="497">
        <f>+[5]아산!$Q$21</f>
        <v>19344.435387625334</v>
      </c>
      <c r="L24" s="498">
        <f>+[5]아산!$R$21</f>
        <v>19668.271292112338</v>
      </c>
      <c r="M24" s="499">
        <f t="shared" si="2"/>
        <v>323.83590448700488</v>
      </c>
      <c r="N24" s="497">
        <f>+[5]아산!$Q$22</f>
        <v>344.82758620689657</v>
      </c>
      <c r="O24" s="498">
        <f>+[5]아산!$R$22</f>
        <v>203.97546187725217</v>
      </c>
      <c r="P24" s="499">
        <f t="shared" si="3"/>
        <v>-140.8521243296444</v>
      </c>
      <c r="Q24" s="497">
        <f t="shared" si="4"/>
        <v>78008.057332007986</v>
      </c>
      <c r="R24" s="498">
        <f t="shared" si="5"/>
        <v>79376.801578676444</v>
      </c>
      <c r="S24" s="499">
        <f t="shared" si="6"/>
        <v>1368.7442466684588</v>
      </c>
      <c r="T24" s="497">
        <f t="shared" si="7"/>
        <v>22991.632323164435</v>
      </c>
      <c r="U24" s="498">
        <f t="shared" si="8"/>
        <v>21021.638979963594</v>
      </c>
      <c r="V24" s="499">
        <f t="shared" si="9"/>
        <v>-1969.9933432008402</v>
      </c>
    </row>
    <row r="25" spans="4:22" ht="24" customHeight="1">
      <c r="D25" s="451" t="s">
        <v>34</v>
      </c>
      <c r="E25" s="494">
        <f>+[5]전주!$Q$85</f>
        <v>100837.5808</v>
      </c>
      <c r="F25" s="495">
        <f>+[5]전주!$R$85</f>
        <v>99903.66769774635</v>
      </c>
      <c r="G25" s="496">
        <f t="shared" si="0"/>
        <v>-933.91310225364577</v>
      </c>
      <c r="H25" s="494">
        <f>+[5]전주!$Q$20</f>
        <v>58500.304715609935</v>
      </c>
      <c r="I25" s="495">
        <f>+[5]전주!$R$20</f>
        <v>57446.294299602298</v>
      </c>
      <c r="J25" s="496">
        <f t="shared" si="1"/>
        <v>-1054.0104160076371</v>
      </c>
      <c r="K25" s="494">
        <f>+[5]전주!$Q$21</f>
        <v>15932.226306451616</v>
      </c>
      <c r="L25" s="495">
        <f>+[5]전주!$R$21</f>
        <v>15917.276623950509</v>
      </c>
      <c r="M25" s="496">
        <f t="shared" si="2"/>
        <v>-14.949682501106508</v>
      </c>
      <c r="N25" s="494">
        <f>+[5]전주!$Q$22</f>
        <v>300</v>
      </c>
      <c r="O25" s="495">
        <f>+[5]전주!$R$22</f>
        <v>303.00220945647374</v>
      </c>
      <c r="P25" s="496">
        <f t="shared" si="3"/>
        <v>3.0022094564737358</v>
      </c>
      <c r="Q25" s="494">
        <f t="shared" si="4"/>
        <v>74732.53102206155</v>
      </c>
      <c r="R25" s="495">
        <f t="shared" si="5"/>
        <v>73666.573133009282</v>
      </c>
      <c r="S25" s="496">
        <f t="shared" si="6"/>
        <v>-1065.957889052268</v>
      </c>
      <c r="T25" s="494">
        <f t="shared" si="7"/>
        <v>26105.049777938446</v>
      </c>
      <c r="U25" s="495">
        <f t="shared" si="8"/>
        <v>26237.094564737068</v>
      </c>
      <c r="V25" s="496">
        <f t="shared" si="9"/>
        <v>132.04478679862223</v>
      </c>
    </row>
    <row r="26" spans="4:22" ht="24" customHeight="1">
      <c r="D26" s="451" t="s">
        <v>33</v>
      </c>
      <c r="E26" s="494">
        <f>+[5]군산!$Q$85</f>
        <v>108283.51875000002</v>
      </c>
      <c r="F26" s="495">
        <f>+[5]군산!$R$85</f>
        <v>103863.64422038171</v>
      </c>
      <c r="G26" s="496">
        <f t="shared" si="0"/>
        <v>-4419.8745296183042</v>
      </c>
      <c r="H26" s="494">
        <f>+[5]군산!$Q$20</f>
        <v>57626.266559139782</v>
      </c>
      <c r="I26" s="495">
        <f>+[5]군산!$R$20</f>
        <v>57797.922218221102</v>
      </c>
      <c r="J26" s="496">
        <f t="shared" si="1"/>
        <v>171.65565908131975</v>
      </c>
      <c r="K26" s="494">
        <f>+[5]군산!$Q$21</f>
        <v>12661.575000000001</v>
      </c>
      <c r="L26" s="495">
        <f>+[5]군산!$R$21</f>
        <v>12964.499099747929</v>
      </c>
      <c r="M26" s="496">
        <f t="shared" si="2"/>
        <v>302.92409974792827</v>
      </c>
      <c r="N26" s="494">
        <f>+[5]군산!$Q$22</f>
        <v>112.5</v>
      </c>
      <c r="O26" s="495">
        <f>+[5]군산!$R$22</f>
        <v>59.974972992437884</v>
      </c>
      <c r="P26" s="496">
        <f t="shared" si="3"/>
        <v>-52.525027007562116</v>
      </c>
      <c r="Q26" s="494">
        <f t="shared" si="4"/>
        <v>70400.341559139779</v>
      </c>
      <c r="R26" s="495">
        <f t="shared" si="5"/>
        <v>70822.396290961464</v>
      </c>
      <c r="S26" s="496">
        <f t="shared" si="6"/>
        <v>422.05473182168498</v>
      </c>
      <c r="T26" s="494">
        <f t="shared" si="7"/>
        <v>37883.177190860239</v>
      </c>
      <c r="U26" s="495">
        <f t="shared" si="8"/>
        <v>33041.247929420249</v>
      </c>
      <c r="V26" s="496">
        <f t="shared" si="9"/>
        <v>-4841.9292614399892</v>
      </c>
    </row>
    <row r="27" spans="4:22" ht="24" customHeight="1">
      <c r="D27" s="451" t="s">
        <v>32</v>
      </c>
      <c r="E27" s="494">
        <f>+[5]원주!$Q$85</f>
        <v>107900</v>
      </c>
      <c r="F27" s="495">
        <f>+[5]원주!$R$85</f>
        <v>106985.04811250925</v>
      </c>
      <c r="G27" s="496">
        <f t="shared" si="0"/>
        <v>-914.95188749075169</v>
      </c>
      <c r="H27" s="494">
        <f>+[5]원주!$Q$20</f>
        <v>58993.918279569902</v>
      </c>
      <c r="I27" s="495">
        <f>+[5]원주!$R$20</f>
        <v>59052.375129533677</v>
      </c>
      <c r="J27" s="496">
        <f t="shared" si="1"/>
        <v>58.456849963775312</v>
      </c>
      <c r="K27" s="494">
        <f>+[5]원주!$Q$21</f>
        <v>15897.768553839263</v>
      </c>
      <c r="L27" s="495">
        <f>+[5]원주!$R$21</f>
        <v>13134.392301998521</v>
      </c>
      <c r="M27" s="496">
        <f t="shared" si="2"/>
        <v>-2763.376251840742</v>
      </c>
      <c r="N27" s="494">
        <f>+[5]원주!$Q$22</f>
        <v>500</v>
      </c>
      <c r="O27" s="495">
        <f>+[5]원주!$R$22</f>
        <v>340.87964470762392</v>
      </c>
      <c r="P27" s="496">
        <f t="shared" si="3"/>
        <v>-159.12035529237608</v>
      </c>
      <c r="Q27" s="494">
        <f t="shared" si="4"/>
        <v>75391.686833409171</v>
      </c>
      <c r="R27" s="495">
        <f t="shared" si="5"/>
        <v>72527.647076239824</v>
      </c>
      <c r="S27" s="496">
        <f t="shared" si="6"/>
        <v>-2864.0397571693466</v>
      </c>
      <c r="T27" s="494">
        <f t="shared" si="7"/>
        <v>32508.313166590829</v>
      </c>
      <c r="U27" s="495">
        <f t="shared" si="8"/>
        <v>34457.401036269424</v>
      </c>
      <c r="V27" s="496">
        <f t="shared" si="9"/>
        <v>1949.0878696785949</v>
      </c>
    </row>
    <row r="28" spans="4:22" ht="24" customHeight="1">
      <c r="D28" s="500" t="s">
        <v>35</v>
      </c>
      <c r="E28" s="501">
        <f>+[5]제주!$Q$85</f>
        <v>126700</v>
      </c>
      <c r="F28" s="502">
        <f>+[5]제주!$R$85</f>
        <v>128598.05128205127</v>
      </c>
      <c r="G28" s="503">
        <f t="shared" si="0"/>
        <v>1898.0512820512668</v>
      </c>
      <c r="H28" s="501">
        <f>+[5]제주!$Q$20</f>
        <v>74846.559066370042</v>
      </c>
      <c r="I28" s="502">
        <f>+[5]제주!$R$20</f>
        <v>71865.786145204911</v>
      </c>
      <c r="J28" s="503">
        <f t="shared" si="1"/>
        <v>-2980.7729211651313</v>
      </c>
      <c r="K28" s="501">
        <f>+[5]제주!$Q$21</f>
        <v>15088.910256410256</v>
      </c>
      <c r="L28" s="502">
        <f>+[5]제주!$R$21</f>
        <v>16516.131058872477</v>
      </c>
      <c r="M28" s="503">
        <f t="shared" si="2"/>
        <v>1427.2208024622214</v>
      </c>
      <c r="N28" s="501">
        <f>+[5]제주!$Q$22</f>
        <v>0</v>
      </c>
      <c r="O28" s="502">
        <f>+[5]제주!$R$22</f>
        <v>403.15082171832745</v>
      </c>
      <c r="P28" s="503">
        <f t="shared" si="3"/>
        <v>403.15082171832745</v>
      </c>
      <c r="Q28" s="501">
        <f t="shared" si="4"/>
        <v>89935.469322780293</v>
      </c>
      <c r="R28" s="502">
        <f t="shared" si="5"/>
        <v>88785.068025795714</v>
      </c>
      <c r="S28" s="503">
        <f t="shared" si="6"/>
        <v>-1150.4012969845789</v>
      </c>
      <c r="T28" s="501">
        <f t="shared" si="7"/>
        <v>36764.530677219707</v>
      </c>
      <c r="U28" s="502">
        <f t="shared" si="8"/>
        <v>39812.983256255553</v>
      </c>
      <c r="V28" s="503">
        <f t="shared" si="9"/>
        <v>3048.4525790358457</v>
      </c>
    </row>
    <row r="29" spans="4:22" ht="24" customHeight="1"/>
    <row r="30" spans="4:22" ht="24" customHeight="1"/>
    <row r="31" spans="4:22" ht="24" customHeight="1"/>
    <row r="32" spans="4:22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5750-7275-4690-9C21-6D0EA41DA14A}">
  <sheetPr>
    <tabColor theme="1" tint="0.249977111117893"/>
    <pageSetUpPr fitToPage="1"/>
  </sheetPr>
  <dimension ref="D1:Y52"/>
  <sheetViews>
    <sheetView showGridLines="0" showZeros="0" view="pageBreakPreview" zoomScale="60" zoomScaleNormal="85" workbookViewId="0">
      <pane xSplit="4" ySplit="7" topLeftCell="E8" activePane="bottomRight" state="frozen"/>
      <selection activeCell="N18" sqref="N18"/>
      <selection pane="topRight" activeCell="N18" sqref="N18"/>
      <selection pane="bottomLeft" activeCell="N18" sqref="N18"/>
      <selection pane="bottomRight" activeCell="N18" sqref="N18"/>
    </sheetView>
  </sheetViews>
  <sheetFormatPr defaultRowHeight="16.5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4:22" ht="9.9499999999999993" customHeight="1"/>
    <row r="2" spans="4:22" ht="9.9499999999999993" hidden="1" customHeight="1"/>
    <row r="3" spans="4:22" ht="9.9499999999999993" customHeight="1"/>
    <row r="4" spans="4:22" ht="31.5">
      <c r="D4" s="184" t="s">
        <v>211</v>
      </c>
      <c r="F4" s="184"/>
      <c r="I4" s="184"/>
    </row>
    <row r="5" spans="4:22" ht="21.95" customHeight="1"/>
    <row r="6" spans="4:22" ht="24" customHeight="1" thickBot="1">
      <c r="D6" s="822" t="s">
        <v>11</v>
      </c>
      <c r="E6" s="439" t="s">
        <v>156</v>
      </c>
      <c r="F6" s="440"/>
      <c r="G6" s="441"/>
      <c r="H6" s="439" t="s">
        <v>155</v>
      </c>
      <c r="I6" s="440"/>
      <c r="J6" s="441"/>
      <c r="K6" s="439" t="s">
        <v>154</v>
      </c>
      <c r="L6" s="440"/>
      <c r="M6" s="441"/>
      <c r="N6" s="439" t="s">
        <v>153</v>
      </c>
      <c r="O6" s="440"/>
      <c r="P6" s="441"/>
      <c r="Q6" s="439" t="s">
        <v>152</v>
      </c>
      <c r="R6" s="440"/>
      <c r="S6" s="441"/>
      <c r="T6" s="439" t="s">
        <v>151</v>
      </c>
      <c r="U6" s="440"/>
      <c r="V6" s="441"/>
    </row>
    <row r="7" spans="4:22" ht="24" customHeight="1">
      <c r="D7" s="823"/>
      <c r="E7" s="442" t="s">
        <v>12</v>
      </c>
      <c r="F7" s="443" t="s">
        <v>13</v>
      </c>
      <c r="G7" s="444" t="s">
        <v>36</v>
      </c>
      <c r="H7" s="442" t="s">
        <v>15</v>
      </c>
      <c r="I7" s="443" t="s">
        <v>16</v>
      </c>
      <c r="J7" s="444" t="s">
        <v>36</v>
      </c>
      <c r="K7" s="442" t="s">
        <v>15</v>
      </c>
      <c r="L7" s="443" t="s">
        <v>16</v>
      </c>
      <c r="M7" s="444" t="s">
        <v>36</v>
      </c>
      <c r="N7" s="442" t="s">
        <v>15</v>
      </c>
      <c r="O7" s="443" t="s">
        <v>16</v>
      </c>
      <c r="P7" s="444" t="s">
        <v>36</v>
      </c>
      <c r="Q7" s="442" t="s">
        <v>15</v>
      </c>
      <c r="R7" s="443" t="s">
        <v>16</v>
      </c>
      <c r="S7" s="444" t="s">
        <v>36</v>
      </c>
      <c r="T7" s="442" t="s">
        <v>15</v>
      </c>
      <c r="U7" s="443" t="s">
        <v>16</v>
      </c>
      <c r="V7" s="444" t="s">
        <v>36</v>
      </c>
    </row>
    <row r="8" spans="4:22" ht="24" customHeight="1">
      <c r="D8" s="470" t="s">
        <v>47</v>
      </c>
      <c r="E8" s="544">
        <f>+[5]합계!$G$9</f>
        <v>100374.00898678019</v>
      </c>
      <c r="F8" s="545">
        <f>+[5]합계!$H$9</f>
        <v>100256.40864276883</v>
      </c>
      <c r="G8" s="546">
        <f>+F8-E8</f>
        <v>-117.60034401135636</v>
      </c>
      <c r="H8" s="544">
        <f>+[5]합계!$G$10</f>
        <v>92235.341708500608</v>
      </c>
      <c r="I8" s="545">
        <f>+[5]합계!$H$10</f>
        <v>92556.663672049821</v>
      </c>
      <c r="J8" s="546">
        <f>+I8-H8</f>
        <v>321.32196354921325</v>
      </c>
      <c r="K8" s="544">
        <f>+[5]합계!$G$12</f>
        <v>64295.74397332361</v>
      </c>
      <c r="L8" s="545">
        <f>+[5]합계!$H$12</f>
        <v>61650.248711817869</v>
      </c>
      <c r="M8" s="546">
        <f>+L8-K8</f>
        <v>-2645.4952615057409</v>
      </c>
      <c r="N8" s="544">
        <f>+[5]합계!$G$13</f>
        <v>39285.574206435966</v>
      </c>
      <c r="O8" s="545">
        <f>+[5]합계!$H$13</f>
        <v>38929.500928789588</v>
      </c>
      <c r="P8" s="546">
        <f>+O8-N8</f>
        <v>-356.07327764637739</v>
      </c>
      <c r="Q8" s="544">
        <f>+[5]합계!$G$16</f>
        <v>12761.79056398238</v>
      </c>
      <c r="R8" s="545">
        <f>+[5]합계!$H$16</f>
        <v>13221.350403507997</v>
      </c>
      <c r="S8" s="546">
        <f>+R8-Q8</f>
        <v>459.55983952561655</v>
      </c>
      <c r="T8" s="544">
        <f>+[5]합계!$G$17</f>
        <v>15960.843597489607</v>
      </c>
      <c r="U8" s="545">
        <f>+[5]합계!$H$17</f>
        <v>16071.773208258544</v>
      </c>
      <c r="V8" s="546">
        <f>+U8-T8</f>
        <v>110.92961076893698</v>
      </c>
    </row>
    <row r="9" spans="4:22" ht="24" customHeight="1">
      <c r="D9" s="471" t="s">
        <v>19</v>
      </c>
      <c r="E9" s="547">
        <f>+[5]수도권!$G$9</f>
        <v>100000</v>
      </c>
      <c r="F9" s="548">
        <f>+[5]수도권!$H$9</f>
        <v>99995.570365469568</v>
      </c>
      <c r="G9" s="549">
        <f t="shared" ref="G9:G28" si="0">+F9-E9</f>
        <v>-4.4296345304319402</v>
      </c>
      <c r="H9" s="547">
        <f>+[5]수도권!$G$10</f>
        <v>93013.513513513535</v>
      </c>
      <c r="I9" s="548">
        <f>+[5]수도권!$H$10</f>
        <v>81094.808072533982</v>
      </c>
      <c r="J9" s="549">
        <f t="shared" ref="J9:J28" si="1">+I9-H9</f>
        <v>-11918.705440979553</v>
      </c>
      <c r="K9" s="547">
        <f>+[5]수도권!$G$12</f>
        <v>64300.378883523066</v>
      </c>
      <c r="L9" s="548">
        <f>+[5]수도권!$H$12</f>
        <v>59839.503030140964</v>
      </c>
      <c r="M9" s="549">
        <f t="shared" ref="M9:M28" si="2">+L9-K9</f>
        <v>-4460.8758533821019</v>
      </c>
      <c r="N9" s="547">
        <f>+[5]수도권!$G$13</f>
        <v>45161.848553250959</v>
      </c>
      <c r="O9" s="548">
        <f>+[5]수도권!$H$13</f>
        <v>43047.800483129366</v>
      </c>
      <c r="P9" s="549">
        <f t="shared" ref="P9:P28" si="3">+O9-N9</f>
        <v>-2114.0480701215929</v>
      </c>
      <c r="Q9" s="547">
        <f>+[5]수도권!$G$16</f>
        <v>15355.335600321443</v>
      </c>
      <c r="R9" s="548">
        <f>+[5]수도권!$H$16</f>
        <v>15888.142334743672</v>
      </c>
      <c r="S9" s="549">
        <f t="shared" ref="S9:S28" si="4">+R9-Q9</f>
        <v>532.80673442222906</v>
      </c>
      <c r="T9" s="547">
        <f>+[5]수도권!$G$17</f>
        <v>14765.302260463441</v>
      </c>
      <c r="U9" s="548">
        <f>+[5]수도권!$H$17</f>
        <v>14916.821346295612</v>
      </c>
      <c r="V9" s="549">
        <f t="shared" ref="V9:V28" si="5">+U9-T9</f>
        <v>151.51908583217119</v>
      </c>
    </row>
    <row r="10" spans="4:22" ht="24" customHeight="1">
      <c r="D10" s="472" t="s">
        <v>20</v>
      </c>
      <c r="E10" s="550">
        <f>+[5]영남권!$G$9</f>
        <v>100000</v>
      </c>
      <c r="F10" s="551">
        <f>+[5]영남권!$H$9</f>
        <v>99992.287981626781</v>
      </c>
      <c r="G10" s="552">
        <f t="shared" si="0"/>
        <v>-7.7120183732185978</v>
      </c>
      <c r="H10" s="550">
        <f>+[5]영남권!$G$10</f>
        <v>92100.000000000029</v>
      </c>
      <c r="I10" s="551">
        <f>+[5]영남권!$H$10</f>
        <v>92587.151802801498</v>
      </c>
      <c r="J10" s="552">
        <f t="shared" si="1"/>
        <v>487.15180280146888</v>
      </c>
      <c r="K10" s="550">
        <f>+[5]영남권!$G$12</f>
        <v>64161.252306993265</v>
      </c>
      <c r="L10" s="551">
        <f>+[5]영남권!$H$12</f>
        <v>62733.008389959286</v>
      </c>
      <c r="M10" s="552">
        <f t="shared" si="2"/>
        <v>-1428.2439170339785</v>
      </c>
      <c r="N10" s="550">
        <f>+[5]영남권!$G$13</f>
        <v>35326.671957969455</v>
      </c>
      <c r="O10" s="551">
        <f>+[5]영남권!$H$13</f>
        <v>35448.031167040972</v>
      </c>
      <c r="P10" s="552">
        <f t="shared" si="3"/>
        <v>121.3592090715174</v>
      </c>
      <c r="Q10" s="550">
        <f>+[5]영남권!$G$16</f>
        <v>10361.675876033709</v>
      </c>
      <c r="R10" s="551">
        <f>+[5]영남권!$H$16</f>
        <v>11149.06653768554</v>
      </c>
      <c r="S10" s="552">
        <f t="shared" si="4"/>
        <v>787.39066165183067</v>
      </c>
      <c r="T10" s="550">
        <f>+[5]영남권!$G$17</f>
        <v>17450.837969052958</v>
      </c>
      <c r="U10" s="551">
        <f>+[5]영남권!$H$17</f>
        <v>17452.125125534036</v>
      </c>
      <c r="V10" s="552">
        <f t="shared" si="5"/>
        <v>1.2871564810775453</v>
      </c>
    </row>
    <row r="11" spans="4:22" ht="24" customHeight="1">
      <c r="D11" s="473" t="s">
        <v>57</v>
      </c>
      <c r="E11" s="553">
        <f>+[5]중부권!$G$9</f>
        <v>102148.99037467972</v>
      </c>
      <c r="F11" s="554">
        <f>+[5]중부권!$H$9</f>
        <v>101738.14278952972</v>
      </c>
      <c r="G11" s="555">
        <f t="shared" si="0"/>
        <v>-410.84758514999703</v>
      </c>
      <c r="H11" s="553">
        <f>+[5]중부권!$G$10</f>
        <v>95000</v>
      </c>
      <c r="I11" s="554">
        <f>+[5]중부권!$H$10</f>
        <v>94283.399507001406</v>
      </c>
      <c r="J11" s="555">
        <f t="shared" si="1"/>
        <v>-716.60049299859384</v>
      </c>
      <c r="K11" s="553">
        <f>+[5]중부권!$G$12</f>
        <v>64777.960625946493</v>
      </c>
      <c r="L11" s="554">
        <f>+[5]중부권!$H$12</f>
        <v>63053.338647230703</v>
      </c>
      <c r="M11" s="555">
        <f t="shared" si="2"/>
        <v>-1724.6219787157897</v>
      </c>
      <c r="N11" s="553">
        <f>+[5]중부권!$G$13</f>
        <v>39617.103235747301</v>
      </c>
      <c r="O11" s="554">
        <f>+[5]중부권!$H$13</f>
        <v>38963.997344017109</v>
      </c>
      <c r="P11" s="555">
        <f t="shared" si="3"/>
        <v>-653.10589173019252</v>
      </c>
      <c r="Q11" s="553">
        <f>+[5]중부권!$G$16</f>
        <v>12604.533687389065</v>
      </c>
      <c r="R11" s="554">
        <f>+[5]중부권!$H$16</f>
        <v>12296.417986337368</v>
      </c>
      <c r="S11" s="555">
        <f t="shared" si="4"/>
        <v>-308.11570105169631</v>
      </c>
      <c r="T11" s="553">
        <f>+[5]중부권!$G$17</f>
        <v>14645.009768289561</v>
      </c>
      <c r="U11" s="554">
        <f>+[5]중부권!$H$17</f>
        <v>14507.205212328416</v>
      </c>
      <c r="V11" s="555">
        <f t="shared" si="5"/>
        <v>-137.80455596114552</v>
      </c>
    </row>
    <row r="12" spans="4:22" ht="24" customHeight="1">
      <c r="D12" s="485" t="s">
        <v>22</v>
      </c>
      <c r="E12" s="556">
        <f>+[5]안양!$G$9</f>
        <v>100000</v>
      </c>
      <c r="F12" s="557">
        <f>+[5]안양!$H$9</f>
        <v>99991.321112108635</v>
      </c>
      <c r="G12" s="558">
        <f t="shared" si="0"/>
        <v>-8.6788878913648659</v>
      </c>
      <c r="H12" s="556">
        <f>+[5]안양!$G$10</f>
        <v>87100</v>
      </c>
      <c r="I12" s="557">
        <f>+[5]안양!$H$10</f>
        <v>81094.808072533982</v>
      </c>
      <c r="J12" s="558">
        <f t="shared" si="1"/>
        <v>-6005.1919274660177</v>
      </c>
      <c r="K12" s="556">
        <f>+[5]안양!$G$12</f>
        <v>64000</v>
      </c>
      <c r="L12" s="557">
        <f>+[5]안양!$H$12</f>
        <v>51089.633278814159</v>
      </c>
      <c r="M12" s="558">
        <f t="shared" si="2"/>
        <v>-12910.366721185841</v>
      </c>
      <c r="N12" s="556">
        <f>+[5]안양!$G$13</f>
        <v>45000</v>
      </c>
      <c r="O12" s="557">
        <f>+[5]안양!$H$13</f>
        <v>41343.447843501679</v>
      </c>
      <c r="P12" s="558">
        <f t="shared" si="3"/>
        <v>-3656.552156498321</v>
      </c>
      <c r="Q12" s="556">
        <f>+[5]안양!$G$16</f>
        <v>15333.333333333334</v>
      </c>
      <c r="R12" s="557">
        <f>+[5]안양!$H$16</f>
        <v>15932.18282978237</v>
      </c>
      <c r="S12" s="558">
        <f t="shared" si="4"/>
        <v>598.84949644903645</v>
      </c>
      <c r="T12" s="556">
        <f>+[5]안양!$G$17</f>
        <v>15161.290322580644</v>
      </c>
      <c r="U12" s="557">
        <f>+[5]안양!$H$17</f>
        <v>15208.100430733868</v>
      </c>
      <c r="V12" s="558">
        <f t="shared" si="5"/>
        <v>46.810108153224064</v>
      </c>
    </row>
    <row r="13" spans="4:22" ht="24" customHeight="1">
      <c r="D13" s="451" t="s">
        <v>23</v>
      </c>
      <c r="E13" s="559">
        <f>+[5]인천!$G$9</f>
        <v>100000.00000000001</v>
      </c>
      <c r="F13" s="560">
        <f>+[5]인천!$H$9</f>
        <v>99999.261172906234</v>
      </c>
      <c r="G13" s="561">
        <f t="shared" si="0"/>
        <v>-0.73882709378085565</v>
      </c>
      <c r="H13" s="559">
        <f>+[5]인천!$G$10</f>
        <v>99500</v>
      </c>
      <c r="I13" s="560">
        <f>+[5]인천!$H$10</f>
        <v>0</v>
      </c>
      <c r="J13" s="561">
        <f t="shared" si="1"/>
        <v>-99500</v>
      </c>
      <c r="K13" s="559">
        <f>+[5]인천!$G$12</f>
        <v>64500</v>
      </c>
      <c r="L13" s="560">
        <f>+[5]인천!$H$12</f>
        <v>63995.779697466678</v>
      </c>
      <c r="M13" s="561">
        <f t="shared" si="2"/>
        <v>-504.22030253332196</v>
      </c>
      <c r="N13" s="559">
        <f>+[5]인천!$G$13</f>
        <v>45000.000000000007</v>
      </c>
      <c r="O13" s="560">
        <f>+[5]인천!$H$13</f>
        <v>43942.237322418485</v>
      </c>
      <c r="P13" s="561">
        <f t="shared" si="3"/>
        <v>-1057.7626775815224</v>
      </c>
      <c r="Q13" s="559">
        <f>+[5]인천!$G$16</f>
        <v>15733.333333333332</v>
      </c>
      <c r="R13" s="560">
        <f>+[5]인천!$H$16</f>
        <v>15794.433812701083</v>
      </c>
      <c r="S13" s="561">
        <f t="shared" si="4"/>
        <v>61.100479367751177</v>
      </c>
      <c r="T13" s="559">
        <f>+[5]인천!$G$17</f>
        <v>15504.124867357245</v>
      </c>
      <c r="U13" s="560">
        <f>+[5]인천!$H$17</f>
        <v>15662.398031448756</v>
      </c>
      <c r="V13" s="561">
        <f t="shared" si="5"/>
        <v>158.27316409151172</v>
      </c>
    </row>
    <row r="14" spans="4:22" ht="24" customHeight="1">
      <c r="D14" s="451" t="s">
        <v>24</v>
      </c>
      <c r="E14" s="559">
        <f>+[5]파주!$G$9</f>
        <v>100000</v>
      </c>
      <c r="F14" s="560">
        <f>+[5]파주!$H$9</f>
        <v>99998.917885485265</v>
      </c>
      <c r="G14" s="561">
        <f t="shared" si="0"/>
        <v>-1.0821145147347124</v>
      </c>
      <c r="H14" s="559">
        <f>+[5]파주!$G$10</f>
        <v>0</v>
      </c>
      <c r="I14" s="560">
        <f>+[5]파주!$H$10</f>
        <v>0</v>
      </c>
      <c r="J14" s="561">
        <f t="shared" si="1"/>
        <v>0</v>
      </c>
      <c r="K14" s="559">
        <f>+[5]파주!$G$12</f>
        <v>64500</v>
      </c>
      <c r="L14" s="560">
        <f>+[5]파주!$H$12</f>
        <v>63915.640500126618</v>
      </c>
      <c r="M14" s="561">
        <f t="shared" si="2"/>
        <v>-584.35949987338245</v>
      </c>
      <c r="N14" s="559">
        <f>+[5]파주!$G$13</f>
        <v>45000</v>
      </c>
      <c r="O14" s="560">
        <f>+[5]파주!$H$13</f>
        <v>44159.712100095312</v>
      </c>
      <c r="P14" s="561">
        <f t="shared" si="3"/>
        <v>-840.28789990468795</v>
      </c>
      <c r="Q14" s="559">
        <f>+[5]파주!$G$16</f>
        <v>15266.666666666668</v>
      </c>
      <c r="R14" s="560">
        <f>+[5]파주!$H$16</f>
        <v>16301.670968214154</v>
      </c>
      <c r="S14" s="561">
        <f t="shared" si="4"/>
        <v>1035.0043015474857</v>
      </c>
      <c r="T14" s="559">
        <f>+[5]파주!$G$17</f>
        <v>13419.354838709678</v>
      </c>
      <c r="U14" s="560">
        <f>+[5]파주!$H$17</f>
        <v>13511.907258732157</v>
      </c>
      <c r="V14" s="561">
        <f t="shared" si="5"/>
        <v>92.552420022479055</v>
      </c>
    </row>
    <row r="15" spans="4:22" ht="24" customHeight="1">
      <c r="D15" s="451" t="s">
        <v>178</v>
      </c>
      <c r="E15" s="559">
        <f>+[5]김포!$G$9</f>
        <v>100000</v>
      </c>
      <c r="F15" s="560">
        <f>+[5]김포!$H$9</f>
        <v>99997.667354531062</v>
      </c>
      <c r="G15" s="561">
        <f t="shared" si="0"/>
        <v>-2.3326454689376988</v>
      </c>
      <c r="H15" s="559">
        <f>+[5]김포!$G$10</f>
        <v>0</v>
      </c>
      <c r="I15" s="560">
        <f>+[5]김포!$H$10</f>
        <v>0</v>
      </c>
      <c r="J15" s="561">
        <f t="shared" si="1"/>
        <v>0</v>
      </c>
      <c r="K15" s="559">
        <f>+[5]김포!$G$12</f>
        <v>64300</v>
      </c>
      <c r="L15" s="560">
        <f>+[5]김포!$H$12</f>
        <v>52874.885910413221</v>
      </c>
      <c r="M15" s="561">
        <f t="shared" si="2"/>
        <v>-11425.114089586779</v>
      </c>
      <c r="N15" s="559">
        <f>+[5]김포!$G$13</f>
        <v>46000</v>
      </c>
      <c r="O15" s="560">
        <f>+[5]김포!$H$13</f>
        <v>46323.182903054731</v>
      </c>
      <c r="P15" s="561">
        <f t="shared" si="3"/>
        <v>323.18290305473056</v>
      </c>
      <c r="Q15" s="559">
        <f>+[5]김포!$G$16</f>
        <v>14666.666666666666</v>
      </c>
      <c r="R15" s="560">
        <f>+[5]김포!$H$16</f>
        <v>14599.999117104702</v>
      </c>
      <c r="S15" s="561">
        <f t="shared" si="4"/>
        <v>-66.667549561963824</v>
      </c>
      <c r="T15" s="559">
        <f>+[5]김포!$G$17</f>
        <v>14458.306500400055</v>
      </c>
      <c r="U15" s="560">
        <f>+[5]김포!$H$17</f>
        <v>14680.96809803559</v>
      </c>
      <c r="V15" s="561">
        <f t="shared" si="5"/>
        <v>222.66159763553514</v>
      </c>
    </row>
    <row r="16" spans="4:22" ht="24" customHeight="1">
      <c r="D16" s="486" t="s">
        <v>25</v>
      </c>
      <c r="E16" s="562">
        <f>+[5]부산!$G$9</f>
        <v>100000</v>
      </c>
      <c r="F16" s="563">
        <f>+[5]부산!$H$9</f>
        <v>99998.29570464477</v>
      </c>
      <c r="G16" s="564">
        <f t="shared" si="0"/>
        <v>-1.7042953552299878</v>
      </c>
      <c r="H16" s="562">
        <f>+[5]부산!$G$10</f>
        <v>92100</v>
      </c>
      <c r="I16" s="563">
        <f>+[5]부산!$H$10</f>
        <v>92902.730353360093</v>
      </c>
      <c r="J16" s="564">
        <f t="shared" si="1"/>
        <v>802.73035336009343</v>
      </c>
      <c r="K16" s="562">
        <f>+[5]부산!$G$12</f>
        <v>65000</v>
      </c>
      <c r="L16" s="563">
        <f>+[5]부산!$H$12</f>
        <v>0</v>
      </c>
      <c r="M16" s="564">
        <f t="shared" si="2"/>
        <v>-65000</v>
      </c>
      <c r="N16" s="562">
        <f>+[5]부산!$G$13</f>
        <v>36500</v>
      </c>
      <c r="O16" s="563">
        <f>+[5]부산!$H$13</f>
        <v>36500.01520928715</v>
      </c>
      <c r="P16" s="564">
        <f t="shared" si="3"/>
        <v>1.5209287150355522E-2</v>
      </c>
      <c r="Q16" s="562">
        <f>+[5]부산!$G$16</f>
        <v>10741.278375141113</v>
      </c>
      <c r="R16" s="563">
        <f>+[5]부산!$H$16</f>
        <v>11771.793988435671</v>
      </c>
      <c r="S16" s="564">
        <f t="shared" si="4"/>
        <v>1030.5156132945576</v>
      </c>
      <c r="T16" s="562">
        <f>+[5]부산!$G$17</f>
        <v>17864.787651994528</v>
      </c>
      <c r="U16" s="563">
        <f>+[5]부산!$H$17</f>
        <v>18142.642631766204</v>
      </c>
      <c r="V16" s="564">
        <f t="shared" si="5"/>
        <v>277.85497977167688</v>
      </c>
    </row>
    <row r="17" spans="4:25" ht="24" customHeight="1">
      <c r="D17" s="451" t="s">
        <v>26</v>
      </c>
      <c r="E17" s="559">
        <f>+[5]서부산!$G$9</f>
        <v>100000</v>
      </c>
      <c r="F17" s="560">
        <f>+[5]서부산!$H$9</f>
        <v>99998.176892890042</v>
      </c>
      <c r="G17" s="561">
        <f t="shared" si="0"/>
        <v>-1.8231071099580731</v>
      </c>
      <c r="H17" s="559">
        <f>+[5]서부산!$G$10</f>
        <v>92100.000000000015</v>
      </c>
      <c r="I17" s="560">
        <f>+[5]서부산!$H$10</f>
        <v>92865.293068170504</v>
      </c>
      <c r="J17" s="561">
        <f t="shared" si="1"/>
        <v>765.29306817048928</v>
      </c>
      <c r="K17" s="559">
        <f>+[5]서부산!$G$12</f>
        <v>65000</v>
      </c>
      <c r="L17" s="560">
        <f>+[5]서부산!$H$12</f>
        <v>62206.997414522761</v>
      </c>
      <c r="M17" s="561">
        <f t="shared" si="2"/>
        <v>-2793.0025854772393</v>
      </c>
      <c r="N17" s="559">
        <f>+[5]서부산!$G$13</f>
        <v>35199.999999999993</v>
      </c>
      <c r="O17" s="560">
        <f>+[5]서부산!$H$13</f>
        <v>35365.670416914953</v>
      </c>
      <c r="P17" s="561">
        <f t="shared" si="3"/>
        <v>165.67041691495979</v>
      </c>
      <c r="Q17" s="559">
        <f>+[5]서부산!$G$16</f>
        <v>10666.666666666666</v>
      </c>
      <c r="R17" s="560">
        <f>+[5]서부산!$H$16</f>
        <v>11820.882221030464</v>
      </c>
      <c r="S17" s="561">
        <f t="shared" si="4"/>
        <v>1154.2155543637982</v>
      </c>
      <c r="T17" s="559">
        <f>+[5]서부산!$G$17</f>
        <v>18187.638465295669</v>
      </c>
      <c r="U17" s="560">
        <f>+[5]서부산!$H$17</f>
        <v>18926.527659278472</v>
      </c>
      <c r="V17" s="561">
        <f t="shared" si="5"/>
        <v>738.88919398280268</v>
      </c>
    </row>
    <row r="18" spans="4:25" ht="24" customHeight="1">
      <c r="D18" s="451" t="s">
        <v>27</v>
      </c>
      <c r="E18" s="559">
        <f>+[5]김해!$G$9</f>
        <v>100000</v>
      </c>
      <c r="F18" s="560">
        <f>+[5]김해!$H$9</f>
        <v>100046.31083296049</v>
      </c>
      <c r="G18" s="561">
        <f t="shared" si="0"/>
        <v>46.31083296048746</v>
      </c>
      <c r="H18" s="559">
        <f>+[5]김해!$G$10</f>
        <v>92100</v>
      </c>
      <c r="I18" s="560">
        <f>+[5]김해!$H$10</f>
        <v>92094.31484458936</v>
      </c>
      <c r="J18" s="561">
        <f t="shared" si="1"/>
        <v>-5.6851554106397089</v>
      </c>
      <c r="K18" s="559">
        <f>+[5]김해!$G$12</f>
        <v>64000</v>
      </c>
      <c r="L18" s="560">
        <f>+[5]김해!$H$12</f>
        <v>61094.925936716056</v>
      </c>
      <c r="M18" s="561">
        <f t="shared" si="2"/>
        <v>-2905.0740632839443</v>
      </c>
      <c r="N18" s="559">
        <f>+[5]김해!$G$13</f>
        <v>35000</v>
      </c>
      <c r="O18" s="560">
        <f>+[5]김해!$H$13</f>
        <v>34999.721085912854</v>
      </c>
      <c r="P18" s="561">
        <f t="shared" si="3"/>
        <v>-0.2789140871464042</v>
      </c>
      <c r="Q18" s="559">
        <f>+[5]김해!$G$16</f>
        <v>9533.3333333333339</v>
      </c>
      <c r="R18" s="560">
        <f>+[5]김해!$H$16</f>
        <v>9410.9672687972816</v>
      </c>
      <c r="S18" s="561">
        <f t="shared" si="4"/>
        <v>-122.36606453605236</v>
      </c>
      <c r="T18" s="559">
        <f>+[5]김해!$G$17</f>
        <v>17954.927176534206</v>
      </c>
      <c r="U18" s="560">
        <f>+[5]김해!$H$17</f>
        <v>16852.152297732926</v>
      </c>
      <c r="V18" s="561">
        <f t="shared" si="5"/>
        <v>-1102.7748788012796</v>
      </c>
    </row>
    <row r="19" spans="4:25" ht="24" customHeight="1">
      <c r="D19" s="451" t="s">
        <v>28</v>
      </c>
      <c r="E19" s="559">
        <f>+[5]정관!$G$9</f>
        <v>100000</v>
      </c>
      <c r="F19" s="560">
        <f>+[5]정관!$H$9</f>
        <v>99999.254519957103</v>
      </c>
      <c r="G19" s="561">
        <f t="shared" si="0"/>
        <v>-0.74548004289681558</v>
      </c>
      <c r="H19" s="559">
        <f>+[5]정관!$G$10</f>
        <v>92100</v>
      </c>
      <c r="I19" s="560">
        <f>+[5]정관!$H$10</f>
        <v>92042.489361132277</v>
      </c>
      <c r="J19" s="561">
        <f t="shared" si="1"/>
        <v>-57.510638867723173</v>
      </c>
      <c r="K19" s="559">
        <f>+[5]정관!$G$12</f>
        <v>63500.000000000007</v>
      </c>
      <c r="L19" s="560">
        <f>+[5]정관!$H$12</f>
        <v>62719.698207641384</v>
      </c>
      <c r="M19" s="561">
        <f t="shared" si="2"/>
        <v>-780.30179235862306</v>
      </c>
      <c r="N19" s="559">
        <f>+[5]정관!$G$13</f>
        <v>35500</v>
      </c>
      <c r="O19" s="560">
        <f>+[5]정관!$H$13</f>
        <v>35499.960674365735</v>
      </c>
      <c r="P19" s="561">
        <f t="shared" si="3"/>
        <v>-3.9325634264969267E-2</v>
      </c>
      <c r="Q19" s="559">
        <f>+[5]정관!$G$16</f>
        <v>10733.333333333332</v>
      </c>
      <c r="R19" s="560">
        <f>+[5]정관!$H$16</f>
        <v>12034.636661828818</v>
      </c>
      <c r="S19" s="561">
        <f t="shared" si="4"/>
        <v>1301.3033284954854</v>
      </c>
      <c r="T19" s="559">
        <f>+[5]정관!$G$17</f>
        <v>18315.171013635976</v>
      </c>
      <c r="U19" s="560">
        <f>+[5]정관!$H$17</f>
        <v>18879.747427268638</v>
      </c>
      <c r="V19" s="561">
        <f t="shared" si="5"/>
        <v>564.57641363266157</v>
      </c>
    </row>
    <row r="20" spans="4:25" ht="24" customHeight="1">
      <c r="D20" s="451" t="s">
        <v>29</v>
      </c>
      <c r="E20" s="559">
        <f>+[5]양산!$G$9</f>
        <v>100000.00000000001</v>
      </c>
      <c r="F20" s="560">
        <f>+[5]양산!$H$9</f>
        <v>99907.341176064569</v>
      </c>
      <c r="G20" s="561">
        <f t="shared" si="0"/>
        <v>-92.65882393544598</v>
      </c>
      <c r="H20" s="559">
        <f>+[5]양산!$G$10</f>
        <v>92100</v>
      </c>
      <c r="I20" s="560">
        <f>+[5]양산!$H$10</f>
        <v>0</v>
      </c>
      <c r="J20" s="561">
        <f t="shared" si="1"/>
        <v>-92100</v>
      </c>
      <c r="K20" s="559">
        <f>+[5]양산!$G$12</f>
        <v>63000</v>
      </c>
      <c r="L20" s="560">
        <f>+[5]양산!$H$12</f>
        <v>63208.745249223815</v>
      </c>
      <c r="M20" s="561">
        <f t="shared" si="2"/>
        <v>208.74524922381534</v>
      </c>
      <c r="N20" s="559">
        <f>+[5]양산!$G$13</f>
        <v>36000</v>
      </c>
      <c r="O20" s="560">
        <f>+[5]양산!$H$13</f>
        <v>36000.011712199557</v>
      </c>
      <c r="P20" s="561">
        <f t="shared" si="3"/>
        <v>1.1712199557223357E-2</v>
      </c>
      <c r="Q20" s="559">
        <f>+[5]양산!$G$16</f>
        <v>9066.6666666666661</v>
      </c>
      <c r="R20" s="560">
        <f>+[5]양산!$H$16</f>
        <v>9603.4906974490277</v>
      </c>
      <c r="S20" s="561">
        <f t="shared" si="4"/>
        <v>536.82403078236166</v>
      </c>
      <c r="T20" s="559">
        <f>+[5]양산!$G$17</f>
        <v>17368.505818784055</v>
      </c>
      <c r="U20" s="560">
        <f>+[5]양산!$H$17</f>
        <v>17518.665105810374</v>
      </c>
      <c r="V20" s="561">
        <f t="shared" si="5"/>
        <v>150.15928702631936</v>
      </c>
    </row>
    <row r="21" spans="4:25" ht="24" customHeight="1">
      <c r="D21" s="451" t="s">
        <v>30</v>
      </c>
      <c r="E21" s="559">
        <f>+[5]창원!$G$9</f>
        <v>100000</v>
      </c>
      <c r="F21" s="560">
        <f>+[5]창원!$H$9</f>
        <v>99994.323394080959</v>
      </c>
      <c r="G21" s="561">
        <f t="shared" si="0"/>
        <v>-5.6766059190413216</v>
      </c>
      <c r="H21" s="559">
        <f>+[5]창원!$G$10</f>
        <v>0</v>
      </c>
      <c r="I21" s="560">
        <f>+[5]창원!$H$10</f>
        <v>0</v>
      </c>
      <c r="J21" s="561">
        <f t="shared" si="1"/>
        <v>0</v>
      </c>
      <c r="K21" s="559">
        <f>+[5]창원!$G$12</f>
        <v>65000</v>
      </c>
      <c r="L21" s="560">
        <f>+[5]창원!$H$12</f>
        <v>64072.279904614152</v>
      </c>
      <c r="M21" s="561">
        <f t="shared" si="2"/>
        <v>-927.72009538584825</v>
      </c>
      <c r="N21" s="559">
        <f>+[5]창원!$G$13</f>
        <v>33000</v>
      </c>
      <c r="O21" s="560">
        <f>+[5]창원!$H$13</f>
        <v>32999.982415842518</v>
      </c>
      <c r="P21" s="561">
        <f t="shared" si="3"/>
        <v>-1.7584157481906004E-2</v>
      </c>
      <c r="Q21" s="559">
        <f>+[5]창원!$G$16</f>
        <v>10400</v>
      </c>
      <c r="R21" s="560">
        <f>+[5]창원!$H$16</f>
        <v>11303.926288696639</v>
      </c>
      <c r="S21" s="561">
        <f t="shared" si="4"/>
        <v>903.92628869663895</v>
      </c>
      <c r="T21" s="559">
        <f>+[5]창원!$G$17</f>
        <v>17019.516244032919</v>
      </c>
      <c r="U21" s="560">
        <f>+[5]창원!$H$17</f>
        <v>16288.479421457132</v>
      </c>
      <c r="V21" s="561">
        <f t="shared" si="5"/>
        <v>-731.03682257578657</v>
      </c>
      <c r="Y21" s="543"/>
    </row>
    <row r="22" spans="4:25" ht="24" customHeight="1">
      <c r="D22" s="451" t="s">
        <v>95</v>
      </c>
      <c r="E22" s="559">
        <f>+[5]대구!$G$9</f>
        <v>100000</v>
      </c>
      <c r="F22" s="560">
        <f>+[5]대구!$H$9</f>
        <v>99998.135440154831</v>
      </c>
      <c r="G22" s="561">
        <f t="shared" si="0"/>
        <v>-1.8645598451694241</v>
      </c>
      <c r="H22" s="559">
        <f>+[5]대구!$G$10</f>
        <v>0</v>
      </c>
      <c r="I22" s="560">
        <f>+[5]대구!$H$10</f>
        <v>0</v>
      </c>
      <c r="J22" s="561">
        <f t="shared" si="1"/>
        <v>0</v>
      </c>
      <c r="K22" s="559">
        <f>+[5]대구!$G$12</f>
        <v>62500</v>
      </c>
      <c r="L22" s="560">
        <f>+[5]대구!$H$12</f>
        <v>61250.77982947087</v>
      </c>
      <c r="M22" s="561">
        <f t="shared" si="2"/>
        <v>-1249.22017052913</v>
      </c>
      <c r="N22" s="559">
        <f>+[5]대구!$G$13</f>
        <v>35500</v>
      </c>
      <c r="O22" s="560">
        <f>+[5]대구!$H$13</f>
        <v>35366.522678220368</v>
      </c>
      <c r="P22" s="561">
        <f t="shared" si="3"/>
        <v>-133.47732177963189</v>
      </c>
      <c r="Q22" s="559">
        <f>+[5]대구!$G$16</f>
        <v>10466.666666666666</v>
      </c>
      <c r="R22" s="560">
        <f>+[5]대구!$H$16</f>
        <v>10506.784522337492</v>
      </c>
      <c r="S22" s="561">
        <f t="shared" si="4"/>
        <v>40.11785567082552</v>
      </c>
      <c r="T22" s="559">
        <f>+[5]대구!$G$17</f>
        <v>14718.131256952165</v>
      </c>
      <c r="U22" s="560">
        <f>+[5]대구!$H$17</f>
        <v>14598.495508901824</v>
      </c>
      <c r="V22" s="561">
        <f t="shared" si="5"/>
        <v>-119.63574805034114</v>
      </c>
    </row>
    <row r="23" spans="4:25" ht="24" customHeight="1">
      <c r="D23" s="451" t="s">
        <v>97</v>
      </c>
      <c r="E23" s="559">
        <f>+[5]울산!$G$9</f>
        <v>100000</v>
      </c>
      <c r="F23" s="560">
        <f>+[5]울산!$H$9</f>
        <v>99966.378571402514</v>
      </c>
      <c r="G23" s="561">
        <f t="shared" si="0"/>
        <v>-33.621428597485647</v>
      </c>
      <c r="H23" s="559">
        <f>+[5]울산!$G$10</f>
        <v>0</v>
      </c>
      <c r="I23" s="560">
        <f>+[5]울산!$H$10</f>
        <v>0</v>
      </c>
      <c r="J23" s="561">
        <f t="shared" si="1"/>
        <v>0</v>
      </c>
      <c r="K23" s="559">
        <f>+[5]울산!$G$12</f>
        <v>61300</v>
      </c>
      <c r="L23" s="560">
        <f>+[5]울산!$H$12</f>
        <v>59525.420720765003</v>
      </c>
      <c r="M23" s="561">
        <f t="shared" si="2"/>
        <v>-1774.5792792349966</v>
      </c>
      <c r="N23" s="559">
        <f>+[5]울산!$G$13</f>
        <v>37000</v>
      </c>
      <c r="O23" s="560">
        <f>+[5]울산!$H$13</f>
        <v>36999.991699837519</v>
      </c>
      <c r="P23" s="561">
        <f t="shared" si="3"/>
        <v>-8.300162480736617E-3</v>
      </c>
      <c r="Q23" s="559">
        <f>+[5]울산!$G$16</f>
        <v>10546.666666666666</v>
      </c>
      <c r="R23" s="560">
        <f>+[5]울산!$H$16</f>
        <v>10944.066487143169</v>
      </c>
      <c r="S23" s="561">
        <f t="shared" si="4"/>
        <v>397.39982047650301</v>
      </c>
      <c r="T23" s="559">
        <f>+[5]울산!$G$17</f>
        <v>18683.715239154619</v>
      </c>
      <c r="U23" s="560">
        <f>+[5]울산!$H$17</f>
        <v>18548.733460399148</v>
      </c>
      <c r="V23" s="561">
        <f t="shared" si="5"/>
        <v>-134.98177875547117</v>
      </c>
    </row>
    <row r="24" spans="4:25" ht="24" customHeight="1">
      <c r="D24" s="486" t="s">
        <v>31</v>
      </c>
      <c r="E24" s="562">
        <f>+[5]아산!$G$9</f>
        <v>100000</v>
      </c>
      <c r="F24" s="563">
        <f>+[5]아산!$H$9</f>
        <v>100510.87604128623</v>
      </c>
      <c r="G24" s="564">
        <f t="shared" si="0"/>
        <v>510.87604128623207</v>
      </c>
      <c r="H24" s="562">
        <f>+[5]아산!$G$10</f>
        <v>0</v>
      </c>
      <c r="I24" s="563">
        <f>+[5]아산!$H$10</f>
        <v>0</v>
      </c>
      <c r="J24" s="564">
        <f t="shared" si="1"/>
        <v>0</v>
      </c>
      <c r="K24" s="562">
        <f>+[5]아산!$G$12</f>
        <v>64500</v>
      </c>
      <c r="L24" s="563">
        <f>+[5]아산!$H$12</f>
        <v>63661.194595169516</v>
      </c>
      <c r="M24" s="564">
        <f t="shared" si="2"/>
        <v>-838.80540483048389</v>
      </c>
      <c r="N24" s="562">
        <f>+[5]아산!$G$13</f>
        <v>41999.999999999993</v>
      </c>
      <c r="O24" s="563">
        <f>+[5]아산!$H$13</f>
        <v>39137.667666288689</v>
      </c>
      <c r="P24" s="564">
        <f t="shared" si="3"/>
        <v>-2862.3323337113034</v>
      </c>
      <c r="Q24" s="562">
        <f>+[5]아산!$G$16</f>
        <v>10933.333333333334</v>
      </c>
      <c r="R24" s="563">
        <f>+[5]아산!$H$16</f>
        <v>11100.314409996614</v>
      </c>
      <c r="S24" s="564">
        <f t="shared" si="4"/>
        <v>166.98107666327996</v>
      </c>
      <c r="T24" s="562">
        <f>+[5]아산!$G$17</f>
        <v>13742.394944510359</v>
      </c>
      <c r="U24" s="563">
        <f>+[5]아산!$H$17</f>
        <v>13671.818186222932</v>
      </c>
      <c r="V24" s="564">
        <f t="shared" si="5"/>
        <v>-70.576758287426856</v>
      </c>
    </row>
    <row r="25" spans="4:25" ht="24" customHeight="1">
      <c r="D25" s="451" t="s">
        <v>34</v>
      </c>
      <c r="E25" s="559">
        <f>+[5]전주!$G$9</f>
        <v>100000.00000000001</v>
      </c>
      <c r="F25" s="560">
        <f>+[5]전주!$H$9</f>
        <v>99905.234958397035</v>
      </c>
      <c r="G25" s="561">
        <f t="shared" si="0"/>
        <v>-94.765041602979181</v>
      </c>
      <c r="H25" s="559">
        <f>+[5]전주!$G$10</f>
        <v>0</v>
      </c>
      <c r="I25" s="560">
        <f>+[5]전주!$H$10</f>
        <v>0</v>
      </c>
      <c r="J25" s="561">
        <f t="shared" si="1"/>
        <v>0</v>
      </c>
      <c r="K25" s="559">
        <f>+[5]전주!$G$12</f>
        <v>65000</v>
      </c>
      <c r="L25" s="560">
        <f>+[5]전주!$H$12</f>
        <v>63398.408812729482</v>
      </c>
      <c r="M25" s="561">
        <f t="shared" si="2"/>
        <v>-1601.5911872705183</v>
      </c>
      <c r="N25" s="559">
        <f>+[5]전주!$G$13</f>
        <v>36000</v>
      </c>
      <c r="O25" s="560">
        <f>+[5]전주!$H$13</f>
        <v>35999.978894597982</v>
      </c>
      <c r="P25" s="561">
        <f t="shared" si="3"/>
        <v>-2.1105402018292807E-2</v>
      </c>
      <c r="Q25" s="559">
        <f>+[5]전주!$G$16</f>
        <v>12533.333333333334</v>
      </c>
      <c r="R25" s="560">
        <f>+[5]전주!$H$16</f>
        <v>12598.765144072004</v>
      </c>
      <c r="S25" s="561">
        <f t="shared" si="4"/>
        <v>65.43181073866981</v>
      </c>
      <c r="T25" s="559">
        <f>+[5]전주!$G$17</f>
        <v>14400.057150810904</v>
      </c>
      <c r="U25" s="560">
        <f>+[5]전주!$H$17</f>
        <v>14705.470091489238</v>
      </c>
      <c r="V25" s="561">
        <f t="shared" si="5"/>
        <v>305.41294067833405</v>
      </c>
    </row>
    <row r="26" spans="4:25" ht="24" customHeight="1">
      <c r="D26" s="451" t="s">
        <v>33</v>
      </c>
      <c r="E26" s="559">
        <f>+[5]군산!$G$9</f>
        <v>100000</v>
      </c>
      <c r="F26" s="560">
        <f>+[5]군산!$H$9</f>
        <v>99999.934402283485</v>
      </c>
      <c r="G26" s="561">
        <f t="shared" si="0"/>
        <v>-6.5597716515185311E-2</v>
      </c>
      <c r="H26" s="559">
        <f>+[5]군산!$G$10</f>
        <v>95000</v>
      </c>
      <c r="I26" s="560">
        <f>+[5]군산!$H$10</f>
        <v>94283.399507001406</v>
      </c>
      <c r="J26" s="561">
        <f t="shared" si="1"/>
        <v>-716.60049299859384</v>
      </c>
      <c r="K26" s="559">
        <f>+[5]군산!$G$12</f>
        <v>64900.000000000007</v>
      </c>
      <c r="L26" s="560">
        <f>+[5]군산!$H$12</f>
        <v>63599.264315778324</v>
      </c>
      <c r="M26" s="561">
        <f t="shared" si="2"/>
        <v>-1300.7356842216832</v>
      </c>
      <c r="N26" s="559">
        <f>+[5]군산!$G$13</f>
        <v>37500</v>
      </c>
      <c r="O26" s="560">
        <f>+[5]군산!$H$13</f>
        <v>34878.921880139715</v>
      </c>
      <c r="P26" s="561">
        <f t="shared" si="3"/>
        <v>-2621.0781198602854</v>
      </c>
      <c r="Q26" s="559">
        <f>+[5]군산!$G$16</f>
        <v>13666.666666666664</v>
      </c>
      <c r="R26" s="560">
        <f>+[5]군산!$H$16</f>
        <v>13930.605465115754</v>
      </c>
      <c r="S26" s="561">
        <f t="shared" si="4"/>
        <v>263.93879844908952</v>
      </c>
      <c r="T26" s="559">
        <f>+[5]군산!$G$17</f>
        <v>14837.329653268931</v>
      </c>
      <c r="U26" s="560">
        <f>+[5]군산!$H$17</f>
        <v>15071.600314624866</v>
      </c>
      <c r="V26" s="561">
        <f t="shared" si="5"/>
        <v>234.27066135593486</v>
      </c>
    </row>
    <row r="27" spans="4:25" ht="24" customHeight="1">
      <c r="D27" s="451" t="s">
        <v>32</v>
      </c>
      <c r="E27" s="559">
        <f>+[5]원주!$G$9</f>
        <v>99999.999999999985</v>
      </c>
      <c r="F27" s="560">
        <f>+[5]원주!$H$9</f>
        <v>100240.29468871832</v>
      </c>
      <c r="G27" s="561">
        <f t="shared" si="0"/>
        <v>240.29468871833524</v>
      </c>
      <c r="H27" s="559">
        <f>+[5]원주!$G$10</f>
        <v>0</v>
      </c>
      <c r="I27" s="560">
        <f>+[5]원주!$H$10</f>
        <v>0</v>
      </c>
      <c r="J27" s="561">
        <f t="shared" si="1"/>
        <v>0</v>
      </c>
      <c r="K27" s="559">
        <f>+[5]원주!$G$12</f>
        <v>64000</v>
      </c>
      <c r="L27" s="560">
        <f>+[5]원주!$H$12</f>
        <v>57360.21545042302</v>
      </c>
      <c r="M27" s="561">
        <f t="shared" si="2"/>
        <v>-6639.7845495769798</v>
      </c>
      <c r="N27" s="559">
        <f>+[5]원주!$G$13</f>
        <v>49000</v>
      </c>
      <c r="O27" s="560">
        <f>+[5]원주!$H$13</f>
        <v>49000.041313778143</v>
      </c>
      <c r="P27" s="561">
        <f t="shared" si="3"/>
        <v>4.1313778143376112E-2</v>
      </c>
      <c r="Q27" s="559">
        <f>+[5]원주!$G$16</f>
        <v>13666.666666666666</v>
      </c>
      <c r="R27" s="560">
        <f>+[5]원주!$H$16</f>
        <v>13631.355855447877</v>
      </c>
      <c r="S27" s="561">
        <f t="shared" si="4"/>
        <v>-35.31081121878924</v>
      </c>
      <c r="T27" s="559">
        <f>+[5]원주!$G$17</f>
        <v>13419.354838709678</v>
      </c>
      <c r="U27" s="560">
        <f>+[5]원주!$H$17</f>
        <v>13288.42336940848</v>
      </c>
      <c r="V27" s="561">
        <f t="shared" si="5"/>
        <v>-130.93146930119838</v>
      </c>
    </row>
    <row r="28" spans="4:25" ht="24" customHeight="1">
      <c r="D28" s="500" t="s">
        <v>35</v>
      </c>
      <c r="E28" s="565">
        <f>+[5]제주!$G$9</f>
        <v>116999.99999999999</v>
      </c>
      <c r="F28" s="566">
        <f>+[5]제주!$H$9</f>
        <v>116952.63985839552</v>
      </c>
      <c r="G28" s="567">
        <f t="shared" si="0"/>
        <v>-47.360141604469391</v>
      </c>
      <c r="H28" s="565">
        <f>+[5]제주!$G$10</f>
        <v>0</v>
      </c>
      <c r="I28" s="566">
        <f>+[5]제주!$H$10</f>
        <v>0</v>
      </c>
      <c r="J28" s="567">
        <f t="shared" si="1"/>
        <v>0</v>
      </c>
      <c r="K28" s="565">
        <f>+[5]제주!$G$12</f>
        <v>0</v>
      </c>
      <c r="L28" s="566">
        <f>+[5]제주!$H$12</f>
        <v>0</v>
      </c>
      <c r="M28" s="567">
        <f t="shared" si="2"/>
        <v>0</v>
      </c>
      <c r="N28" s="565">
        <f>+[5]제주!$G$13</f>
        <v>0</v>
      </c>
      <c r="O28" s="566">
        <f>+[5]제주!$H$13</f>
        <v>0</v>
      </c>
      <c r="P28" s="567">
        <f t="shared" si="3"/>
        <v>0</v>
      </c>
      <c r="Q28" s="565">
        <f>+[5]제주!$G$16</f>
        <v>18143.333333333336</v>
      </c>
      <c r="R28" s="566">
        <f>+[5]제주!$H$16</f>
        <v>17995.951702069804</v>
      </c>
      <c r="S28" s="567">
        <f t="shared" si="4"/>
        <v>-147.38163126353174</v>
      </c>
      <c r="T28" s="565">
        <f>+[5]제주!$G$17</f>
        <v>18593.79179380419</v>
      </c>
      <c r="U28" s="566">
        <f>+[5]제주!$H$17</f>
        <v>19297.404489932931</v>
      </c>
      <c r="V28" s="567">
        <f t="shared" si="5"/>
        <v>703.61269612874094</v>
      </c>
    </row>
    <row r="29" spans="4:25" ht="24" customHeight="1"/>
    <row r="30" spans="4:25" ht="24" customHeight="1"/>
    <row r="31" spans="4:25" ht="24" customHeight="1"/>
    <row r="32" spans="4:25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39AB-76B0-4EF2-A4A5-C7A0366BB8E0}">
  <sheetPr>
    <tabColor theme="1" tint="0.249977111117893"/>
    <pageSetUpPr fitToPage="1"/>
  </sheetPr>
  <dimension ref="D1:V52"/>
  <sheetViews>
    <sheetView showGridLines="0" showZeros="0" view="pageBreakPreview" zoomScale="60" zoomScaleNormal="85" workbookViewId="0">
      <pane xSplit="4" ySplit="7" topLeftCell="E8" activePane="bottomRight" state="frozen"/>
      <selection activeCell="N18" sqref="N18"/>
      <selection pane="topRight" activeCell="N18" sqref="N18"/>
      <selection pane="bottomLeft" activeCell="N18" sqref="N18"/>
      <selection pane="bottomRight" activeCell="N18" sqref="N18"/>
    </sheetView>
  </sheetViews>
  <sheetFormatPr defaultRowHeight="16.5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4:22" ht="9.9499999999999993" customHeight="1"/>
    <row r="2" spans="4:22" ht="9.9499999999999993" hidden="1" customHeight="1"/>
    <row r="3" spans="4:22" ht="9.9499999999999993" customHeight="1"/>
    <row r="4" spans="4:22" ht="31.5">
      <c r="D4" s="184" t="s">
        <v>210</v>
      </c>
      <c r="F4" s="184"/>
      <c r="I4" s="184"/>
    </row>
    <row r="5" spans="4:22" ht="21.95" customHeight="1">
      <c r="V5" s="186" t="s">
        <v>157</v>
      </c>
    </row>
    <row r="6" spans="4:22" ht="24" customHeight="1" thickBot="1">
      <c r="D6" s="822" t="s">
        <v>11</v>
      </c>
      <c r="E6" s="439" t="s">
        <v>158</v>
      </c>
      <c r="F6" s="440"/>
      <c r="G6" s="441"/>
      <c r="H6" s="439" t="s">
        <v>159</v>
      </c>
      <c r="I6" s="440"/>
      <c r="J6" s="441"/>
      <c r="K6" s="439" t="s">
        <v>160</v>
      </c>
      <c r="L6" s="440"/>
      <c r="M6" s="441"/>
      <c r="N6" s="439" t="s">
        <v>161</v>
      </c>
      <c r="O6" s="440"/>
      <c r="P6" s="441"/>
      <c r="Q6" s="439" t="s">
        <v>162</v>
      </c>
      <c r="R6" s="440"/>
      <c r="S6" s="441"/>
      <c r="T6" s="439" t="s">
        <v>163</v>
      </c>
      <c r="U6" s="440"/>
      <c r="V6" s="441"/>
    </row>
    <row r="7" spans="4:22" ht="24" customHeight="1">
      <c r="D7" s="823"/>
      <c r="E7" s="442" t="s">
        <v>12</v>
      </c>
      <c r="F7" s="443" t="s">
        <v>13</v>
      </c>
      <c r="G7" s="444" t="s">
        <v>36</v>
      </c>
      <c r="H7" s="442" t="s">
        <v>15</v>
      </c>
      <c r="I7" s="443" t="s">
        <v>16</v>
      </c>
      <c r="J7" s="444" t="s">
        <v>36</v>
      </c>
      <c r="K7" s="442" t="s">
        <v>15</v>
      </c>
      <c r="L7" s="443" t="s">
        <v>16</v>
      </c>
      <c r="M7" s="444" t="s">
        <v>36</v>
      </c>
      <c r="N7" s="442" t="s">
        <v>15</v>
      </c>
      <c r="O7" s="443" t="s">
        <v>16</v>
      </c>
      <c r="P7" s="444" t="s">
        <v>36</v>
      </c>
      <c r="Q7" s="442" t="s">
        <v>15</v>
      </c>
      <c r="R7" s="443" t="s">
        <v>16</v>
      </c>
      <c r="S7" s="444" t="s">
        <v>36</v>
      </c>
      <c r="T7" s="442" t="s">
        <v>15</v>
      </c>
      <c r="U7" s="443" t="s">
        <v>16</v>
      </c>
      <c r="V7" s="444" t="s">
        <v>36</v>
      </c>
    </row>
    <row r="8" spans="4:22" ht="24" customHeight="1">
      <c r="D8" s="470" t="s">
        <v>47</v>
      </c>
      <c r="E8" s="460">
        <f>+[5]합계!$E$9</f>
        <v>274.38800781100343</v>
      </c>
      <c r="F8" s="462">
        <f>+[5]합계!$F$9</f>
        <v>299.22752453723382</v>
      </c>
      <c r="G8" s="487">
        <f>+F8-E8</f>
        <v>24.839516726230386</v>
      </c>
      <c r="H8" s="460">
        <f>+[5]합계!$E$15</f>
        <v>353.28094569617014</v>
      </c>
      <c r="I8" s="462">
        <f>+[5]합계!$F$15</f>
        <v>375.6224234123473</v>
      </c>
      <c r="J8" s="487">
        <f>+I8-H8</f>
        <v>22.341477716177167</v>
      </c>
      <c r="K8" s="531">
        <f>+([5]합계!$E$10*0.4+[5]합계!$E$11+[5]합계!$E$12+[5]합계!$E$13+[5]합계!$E$14)/[5]합계!$E$15</f>
        <v>0.18908035194369505</v>
      </c>
      <c r="L8" s="532">
        <f>+([5]합계!$F$10*0.4+[5]합계!$F$11+[5]합계!$F$12+[5]합계!$F$13+[5]합계!$F$14)/[5]합계!$F$15</f>
        <v>0.16460214322326877</v>
      </c>
      <c r="M8" s="533">
        <f>+L8-K8</f>
        <v>-2.4478208720426275E-2</v>
      </c>
      <c r="N8" s="460">
        <f>+[5]합계!$E$16</f>
        <v>829.2472647080067</v>
      </c>
      <c r="O8" s="462">
        <f>+[5]합계!$F$16</f>
        <v>832.42427911433867</v>
      </c>
      <c r="P8" s="487">
        <f>+O8-N8</f>
        <v>3.1770144063319776</v>
      </c>
      <c r="Q8" s="460">
        <f>+[5]합계!$E$17</f>
        <v>898.78506911598436</v>
      </c>
      <c r="R8" s="462">
        <f>+[5]합계!$F$17</f>
        <v>877.84239971964018</v>
      </c>
      <c r="S8" s="487">
        <f>+R8-Q8</f>
        <v>-20.942669396344172</v>
      </c>
      <c r="T8" s="460">
        <f>+[5]합계!$E$19</f>
        <v>3.1405016522163165</v>
      </c>
      <c r="U8" s="462">
        <f>+[5]합계!$F$19</f>
        <v>3.2193542209097901</v>
      </c>
      <c r="V8" s="487">
        <f>+U8-T8</f>
        <v>7.8852568693473568E-2</v>
      </c>
    </row>
    <row r="9" spans="4:22" ht="24" customHeight="1">
      <c r="D9" s="471" t="s">
        <v>19</v>
      </c>
      <c r="E9" s="465">
        <f>+[5]수도권!$E$9</f>
        <v>295.95245054945053</v>
      </c>
      <c r="F9" s="479">
        <f>+[5]수도권!$F$9</f>
        <v>323.0837904309912</v>
      </c>
      <c r="G9" s="488">
        <f t="shared" ref="G9:G28" si="0">+F9-E9</f>
        <v>27.131339881540669</v>
      </c>
      <c r="H9" s="465">
        <f>+[5]수도권!$E$15</f>
        <v>356.97936263736256</v>
      </c>
      <c r="I9" s="479">
        <f>+[5]수도권!$F$15</f>
        <v>375.82966801874994</v>
      </c>
      <c r="J9" s="488">
        <f t="shared" ref="J9:J28" si="1">+I9-H9</f>
        <v>18.850305381387386</v>
      </c>
      <c r="K9" s="537">
        <f>+([5]수도권!$E$10*0.4+[5]수도권!$E$11+[5]수도권!$E$12+[5]수도권!$E$13+[5]수도권!$E$14)/[5]수도권!$E$15</f>
        <v>0.16078477402670679</v>
      </c>
      <c r="L9" s="538">
        <f>+([5]수도권!$F$10*0.4+[5]수도권!$F$11+[5]수도권!$F$12+[5]수도권!$F$13+[5]수도권!$F$14)/[5]수도권!$F$15</f>
        <v>0.139954218319993</v>
      </c>
      <c r="M9" s="534">
        <f t="shared" ref="M9:M28" si="2">+L9-K9</f>
        <v>-2.0830555706713799E-2</v>
      </c>
      <c r="N9" s="465">
        <f>+[5]수도권!$E$16</f>
        <v>862.75741758241747</v>
      </c>
      <c r="O9" s="479">
        <f>+[5]수도권!$F$16</f>
        <v>850.94365189895632</v>
      </c>
      <c r="P9" s="488">
        <f t="shared" ref="P9:P28" si="3">+O9-N9</f>
        <v>-11.813765683461156</v>
      </c>
      <c r="Q9" s="465">
        <f>+[5]수도권!$E$17</f>
        <v>874.3536483516483</v>
      </c>
      <c r="R9" s="479">
        <f>+[5]수도권!$F$17</f>
        <v>854.13737156183151</v>
      </c>
      <c r="S9" s="488">
        <f t="shared" ref="S9:S28" si="4">+R9-Q9</f>
        <v>-20.216276789816789</v>
      </c>
      <c r="T9" s="465">
        <f>+[5]수도권!$E$19</f>
        <v>3.0879375824175823</v>
      </c>
      <c r="U9" s="479">
        <f>+[5]수도권!$F$19</f>
        <v>3.1967710498322561</v>
      </c>
      <c r="V9" s="488">
        <f t="shared" ref="V9:V28" si="5">+U9-T9</f>
        <v>0.10883346741467381</v>
      </c>
    </row>
    <row r="10" spans="4:22" ht="24" customHeight="1">
      <c r="D10" s="472" t="s">
        <v>20</v>
      </c>
      <c r="E10" s="467">
        <f>+[5]영남권!$E$9</f>
        <v>243.58478818263208</v>
      </c>
      <c r="F10" s="480">
        <f>+[5]영남권!$F$9</f>
        <v>274.08646451938841</v>
      </c>
      <c r="G10" s="489">
        <f t="shared" si="0"/>
        <v>30.501676336756333</v>
      </c>
      <c r="H10" s="467">
        <f>+[5]영남권!$E$15</f>
        <v>349.25828843339468</v>
      </c>
      <c r="I10" s="480">
        <f>+[5]영남권!$F$15</f>
        <v>379.72647640652013</v>
      </c>
      <c r="J10" s="489">
        <f t="shared" si="1"/>
        <v>30.468187973125453</v>
      </c>
      <c r="K10" s="539">
        <f>+([5]영남권!$E$10*0.4+[5]영남권!$E$11+[5]영남권!$E$12+[5]영남권!$E$13+[5]영남권!$E$14)/[5]영남권!$E$15</f>
        <v>0.23513076261915269</v>
      </c>
      <c r="L10" s="540">
        <f>+([5]영남권!$F$10*0.4+[5]영남권!$F$11+[5]영남권!$F$12+[5]영남권!$F$13+[5]영남권!$F$14)/[5]영남권!$F$15</f>
        <v>0.19658406976013021</v>
      </c>
      <c r="M10" s="535">
        <f t="shared" si="2"/>
        <v>-3.8546692859022486E-2</v>
      </c>
      <c r="N10" s="467">
        <f>+[5]영남권!$E$16</f>
        <v>809.53032798179095</v>
      </c>
      <c r="O10" s="480">
        <f>+[5]영남권!$F$16</f>
        <v>811.06472047905152</v>
      </c>
      <c r="P10" s="489">
        <f t="shared" si="3"/>
        <v>1.5343924972605691</v>
      </c>
      <c r="Q10" s="467">
        <f>+[5]영남권!$E$17</f>
        <v>908.40896417132092</v>
      </c>
      <c r="R10" s="480">
        <f>+[5]영남권!$F$17</f>
        <v>904.51067117717253</v>
      </c>
      <c r="S10" s="489">
        <f t="shared" si="4"/>
        <v>-3.8982929941483917</v>
      </c>
      <c r="T10" s="467">
        <f>+[5]영남권!$E$19</f>
        <v>3.2485420327564536</v>
      </c>
      <c r="U10" s="480">
        <f>+[5]영남권!$F$19</f>
        <v>3.3429719810400242</v>
      </c>
      <c r="V10" s="489">
        <f t="shared" si="5"/>
        <v>9.4429948283570653E-2</v>
      </c>
    </row>
    <row r="11" spans="4:22" ht="24" customHeight="1">
      <c r="D11" s="473" t="s">
        <v>57</v>
      </c>
      <c r="E11" s="468">
        <f>+[5]중부권!$E$9</f>
        <v>308.04901408450701</v>
      </c>
      <c r="F11" s="481">
        <f>+[5]중부권!$F$9</f>
        <v>315.22268105916788</v>
      </c>
      <c r="G11" s="490">
        <f t="shared" si="0"/>
        <v>7.1736669746608754</v>
      </c>
      <c r="H11" s="468">
        <f>+[5]중부권!$E$15</f>
        <v>355.41521126760563</v>
      </c>
      <c r="I11" s="481">
        <f>+[5]중부권!$F$15</f>
        <v>361.72225121456825</v>
      </c>
      <c r="J11" s="490">
        <f t="shared" si="1"/>
        <v>6.3070399469626182</v>
      </c>
      <c r="K11" s="541">
        <f>+([5]중부권!$E$10*0.4+[5]중부권!$E$11+[5]중부권!$E$12+[5]중부권!$E$13+[5]중부권!$E$14)/[5]중부권!$E$15</f>
        <v>0.13127276646873645</v>
      </c>
      <c r="L11" s="542">
        <f>+([5]중부권!$F$10*0.4+[5]중부권!$F$11+[5]중부권!$F$12+[5]중부권!$F$13+[5]중부권!$F$14)/[5]중부권!$F$15</f>
        <v>0.12604272069142988</v>
      </c>
      <c r="M11" s="536">
        <f t="shared" si="2"/>
        <v>-5.2300457773065689E-3</v>
      </c>
      <c r="N11" s="468">
        <f>+[5]중부권!$E$16</f>
        <v>800.27718309859154</v>
      </c>
      <c r="O11" s="481">
        <f>+[5]중부권!$F$16</f>
        <v>850.82651780830736</v>
      </c>
      <c r="P11" s="490">
        <f t="shared" si="3"/>
        <v>50.549334709715822</v>
      </c>
      <c r="Q11" s="468">
        <f>+[5]중부권!$E$17</f>
        <v>933.62478873239445</v>
      </c>
      <c r="R11" s="481">
        <f>+[5]중부권!$F$17</f>
        <v>856.4706734017567</v>
      </c>
      <c r="S11" s="490">
        <f t="shared" si="4"/>
        <v>-77.154115330637751</v>
      </c>
      <c r="T11" s="468">
        <f>+[5]중부권!$E$19</f>
        <v>2.9632957746478872</v>
      </c>
      <c r="U11" s="481">
        <f>+[5]중부권!$F$19</f>
        <v>2.8800077217592732</v>
      </c>
      <c r="V11" s="490">
        <f t="shared" si="5"/>
        <v>-8.3288052888613961E-2</v>
      </c>
    </row>
    <row r="12" spans="4:22" ht="24" customHeight="1">
      <c r="D12" s="485" t="s">
        <v>22</v>
      </c>
      <c r="E12" s="447">
        <f>+[5]안양!$E$9</f>
        <v>301.79999999999995</v>
      </c>
      <c r="F12" s="448">
        <f>+[5]안양!$F$9</f>
        <v>323.89156848189202</v>
      </c>
      <c r="G12" s="449">
        <f t="shared" si="0"/>
        <v>22.091568481892068</v>
      </c>
      <c r="H12" s="447">
        <f>+[5]안양!$E$15</f>
        <v>368.09999999999997</v>
      </c>
      <c r="I12" s="448">
        <f>+[5]안양!$F$15</f>
        <v>364.8602266822208</v>
      </c>
      <c r="J12" s="449">
        <f t="shared" si="1"/>
        <v>-3.2397733177791679</v>
      </c>
      <c r="K12" s="505">
        <f>+([5]안양!$E$10*0.4+[5]안양!$E$11+[5]안양!$E$12+[5]안양!$E$13+[5]안양!$E$14)/[5]안양!$E$15</f>
        <v>0.16707416462917687</v>
      </c>
      <c r="L12" s="506">
        <f>+([5]안양!$F$10*0.4+[5]안양!$F$11+[5]안양!$F$12+[5]안양!$F$13+[5]안양!$F$14)/[5]안양!$F$15</f>
        <v>0.11137254090336329</v>
      </c>
      <c r="M12" s="507">
        <f t="shared" si="2"/>
        <v>-5.5701623725813582E-2</v>
      </c>
      <c r="N12" s="447">
        <f>+[5]안양!$E$16</f>
        <v>848.09999999999991</v>
      </c>
      <c r="O12" s="448">
        <f>+[5]안양!$F$16</f>
        <v>862.14075507715177</v>
      </c>
      <c r="P12" s="449">
        <f t="shared" si="3"/>
        <v>14.040755077151857</v>
      </c>
      <c r="Q12" s="447">
        <f>+[5]안양!$E$17</f>
        <v>877</v>
      </c>
      <c r="R12" s="448">
        <f>+[5]안양!$F$17</f>
        <v>841.44692189405566</v>
      </c>
      <c r="S12" s="449">
        <f t="shared" si="4"/>
        <v>-35.553078105944337</v>
      </c>
      <c r="T12" s="508">
        <f>+[5]안양!$E$19</f>
        <v>3.29</v>
      </c>
      <c r="U12" s="509">
        <f>+[5]안양!$F$19</f>
        <v>3.1559348321756202</v>
      </c>
      <c r="V12" s="510">
        <f t="shared" si="5"/>
        <v>-0.13406516782437983</v>
      </c>
    </row>
    <row r="13" spans="4:22" ht="24" customHeight="1">
      <c r="D13" s="451" t="s">
        <v>23</v>
      </c>
      <c r="E13" s="452">
        <f>+[5]인천!$E$9</f>
        <v>301.22699999999998</v>
      </c>
      <c r="F13" s="453">
        <f>+[5]인천!$F$9</f>
        <v>325.67757508721166</v>
      </c>
      <c r="G13" s="189">
        <f t="shared" si="0"/>
        <v>24.450575087211689</v>
      </c>
      <c r="H13" s="452">
        <f>+[5]인천!$E$15</f>
        <v>367.34299999999996</v>
      </c>
      <c r="I13" s="453">
        <f>+[5]인천!$F$15</f>
        <v>377.15682166255414</v>
      </c>
      <c r="J13" s="189">
        <f t="shared" si="1"/>
        <v>9.8138216625541759</v>
      </c>
      <c r="K13" s="511">
        <f>+([5]인천!$E$10*0.4+[5]인천!$E$11+[5]인천!$E$12+[5]인천!$E$13+[5]인천!$E$14)/[5]인천!$E$15</f>
        <v>0.16211551601636617</v>
      </c>
      <c r="L13" s="512">
        <f>+([5]인천!$F$10*0.4+[5]인천!$F$11+[5]인천!$F$12+[5]인천!$F$13+[5]인천!$F$14)/[5]인천!$F$15</f>
        <v>0.13649294834020378</v>
      </c>
      <c r="M13" s="513">
        <f t="shared" si="2"/>
        <v>-2.5622567676162389E-2</v>
      </c>
      <c r="N13" s="452">
        <f>+[5]인천!$E$16</f>
        <v>886.07499999999993</v>
      </c>
      <c r="O13" s="453">
        <f>+[5]인천!$F$16</f>
        <v>868.09112567004161</v>
      </c>
      <c r="P13" s="189">
        <f t="shared" si="3"/>
        <v>-17.983874329958326</v>
      </c>
      <c r="Q13" s="452">
        <f>+[5]인천!$E$17</f>
        <v>851.8180000000001</v>
      </c>
      <c r="R13" s="453">
        <f>+[5]인천!$F$17</f>
        <v>834.14940866161828</v>
      </c>
      <c r="S13" s="189">
        <f t="shared" si="4"/>
        <v>-17.668591338381816</v>
      </c>
      <c r="T13" s="514">
        <f>+[5]인천!$E$19</f>
        <v>3.306</v>
      </c>
      <c r="U13" s="515">
        <f>+[5]인천!$F$19</f>
        <v>3.2726946311580019</v>
      </c>
      <c r="V13" s="516">
        <f t="shared" si="5"/>
        <v>-3.3305368841998195E-2</v>
      </c>
    </row>
    <row r="14" spans="4:22" ht="24" customHeight="1">
      <c r="D14" s="451" t="s">
        <v>24</v>
      </c>
      <c r="E14" s="452">
        <f>+[5]파주!$E$9</f>
        <v>301.7821428571429</v>
      </c>
      <c r="F14" s="453">
        <f>+[5]파주!$F$9</f>
        <v>319.58197613882885</v>
      </c>
      <c r="G14" s="189">
        <f t="shared" si="0"/>
        <v>17.799833281685949</v>
      </c>
      <c r="H14" s="452">
        <f>+[5]파주!$E$15</f>
        <v>346.53761904761905</v>
      </c>
      <c r="I14" s="453">
        <f>+[5]파주!$F$15</f>
        <v>404.64745498915431</v>
      </c>
      <c r="J14" s="189">
        <f t="shared" si="1"/>
        <v>58.109835941535266</v>
      </c>
      <c r="K14" s="511">
        <f>+([5]파주!$E$10*0.4+[5]파주!$E$11+[5]파주!$E$12+[5]파주!$E$13+[5]파주!$E$14)/[5]파주!$E$15</f>
        <v>0.1291504117604218</v>
      </c>
      <c r="L14" s="512">
        <f>+([5]파주!$F$10*0.4+[5]파주!$F$11+[5]파주!$F$12+[5]파주!$F$13+[5]파주!$F$14)/[5]파주!$F$15</f>
        <v>0.21022121306213432</v>
      </c>
      <c r="M14" s="513">
        <f t="shared" si="2"/>
        <v>8.1070801301712514E-2</v>
      </c>
      <c r="N14" s="452">
        <f>+[5]파주!$E$16</f>
        <v>875.40595238095239</v>
      </c>
      <c r="O14" s="453">
        <f>+[5]파주!$F$16</f>
        <v>831.07465227765749</v>
      </c>
      <c r="P14" s="189">
        <f t="shared" si="3"/>
        <v>-44.331300103294893</v>
      </c>
      <c r="Q14" s="452">
        <f>+[5]파주!$E$17</f>
        <v>877.64523809523814</v>
      </c>
      <c r="R14" s="453">
        <f>+[5]파주!$F$17</f>
        <v>869.29602635574815</v>
      </c>
      <c r="S14" s="189">
        <f t="shared" si="4"/>
        <v>-8.3492117394899878</v>
      </c>
      <c r="T14" s="514">
        <f>+[5]파주!$E$19</f>
        <v>2.7723009523809523</v>
      </c>
      <c r="U14" s="515">
        <f>+[5]파주!$F$19</f>
        <v>3.3929969088937098</v>
      </c>
      <c r="V14" s="516">
        <f t="shared" si="5"/>
        <v>0.62069595651275744</v>
      </c>
    </row>
    <row r="15" spans="4:22" ht="24" customHeight="1">
      <c r="D15" s="451" t="s">
        <v>178</v>
      </c>
      <c r="E15" s="452">
        <f>+[5]김포!$E$9</f>
        <v>250</v>
      </c>
      <c r="F15" s="453">
        <f>+[5]김포!$F$9</f>
        <v>318.5174434812173</v>
      </c>
      <c r="G15" s="189">
        <f t="shared" si="0"/>
        <v>68.517443481217299</v>
      </c>
      <c r="H15" s="452">
        <f>+[5]김포!$E$15</f>
        <v>314</v>
      </c>
      <c r="I15" s="453">
        <f>+[5]김포!$F$15</f>
        <v>350.52783613802507</v>
      </c>
      <c r="J15" s="189">
        <f t="shared" si="1"/>
        <v>36.527836138025066</v>
      </c>
      <c r="K15" s="511">
        <f>+([5]김포!$E$10*0.4+[5]김포!$E$11+[5]김포!$E$12+[5]김포!$E$13+[5]김포!$E$14)/[5]김포!$E$15</f>
        <v>0.20382165605095542</v>
      </c>
      <c r="L15" s="512">
        <f>+([5]김포!$F$10*0.4+[5]김포!$F$11+[5]김포!$F$12+[5]김포!$F$13+[5]김포!$F$14)/[5]김포!$F$15</f>
        <v>9.1320543924515066E-2</v>
      </c>
      <c r="M15" s="513">
        <f t="shared" si="2"/>
        <v>-0.11250111212644036</v>
      </c>
      <c r="N15" s="452">
        <f>+[5]김포!$E$16</f>
        <v>833</v>
      </c>
      <c r="O15" s="453">
        <f>+[5]김포!$F$16</f>
        <v>772.91942903280619</v>
      </c>
      <c r="P15" s="189">
        <f t="shared" si="3"/>
        <v>-60.080570967193808</v>
      </c>
      <c r="Q15" s="452">
        <f>+[5]김포!$E$17</f>
        <v>912</v>
      </c>
      <c r="R15" s="453">
        <f>+[5]김포!$F$17</f>
        <v>967.84973635900087</v>
      </c>
      <c r="S15" s="189">
        <f t="shared" si="4"/>
        <v>55.849736359000872</v>
      </c>
      <c r="T15" s="514">
        <f>+[5]김포!$E$19</f>
        <v>2.5</v>
      </c>
      <c r="U15" s="515">
        <f>+[5]김포!$F$19</f>
        <v>2.5401665816760133</v>
      </c>
      <c r="V15" s="516">
        <f t="shared" si="5"/>
        <v>4.016658167601328E-2</v>
      </c>
    </row>
    <row r="16" spans="4:22" ht="24" customHeight="1">
      <c r="D16" s="486" t="s">
        <v>25</v>
      </c>
      <c r="E16" s="455">
        <f>+[5]부산!$E$9</f>
        <v>228.66492429498695</v>
      </c>
      <c r="F16" s="456">
        <f>+[5]부산!$F$9</f>
        <v>224.23806639103597</v>
      </c>
      <c r="G16" s="457">
        <f t="shared" si="0"/>
        <v>-4.4268579039509746</v>
      </c>
      <c r="H16" s="455">
        <f>+[5]부산!$E$15</f>
        <v>356.09328527643481</v>
      </c>
      <c r="I16" s="456">
        <f>+[5]부산!$F$15</f>
        <v>409.00434118281498</v>
      </c>
      <c r="J16" s="457">
        <f t="shared" si="1"/>
        <v>52.91105590638017</v>
      </c>
      <c r="K16" s="517">
        <f>+([5]부산!$E$10*0.4+[5]부산!$E$11+[5]부산!$E$12+[5]부산!$E$13+[5]부산!$E$14)/[5]부산!$E$15</f>
        <v>0.28960953817120721</v>
      </c>
      <c r="L16" s="518">
        <f>+([5]부산!$F$10*0.4+[5]부산!$F$11+[5]부산!$F$12+[5]부산!$F$13+[5]부산!$F$14)/[5]부산!$F$15</f>
        <v>0.23129740590195097</v>
      </c>
      <c r="M16" s="519">
        <f t="shared" si="2"/>
        <v>-5.8312132269256245E-2</v>
      </c>
      <c r="N16" s="455">
        <f>+[5]부산!$E$16</f>
        <v>847.74259462615908</v>
      </c>
      <c r="O16" s="456">
        <f>+[5]부산!$F$16</f>
        <v>876.59356462340452</v>
      </c>
      <c r="P16" s="457">
        <f t="shared" si="3"/>
        <v>28.850969997245443</v>
      </c>
      <c r="Q16" s="455">
        <f>+[5]부산!$E$17</f>
        <v>885.64983043596021</v>
      </c>
      <c r="R16" s="456">
        <f>+[5]부산!$F$17</f>
        <v>843.74078734495811</v>
      </c>
      <c r="S16" s="457">
        <f t="shared" si="4"/>
        <v>-41.909043091002104</v>
      </c>
      <c r="T16" s="520">
        <f>+[5]부산!$E$19</f>
        <v>2.8385688348460327</v>
      </c>
      <c r="U16" s="521">
        <f>+[5]부산!$F$19</f>
        <v>3.6824818742884537</v>
      </c>
      <c r="V16" s="522">
        <f t="shared" si="5"/>
        <v>0.84391303944242102</v>
      </c>
    </row>
    <row r="17" spans="4:22" ht="24" customHeight="1">
      <c r="D17" s="451" t="s">
        <v>26</v>
      </c>
      <c r="E17" s="452">
        <f>+[5]서부산!$E$9</f>
        <v>241.79999999999998</v>
      </c>
      <c r="F17" s="453">
        <f>+[5]서부산!$F$9</f>
        <v>303.32593313936223</v>
      </c>
      <c r="G17" s="189">
        <f t="shared" si="0"/>
        <v>61.525933139362252</v>
      </c>
      <c r="H17" s="452">
        <f>+[5]서부산!$E$15</f>
        <v>354.99999999999994</v>
      </c>
      <c r="I17" s="453">
        <f>+[5]서부산!$F$15</f>
        <v>371.07540169823648</v>
      </c>
      <c r="J17" s="189">
        <f t="shared" si="1"/>
        <v>16.075401698236533</v>
      </c>
      <c r="K17" s="511">
        <f>+([5]서부산!$E$10*0.4+[5]서부산!$E$11+[5]서부산!$E$12+[5]서부산!$E$13+[5]서부산!$E$14)/[5]서부산!$E$15</f>
        <v>0.21729577464788741</v>
      </c>
      <c r="L17" s="512">
        <f>+([5]서부산!$F$10*0.4+[5]서부산!$F$11+[5]서부산!$F$12+[5]서부산!$F$13+[5]서부산!$F$14)/[5]서부산!$F$15</f>
        <v>0.11151285177319703</v>
      </c>
      <c r="M17" s="513">
        <f t="shared" si="2"/>
        <v>-0.10578292287469038</v>
      </c>
      <c r="N17" s="452">
        <f>+[5]서부산!$E$16</f>
        <v>813.30000000000007</v>
      </c>
      <c r="O17" s="453">
        <f>+[5]서부산!$F$16</f>
        <v>777.82346653999207</v>
      </c>
      <c r="P17" s="189">
        <f t="shared" si="3"/>
        <v>-35.476533460008</v>
      </c>
      <c r="Q17" s="452">
        <f>+[5]서부산!$E$17</f>
        <v>911.39999999999986</v>
      </c>
      <c r="R17" s="453">
        <f>+[5]서부산!$F$17</f>
        <v>947.54854224808503</v>
      </c>
      <c r="S17" s="189">
        <f t="shared" si="4"/>
        <v>36.148542248085164</v>
      </c>
      <c r="T17" s="514">
        <f>+[5]서부산!$E$19</f>
        <v>4.5599999999999996</v>
      </c>
      <c r="U17" s="515">
        <f>+[5]서부산!$F$19</f>
        <v>3.1085838133127504</v>
      </c>
      <c r="V17" s="516">
        <f t="shared" si="5"/>
        <v>-1.4514161866872493</v>
      </c>
    </row>
    <row r="18" spans="4:22" ht="24" customHeight="1">
      <c r="D18" s="451" t="s">
        <v>27</v>
      </c>
      <c r="E18" s="452">
        <f>+[5]김해!$E$9</f>
        <v>218.39000000000001</v>
      </c>
      <c r="F18" s="453">
        <f>+[5]김해!$F$9</f>
        <v>216.60956476444036</v>
      </c>
      <c r="G18" s="189">
        <f t="shared" si="0"/>
        <v>-1.7804352355596507</v>
      </c>
      <c r="H18" s="452">
        <f>+[5]김해!$E$15</f>
        <v>342.99999999999994</v>
      </c>
      <c r="I18" s="453">
        <f>+[5]김해!$F$15</f>
        <v>399.25919435119823</v>
      </c>
      <c r="J18" s="189">
        <f t="shared" si="1"/>
        <v>56.259194351198289</v>
      </c>
      <c r="K18" s="511">
        <f>+([5]김해!$E$10*0.4+[5]김해!$E$11+[5]김해!$E$12+[5]김해!$E$13+[5]김해!$E$14)/[5]김해!$E$15</f>
        <v>0.17711953352769683</v>
      </c>
      <c r="L18" s="512">
        <f>+([5]김해!$F$10*0.4+[5]김해!$F$11+[5]김해!$F$12+[5]김해!$F$13+[5]김해!$F$14)/[5]김해!$F$15</f>
        <v>0.21031661722805547</v>
      </c>
      <c r="M18" s="513">
        <f t="shared" si="2"/>
        <v>3.3197083700358648E-2</v>
      </c>
      <c r="N18" s="452">
        <f>+[5]김해!$E$16</f>
        <v>830</v>
      </c>
      <c r="O18" s="453">
        <f>+[5]김해!$F$16</f>
        <v>749.73955318902665</v>
      </c>
      <c r="P18" s="189">
        <f t="shared" si="3"/>
        <v>-80.260446810973349</v>
      </c>
      <c r="Q18" s="452">
        <f>+[5]김해!$E$17</f>
        <v>890</v>
      </c>
      <c r="R18" s="453">
        <f>+[5]김해!$F$17</f>
        <v>970.22109040398209</v>
      </c>
      <c r="S18" s="189">
        <f t="shared" si="4"/>
        <v>80.221090403982089</v>
      </c>
      <c r="T18" s="514">
        <f>+[5]김해!$E$19</f>
        <v>3.3</v>
      </c>
      <c r="U18" s="515">
        <f>+[5]김해!$F$19</f>
        <v>3.4784141683065166</v>
      </c>
      <c r="V18" s="516">
        <f t="shared" si="5"/>
        <v>0.1784141683065168</v>
      </c>
    </row>
    <row r="19" spans="4:22" ht="24" customHeight="1">
      <c r="D19" s="451" t="s">
        <v>28</v>
      </c>
      <c r="E19" s="452">
        <f>+[5]정관!$E$9</f>
        <v>236.4</v>
      </c>
      <c r="F19" s="453">
        <f>+[5]정관!$F$9</f>
        <v>293.66458071838673</v>
      </c>
      <c r="G19" s="189">
        <f t="shared" si="0"/>
        <v>57.264580718386725</v>
      </c>
      <c r="H19" s="452">
        <f>+[5]정관!$E$15</f>
        <v>360.3</v>
      </c>
      <c r="I19" s="453">
        <f>+[5]정관!$F$15</f>
        <v>382.96483509146725</v>
      </c>
      <c r="J19" s="189">
        <f t="shared" si="1"/>
        <v>22.664835091467239</v>
      </c>
      <c r="K19" s="511">
        <f>+([5]정관!$E$10*0.4+[5]정관!$E$11+[5]정관!$E$12+[5]정관!$E$13+[5]정관!$E$14)/[5]정관!$E$15</f>
        <v>0.24279766860949206</v>
      </c>
      <c r="L19" s="512">
        <f>+([5]정관!$F$10*0.4+[5]정관!$F$11+[5]정관!$F$12+[5]정관!$F$13+[5]정관!$F$14)/[5]정관!$F$15</f>
        <v>0.17612583703764095</v>
      </c>
      <c r="M19" s="513">
        <f t="shared" si="2"/>
        <v>-6.6671831571851109E-2</v>
      </c>
      <c r="N19" s="452">
        <f>+[5]정관!$E$16</f>
        <v>795</v>
      </c>
      <c r="O19" s="453">
        <f>+[5]정관!$F$16</f>
        <v>803.32440913339519</v>
      </c>
      <c r="P19" s="189">
        <f t="shared" si="3"/>
        <v>8.3244091333951928</v>
      </c>
      <c r="Q19" s="452">
        <f>+[5]정관!$E$17</f>
        <v>920</v>
      </c>
      <c r="R19" s="453">
        <f>+[5]정관!$F$17</f>
        <v>935.33382294031219</v>
      </c>
      <c r="S19" s="189">
        <f t="shared" si="4"/>
        <v>15.333822940312189</v>
      </c>
      <c r="T19" s="514">
        <f>+[5]정관!$E$19</f>
        <v>3.0607650000000004</v>
      </c>
      <c r="U19" s="515">
        <f>+[5]정관!$F$19</f>
        <v>3.7110161570303091</v>
      </c>
      <c r="V19" s="516">
        <f t="shared" si="5"/>
        <v>0.65025115703030867</v>
      </c>
    </row>
    <row r="20" spans="4:22" ht="24" customHeight="1">
      <c r="D20" s="451" t="s">
        <v>29</v>
      </c>
      <c r="E20" s="452">
        <f>+[5]양산!$E$9</f>
        <v>252.21244444444434</v>
      </c>
      <c r="F20" s="453">
        <f>+[5]양산!$F$9</f>
        <v>228.66468508056064</v>
      </c>
      <c r="G20" s="189">
        <f t="shared" si="0"/>
        <v>-23.547759363883699</v>
      </c>
      <c r="H20" s="452">
        <f>+[5]양산!$E$15</f>
        <v>333.27577777777765</v>
      </c>
      <c r="I20" s="453">
        <f>+[5]양산!$F$15</f>
        <v>363.30484410964618</v>
      </c>
      <c r="J20" s="189">
        <f t="shared" si="1"/>
        <v>30.029066331868535</v>
      </c>
      <c r="K20" s="511">
        <f>+([5]양산!$E$10*0.4+[5]양산!$E$11+[5]양산!$E$12+[5]양산!$E$13+[5]양산!$E$14)/[5]양산!$E$15</f>
        <v>0.22489883253175053</v>
      </c>
      <c r="L20" s="512">
        <f>+([5]양산!$F$10*0.4+[5]양산!$F$11+[5]양산!$F$12+[5]양산!$F$13+[5]양산!$F$14)/[5]양산!$F$15</f>
        <v>0.37059830390934961</v>
      </c>
      <c r="M20" s="513">
        <f t="shared" si="2"/>
        <v>0.14569947137759909</v>
      </c>
      <c r="N20" s="452">
        <f>+[5]양산!$E$16</f>
        <v>781.66666666666663</v>
      </c>
      <c r="O20" s="453">
        <f>+[5]양산!$F$16</f>
        <v>825.82810211341268</v>
      </c>
      <c r="P20" s="189">
        <f t="shared" si="3"/>
        <v>44.161435446746054</v>
      </c>
      <c r="Q20" s="452">
        <f>+[5]양산!$E$17</f>
        <v>906.93389777777816</v>
      </c>
      <c r="R20" s="453">
        <f>+[5]양산!$F$17</f>
        <v>866.92299644277011</v>
      </c>
      <c r="S20" s="189">
        <f t="shared" si="4"/>
        <v>-40.010901335008043</v>
      </c>
      <c r="T20" s="514">
        <f>+[5]양산!$E$19</f>
        <v>2.5286907777777774</v>
      </c>
      <c r="U20" s="515">
        <f>+[5]양산!$F$19</f>
        <v>3.1156601799539625</v>
      </c>
      <c r="V20" s="516">
        <f t="shared" si="5"/>
        <v>0.5869694021761851</v>
      </c>
    </row>
    <row r="21" spans="4:22" ht="24" customHeight="1">
      <c r="D21" s="451" t="s">
        <v>30</v>
      </c>
      <c r="E21" s="452">
        <f>+[5]창원!$E$9</f>
        <v>240.79999999999998</v>
      </c>
      <c r="F21" s="453">
        <f>+[5]창원!$F$9</f>
        <v>287.25296576716511</v>
      </c>
      <c r="G21" s="189">
        <f t="shared" si="0"/>
        <v>46.452965767165125</v>
      </c>
      <c r="H21" s="452">
        <f>+[5]창원!$E$15</f>
        <v>345.4</v>
      </c>
      <c r="I21" s="453">
        <f>+[5]창원!$F$15</f>
        <v>358.2562052675857</v>
      </c>
      <c r="J21" s="189">
        <f t="shared" si="1"/>
        <v>12.856205267585722</v>
      </c>
      <c r="K21" s="511">
        <f>+([5]창원!$E$10*0.4+[5]창원!$E$11+[5]창원!$E$12+[5]창원!$E$13+[5]창원!$E$14)/[5]창원!$E$15</f>
        <v>0.30283729009843657</v>
      </c>
      <c r="L21" s="512">
        <f>+([5]창원!$F$10*0.4+[5]창원!$F$11+[5]창원!$F$12+[5]창원!$F$13+[5]창원!$F$14)/[5]창원!$F$15</f>
        <v>0.19819123425199991</v>
      </c>
      <c r="M21" s="513">
        <f t="shared" si="2"/>
        <v>-0.10464605584643666</v>
      </c>
      <c r="N21" s="452">
        <f>+[5]창원!$E$16</f>
        <v>835.9</v>
      </c>
      <c r="O21" s="453">
        <f>+[5]창원!$F$16</f>
        <v>905.13168963955286</v>
      </c>
      <c r="P21" s="189">
        <f t="shared" si="3"/>
        <v>69.231689639552883</v>
      </c>
      <c r="Q21" s="452">
        <f>+[5]창원!$E$17</f>
        <v>880.19999999999993</v>
      </c>
      <c r="R21" s="453">
        <f>+[5]창원!$F$17</f>
        <v>805.7069824629524</v>
      </c>
      <c r="S21" s="189">
        <f t="shared" si="4"/>
        <v>-74.493017537047535</v>
      </c>
      <c r="T21" s="514">
        <f>+[5]창원!$E$19</f>
        <v>3.1</v>
      </c>
      <c r="U21" s="515">
        <f>+[5]창원!$F$19</f>
        <v>3.1108037274315667</v>
      </c>
      <c r="V21" s="516">
        <f t="shared" si="5"/>
        <v>1.0803727431566656E-2</v>
      </c>
    </row>
    <row r="22" spans="4:22" ht="24" customHeight="1">
      <c r="D22" s="451" t="s">
        <v>95</v>
      </c>
      <c r="E22" s="452">
        <f>+[5]대구!$E$9</f>
        <v>285.59999999999997</v>
      </c>
      <c r="F22" s="453">
        <f>+[5]대구!$F$9</f>
        <v>327.88917660501329</v>
      </c>
      <c r="G22" s="189">
        <f t="shared" si="0"/>
        <v>42.289176605013324</v>
      </c>
      <c r="H22" s="452">
        <f>+[5]대구!$E$15</f>
        <v>336</v>
      </c>
      <c r="I22" s="453">
        <f>+[5]대구!$F$15</f>
        <v>379.63066842819404</v>
      </c>
      <c r="J22" s="189">
        <f t="shared" si="1"/>
        <v>43.630668428194042</v>
      </c>
      <c r="K22" s="511">
        <f>+([5]대구!$E$10*0.4+[5]대구!$E$11+[5]대구!$E$12+[5]대구!$E$13+[5]대구!$E$14)/[5]대구!$E$15</f>
        <v>0.15000000000000002</v>
      </c>
      <c r="L22" s="512">
        <f>+([5]대구!$F$10*0.4+[5]대구!$F$11+[5]대구!$F$12+[5]대구!$F$13+[5]대구!$F$14)/[5]대구!$F$15</f>
        <v>0.13629428843936375</v>
      </c>
      <c r="M22" s="513">
        <f t="shared" si="2"/>
        <v>-1.3705711560636269E-2</v>
      </c>
      <c r="N22" s="452">
        <f>+[5]대구!$E$16</f>
        <v>776.34645215666831</v>
      </c>
      <c r="O22" s="453">
        <f>+[5]대구!$F$16</f>
        <v>727.40876954938187</v>
      </c>
      <c r="P22" s="189">
        <f t="shared" si="3"/>
        <v>-48.937682607286433</v>
      </c>
      <c r="Q22" s="452">
        <f>+[5]대구!$E$17</f>
        <v>948.86788596926158</v>
      </c>
      <c r="R22" s="453">
        <f>+[5]대구!$F$17</f>
        <v>979.51388988073927</v>
      </c>
      <c r="S22" s="189">
        <f t="shared" si="4"/>
        <v>30.646003911477692</v>
      </c>
      <c r="T22" s="514">
        <f>+[5]대구!$E$19</f>
        <v>2.6880000000000002</v>
      </c>
      <c r="U22" s="515">
        <f>+[5]대구!$F$19</f>
        <v>3.3026351496107962</v>
      </c>
      <c r="V22" s="516">
        <f t="shared" si="5"/>
        <v>0.61463514961079602</v>
      </c>
    </row>
    <row r="23" spans="4:22" ht="24" customHeight="1">
      <c r="D23" s="451" t="s">
        <v>97</v>
      </c>
      <c r="E23" s="452">
        <f>+[5]울산!$E$9</f>
        <v>258.3</v>
      </c>
      <c r="F23" s="453">
        <f>+[5]울산!$F$9</f>
        <v>278.27984128641538</v>
      </c>
      <c r="G23" s="189">
        <f t="shared" si="0"/>
        <v>19.979841286415365</v>
      </c>
      <c r="H23" s="452">
        <f>+[5]울산!$E$15</f>
        <v>361.90000000000003</v>
      </c>
      <c r="I23" s="453">
        <f>+[5]울산!$F$15</f>
        <v>365.08866450871881</v>
      </c>
      <c r="J23" s="189">
        <f t="shared" si="1"/>
        <v>3.188664508718773</v>
      </c>
      <c r="K23" s="511">
        <f>+([5]울산!$E$10*0.4+[5]울산!$E$11+[5]울산!$E$12+[5]울산!$E$13+[5]울산!$E$14)/[5]울산!$E$15</f>
        <v>0.28626692456479685</v>
      </c>
      <c r="L23" s="512">
        <f>+([5]울산!$F$10*0.4+[5]울산!$F$11+[5]울산!$F$12+[5]울산!$F$13+[5]울산!$F$14)/[5]울산!$F$15</f>
        <v>0.23777463301720872</v>
      </c>
      <c r="M23" s="513">
        <f t="shared" si="2"/>
        <v>-4.8492291547588134E-2</v>
      </c>
      <c r="N23" s="452">
        <f>+[5]울산!$E$16</f>
        <v>723</v>
      </c>
      <c r="O23" s="453">
        <f>+[5]울산!$F$16</f>
        <v>746.04155789913341</v>
      </c>
      <c r="P23" s="189">
        <f t="shared" si="3"/>
        <v>23.041557899133409</v>
      </c>
      <c r="Q23" s="452">
        <f>+[5]울산!$E$17</f>
        <v>955</v>
      </c>
      <c r="R23" s="453">
        <f>+[5]울산!$F$17</f>
        <v>924.5279315025582</v>
      </c>
      <c r="S23" s="189">
        <f t="shared" si="4"/>
        <v>-30.472068497441796</v>
      </c>
      <c r="T23" s="514">
        <f>+[5]울산!$E$19</f>
        <v>3.3</v>
      </c>
      <c r="U23" s="515">
        <f>+[5]울산!$F$19</f>
        <v>2.9093870731961995</v>
      </c>
      <c r="V23" s="516">
        <f t="shared" si="5"/>
        <v>-0.39061292680380033</v>
      </c>
    </row>
    <row r="24" spans="4:22" ht="24" customHeight="1">
      <c r="D24" s="486" t="s">
        <v>31</v>
      </c>
      <c r="E24" s="455">
        <f>+[5]아산!$E$9</f>
        <v>322.00275862068969</v>
      </c>
      <c r="F24" s="456">
        <f>+[5]아산!$F$9</f>
        <v>332.67340159011604</v>
      </c>
      <c r="G24" s="457">
        <f t="shared" si="0"/>
        <v>10.670642969426353</v>
      </c>
      <c r="H24" s="455">
        <f>+[5]아산!$E$15</f>
        <v>365.57517241379315</v>
      </c>
      <c r="I24" s="456">
        <f>+[5]아산!$F$15</f>
        <v>378.25088199965671</v>
      </c>
      <c r="J24" s="457">
        <f t="shared" si="1"/>
        <v>12.675709585863558</v>
      </c>
      <c r="K24" s="517">
        <f>+([5]아산!$E$10*0.4+[5]아산!$E$11+[5]아산!$E$12+[5]아산!$E$13+[5]아산!$E$14)/[5]아산!$E$15</f>
        <v>0.11918865689211521</v>
      </c>
      <c r="L24" s="518">
        <f>+([5]아산!$F$10*0.4+[5]아산!$F$11+[5]아산!$F$12+[5]아산!$F$13+[5]아산!$F$14)/[5]아산!$F$15</f>
        <v>0.12049537113724973</v>
      </c>
      <c r="M24" s="519">
        <f t="shared" si="2"/>
        <v>1.3067142451345243E-3</v>
      </c>
      <c r="N24" s="455">
        <f>+[5]아산!$E$16</f>
        <v>855.67862068965519</v>
      </c>
      <c r="O24" s="456">
        <f>+[5]아산!$F$16</f>
        <v>933.55625464737182</v>
      </c>
      <c r="P24" s="457">
        <f t="shared" si="3"/>
        <v>77.877633957716625</v>
      </c>
      <c r="Q24" s="455">
        <f>+[5]아산!$E$17</f>
        <v>863.22620689655173</v>
      </c>
      <c r="R24" s="456">
        <f>+[5]아산!$F$17</f>
        <v>767.33197963736211</v>
      </c>
      <c r="S24" s="457">
        <f t="shared" si="4"/>
        <v>-95.89422725918962</v>
      </c>
      <c r="T24" s="520">
        <f>+[5]아산!$E$19</f>
        <v>3.0353793103448274</v>
      </c>
      <c r="U24" s="521">
        <f>+[5]아산!$F$19</f>
        <v>3.2133518274895612</v>
      </c>
      <c r="V24" s="522">
        <f t="shared" si="5"/>
        <v>0.17797251714473372</v>
      </c>
    </row>
    <row r="25" spans="4:22" ht="24" customHeight="1">
      <c r="D25" s="451" t="s">
        <v>34</v>
      </c>
      <c r="E25" s="452">
        <f>+[5]전주!$E$9</f>
        <v>291.52999999999997</v>
      </c>
      <c r="F25" s="453">
        <f>+[5]전주!$F$9</f>
        <v>287.31198409191342</v>
      </c>
      <c r="G25" s="189">
        <f t="shared" si="0"/>
        <v>-4.2180159080865565</v>
      </c>
      <c r="H25" s="452">
        <f>+[5]전주!$E$15</f>
        <v>356.72</v>
      </c>
      <c r="I25" s="453">
        <f>+[5]전주!$F$15</f>
        <v>317.31904993371631</v>
      </c>
      <c r="J25" s="189">
        <f t="shared" si="1"/>
        <v>-39.400950066283713</v>
      </c>
      <c r="K25" s="511">
        <f>+([5]전주!$E$10*0.4+[5]전주!$E$11+[5]전주!$E$12+[5]전주!$E$13+[5]전주!$E$14)/[5]전주!$E$15</f>
        <v>0.18274837407490466</v>
      </c>
      <c r="L25" s="512">
        <f>+([5]전주!$F$10*0.4+[5]전주!$F$11+[5]전주!$F$12+[5]전주!$F$13+[5]전주!$F$14)/[5]전주!$F$15</f>
        <v>9.4564337842531002E-2</v>
      </c>
      <c r="M25" s="513">
        <f t="shared" si="2"/>
        <v>-8.8184036232373655E-2</v>
      </c>
      <c r="N25" s="452">
        <f>+[5]전주!$E$16</f>
        <v>763.82</v>
      </c>
      <c r="O25" s="453">
        <f>+[5]전주!$F$16</f>
        <v>672.39726027397251</v>
      </c>
      <c r="P25" s="189">
        <f t="shared" si="3"/>
        <v>-91.422739726027544</v>
      </c>
      <c r="Q25" s="452">
        <f>+[5]전주!$E$17</f>
        <v>980.72</v>
      </c>
      <c r="R25" s="453">
        <f>+[5]전주!$F$17</f>
        <v>1066.7012814847551</v>
      </c>
      <c r="S25" s="189">
        <f t="shared" si="4"/>
        <v>85.981281484755073</v>
      </c>
      <c r="T25" s="514">
        <f>+[5]전주!$E$19</f>
        <v>2.92</v>
      </c>
      <c r="U25" s="515">
        <f>+[5]전주!$F$19</f>
        <v>2.7086610693769329</v>
      </c>
      <c r="V25" s="516">
        <f t="shared" si="5"/>
        <v>-0.21133893062306708</v>
      </c>
    </row>
    <row r="26" spans="4:22" ht="24" customHeight="1">
      <c r="D26" s="451" t="s">
        <v>33</v>
      </c>
      <c r="E26" s="452">
        <f>+[5]군산!$E$9</f>
        <v>253.3</v>
      </c>
      <c r="F26" s="453">
        <f>+[5]군산!$F$9</f>
        <v>266.2423496579043</v>
      </c>
      <c r="G26" s="189">
        <f t="shared" si="0"/>
        <v>12.942349657904288</v>
      </c>
      <c r="H26" s="452">
        <f>+[5]군산!$E$15</f>
        <v>336.1</v>
      </c>
      <c r="I26" s="453">
        <f>+[5]군산!$F$15</f>
        <v>346.10731904933391</v>
      </c>
      <c r="J26" s="189">
        <f t="shared" si="1"/>
        <v>10.007319049333887</v>
      </c>
      <c r="K26" s="511">
        <f>+([5]군산!$E$10*0.4+[5]군산!$E$11+[5]군산!$E$12+[5]군산!$E$13+[5]군산!$E$14)/[5]군산!$E$15</f>
        <v>0.22761083011008626</v>
      </c>
      <c r="L26" s="512">
        <f>+([5]군산!$F$10*0.4+[5]군산!$F$11+[5]군산!$F$12+[5]군산!$F$13+[5]군산!$F$14)/[5]군산!$F$15</f>
        <v>0.21608508396058099</v>
      </c>
      <c r="M26" s="513">
        <f t="shared" si="2"/>
        <v>-1.1525746149505273E-2</v>
      </c>
      <c r="N26" s="452">
        <f>+[5]군산!$E$16</f>
        <v>785</v>
      </c>
      <c r="O26" s="453">
        <f>+[5]군산!$F$16</f>
        <v>793.45696795102629</v>
      </c>
      <c r="P26" s="189">
        <f t="shared" si="3"/>
        <v>8.4569679510262858</v>
      </c>
      <c r="Q26" s="452">
        <f>+[5]군산!$E$17</f>
        <v>935</v>
      </c>
      <c r="R26" s="453">
        <f>+[5]군산!$F$17</f>
        <v>901.89773136478198</v>
      </c>
      <c r="S26" s="189">
        <f t="shared" si="4"/>
        <v>-33.102268635218024</v>
      </c>
      <c r="T26" s="514">
        <f>+[5]군산!$E$19</f>
        <v>2.84</v>
      </c>
      <c r="U26" s="515">
        <f>+[5]군산!$F$19</f>
        <v>2.4492888008642417</v>
      </c>
      <c r="V26" s="516">
        <f t="shared" si="5"/>
        <v>-0.39071119913575814</v>
      </c>
    </row>
    <row r="27" spans="4:22" ht="24" customHeight="1">
      <c r="D27" s="451" t="s">
        <v>32</v>
      </c>
      <c r="E27" s="452">
        <f>+[5]원주!$E$9</f>
        <v>318.60000000000002</v>
      </c>
      <c r="F27" s="453">
        <f>+[5]원주!$F$9</f>
        <v>306.19570688378991</v>
      </c>
      <c r="G27" s="189">
        <f t="shared" si="0"/>
        <v>-12.404293116210113</v>
      </c>
      <c r="H27" s="452">
        <f>+[5]원주!$E$15</f>
        <v>340.8</v>
      </c>
      <c r="I27" s="453">
        <f>+[5]원주!$F$15</f>
        <v>346.74227091043679</v>
      </c>
      <c r="J27" s="189">
        <f t="shared" si="1"/>
        <v>5.9422709104367755</v>
      </c>
      <c r="K27" s="511">
        <f>+([5]원주!$E$10*0.4+[5]원주!$E$11+[5]원주!$E$12+[5]원주!$E$13+[5]원주!$E$14)/[5]원주!$E$15</f>
        <v>6.5140845070422546E-2</v>
      </c>
      <c r="L27" s="512">
        <f>+([5]원주!$F$10*0.4+[5]원주!$F$11+[5]원주!$F$12+[5]원주!$F$13+[5]원주!$F$14)/[5]원주!$F$15</f>
        <v>0.11693573996670301</v>
      </c>
      <c r="M27" s="513">
        <f t="shared" si="2"/>
        <v>5.1794894896280461E-2</v>
      </c>
      <c r="N27" s="452">
        <f>+[5]원주!$E$16</f>
        <v>818.5</v>
      </c>
      <c r="O27" s="453">
        <f>+[5]원주!$F$16</f>
        <v>817.24648408586222</v>
      </c>
      <c r="P27" s="189">
        <f t="shared" si="3"/>
        <v>-1.253515914137779</v>
      </c>
      <c r="Q27" s="452">
        <f>+[5]원주!$E$17</f>
        <v>964.7</v>
      </c>
      <c r="R27" s="453">
        <f>+[5]원주!$F$17</f>
        <v>975.2923760177647</v>
      </c>
      <c r="S27" s="189">
        <f t="shared" si="4"/>
        <v>10.59237601776465</v>
      </c>
      <c r="T27" s="514">
        <f>+[5]원주!$E$19</f>
        <v>2.8479999999999999</v>
      </c>
      <c r="U27" s="515">
        <f>+[5]원주!$F$19</f>
        <v>2.8373353071798659</v>
      </c>
      <c r="V27" s="516">
        <f t="shared" si="5"/>
        <v>-1.0664692820133936E-2</v>
      </c>
    </row>
    <row r="28" spans="4:22" ht="24" customHeight="1">
      <c r="D28" s="500" t="s">
        <v>35</v>
      </c>
      <c r="E28" s="523">
        <f>+[5]제주!$E$9</f>
        <v>345.6</v>
      </c>
      <c r="F28" s="524">
        <f>+[5]제주!$F$9</f>
        <v>340.43438319117951</v>
      </c>
      <c r="G28" s="198">
        <f t="shared" si="0"/>
        <v>-5.1656168088205163</v>
      </c>
      <c r="H28" s="523">
        <f>+[5]제주!$E$15</f>
        <v>345.6</v>
      </c>
      <c r="I28" s="524">
        <f>+[5]제주!$F$15</f>
        <v>340.43438319117951</v>
      </c>
      <c r="J28" s="198">
        <f t="shared" si="1"/>
        <v>-5.1656168088205163</v>
      </c>
      <c r="K28" s="525">
        <f>+([5]제주!$E$10*0.4+[5]제주!$E$11+[5]제주!$E$12+[5]제주!$E$13+[5]제주!$E$14)/[5]제주!$E$15</f>
        <v>0</v>
      </c>
      <c r="L28" s="526">
        <f>+([5]제주!$F$10*0.4+[5]제주!$F$11+[5]제주!$F$12+[5]제주!$F$13+[5]제주!$F$14)/[5]제주!$F$15</f>
        <v>0</v>
      </c>
      <c r="M28" s="527">
        <f t="shared" si="2"/>
        <v>0</v>
      </c>
      <c r="N28" s="523">
        <f>+[5]제주!$E$16</f>
        <v>692.2</v>
      </c>
      <c r="O28" s="524">
        <f>+[5]제주!$F$16</f>
        <v>596.80882047014802</v>
      </c>
      <c r="P28" s="198">
        <f t="shared" si="3"/>
        <v>-95.391179529852025</v>
      </c>
      <c r="Q28" s="523">
        <f>+[5]제주!$E$17</f>
        <v>1046.4000000000001</v>
      </c>
      <c r="R28" s="524">
        <f>+[5]제주!$F$17</f>
        <v>1034.9760765550238</v>
      </c>
      <c r="S28" s="198">
        <f t="shared" si="4"/>
        <v>-11.423923444976253</v>
      </c>
      <c r="T28" s="528">
        <f>+[5]제주!$E$19</f>
        <v>3.02</v>
      </c>
      <c r="U28" s="529">
        <f>+[5]제주!$F$19</f>
        <v>1.6718701893072607</v>
      </c>
      <c r="V28" s="530">
        <f t="shared" si="5"/>
        <v>-1.3481298106927393</v>
      </c>
    </row>
    <row r="29" spans="4:22" ht="24" customHeight="1"/>
    <row r="30" spans="4:22" ht="24" customHeight="1"/>
    <row r="31" spans="4:22" ht="24" customHeight="1"/>
    <row r="32" spans="4:22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61FB-6B01-4C55-AA47-C5B05ACD7200}">
  <sheetPr>
    <tabColor theme="1" tint="0.249977111117893"/>
    <pageSetUpPr fitToPage="1"/>
  </sheetPr>
  <dimension ref="D3:AF55"/>
  <sheetViews>
    <sheetView showGridLines="0" view="pageBreakPreview" topLeftCell="A4" zoomScale="60" zoomScaleNormal="70" workbookViewId="0">
      <pane ySplit="6" topLeftCell="A10" activePane="bottomLeft" state="frozenSplit"/>
      <selection activeCell="N18" sqref="N18"/>
      <selection pane="bottomLeft" activeCell="K18" sqref="K18"/>
    </sheetView>
  </sheetViews>
  <sheetFormatPr defaultRowHeight="16.5"/>
  <cols>
    <col min="1" max="3" width="5.625" style="6" customWidth="1"/>
    <col min="4" max="5" width="13" style="6" customWidth="1"/>
    <col min="6" max="15" width="15.75" style="6" customWidth="1"/>
    <col min="16" max="17" width="3.25" style="76" customWidth="1"/>
    <col min="18" max="18" width="9" style="6"/>
    <col min="19" max="19" width="10.25" style="6" hidden="1" customWidth="1"/>
    <col min="20" max="39" width="10.25" style="6" customWidth="1"/>
    <col min="40" max="16384" width="9" style="6"/>
  </cols>
  <sheetData>
    <row r="3" spans="4:17" ht="9.9499999999999993" customHeight="1"/>
    <row r="5" spans="4:17" ht="9.9499999999999993" customHeight="1"/>
    <row r="6" spans="4:17" ht="31.5">
      <c r="D6" s="184" t="s">
        <v>213</v>
      </c>
      <c r="F6" s="184"/>
      <c r="G6" s="184"/>
      <c r="H6" s="184"/>
      <c r="I6" s="184"/>
      <c r="J6" s="184"/>
      <c r="K6" s="184"/>
      <c r="L6" s="184"/>
      <c r="M6" s="184"/>
    </row>
    <row r="7" spans="4:17" ht="21.95" customHeight="1" thickBot="1">
      <c r="D7" s="185"/>
      <c r="O7" s="186" t="s">
        <v>76</v>
      </c>
    </row>
    <row r="8" spans="4:17" ht="25.5" customHeight="1" thickTop="1">
      <c r="D8" s="824" t="s">
        <v>11</v>
      </c>
      <c r="E8" s="825"/>
      <c r="F8" s="834" t="s">
        <v>179</v>
      </c>
      <c r="G8" s="835"/>
      <c r="H8" s="835"/>
      <c r="I8" s="835"/>
      <c r="J8" s="836"/>
      <c r="K8" s="801" t="s">
        <v>214</v>
      </c>
      <c r="L8" s="801"/>
      <c r="M8" s="801"/>
      <c r="N8" s="801"/>
      <c r="O8" s="804"/>
      <c r="P8" s="187"/>
      <c r="Q8" s="187"/>
    </row>
    <row r="9" spans="4:17" ht="25.5" customHeight="1">
      <c r="D9" s="826"/>
      <c r="E9" s="827"/>
      <c r="F9" s="569" t="s">
        <v>12</v>
      </c>
      <c r="G9" s="358" t="s">
        <v>13</v>
      </c>
      <c r="H9" s="367" t="s">
        <v>71</v>
      </c>
      <c r="I9" s="358" t="s">
        <v>14</v>
      </c>
      <c r="J9" s="570" t="s">
        <v>72</v>
      </c>
      <c r="K9" s="367" t="s">
        <v>12</v>
      </c>
      <c r="L9" s="358" t="s">
        <v>13</v>
      </c>
      <c r="M9" s="367" t="s">
        <v>71</v>
      </c>
      <c r="N9" s="358" t="s">
        <v>14</v>
      </c>
      <c r="O9" s="368" t="s">
        <v>72</v>
      </c>
      <c r="P9" s="187"/>
      <c r="Q9" s="187"/>
    </row>
    <row r="10" spans="4:17" ht="25.5" customHeight="1">
      <c r="D10" s="71" t="s">
        <v>110</v>
      </c>
      <c r="E10" s="90" t="s">
        <v>86</v>
      </c>
      <c r="F10" s="571">
        <f>+IFERROR(HLOOKUP($F$8,[13]손익!$G$5:$AI$63,2,),)</f>
        <v>6400</v>
      </c>
      <c r="G10" s="359">
        <f>+'[7]2월'!$G$8</f>
        <v>6645.402</v>
      </c>
      <c r="H10" s="204">
        <f>+G10-F10</f>
        <v>245.40200000000004</v>
      </c>
      <c r="I10" s="359">
        <f>+IFERROR(HLOOKUP($F$8,[8]월별!$E$2:$T$53,2,),)</f>
        <v>8382.34</v>
      </c>
      <c r="J10" s="572">
        <f>+G10-I10</f>
        <v>-1736.9380000000001</v>
      </c>
      <c r="K10" s="204">
        <f>+F10+[4]건자재!K10</f>
        <v>13300</v>
      </c>
      <c r="L10" s="359">
        <f>+G10+[4]건자재!L10</f>
        <v>13070.494999999999</v>
      </c>
      <c r="M10" s="204">
        <f>+L10-K10</f>
        <v>-229.50500000000102</v>
      </c>
      <c r="N10" s="359">
        <f>+I10+[4]건자재!N10</f>
        <v>15329.127</v>
      </c>
      <c r="O10" s="352">
        <f>+L10-N10</f>
        <v>-2258.6320000000014</v>
      </c>
      <c r="P10" s="77"/>
      <c r="Q10" s="77"/>
    </row>
    <row r="11" spans="4:17" ht="25.5" customHeight="1">
      <c r="D11" s="72" t="s">
        <v>21</v>
      </c>
      <c r="E11" s="357" t="s">
        <v>122</v>
      </c>
      <c r="F11" s="573">
        <f>+F12/F10*1000</f>
        <v>978125</v>
      </c>
      <c r="G11" s="360">
        <f t="shared" ref="G11" si="0">+G12/G10*1000</f>
        <v>886130.8859870329</v>
      </c>
      <c r="H11" s="214">
        <f t="shared" ref="H11:H28" si="1">+G11-F11</f>
        <v>-91994.114012967097</v>
      </c>
      <c r="I11" s="360">
        <f>+I12/I10*1000</f>
        <v>1027486.9738044508</v>
      </c>
      <c r="J11" s="574">
        <f t="shared" ref="J11:J28" si="2">+G11-I11</f>
        <v>-141356.08781741792</v>
      </c>
      <c r="K11" s="214">
        <f>+K12/K10*1000</f>
        <v>977067.66917293239</v>
      </c>
      <c r="L11" s="360">
        <f>+L12/L10*1000</f>
        <v>903139.27077742654</v>
      </c>
      <c r="M11" s="214">
        <f t="shared" ref="M11:M28" si="3">+L11-K11</f>
        <v>-73928.39839550585</v>
      </c>
      <c r="N11" s="360">
        <f>+N12/N10*1000</f>
        <v>1059853.1835505047</v>
      </c>
      <c r="O11" s="212">
        <f t="shared" ref="O11:O28" si="4">+L11-N11</f>
        <v>-156713.91277307819</v>
      </c>
      <c r="P11" s="77"/>
      <c r="Q11" s="77"/>
    </row>
    <row r="12" spans="4:17" ht="25.5" customHeight="1">
      <c r="D12" s="188" t="s">
        <v>77</v>
      </c>
      <c r="E12" s="91" t="s">
        <v>122</v>
      </c>
      <c r="F12" s="418">
        <f>+IFERROR(HLOOKUP($F$8,[13]손익!$G$5:$AI$63,22,),)</f>
        <v>6260000</v>
      </c>
      <c r="G12" s="361">
        <f>+'[7]2월'!$G$9</f>
        <v>5888695.9620000003</v>
      </c>
      <c r="H12" s="196">
        <f t="shared" si="1"/>
        <v>-371304.03799999971</v>
      </c>
      <c r="I12" s="361">
        <f>+IFERROR(HLOOKUP($F$8,[8]월별!$E$2:$T$53,5,),)</f>
        <v>8612745.1600000001</v>
      </c>
      <c r="J12" s="419">
        <f t="shared" si="2"/>
        <v>-2724049.1979999999</v>
      </c>
      <c r="K12" s="196">
        <f>+F12+[4]건자재!K12</f>
        <v>12995000</v>
      </c>
      <c r="L12" s="361">
        <f>+G12+[4]건자재!L12</f>
        <v>11804477.322999999</v>
      </c>
      <c r="M12" s="196">
        <f t="shared" si="3"/>
        <v>-1190522.6770000011</v>
      </c>
      <c r="N12" s="361">
        <f>+I12+[4]건자재!N12</f>
        <v>16246624.052000001</v>
      </c>
      <c r="O12" s="219">
        <f t="shared" si="4"/>
        <v>-4442146.7290000021</v>
      </c>
      <c r="P12" s="77"/>
      <c r="Q12" s="77"/>
    </row>
    <row r="13" spans="4:17" ht="25.5" customHeight="1">
      <c r="D13" s="188"/>
      <c r="E13" s="92" t="s">
        <v>123</v>
      </c>
      <c r="F13" s="575">
        <f>+IFERROR(HLOOKUP($F$8,[13]손익!$G$5:$AI$63,23,),)</f>
        <v>1570197.8947368432</v>
      </c>
      <c r="G13" s="362">
        <f>+'[7]2월'!$J$9</f>
        <v>876962.01299999934</v>
      </c>
      <c r="H13" s="206">
        <f t="shared" si="1"/>
        <v>-693235.88173684385</v>
      </c>
      <c r="I13" s="362">
        <f>+IFERROR(HLOOKUP($F$8,[8]월별!$E$2:$T$53,6,),)</f>
        <v>1176725.8440000005</v>
      </c>
      <c r="J13" s="576">
        <f t="shared" si="2"/>
        <v>-299763.83100000117</v>
      </c>
      <c r="K13" s="206">
        <f>+F13+[4]건자재!K13</f>
        <v>3283141.0526315812</v>
      </c>
      <c r="L13" s="362">
        <f>+G13+[4]건자재!L13</f>
        <v>2369137.8190000001</v>
      </c>
      <c r="M13" s="206">
        <f t="shared" si="3"/>
        <v>-914003.23363158107</v>
      </c>
      <c r="N13" s="362">
        <f>+I13+[4]건자재!N13</f>
        <v>2356481.2439999999</v>
      </c>
      <c r="O13" s="353">
        <f t="shared" si="4"/>
        <v>12656.575000000186</v>
      </c>
      <c r="P13" s="77"/>
      <c r="Q13" s="77"/>
    </row>
    <row r="14" spans="4:17" ht="25.5" customHeight="1">
      <c r="D14" s="188"/>
      <c r="E14" s="94" t="s">
        <v>58</v>
      </c>
      <c r="F14" s="416">
        <f>SUM(F12:F13)</f>
        <v>7830197.8947368432</v>
      </c>
      <c r="G14" s="363">
        <f>SUM(G12:G13)</f>
        <v>6765657.9749999996</v>
      </c>
      <c r="H14" s="205">
        <f t="shared" si="1"/>
        <v>-1064539.9197368436</v>
      </c>
      <c r="I14" s="363">
        <f>SUM(I12:I13)</f>
        <v>9789471.0040000007</v>
      </c>
      <c r="J14" s="417">
        <f t="shared" si="2"/>
        <v>-3023813.029000001</v>
      </c>
      <c r="K14" s="205">
        <f>SUM(K12:K13)</f>
        <v>16278141.052631581</v>
      </c>
      <c r="L14" s="363">
        <f>SUM(L12:L13)</f>
        <v>14173615.141999999</v>
      </c>
      <c r="M14" s="205">
        <f t="shared" si="3"/>
        <v>-2104525.9106315821</v>
      </c>
      <c r="N14" s="363">
        <f>SUM(N12:N13)</f>
        <v>18603105.296</v>
      </c>
      <c r="O14" s="222">
        <f t="shared" si="4"/>
        <v>-4429490.154000001</v>
      </c>
      <c r="P14" s="77"/>
      <c r="Q14" s="77"/>
    </row>
    <row r="15" spans="4:17" ht="25.5" customHeight="1">
      <c r="D15" s="71" t="s">
        <v>5</v>
      </c>
      <c r="E15" s="90" t="s">
        <v>122</v>
      </c>
      <c r="F15" s="571">
        <f>+IFERROR(HLOOKUP($F$8,[13]손익!$G$5:$AI$63,25,),)</f>
        <v>6114030</v>
      </c>
      <c r="G15" s="359">
        <f>+'[7]2월'!$G$11</f>
        <v>5728934.7309999997</v>
      </c>
      <c r="H15" s="204">
        <f t="shared" si="1"/>
        <v>-385095.26900000032</v>
      </c>
      <c r="I15" s="359">
        <f>+IFERROR(HLOOKUP($F$8,[8]월별!$E$2:$T$53,8,),)</f>
        <v>8443501.5480000004</v>
      </c>
      <c r="J15" s="572">
        <f t="shared" si="2"/>
        <v>-2714566.8170000007</v>
      </c>
      <c r="K15" s="204">
        <f>+F15+[4]건자재!K15</f>
        <v>12692610</v>
      </c>
      <c r="L15" s="359">
        <f>+G15+[4]건자재!L15</f>
        <v>11480120.25</v>
      </c>
      <c r="M15" s="204">
        <f t="shared" si="3"/>
        <v>-1212489.75</v>
      </c>
      <c r="N15" s="359">
        <f>+I15+[4]건자재!N15</f>
        <v>15928609.27</v>
      </c>
      <c r="O15" s="352">
        <f t="shared" si="4"/>
        <v>-4448489.0199999996</v>
      </c>
      <c r="P15" s="77"/>
      <c r="Q15" s="77"/>
    </row>
    <row r="16" spans="4:17" ht="25.5" customHeight="1">
      <c r="D16" s="188"/>
      <c r="E16" s="92" t="s">
        <v>123</v>
      </c>
      <c r="F16" s="575">
        <f>+IFERROR(HLOOKUP($F$8,[13]손익!$G$5:$AI$63,26,),)</f>
        <v>1515586.4119578954</v>
      </c>
      <c r="G16" s="362">
        <f>+'[7]2월'!$J$11</f>
        <v>863642.56600000057</v>
      </c>
      <c r="H16" s="206">
        <f t="shared" si="1"/>
        <v>-651943.84595789481</v>
      </c>
      <c r="I16" s="362">
        <f>+IFERROR(HLOOKUP($F$8,[8]월별!$E$2:$T$53,9,),)</f>
        <v>1146964.875</v>
      </c>
      <c r="J16" s="576">
        <f t="shared" si="2"/>
        <v>-283322.30899999943</v>
      </c>
      <c r="K16" s="206">
        <f>+F16+[4]건자재!K16</f>
        <v>3168953.4068210525</v>
      </c>
      <c r="L16" s="362">
        <f>+G16+[4]건자재!L16</f>
        <v>2322982.0070000002</v>
      </c>
      <c r="M16" s="206">
        <f t="shared" si="3"/>
        <v>-845971.39982105233</v>
      </c>
      <c r="N16" s="362">
        <f>+I16+[4]건자재!N16</f>
        <v>2305711.767</v>
      </c>
      <c r="O16" s="353">
        <f t="shared" si="4"/>
        <v>17270.240000000224</v>
      </c>
      <c r="P16" s="77"/>
      <c r="Q16" s="77"/>
    </row>
    <row r="17" spans="4:17" ht="25.5" customHeight="1">
      <c r="D17" s="72"/>
      <c r="E17" s="369" t="s">
        <v>43</v>
      </c>
      <c r="F17" s="577">
        <f>SUM(F15:F16)</f>
        <v>7629616.4119578954</v>
      </c>
      <c r="G17" s="370">
        <f>SUM(G15:G16)</f>
        <v>6592577.2970000003</v>
      </c>
      <c r="H17" s="371">
        <f t="shared" si="1"/>
        <v>-1037039.1149578951</v>
      </c>
      <c r="I17" s="370">
        <f>SUM(I15:I16)</f>
        <v>9590466.4230000004</v>
      </c>
      <c r="J17" s="578">
        <f t="shared" si="2"/>
        <v>-2997889.1260000002</v>
      </c>
      <c r="K17" s="371">
        <f>SUM(K15:K16)</f>
        <v>15861563.406821053</v>
      </c>
      <c r="L17" s="370">
        <f>SUM(L15:L16)</f>
        <v>13803102.256999999</v>
      </c>
      <c r="M17" s="371">
        <f t="shared" si="3"/>
        <v>-2058461.1498210542</v>
      </c>
      <c r="N17" s="370">
        <f>SUM(N15:N16)</f>
        <v>18234321.037</v>
      </c>
      <c r="O17" s="372">
        <f t="shared" si="4"/>
        <v>-4431218.7800000012</v>
      </c>
      <c r="P17" s="77"/>
      <c r="Q17" s="77"/>
    </row>
    <row r="18" spans="4:17" ht="25.5" customHeight="1">
      <c r="D18" s="188" t="s">
        <v>18</v>
      </c>
      <c r="E18" s="91" t="s">
        <v>122</v>
      </c>
      <c r="F18" s="418">
        <f>+F12-F15</f>
        <v>145970</v>
      </c>
      <c r="G18" s="361">
        <f>+G12-G15</f>
        <v>159761.23100000061</v>
      </c>
      <c r="H18" s="196">
        <f t="shared" si="1"/>
        <v>13791.231000000611</v>
      </c>
      <c r="I18" s="361">
        <f>+I12-I15</f>
        <v>169243.61199999973</v>
      </c>
      <c r="J18" s="419">
        <f t="shared" si="2"/>
        <v>-9482.3809999991208</v>
      </c>
      <c r="K18" s="196">
        <f>+K12-K15</f>
        <v>302390</v>
      </c>
      <c r="L18" s="361">
        <f>+L12-L15</f>
        <v>324357.07299999893</v>
      </c>
      <c r="M18" s="196">
        <f t="shared" si="3"/>
        <v>21967.072999998927</v>
      </c>
      <c r="N18" s="361">
        <f>+N12-N15</f>
        <v>318014.78200000152</v>
      </c>
      <c r="O18" s="219">
        <f t="shared" si="4"/>
        <v>6342.2909999974072</v>
      </c>
      <c r="P18" s="77"/>
      <c r="Q18" s="77"/>
    </row>
    <row r="19" spans="4:17" ht="25.5" customHeight="1">
      <c r="D19" s="188"/>
      <c r="E19" s="194" t="s">
        <v>9</v>
      </c>
      <c r="F19" s="579">
        <f>+F18/F12</f>
        <v>2.3317891373801917E-2</v>
      </c>
      <c r="G19" s="364">
        <f>+G18/G12</f>
        <v>2.7130154457106714E-2</v>
      </c>
      <c r="H19" s="197">
        <f t="shared" si="1"/>
        <v>3.8122630833047969E-3</v>
      </c>
      <c r="I19" s="364">
        <f>+I18/I12</f>
        <v>1.9650368013442967E-2</v>
      </c>
      <c r="J19" s="580">
        <f t="shared" si="2"/>
        <v>7.4797864436637468E-3</v>
      </c>
      <c r="K19" s="197">
        <f>+K18/K12</f>
        <v>2.3269719122739514E-2</v>
      </c>
      <c r="L19" s="364">
        <f>+L18/L12</f>
        <v>2.7477461654995716E-2</v>
      </c>
      <c r="M19" s="197">
        <f t="shared" si="3"/>
        <v>4.2077425322562013E-3</v>
      </c>
      <c r="N19" s="364">
        <f>+N18/N12</f>
        <v>1.957420698491839E-2</v>
      </c>
      <c r="O19" s="354">
        <f t="shared" si="4"/>
        <v>7.9032546700773254E-3</v>
      </c>
      <c r="P19" s="77"/>
      <c r="Q19" s="77"/>
    </row>
    <row r="20" spans="4:17" ht="25.5" customHeight="1">
      <c r="D20" s="188"/>
      <c r="E20" s="93" t="s">
        <v>123</v>
      </c>
      <c r="F20" s="416">
        <f>+F13-F16</f>
        <v>54611.4827789478</v>
      </c>
      <c r="G20" s="363">
        <f>+G13-G16</f>
        <v>13319.446999998763</v>
      </c>
      <c r="H20" s="205">
        <f t="shared" si="1"/>
        <v>-41292.035778949037</v>
      </c>
      <c r="I20" s="363">
        <f>+I13-I16</f>
        <v>29760.969000000507</v>
      </c>
      <c r="J20" s="417">
        <f t="shared" si="2"/>
        <v>-16441.522000001743</v>
      </c>
      <c r="K20" s="205">
        <f>+K13-K16</f>
        <v>114187.64581052866</v>
      </c>
      <c r="L20" s="363">
        <f>+L13-L16</f>
        <v>46155.811999999918</v>
      </c>
      <c r="M20" s="205">
        <f t="shared" si="3"/>
        <v>-68031.83381052874</v>
      </c>
      <c r="N20" s="363">
        <f>+N13-N16</f>
        <v>50769.476999999955</v>
      </c>
      <c r="O20" s="222">
        <f t="shared" si="4"/>
        <v>-4613.6650000000373</v>
      </c>
      <c r="P20" s="77"/>
      <c r="Q20" s="77"/>
    </row>
    <row r="21" spans="4:17" ht="25.5" customHeight="1">
      <c r="D21" s="188"/>
      <c r="E21" s="195" t="s">
        <v>9</v>
      </c>
      <c r="F21" s="581">
        <f>+F20/F13</f>
        <v>3.4780000000000248E-2</v>
      </c>
      <c r="G21" s="365">
        <f>+G20/G13</f>
        <v>1.5188168703492945E-2</v>
      </c>
      <c r="H21" s="207">
        <f t="shared" si="1"/>
        <v>-1.9591831296507302E-2</v>
      </c>
      <c r="I21" s="365">
        <f>+I20/I13</f>
        <v>2.5291336254530748E-2</v>
      </c>
      <c r="J21" s="582">
        <f t="shared" si="2"/>
        <v>-1.0103167551037804E-2</v>
      </c>
      <c r="K21" s="207">
        <f>+K20/K13</f>
        <v>3.4780000000000692E-2</v>
      </c>
      <c r="L21" s="365">
        <f>+L20/L13</f>
        <v>1.9482113547738659E-2</v>
      </c>
      <c r="M21" s="207">
        <f t="shared" si="3"/>
        <v>-1.5297886452262034E-2</v>
      </c>
      <c r="N21" s="365">
        <f>+N20/N13</f>
        <v>2.1544613236055936E-2</v>
      </c>
      <c r="O21" s="355">
        <f t="shared" si="4"/>
        <v>-2.0624996883172771E-3</v>
      </c>
      <c r="P21" s="77"/>
      <c r="Q21" s="77"/>
    </row>
    <row r="22" spans="4:17" ht="25.5" customHeight="1">
      <c r="D22" s="188"/>
      <c r="E22" s="94" t="s">
        <v>58</v>
      </c>
      <c r="F22" s="416">
        <f>SUM(F18,F20)</f>
        <v>200581.4827789478</v>
      </c>
      <c r="G22" s="363">
        <f>SUM(G18,G20)</f>
        <v>173080.67799999937</v>
      </c>
      <c r="H22" s="205">
        <f t="shared" si="1"/>
        <v>-27500.804778948426</v>
      </c>
      <c r="I22" s="363">
        <f>SUM(I18,I20)</f>
        <v>199004.58100000024</v>
      </c>
      <c r="J22" s="417">
        <f t="shared" si="2"/>
        <v>-25923.903000000864</v>
      </c>
      <c r="K22" s="205">
        <f>+K14-K17</f>
        <v>416577.64581052773</v>
      </c>
      <c r="L22" s="363">
        <f>+L14-L17</f>
        <v>370512.88499999978</v>
      </c>
      <c r="M22" s="205">
        <f t="shared" si="3"/>
        <v>-46064.760810527951</v>
      </c>
      <c r="N22" s="363">
        <f>+N14-N17</f>
        <v>368784.25899999961</v>
      </c>
      <c r="O22" s="222">
        <f t="shared" si="4"/>
        <v>1728.6260000001639</v>
      </c>
      <c r="P22" s="77"/>
      <c r="Q22" s="77"/>
    </row>
    <row r="23" spans="4:17" ht="25.5" customHeight="1">
      <c r="D23" s="188"/>
      <c r="E23" s="373" t="s">
        <v>9</v>
      </c>
      <c r="F23" s="579">
        <f>+F22/F14</f>
        <v>2.5616400182397806E-2</v>
      </c>
      <c r="G23" s="364">
        <f>+G22/G14</f>
        <v>2.5582238806566245E-2</v>
      </c>
      <c r="H23" s="197">
        <f t="shared" si="1"/>
        <v>-3.4161375831561619E-5</v>
      </c>
      <c r="I23" s="364">
        <f>+I22/I14</f>
        <v>2.0328430506478493E-2</v>
      </c>
      <c r="J23" s="580">
        <f t="shared" si="2"/>
        <v>5.253808300087752E-3</v>
      </c>
      <c r="K23" s="197">
        <f>+K22/K14</f>
        <v>2.5591229641248398E-2</v>
      </c>
      <c r="L23" s="364">
        <f>+L22/L14</f>
        <v>2.6141029037967639E-2</v>
      </c>
      <c r="M23" s="197">
        <f t="shared" si="3"/>
        <v>5.4979939671924091E-4</v>
      </c>
      <c r="N23" s="364">
        <f>+N22/N14</f>
        <v>1.9823801087622443E-2</v>
      </c>
      <c r="O23" s="354">
        <f t="shared" si="4"/>
        <v>6.3172279503451965E-3</v>
      </c>
      <c r="P23" s="77"/>
      <c r="Q23" s="77"/>
    </row>
    <row r="24" spans="4:17" ht="25.5" customHeight="1">
      <c r="D24" s="71" t="s">
        <v>124</v>
      </c>
      <c r="E24" s="90" t="s">
        <v>125</v>
      </c>
      <c r="F24" s="571">
        <f>+IFERROR(HLOOKUP($F$8,[13]판매4!$G$4:$U$50,7,),)</f>
        <v>82217.06</v>
      </c>
      <c r="G24" s="359">
        <f>+'[7]2월'!$M$19</f>
        <v>88470.614999999991</v>
      </c>
      <c r="H24" s="204">
        <f t="shared" si="1"/>
        <v>6253.554999999993</v>
      </c>
      <c r="I24" s="359">
        <f>+IFERROR(HLOOKUP($F$8,[8]월별!$E$2:$T$53,17,),)</f>
        <v>81099.697</v>
      </c>
      <c r="J24" s="572">
        <f t="shared" si="2"/>
        <v>7370.9179999999906</v>
      </c>
      <c r="K24" s="204">
        <f>+F24+[4]건자재!K24</f>
        <v>164434.12</v>
      </c>
      <c r="L24" s="359">
        <f>+G24+[4]건자재!L24</f>
        <v>176862.93</v>
      </c>
      <c r="M24" s="204">
        <f t="shared" si="3"/>
        <v>12428.809999999998</v>
      </c>
      <c r="N24" s="359">
        <f>+I24+[4]건자재!N24</f>
        <v>172345.29399999999</v>
      </c>
      <c r="O24" s="352">
        <f t="shared" si="4"/>
        <v>4517.6359999999986</v>
      </c>
      <c r="P24" s="77"/>
      <c r="Q24" s="77"/>
    </row>
    <row r="25" spans="4:17" ht="25.5" customHeight="1">
      <c r="D25" s="188"/>
      <c r="E25" s="92" t="s">
        <v>126</v>
      </c>
      <c r="F25" s="575">
        <f>+IFERROR(HLOOKUP($F$8,[13]판매4!$G$4:$U$50,31,),)+IFERROR(HLOOKUP($F$8,[13]판매4!$G$4:$U$50,34,),)</f>
        <v>47183.23</v>
      </c>
      <c r="G25" s="362">
        <f>+'[7]2월'!$M$37+'[7]2월'!$M$40</f>
        <v>42765.384000000005</v>
      </c>
      <c r="H25" s="206">
        <f t="shared" si="1"/>
        <v>-4417.8459999999977</v>
      </c>
      <c r="I25" s="362">
        <f>+IFERROR(HLOOKUP($F$8,[8]월별!$E$2:$T$53,35,),)+IFERROR(HLOOKUP($F$8,[8]월별!$E$2:$T$53,38,),)</f>
        <v>40677.640999999996</v>
      </c>
      <c r="J25" s="576">
        <f t="shared" si="2"/>
        <v>2087.7430000000095</v>
      </c>
      <c r="K25" s="206">
        <f>+F25+[4]건자재!K25</f>
        <v>86211.85</v>
      </c>
      <c r="L25" s="362">
        <f>+G25+[4]건자재!L25</f>
        <v>76538.065000000002</v>
      </c>
      <c r="M25" s="206">
        <f t="shared" si="3"/>
        <v>-9673.7850000000035</v>
      </c>
      <c r="N25" s="362">
        <f>+I25+[4]건자재!N25</f>
        <v>44812.788</v>
      </c>
      <c r="O25" s="353">
        <f t="shared" si="4"/>
        <v>31725.277000000002</v>
      </c>
      <c r="P25" s="77"/>
      <c r="Q25" s="77"/>
    </row>
    <row r="26" spans="4:17" ht="25.5" customHeight="1">
      <c r="D26" s="72"/>
      <c r="E26" s="369" t="s">
        <v>58</v>
      </c>
      <c r="F26" s="577">
        <f>SUM(F24:F25)</f>
        <v>129400.29000000001</v>
      </c>
      <c r="G26" s="370">
        <f>SUM(G24:G25)</f>
        <v>131235.99900000001</v>
      </c>
      <c r="H26" s="371">
        <f t="shared" si="1"/>
        <v>1835.7090000000026</v>
      </c>
      <c r="I26" s="370">
        <f>SUM(I24:I25)</f>
        <v>121777.33799999999</v>
      </c>
      <c r="J26" s="578">
        <f t="shared" si="2"/>
        <v>9458.6610000000219</v>
      </c>
      <c r="K26" s="371">
        <f>SUM(K24:K25)</f>
        <v>250645.97</v>
      </c>
      <c r="L26" s="370">
        <f>SUM(L24:L25)</f>
        <v>253400.995</v>
      </c>
      <c r="M26" s="371">
        <f t="shared" si="3"/>
        <v>2755.0249999999942</v>
      </c>
      <c r="N26" s="370">
        <f>SUM(N24:N25)</f>
        <v>217158.08199999999</v>
      </c>
      <c r="O26" s="372">
        <f t="shared" si="4"/>
        <v>36242.913</v>
      </c>
      <c r="P26" s="77"/>
      <c r="Q26" s="77"/>
    </row>
    <row r="27" spans="4:17" ht="25.5" customHeight="1">
      <c r="D27" s="188" t="s">
        <v>7</v>
      </c>
      <c r="E27" s="373"/>
      <c r="F27" s="418">
        <f>+F22-F26</f>
        <v>71181.192778947792</v>
      </c>
      <c r="G27" s="361">
        <f>+G22-G26</f>
        <v>41844.678999999363</v>
      </c>
      <c r="H27" s="196">
        <f t="shared" si="1"/>
        <v>-29336.513778948429</v>
      </c>
      <c r="I27" s="361">
        <f>+I22-I26</f>
        <v>77227.24300000025</v>
      </c>
      <c r="J27" s="419">
        <f t="shared" si="2"/>
        <v>-35382.564000000886</v>
      </c>
      <c r="K27" s="196">
        <f>+K22-K26</f>
        <v>165931.67581052773</v>
      </c>
      <c r="L27" s="361">
        <f>+L22-L26</f>
        <v>117111.88999999978</v>
      </c>
      <c r="M27" s="196">
        <f t="shared" si="3"/>
        <v>-48819.785810527945</v>
      </c>
      <c r="N27" s="361">
        <f>+N22-N26</f>
        <v>151626.17699999962</v>
      </c>
      <c r="O27" s="219">
        <f t="shared" si="4"/>
        <v>-34514.286999999837</v>
      </c>
      <c r="P27" s="77"/>
      <c r="Q27" s="77"/>
    </row>
    <row r="28" spans="4:17" ht="25.5" customHeight="1" thickBot="1">
      <c r="D28" s="188"/>
      <c r="E28" s="568" t="s">
        <v>10</v>
      </c>
      <c r="F28" s="583">
        <f>+F27/F14</f>
        <v>9.0905994632387317E-3</v>
      </c>
      <c r="G28" s="584">
        <f>+G27/G14</f>
        <v>6.1848646731213703E-3</v>
      </c>
      <c r="H28" s="585">
        <f t="shared" si="1"/>
        <v>-2.9057347901173614E-3</v>
      </c>
      <c r="I28" s="584">
        <f>+I27/I14</f>
        <v>7.8888065523096216E-3</v>
      </c>
      <c r="J28" s="586">
        <f t="shared" si="2"/>
        <v>-1.7039418791882513E-3</v>
      </c>
      <c r="K28" s="208">
        <f>+K27/K14</f>
        <v>1.0193527336691963E-2</v>
      </c>
      <c r="L28" s="366">
        <f>+L27/L14</f>
        <v>8.2626689681285122E-3</v>
      </c>
      <c r="M28" s="208">
        <f t="shared" si="3"/>
        <v>-1.9308583685634512E-3</v>
      </c>
      <c r="N28" s="366">
        <f>+N27/N14</f>
        <v>8.1505842485663921E-3</v>
      </c>
      <c r="O28" s="356">
        <f t="shared" si="4"/>
        <v>1.120847195621201E-4</v>
      </c>
      <c r="P28" s="77"/>
      <c r="Q28" s="77"/>
    </row>
    <row r="29" spans="4:17" ht="25.5" customHeight="1" thickTop="1">
      <c r="D29" s="828" t="s">
        <v>129</v>
      </c>
      <c r="E29" s="829"/>
      <c r="F29" s="165"/>
      <c r="G29" s="165"/>
      <c r="H29" s="165"/>
      <c r="I29" s="165"/>
      <c r="J29" s="165"/>
      <c r="K29" s="165"/>
      <c r="L29" s="165"/>
      <c r="M29" s="165"/>
      <c r="N29" s="75"/>
      <c r="O29" s="189"/>
      <c r="P29" s="77"/>
      <c r="Q29" s="77"/>
    </row>
    <row r="30" spans="4:17" ht="25.5" customHeight="1">
      <c r="D30" s="830"/>
      <c r="E30" s="831"/>
      <c r="F30" s="165"/>
      <c r="G30" s="165"/>
      <c r="H30" s="165"/>
      <c r="I30" s="165"/>
      <c r="J30" s="165"/>
      <c r="K30" s="165"/>
      <c r="L30" s="165"/>
      <c r="M30" s="165"/>
      <c r="N30" s="75"/>
      <c r="O30" s="189"/>
      <c r="P30" s="77"/>
      <c r="Q30" s="77"/>
    </row>
    <row r="31" spans="4:17" ht="25.5" customHeight="1">
      <c r="D31" s="830"/>
      <c r="E31" s="831"/>
      <c r="F31" s="165"/>
      <c r="G31" s="165"/>
      <c r="H31" s="165"/>
      <c r="I31" s="165"/>
      <c r="J31" s="165"/>
      <c r="K31" s="165"/>
      <c r="L31" s="165"/>
      <c r="M31" s="165"/>
      <c r="N31" s="75"/>
      <c r="O31" s="189"/>
      <c r="P31" s="77"/>
      <c r="Q31" s="77"/>
    </row>
    <row r="32" spans="4:17" ht="25.5" customHeight="1">
      <c r="D32" s="830"/>
      <c r="E32" s="831"/>
      <c r="F32" s="165"/>
      <c r="G32" s="165"/>
      <c r="H32" s="165"/>
      <c r="I32" s="165"/>
      <c r="J32" s="165"/>
      <c r="K32" s="165"/>
      <c r="L32" s="165"/>
      <c r="M32" s="165"/>
      <c r="N32" s="75"/>
      <c r="O32" s="189"/>
      <c r="P32" s="77"/>
      <c r="Q32" s="77"/>
    </row>
    <row r="33" spans="4:32" ht="25.5" customHeight="1">
      <c r="D33" s="830"/>
      <c r="E33" s="831"/>
      <c r="F33" s="165"/>
      <c r="G33" s="165"/>
      <c r="H33" s="165"/>
      <c r="I33" s="165"/>
      <c r="J33" s="165"/>
      <c r="K33" s="165"/>
      <c r="L33" s="165"/>
      <c r="M33" s="165"/>
      <c r="N33" s="75"/>
      <c r="O33" s="189"/>
      <c r="P33" s="77"/>
      <c r="Q33" s="77"/>
    </row>
    <row r="34" spans="4:32" ht="25.5" customHeight="1">
      <c r="D34" s="832"/>
      <c r="E34" s="833"/>
      <c r="F34" s="199"/>
      <c r="G34" s="199"/>
      <c r="H34" s="199"/>
      <c r="I34" s="199"/>
      <c r="J34" s="199"/>
      <c r="K34" s="199"/>
      <c r="L34" s="199"/>
      <c r="M34" s="199"/>
      <c r="N34" s="167"/>
      <c r="O34" s="198"/>
      <c r="R34" s="6" t="s">
        <v>164</v>
      </c>
    </row>
    <row r="35" spans="4:32" ht="21.95" customHeight="1"/>
    <row r="36" spans="4:32" ht="21.95" customHeight="1">
      <c r="F36" s="6">
        <f>+IFERROR(HLOOKUP($F$8,[13]손익!$G$5:$AJ$65,17,),)</f>
        <v>71181.192778947792</v>
      </c>
      <c r="G36" s="6">
        <f>+'[7]2월'!$M$41</f>
        <v>41844.678999999371</v>
      </c>
      <c r="I36" s="6">
        <f>+IFERROR(HLOOKUP($F$8,[8]월별!$E$2:$T$53,39,),)</f>
        <v>77227.243000000235</v>
      </c>
      <c r="K36" s="6">
        <f>+F36+[4]건자재!K36</f>
        <v>165931.67581052863</v>
      </c>
      <c r="L36" s="6">
        <f>+G36+[4]건자재!L36</f>
        <v>117111.88999999978</v>
      </c>
      <c r="N36" s="6">
        <f>+I36+[4]건자재!N36</f>
        <v>151626.17699999962</v>
      </c>
      <c r="R36" s="504"/>
      <c r="S36" s="593" t="s">
        <v>180</v>
      </c>
      <c r="T36" s="593" t="s">
        <v>179</v>
      </c>
      <c r="U36" s="593" t="s">
        <v>181</v>
      </c>
      <c r="V36" s="593" t="s">
        <v>173</v>
      </c>
      <c r="W36" s="593" t="s">
        <v>182</v>
      </c>
      <c r="X36" s="593" t="s">
        <v>183</v>
      </c>
      <c r="Y36" s="593" t="s">
        <v>185</v>
      </c>
      <c r="Z36" s="593" t="s">
        <v>189</v>
      </c>
      <c r="AA36" s="593" t="s">
        <v>190</v>
      </c>
      <c r="AB36" s="593" t="s">
        <v>191</v>
      </c>
      <c r="AC36" s="593" t="s">
        <v>192</v>
      </c>
      <c r="AD36" s="593" t="s">
        <v>193</v>
      </c>
      <c r="AE36" s="593" t="s">
        <v>180</v>
      </c>
      <c r="AF36" s="593" t="s">
        <v>215</v>
      </c>
    </row>
    <row r="37" spans="4:32" ht="21.95" customHeight="1">
      <c r="F37" s="6" t="b">
        <f>+F27=F36</f>
        <v>1</v>
      </c>
      <c r="G37" s="6" t="b">
        <f>+G27=G36</f>
        <v>1</v>
      </c>
      <c r="I37" s="6" t="b">
        <f>+I27=I36</f>
        <v>1</v>
      </c>
      <c r="K37" s="6" t="b">
        <f>+K27=K36</f>
        <v>0</v>
      </c>
      <c r="L37" s="6" t="b">
        <f>+L27=L36</f>
        <v>1</v>
      </c>
      <c r="N37" s="6" t="b">
        <f>+N27=N36</f>
        <v>1</v>
      </c>
      <c r="R37" s="200" t="s">
        <v>121</v>
      </c>
      <c r="S37" s="210" t="s">
        <v>180</v>
      </c>
      <c r="T37" s="210" t="s">
        <v>179</v>
      </c>
      <c r="U37" s="210" t="s">
        <v>181</v>
      </c>
      <c r="V37" s="210" t="s">
        <v>173</v>
      </c>
      <c r="W37" s="210" t="s">
        <v>182</v>
      </c>
      <c r="X37" s="210" t="s">
        <v>183</v>
      </c>
      <c r="Y37" s="210" t="s">
        <v>185</v>
      </c>
      <c r="Z37" s="210" t="str">
        <f t="shared" ref="Z37:AE37" si="5">+Z36</f>
        <v>8월</v>
      </c>
      <c r="AA37" s="210" t="str">
        <f t="shared" si="5"/>
        <v>9월</v>
      </c>
      <c r="AB37" s="210" t="str">
        <f t="shared" si="5"/>
        <v>10월</v>
      </c>
      <c r="AC37" s="210" t="str">
        <f t="shared" si="5"/>
        <v>11월</v>
      </c>
      <c r="AD37" s="210" t="str">
        <f t="shared" si="5"/>
        <v>12월</v>
      </c>
      <c r="AE37" s="210" t="str">
        <f t="shared" si="5"/>
        <v>1월</v>
      </c>
      <c r="AF37" s="210" t="str">
        <f t="shared" ref="AF37" si="6">+AF36</f>
        <v>2월</v>
      </c>
    </row>
    <row r="38" spans="4:32" ht="21.95" customHeight="1">
      <c r="K38" s="594">
        <f>+K27-K36</f>
        <v>-9.0221874415874481E-10</v>
      </c>
      <c r="L38" s="594">
        <f>+L27-L36</f>
        <v>0</v>
      </c>
      <c r="N38" s="99">
        <f>+N27-N36</f>
        <v>0</v>
      </c>
      <c r="R38" s="201" t="s">
        <v>127</v>
      </c>
      <c r="S38" s="74">
        <f>+IFERROR(HLOOKUP(S$36,[8]월별!$E$2:$S$67,42,),)</f>
        <v>1098907.8680546847</v>
      </c>
      <c r="T38" s="74">
        <f>+IFERROR(HLOOKUP(T$36,[8]월별!$E$2:$S$67,42,),)</f>
        <v>1027486.9738044508</v>
      </c>
      <c r="U38" s="74">
        <f>+IFERROR(HLOOKUP(U$36,[8]월별!$E$2:$S$67,42,),)</f>
        <v>1030973.3939193247</v>
      </c>
      <c r="V38" s="74">
        <f>+IFERROR(HLOOKUP(V$36,[8]월별!$E$2:$S$67,42,),)</f>
        <v>1048311.1321207784</v>
      </c>
      <c r="W38" s="74">
        <f>+IFERROR(HLOOKUP(W$36,[8]월별!$E$2:$S$67,42,),)</f>
        <v>1064717.6492676102</v>
      </c>
      <c r="X38" s="74">
        <f>+IFERROR(HLOOKUP(X$36,[8]월별!$E$2:$S$67,42,),)</f>
        <v>1043902.0889611768</v>
      </c>
      <c r="Y38" s="74">
        <f>+IFERROR(HLOOKUP(Y$36,[8]월별!$E$2:$S$67,42,),)</f>
        <v>1025254.3120930659</v>
      </c>
      <c r="Z38" s="74">
        <f>+IFERROR(HLOOKUP(Z$36,[8]월별!$E$2:$S$67,42,),)</f>
        <v>957693.63511625899</v>
      </c>
      <c r="AA38" s="74">
        <f>+IFERROR(HLOOKUP(AA$36,[8]월별!$E$2:$S$67,42,),)</f>
        <v>1007624.1816933632</v>
      </c>
      <c r="AB38" s="74">
        <f>+IFERROR(HLOOKUP(AB$36,[8]월별!$E$2:$S$67,42,),)</f>
        <v>964243.14311560732</v>
      </c>
      <c r="AC38" s="74">
        <f>+IFERROR(HLOOKUP(AC$36,[8]월별!$E$2:$S$67,42,),)</f>
        <v>985246.58044154115</v>
      </c>
      <c r="AD38" s="74">
        <f>+IFERROR(HLOOKUP(AD$36,[8]월별!$E$2:$S$67,42,),)</f>
        <v>951341.4287927025</v>
      </c>
      <c r="AE38" s="74">
        <f>+IFERROR(HLOOKUP(AE$36,[7]월별!$E$2:$S$67,42,),)</f>
        <v>920730.85338998202</v>
      </c>
      <c r="AF38" s="74">
        <f>+IFERROR(HLOOKUP(AF$36,[7]월별!$E$2:$S$67,42,),)</f>
        <v>886130.8859870329</v>
      </c>
    </row>
    <row r="39" spans="4:32" ht="21.95" customHeight="1">
      <c r="R39" s="202" t="s">
        <v>128</v>
      </c>
      <c r="S39" s="203">
        <f>+IFERROR(HLOOKUP(S$36,[8]월별!$E$2:$S$67,43,),)</f>
        <v>1.9263299607757241E-2</v>
      </c>
      <c r="T39" s="203">
        <f>+IFERROR(HLOOKUP(T$36,[8]월별!$E$2:$S$67,43,),)</f>
        <v>2.0328430506478493E-2</v>
      </c>
      <c r="U39" s="203">
        <f>+IFERROR(HLOOKUP(U$36,[8]월별!$E$2:$S$67,43,),)</f>
        <v>1.815970186077798E-2</v>
      </c>
      <c r="V39" s="203">
        <f>+IFERROR(HLOOKUP(V$36,[8]월별!$E$2:$S$67,43,),)</f>
        <v>2.0783119934692784E-2</v>
      </c>
      <c r="W39" s="203">
        <f>+IFERROR(HLOOKUP(W$36,[8]월별!$E$2:$S$67,43,),)</f>
        <v>1.8530156032889104E-2</v>
      </c>
      <c r="X39" s="203">
        <f>+IFERROR(HLOOKUP(X$36,[8]월별!$E$2:$S$67,43,),)</f>
        <v>2.338088905753952E-2</v>
      </c>
      <c r="Y39" s="203">
        <f>+IFERROR(HLOOKUP(Y$36,[8]월별!$E$2:$S$67,43,),)</f>
        <v>2.4066421287530761E-2</v>
      </c>
      <c r="Z39" s="203">
        <f>+IFERROR(HLOOKUP(Z$36,[8]월별!$E$2:$S$67,43,),)</f>
        <v>2.751551238666371E-2</v>
      </c>
      <c r="AA39" s="203">
        <f>+IFERROR(HLOOKUP(AA$36,[8]월별!$E$2:$S$67,43,),)</f>
        <v>1.6738202604907604E-2</v>
      </c>
      <c r="AB39" s="203">
        <f>+IFERROR(HLOOKUP(AB$36,[8]월별!$E$2:$S$67,43,),)</f>
        <v>1.8118540365804674E-2</v>
      </c>
      <c r="AC39" s="203">
        <f>+IFERROR(HLOOKUP(AC$36,[8]월별!$E$2:$S$67,43,),)</f>
        <v>1.7419708473984639E-2</v>
      </c>
      <c r="AD39" s="203">
        <f>+IFERROR(HLOOKUP(AD$36,[8]월별!$E$2:$S$67,43,),)</f>
        <v>2.0746012557623313E-2</v>
      </c>
      <c r="AE39" s="203">
        <f>+IFERROR(HLOOKUP(AE$36,[8]월별!$E$2:$S$67,43,),)</f>
        <v>1.9263299607757241E-2</v>
      </c>
      <c r="AF39" s="203">
        <f>+IFERROR(HLOOKUP(AF$36,[8]월별!$E$2:$S$67,43,),)</f>
        <v>2.0328430506478493E-2</v>
      </c>
    </row>
    <row r="40" spans="4:32" ht="21.95" customHeight="1"/>
    <row r="41" spans="4:32" ht="21.95" customHeight="1"/>
    <row r="42" spans="4:32" ht="21.95" customHeight="1"/>
    <row r="43" spans="4:32" ht="21.95" customHeight="1"/>
    <row r="44" spans="4:32" ht="21.95" customHeight="1"/>
    <row r="45" spans="4:32" ht="21.95" customHeight="1"/>
    <row r="46" spans="4:32" ht="21.95" customHeight="1"/>
    <row r="47" spans="4:32" ht="21.95" customHeight="1"/>
    <row r="48" spans="4:32" ht="21.95" customHeight="1"/>
    <row r="49" ht="21.95" customHeight="1"/>
    <row r="50" ht="21.95" customHeight="1"/>
    <row r="51" ht="21.95" customHeight="1"/>
    <row r="52" ht="21.95" customHeight="1"/>
    <row r="53" ht="21.95" customHeight="1"/>
    <row r="54" ht="21.95" customHeight="1"/>
    <row r="55" ht="21.95" customHeight="1"/>
  </sheetData>
  <mergeCells count="4">
    <mergeCell ref="D8:E9"/>
    <mergeCell ref="D29:E34"/>
    <mergeCell ref="K8:O8"/>
    <mergeCell ref="F8:J8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71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7A83-1708-4984-987D-736EDAE7F598}">
  <sheetPr>
    <tabColor theme="0" tint="-0.249977111117893"/>
    <pageSetUpPr fitToPage="1"/>
  </sheetPr>
  <dimension ref="A1:AG53"/>
  <sheetViews>
    <sheetView showGridLines="0" showZeros="0" view="pageBreakPreview" zoomScale="60" zoomScaleNormal="85" workbookViewId="0">
      <pane xSplit="6" ySplit="7" topLeftCell="G17" activePane="bottomRight" state="frozen"/>
      <selection activeCell="N18" sqref="N18"/>
      <selection pane="topRight" activeCell="N18" sqref="N18"/>
      <selection pane="bottomLeft" activeCell="N18" sqref="N18"/>
      <selection pane="bottomRight" activeCell="N18" sqref="N18"/>
    </sheetView>
  </sheetViews>
  <sheetFormatPr defaultRowHeight="16.5"/>
  <cols>
    <col min="1" max="3" width="5.625" style="6" customWidth="1"/>
    <col min="4" max="4" width="3.125" style="6" customWidth="1"/>
    <col min="5" max="6" width="8.625" style="6" customWidth="1"/>
    <col min="7" max="30" width="10.625" style="6" customWidth="1"/>
    <col min="31" max="31" width="9" style="6"/>
    <col min="32" max="33" width="14.25" style="6" customWidth="1"/>
    <col min="34" max="16384" width="9" style="6"/>
  </cols>
  <sheetData>
    <row r="1" spans="1:33" ht="22.5" customHeight="1">
      <c r="A1" s="423" t="s">
        <v>179</v>
      </c>
    </row>
    <row r="2" spans="1:33" ht="9.75" customHeight="1"/>
    <row r="3" spans="1:33" ht="9.9499999999999993" customHeight="1"/>
    <row r="4" spans="1:33" ht="31.5">
      <c r="D4" s="184" t="s">
        <v>216</v>
      </c>
      <c r="F4" s="184"/>
      <c r="I4" s="184"/>
    </row>
    <row r="5" spans="1:33" ht="21.95" customHeight="1" thickBot="1">
      <c r="J5" s="76"/>
      <c r="Y5" s="76"/>
      <c r="AB5" s="76"/>
      <c r="AD5" s="186" t="s">
        <v>167</v>
      </c>
    </row>
    <row r="6" spans="1:33" ht="24" customHeight="1" thickTop="1">
      <c r="D6" s="296" t="s">
        <v>15</v>
      </c>
      <c r="E6" s="837" t="s">
        <v>11</v>
      </c>
      <c r="F6" s="838"/>
      <c r="G6" s="294" t="s">
        <v>140</v>
      </c>
      <c r="H6" s="293"/>
      <c r="I6" s="293"/>
      <c r="J6" s="293" t="s">
        <v>139</v>
      </c>
      <c r="K6" s="293"/>
      <c r="L6" s="295"/>
      <c r="M6" s="389" t="s">
        <v>138</v>
      </c>
      <c r="N6" s="390"/>
      <c r="O6" s="391"/>
      <c r="P6" s="294" t="s">
        <v>186</v>
      </c>
      <c r="Q6" s="293"/>
      <c r="R6" s="293"/>
      <c r="S6" s="293" t="s">
        <v>187</v>
      </c>
      <c r="T6" s="293"/>
      <c r="U6" s="295"/>
      <c r="V6" s="389" t="s">
        <v>188</v>
      </c>
      <c r="W6" s="390"/>
      <c r="X6" s="391"/>
      <c r="Y6" s="388" t="s">
        <v>137</v>
      </c>
      <c r="Z6" s="293"/>
      <c r="AA6" s="295"/>
      <c r="AB6" s="389" t="s">
        <v>136</v>
      </c>
      <c r="AC6" s="390"/>
      <c r="AD6" s="391"/>
    </row>
    <row r="7" spans="1:33" ht="24" customHeight="1">
      <c r="D7" s="292"/>
      <c r="E7" s="839"/>
      <c r="F7" s="840"/>
      <c r="G7" s="288" t="s">
        <v>12</v>
      </c>
      <c r="H7" s="374" t="s">
        <v>13</v>
      </c>
      <c r="I7" s="291" t="s">
        <v>36</v>
      </c>
      <c r="J7" s="290" t="s">
        <v>15</v>
      </c>
      <c r="K7" s="374" t="s">
        <v>16</v>
      </c>
      <c r="L7" s="289" t="s">
        <v>36</v>
      </c>
      <c r="M7" s="392" t="s">
        <v>15</v>
      </c>
      <c r="N7" s="374" t="s">
        <v>16</v>
      </c>
      <c r="O7" s="393" t="s">
        <v>36</v>
      </c>
      <c r="P7" s="288" t="s">
        <v>12</v>
      </c>
      <c r="Q7" s="374" t="s">
        <v>13</v>
      </c>
      <c r="R7" s="291" t="s">
        <v>36</v>
      </c>
      <c r="S7" s="290" t="s">
        <v>15</v>
      </c>
      <c r="T7" s="374" t="s">
        <v>16</v>
      </c>
      <c r="U7" s="289" t="s">
        <v>36</v>
      </c>
      <c r="V7" s="392" t="s">
        <v>15</v>
      </c>
      <c r="W7" s="374" t="s">
        <v>16</v>
      </c>
      <c r="X7" s="393" t="s">
        <v>36</v>
      </c>
      <c r="Y7" s="289" t="s">
        <v>15</v>
      </c>
      <c r="Z7" s="374" t="s">
        <v>16</v>
      </c>
      <c r="AA7" s="289" t="s">
        <v>36</v>
      </c>
      <c r="AB7" s="392" t="s">
        <v>15</v>
      </c>
      <c r="AC7" s="374" t="s">
        <v>16</v>
      </c>
      <c r="AD7" s="393" t="s">
        <v>36</v>
      </c>
    </row>
    <row r="8" spans="1:33" ht="24" customHeight="1">
      <c r="D8" s="77"/>
      <c r="E8" s="265" t="s">
        <v>110</v>
      </c>
      <c r="F8" s="264" t="s">
        <v>132</v>
      </c>
      <c r="G8" s="260">
        <f>+IFERROR(HLOOKUP($A$1,[14]손익요약!$G$5:$AL$106,3,),)</f>
        <v>10301.799999999999</v>
      </c>
      <c r="H8" s="375">
        <f>+'[9]서부산크라샤(당월)'!$F$66</f>
        <v>11878</v>
      </c>
      <c r="I8" s="263">
        <f>H8-G8</f>
        <v>1576.2000000000007</v>
      </c>
      <c r="J8" s="262">
        <f>+IFERROR(HLOOKUP($A$1,[14]손익요약!$G$5:$AL$106,6,),)</f>
        <v>836</v>
      </c>
      <c r="K8" s="375">
        <f>+'[9]서부산크라샤(당월)'!$I$66</f>
        <v>384</v>
      </c>
      <c r="L8" s="261">
        <f>K8-J8</f>
        <v>-452</v>
      </c>
      <c r="M8" s="394">
        <f>+G8+J8</f>
        <v>11137.8</v>
      </c>
      <c r="N8" s="375">
        <f>+H8+K8</f>
        <v>12262</v>
      </c>
      <c r="O8" s="395">
        <f>N8-M8</f>
        <v>1124.2000000000007</v>
      </c>
      <c r="P8" s="260">
        <f>+IFERROR(HLOOKUP($A$1,[15]손익요약!$G$5:$AL$106,3,),)</f>
        <v>8773.1544311774724</v>
      </c>
      <c r="Q8" s="375">
        <f>+'[9]부산크라샤(당월)'!$F$66</f>
        <v>8447</v>
      </c>
      <c r="R8" s="263">
        <f>Q8-P8</f>
        <v>-326.15443117747236</v>
      </c>
      <c r="S8" s="262">
        <f>+IFERROR(HLOOKUP($A$1,[15]손익요약!$G$5:$AL$106,6,),)</f>
        <v>7883.2289551615359</v>
      </c>
      <c r="T8" s="375">
        <f>+'[9]부산크라샤(당월)'!$I$66</f>
        <v>9252</v>
      </c>
      <c r="U8" s="261">
        <f>T8-S8</f>
        <v>1368.7710448384641</v>
      </c>
      <c r="V8" s="394">
        <f>+P8+S8</f>
        <v>16656.38338633901</v>
      </c>
      <c r="W8" s="375">
        <f>+Q8+T8</f>
        <v>17699</v>
      </c>
      <c r="X8" s="395">
        <f>W8-V8</f>
        <v>1042.61661366099</v>
      </c>
      <c r="Y8" s="261">
        <f>+IFERROR(HLOOKUP($A$1,[16]손익계획!$G$5:$AX$449,3,),)</f>
        <v>11567.897800162975</v>
      </c>
      <c r="Z8" s="375">
        <f>+'[9]부산모래장(당월)'!$R$48</f>
        <v>11761</v>
      </c>
      <c r="AA8" s="261">
        <f>Z8-Y8</f>
        <v>193.10219983702518</v>
      </c>
      <c r="AB8" s="394">
        <f>+M8+V8+Y8</f>
        <v>39362.081186501986</v>
      </c>
      <c r="AC8" s="375">
        <f>+N8+W8+Z8</f>
        <v>41722</v>
      </c>
      <c r="AD8" s="395">
        <f>AC8-AB8</f>
        <v>2359.9188134980141</v>
      </c>
    </row>
    <row r="9" spans="1:33" ht="24" customHeight="1">
      <c r="D9" s="77"/>
      <c r="E9" s="282"/>
      <c r="F9" s="287" t="s">
        <v>10</v>
      </c>
      <c r="G9" s="283">
        <f>+G8/G$12</f>
        <v>1</v>
      </c>
      <c r="H9" s="376">
        <f>+H8/H$12</f>
        <v>0.56870631044718956</v>
      </c>
      <c r="I9" s="286">
        <f>+H9-G9</f>
        <v>-0.43129368955281044</v>
      </c>
      <c r="J9" s="285">
        <f>+J8/J$12</f>
        <v>1</v>
      </c>
      <c r="K9" s="376">
        <f>+K8/K$12</f>
        <v>0.17777777777777778</v>
      </c>
      <c r="L9" s="284">
        <f>+K9-J9</f>
        <v>-0.82222222222222219</v>
      </c>
      <c r="M9" s="396">
        <f>+M8/M$12</f>
        <v>1</v>
      </c>
      <c r="N9" s="376">
        <f>+N8/N$12</f>
        <v>0.53206630217825224</v>
      </c>
      <c r="O9" s="397">
        <f>+N9-M9</f>
        <v>-0.46793369782174776</v>
      </c>
      <c r="P9" s="283">
        <f>+P8/P$12</f>
        <v>0.59385789758363894</v>
      </c>
      <c r="Q9" s="376">
        <f>+Q8/Q$12</f>
        <v>0.68926968584251325</v>
      </c>
      <c r="R9" s="286">
        <f>+Q9-P9</f>
        <v>9.5411788258874308E-2</v>
      </c>
      <c r="S9" s="285">
        <f>+S8/S$12</f>
        <v>0.34449810254524399</v>
      </c>
      <c r="T9" s="376">
        <f>+T8/T$12</f>
        <v>0.81529784984138176</v>
      </c>
      <c r="U9" s="284">
        <f>+T9-S9</f>
        <v>0.47079974729613777</v>
      </c>
      <c r="V9" s="396">
        <f>+V8/V$12</f>
        <v>0.44232562685193011</v>
      </c>
      <c r="W9" s="376">
        <f>+W8/W$12</f>
        <v>0.74986230563911371</v>
      </c>
      <c r="X9" s="397">
        <f>+W9-V9</f>
        <v>0.3075366787871836</v>
      </c>
      <c r="Y9" s="284">
        <f>+Y8/Y$12</f>
        <v>0.64024591726762103</v>
      </c>
      <c r="Z9" s="376">
        <f>+Z8/Z$12</f>
        <v>0.63153090264726408</v>
      </c>
      <c r="AA9" s="284">
        <f>+Z9-Y9</f>
        <v>-8.7150146203569534E-3</v>
      </c>
      <c r="AB9" s="396">
        <f>+AB8/AB$12</f>
        <v>0.58870559348440299</v>
      </c>
      <c r="AC9" s="376">
        <f>+AC8/AC$12</f>
        <v>0.63920210810148304</v>
      </c>
      <c r="AD9" s="397">
        <f>+AC9-AB9</f>
        <v>5.0496514617080046E-2</v>
      </c>
    </row>
    <row r="10" spans="1:33" ht="24" customHeight="1">
      <c r="D10" s="258"/>
      <c r="E10" s="282"/>
      <c r="F10" s="281" t="s">
        <v>135</v>
      </c>
      <c r="G10" s="277">
        <f>+IFERROR(HLOOKUP($A$1,[14]손익요약!$G$5:$AL$106,2,),)</f>
        <v>0</v>
      </c>
      <c r="H10" s="377">
        <f>+'[9]서부산크라샤(당월)'!$F$59</f>
        <v>9008</v>
      </c>
      <c r="I10" s="280">
        <f>H10-G10</f>
        <v>9008</v>
      </c>
      <c r="J10" s="279">
        <f>+IFERROR(HLOOKUP($A$1,[14]손익요약!$G$5:$AL$106,5,),)</f>
        <v>0</v>
      </c>
      <c r="K10" s="377">
        <f>+'[9]서부산크라샤(당월)'!$I$59</f>
        <v>1776</v>
      </c>
      <c r="L10" s="278">
        <f>K10-J10</f>
        <v>1776</v>
      </c>
      <c r="M10" s="398">
        <f>+G10+J10</f>
        <v>0</v>
      </c>
      <c r="N10" s="377">
        <f>+H10+K10</f>
        <v>10784</v>
      </c>
      <c r="O10" s="399">
        <f>N10-M10</f>
        <v>10784</v>
      </c>
      <c r="P10" s="277">
        <f>+IFERROR(HLOOKUP($A$1,[15]손익요약!$G$5:$AL$106,2,),)</f>
        <v>6000</v>
      </c>
      <c r="Q10" s="377">
        <f>+'[9]부산크라샤(당월)'!$F$59</f>
        <v>3808</v>
      </c>
      <c r="R10" s="280">
        <f>Q10-P10</f>
        <v>-2192</v>
      </c>
      <c r="S10" s="279">
        <f>+IFERROR(HLOOKUP($A$1,[15]손익요약!$G$5:$AL$106,5,),)</f>
        <v>15000</v>
      </c>
      <c r="T10" s="377">
        <f>+'[9]부산크라샤(당월)'!$I$59</f>
        <v>2096</v>
      </c>
      <c r="U10" s="278">
        <f>T10-S10</f>
        <v>-12904</v>
      </c>
      <c r="V10" s="398">
        <f>+P10+S10</f>
        <v>21000</v>
      </c>
      <c r="W10" s="377">
        <f>+Q10+T10</f>
        <v>5904</v>
      </c>
      <c r="X10" s="399">
        <f>W10-V10</f>
        <v>-15096</v>
      </c>
      <c r="Y10" s="278">
        <f>+IFERROR(HLOOKUP($A$1,[16]손익계획!$G$5:$AX$449,2,),)</f>
        <v>6500</v>
      </c>
      <c r="Z10" s="377">
        <f>+'[9]부산모래장(당월)'!$R$47</f>
        <v>6862</v>
      </c>
      <c r="AA10" s="278">
        <f>Z10-Y10</f>
        <v>362</v>
      </c>
      <c r="AB10" s="398">
        <f>+M10+V10+Y10</f>
        <v>27500</v>
      </c>
      <c r="AC10" s="377">
        <f>+N10+W10+Z10</f>
        <v>23550</v>
      </c>
      <c r="AD10" s="399">
        <f>AC10-AB10</f>
        <v>-3950</v>
      </c>
    </row>
    <row r="11" spans="1:33" ht="24" customHeight="1">
      <c r="D11" s="258"/>
      <c r="E11" s="259"/>
      <c r="F11" s="276" t="s">
        <v>10</v>
      </c>
      <c r="G11" s="272">
        <f>+G10/G$12</f>
        <v>0</v>
      </c>
      <c r="H11" s="378">
        <f>+H10/H$12</f>
        <v>0.4312936895528105</v>
      </c>
      <c r="I11" s="275">
        <f>+H11-G11</f>
        <v>0.4312936895528105</v>
      </c>
      <c r="J11" s="274">
        <f>+J10/J$12</f>
        <v>0</v>
      </c>
      <c r="K11" s="378">
        <f>+K10/K$12</f>
        <v>0.82222222222222219</v>
      </c>
      <c r="L11" s="273">
        <f>+K11-J11</f>
        <v>0.82222222222222219</v>
      </c>
      <c r="M11" s="400">
        <f>+M10/M$12</f>
        <v>0</v>
      </c>
      <c r="N11" s="378">
        <f>+N10/N$12</f>
        <v>0.46793369782174782</v>
      </c>
      <c r="O11" s="401">
        <f>+N11-M11</f>
        <v>0.46793369782174782</v>
      </c>
      <c r="P11" s="272">
        <f>+P10/P$12</f>
        <v>0.40614210241636112</v>
      </c>
      <c r="Q11" s="378">
        <f>+Q10/Q$12</f>
        <v>0.31073031415748675</v>
      </c>
      <c r="R11" s="275">
        <f>+Q11-P11</f>
        <v>-9.5411788258874364E-2</v>
      </c>
      <c r="S11" s="274">
        <f>+S10/S$12</f>
        <v>0.65550189745475596</v>
      </c>
      <c r="T11" s="378">
        <f>+T10/T$12</f>
        <v>0.18470215015861827</v>
      </c>
      <c r="U11" s="273">
        <f>+T11-S11</f>
        <v>-0.47079974729613772</v>
      </c>
      <c r="V11" s="400">
        <f>+V10/V$12</f>
        <v>0.55767437314806989</v>
      </c>
      <c r="W11" s="378">
        <f>+W10/W$12</f>
        <v>0.25013769436088634</v>
      </c>
      <c r="X11" s="401">
        <f>+W11-V11</f>
        <v>-0.30753667878718355</v>
      </c>
      <c r="Y11" s="273">
        <f>+Y10/Y$12</f>
        <v>0.35975408273237908</v>
      </c>
      <c r="Z11" s="378">
        <f>+Z10/Z$12</f>
        <v>0.36846909735273586</v>
      </c>
      <c r="AA11" s="273">
        <f>+Z11-Y11</f>
        <v>8.7150146203567869E-3</v>
      </c>
      <c r="AB11" s="400">
        <f>+AB10/AB$12</f>
        <v>0.41129440651559707</v>
      </c>
      <c r="AC11" s="378">
        <f>+AC10/AC$12</f>
        <v>0.36079789189851696</v>
      </c>
      <c r="AD11" s="401">
        <f>+AC11-AB11</f>
        <v>-5.0496514617080102E-2</v>
      </c>
    </row>
    <row r="12" spans="1:33" ht="24" customHeight="1">
      <c r="D12" s="258"/>
      <c r="E12" s="271"/>
      <c r="F12" s="270" t="s">
        <v>43</v>
      </c>
      <c r="G12" s="266">
        <f>G8+G10</f>
        <v>10301.799999999999</v>
      </c>
      <c r="H12" s="379">
        <f>H8+H10</f>
        <v>20886</v>
      </c>
      <c r="I12" s="269">
        <f t="shared" ref="I12:I32" si="0">H12-G12</f>
        <v>10584.2</v>
      </c>
      <c r="J12" s="268">
        <f>J8+J10</f>
        <v>836</v>
      </c>
      <c r="K12" s="379">
        <f>K8+K10</f>
        <v>2160</v>
      </c>
      <c r="L12" s="267">
        <f t="shared" ref="L12:L32" si="1">K12-J12</f>
        <v>1324</v>
      </c>
      <c r="M12" s="402">
        <f>M8+M10</f>
        <v>11137.8</v>
      </c>
      <c r="N12" s="379">
        <f>N8+N10</f>
        <v>23046</v>
      </c>
      <c r="O12" s="403">
        <f t="shared" ref="O12:O32" si="2">N12-M12</f>
        <v>11908.2</v>
      </c>
      <c r="P12" s="266">
        <f>P8+P10</f>
        <v>14773.154431177472</v>
      </c>
      <c r="Q12" s="379">
        <f>Q8+Q10</f>
        <v>12255</v>
      </c>
      <c r="R12" s="269">
        <f t="shared" ref="R12:R32" si="3">Q12-P12</f>
        <v>-2518.1544311774724</v>
      </c>
      <c r="S12" s="268">
        <f>S8+S10</f>
        <v>22883.228955161536</v>
      </c>
      <c r="T12" s="379">
        <f>T8+T10</f>
        <v>11348</v>
      </c>
      <c r="U12" s="267">
        <f t="shared" ref="U12:U32" si="4">T12-S12</f>
        <v>-11535.228955161536</v>
      </c>
      <c r="V12" s="402">
        <f>V8+V10</f>
        <v>37656.38338633901</v>
      </c>
      <c r="W12" s="379">
        <f>W8+W10</f>
        <v>23603</v>
      </c>
      <c r="X12" s="403">
        <f t="shared" ref="X12:X32" si="5">W12-V12</f>
        <v>-14053.38338633901</v>
      </c>
      <c r="Y12" s="267">
        <f>Y8+Y10</f>
        <v>18067.897800162973</v>
      </c>
      <c r="Z12" s="379">
        <f>Z8+Z10</f>
        <v>18623</v>
      </c>
      <c r="AA12" s="267">
        <f t="shared" ref="AA12:AA32" si="6">Z12-Y12</f>
        <v>555.102199837027</v>
      </c>
      <c r="AB12" s="402">
        <f>AB8+AB10</f>
        <v>66862.081186501979</v>
      </c>
      <c r="AC12" s="379">
        <f>AC8+AC10</f>
        <v>65272</v>
      </c>
      <c r="AD12" s="403">
        <f t="shared" ref="AD12:AD32" si="7">AC12-AB12</f>
        <v>-1590.0811865019787</v>
      </c>
      <c r="AF12" s="6">
        <f>+'사업장별(당월)'!J32*1000</f>
        <v>66862.081186501979</v>
      </c>
      <c r="AG12" s="6">
        <f>+'사업장별(당월)'!K32*1000</f>
        <v>65271.999999999993</v>
      </c>
    </row>
    <row r="13" spans="1:33" ht="24" customHeight="1">
      <c r="D13" s="258"/>
      <c r="E13" s="265" t="s">
        <v>77</v>
      </c>
      <c r="F13" s="264" t="s">
        <v>132</v>
      </c>
      <c r="G13" s="260">
        <f>+IFERROR(HLOOKUP($A$1,[14]손익요약!$G$5:$AL$106,15,),)</f>
        <v>164828.79999999999</v>
      </c>
      <c r="H13" s="375">
        <f>+'[9]서부산크라샤(당월)'!$F$72</f>
        <v>193286</v>
      </c>
      <c r="I13" s="263">
        <f t="shared" si="0"/>
        <v>28457.200000000012</v>
      </c>
      <c r="J13" s="262">
        <f>+IFERROR(HLOOKUP($A$1,[14]손익요약!$G$5:$AL$106,18,),)</f>
        <v>8778</v>
      </c>
      <c r="K13" s="375">
        <f>+'[9]서부산크라샤(당월)'!$I$72</f>
        <v>3456</v>
      </c>
      <c r="L13" s="261">
        <f t="shared" si="1"/>
        <v>-5322</v>
      </c>
      <c r="M13" s="394">
        <f>+G13+J13</f>
        <v>173606.8</v>
      </c>
      <c r="N13" s="375">
        <f>+H13+K13</f>
        <v>196742</v>
      </c>
      <c r="O13" s="395">
        <f t="shared" si="2"/>
        <v>23135.200000000012</v>
      </c>
      <c r="P13" s="260">
        <f>+IFERROR(HLOOKUP($A$1,[15]손익요약!$G$5:$AL$106,12,),)</f>
        <v>140370.47089883956</v>
      </c>
      <c r="Q13" s="375">
        <f>+'[9]부산크라샤(당월)'!$F$72</f>
        <v>147822.5</v>
      </c>
      <c r="R13" s="263">
        <f t="shared" si="3"/>
        <v>7452.0291011604422</v>
      </c>
      <c r="S13" s="262">
        <f>+IFERROR(HLOOKUP($A$1,[15]손익요약!$G$5:$AL$106,15,),)</f>
        <v>174106.42596871531</v>
      </c>
      <c r="T13" s="375">
        <f>+'[9]부산크라샤(당월)'!$I$72</f>
        <v>205646</v>
      </c>
      <c r="U13" s="261">
        <f t="shared" si="4"/>
        <v>31539.57403128469</v>
      </c>
      <c r="V13" s="394">
        <f>+P13+S13</f>
        <v>314476.89686755487</v>
      </c>
      <c r="W13" s="375">
        <f>+Q13+T13</f>
        <v>353468.5</v>
      </c>
      <c r="X13" s="395">
        <f t="shared" si="5"/>
        <v>38991.603132445132</v>
      </c>
      <c r="Y13" s="261">
        <f>+IFERROR(HLOOKUP($A$1,[16]손익계획!$G$5:$AX$449,6,),)</f>
        <v>352682.64248418884</v>
      </c>
      <c r="Z13" s="375">
        <f>+'[9]부산모래장(당월)'!$R$54</f>
        <v>341512</v>
      </c>
      <c r="AA13" s="261">
        <f t="shared" si="6"/>
        <v>-11170.642484188837</v>
      </c>
      <c r="AB13" s="394">
        <f>+M13+V13+Y13</f>
        <v>840766.33935174369</v>
      </c>
      <c r="AC13" s="375">
        <f>+N13+W13+Z13</f>
        <v>891722.5</v>
      </c>
      <c r="AD13" s="395">
        <f t="shared" si="7"/>
        <v>50956.160648256307</v>
      </c>
      <c r="AF13" s="6" t="b">
        <f>+AF12=AB12</f>
        <v>1</v>
      </c>
      <c r="AG13" s="6" t="b">
        <f>+AG12=AC12</f>
        <v>1</v>
      </c>
    </row>
    <row r="14" spans="1:33" ht="24" customHeight="1">
      <c r="D14" s="258"/>
      <c r="E14" s="259"/>
      <c r="F14" s="257" t="s">
        <v>131</v>
      </c>
      <c r="G14" s="253">
        <f>+G13/G8*1000</f>
        <v>16000</v>
      </c>
      <c r="H14" s="380">
        <f>+H13/H8*1000</f>
        <v>16272.604815625527</v>
      </c>
      <c r="I14" s="256">
        <f t="shared" si="0"/>
        <v>272.60481562552741</v>
      </c>
      <c r="J14" s="255">
        <f>+J13/J8*1000</f>
        <v>10500</v>
      </c>
      <c r="K14" s="380">
        <f>+K13/K8*1000</f>
        <v>9000</v>
      </c>
      <c r="L14" s="254">
        <f t="shared" si="1"/>
        <v>-1500</v>
      </c>
      <c r="M14" s="404">
        <f>+M13/M8*1000</f>
        <v>15587.171613783692</v>
      </c>
      <c r="N14" s="380">
        <f>+N13/N8*1000</f>
        <v>16044.854020551298</v>
      </c>
      <c r="O14" s="405">
        <f t="shared" si="2"/>
        <v>457.68240676760615</v>
      </c>
      <c r="P14" s="253">
        <f>+P13/P8*1000</f>
        <v>16000</v>
      </c>
      <c r="Q14" s="380">
        <f>+Q13/Q8*1000</f>
        <v>17500</v>
      </c>
      <c r="R14" s="256">
        <f t="shared" si="3"/>
        <v>1500</v>
      </c>
      <c r="S14" s="255">
        <f>+S13/S8*1000</f>
        <v>22085.674151924679</v>
      </c>
      <c r="T14" s="380">
        <f>+T13/T8*1000</f>
        <v>22227.19412019023</v>
      </c>
      <c r="U14" s="254">
        <f t="shared" si="4"/>
        <v>141.51996826555114</v>
      </c>
      <c r="V14" s="404">
        <f>+V13/V8*1000</f>
        <v>18880.262874201009</v>
      </c>
      <c r="W14" s="380">
        <f>+W13/W8*1000</f>
        <v>19971.100062150406</v>
      </c>
      <c r="X14" s="405">
        <f t="shared" si="5"/>
        <v>1090.837187949397</v>
      </c>
      <c r="Y14" s="254">
        <f>+Y13/Y8*1000</f>
        <v>30488.049650578694</v>
      </c>
      <c r="Z14" s="380">
        <f>+Z13/Z8*1000</f>
        <v>29037.666865062496</v>
      </c>
      <c r="AA14" s="254">
        <f t="shared" si="6"/>
        <v>-1450.3827855161981</v>
      </c>
      <c r="AB14" s="404">
        <f>+AB13/AB8*1000</f>
        <v>21359.804004470643</v>
      </c>
      <c r="AC14" s="380">
        <f>+AC13/AC8*1000</f>
        <v>21372.956713484491</v>
      </c>
      <c r="AD14" s="405">
        <f t="shared" si="7"/>
        <v>13.152709013847925</v>
      </c>
    </row>
    <row r="15" spans="1:33" ht="24" customHeight="1">
      <c r="D15" s="258"/>
      <c r="E15" s="663"/>
      <c r="F15" s="224" t="s">
        <v>135</v>
      </c>
      <c r="G15" s="248">
        <f>+IFERROR(HLOOKUP($A$1,[14]손익요약!$G$5:$AL$106,14,),)</f>
        <v>0</v>
      </c>
      <c r="H15" s="381">
        <f>+'[9]서부산크라샤(당월)'!$F$71</f>
        <v>107752</v>
      </c>
      <c r="I15" s="251">
        <f t="shared" si="0"/>
        <v>107752</v>
      </c>
      <c r="J15" s="250">
        <f>+IFERROR(HLOOKUP($A$1,[14]손익요약!$G$5:$AL$106,17,),)</f>
        <v>0</v>
      </c>
      <c r="K15" s="381">
        <f>+'[9]서부산크라샤(당월)'!$I$71</f>
        <v>14224</v>
      </c>
      <c r="L15" s="249">
        <f t="shared" si="1"/>
        <v>14224</v>
      </c>
      <c r="M15" s="406">
        <f>+G15+J15</f>
        <v>0</v>
      </c>
      <c r="N15" s="381">
        <f>+H15+K15</f>
        <v>121976</v>
      </c>
      <c r="O15" s="407">
        <f t="shared" si="2"/>
        <v>121976</v>
      </c>
      <c r="P15" s="248">
        <f>+IFERROR(HLOOKUP($A$1,[15]손익요약!$G$5:$AL$106,11,),)</f>
        <v>72000</v>
      </c>
      <c r="Q15" s="381">
        <f>+'[9]부산크라샤(당월)'!$F$71</f>
        <v>49504</v>
      </c>
      <c r="R15" s="251">
        <f t="shared" si="3"/>
        <v>-22496</v>
      </c>
      <c r="S15" s="250">
        <f>+IFERROR(HLOOKUP($A$1,[15]손익요약!$G$5:$AL$106,14,),)</f>
        <v>285000</v>
      </c>
      <c r="T15" s="381">
        <f>+'[9]부산크라샤(당월)'!$I$71</f>
        <v>39824</v>
      </c>
      <c r="U15" s="249">
        <f t="shared" si="4"/>
        <v>-245176</v>
      </c>
      <c r="V15" s="406">
        <f>+P15+S15</f>
        <v>357000</v>
      </c>
      <c r="W15" s="381">
        <f>+Q15+T15</f>
        <v>89328</v>
      </c>
      <c r="X15" s="407">
        <f t="shared" si="5"/>
        <v>-267672</v>
      </c>
      <c r="Y15" s="249">
        <f>+IFERROR(HLOOKUP($A$1,[16]손익계획!$G$5:$AX$449,5,),)</f>
        <v>204750</v>
      </c>
      <c r="Z15" s="381">
        <f>+'[9]부산모래장(당월)'!$R$53</f>
        <v>194060</v>
      </c>
      <c r="AA15" s="249">
        <f t="shared" si="6"/>
        <v>-10690</v>
      </c>
      <c r="AB15" s="406">
        <f>+M15+V15+Y15</f>
        <v>561750</v>
      </c>
      <c r="AC15" s="381">
        <f>+N15+W15+Z15</f>
        <v>405364</v>
      </c>
      <c r="AD15" s="407">
        <f t="shared" si="7"/>
        <v>-156386</v>
      </c>
    </row>
    <row r="16" spans="1:33" ht="24" customHeight="1">
      <c r="D16" s="76"/>
      <c r="E16" s="663"/>
      <c r="F16" s="257" t="s">
        <v>131</v>
      </c>
      <c r="G16" s="253">
        <f>IFERROR(G15/G10,)*1000</f>
        <v>0</v>
      </c>
      <c r="H16" s="380">
        <f>IFERROR(H15/H10,)*1000</f>
        <v>11961.811722912966</v>
      </c>
      <c r="I16" s="256">
        <f t="shared" si="0"/>
        <v>11961.811722912966</v>
      </c>
      <c r="J16" s="255">
        <f>IFERROR(J15/J10,)*1000</f>
        <v>0</v>
      </c>
      <c r="K16" s="380">
        <f>IFERROR(K15/K10,)*1000</f>
        <v>8009.0090090090098</v>
      </c>
      <c r="L16" s="254">
        <f t="shared" si="1"/>
        <v>8009.0090090090098</v>
      </c>
      <c r="M16" s="404">
        <f>IFERROR(M15/M10,)*1000</f>
        <v>0</v>
      </c>
      <c r="N16" s="380">
        <f>IFERROR(N15/N10,)*1000</f>
        <v>11310.830860534124</v>
      </c>
      <c r="O16" s="405">
        <f t="shared" si="2"/>
        <v>11310.830860534124</v>
      </c>
      <c r="P16" s="253">
        <f>IFERROR(P15/P10,)*1000</f>
        <v>12000</v>
      </c>
      <c r="Q16" s="380">
        <f>IFERROR(Q15/Q10,)*1000</f>
        <v>13000</v>
      </c>
      <c r="R16" s="256">
        <f t="shared" si="3"/>
        <v>1000</v>
      </c>
      <c r="S16" s="255">
        <f>IFERROR(S15/S10,)*1000</f>
        <v>19000</v>
      </c>
      <c r="T16" s="380">
        <f>IFERROR(T15/T10,)*1000</f>
        <v>19000</v>
      </c>
      <c r="U16" s="254">
        <f t="shared" si="4"/>
        <v>0</v>
      </c>
      <c r="V16" s="404">
        <f>IFERROR(V15/V10,)*1000</f>
        <v>17000</v>
      </c>
      <c r="W16" s="380">
        <f>IFERROR(W15/W10,)*1000</f>
        <v>15130.081300813008</v>
      </c>
      <c r="X16" s="405">
        <f t="shared" si="5"/>
        <v>-1869.9186991869919</v>
      </c>
      <c r="Y16" s="254">
        <f>IFERROR(Y15/Y10,)*1000</f>
        <v>31500</v>
      </c>
      <c r="Z16" s="380">
        <f>IFERROR(Z15/Z10,)*1000</f>
        <v>28280.384727484699</v>
      </c>
      <c r="AA16" s="254">
        <f t="shared" si="6"/>
        <v>-3219.6152725153006</v>
      </c>
      <c r="AB16" s="404">
        <f>IFERROR(AB15/AB10,)*1000</f>
        <v>20427.272727272724</v>
      </c>
      <c r="AC16" s="380">
        <f>IFERROR(AC15/AC10,)*1000</f>
        <v>17212.908704883226</v>
      </c>
      <c r="AD16" s="405">
        <f t="shared" si="7"/>
        <v>-3214.3640223894981</v>
      </c>
    </row>
    <row r="17" spans="4:33" ht="24" customHeight="1">
      <c r="D17" s="76"/>
      <c r="E17" s="663"/>
      <c r="F17" s="252" t="s">
        <v>43</v>
      </c>
      <c r="G17" s="248">
        <f>G13+G15</f>
        <v>164828.79999999999</v>
      </c>
      <c r="H17" s="381">
        <f>H13+H15</f>
        <v>301038</v>
      </c>
      <c r="I17" s="251">
        <f t="shared" si="0"/>
        <v>136209.20000000001</v>
      </c>
      <c r="J17" s="250">
        <f>J13+J15</f>
        <v>8778</v>
      </c>
      <c r="K17" s="381">
        <f>K13+K15</f>
        <v>17680</v>
      </c>
      <c r="L17" s="249">
        <f t="shared" si="1"/>
        <v>8902</v>
      </c>
      <c r="M17" s="406">
        <f>M13+M15</f>
        <v>173606.8</v>
      </c>
      <c r="N17" s="381">
        <f>N13+N15</f>
        <v>318718</v>
      </c>
      <c r="O17" s="407">
        <f t="shared" si="2"/>
        <v>145111.20000000001</v>
      </c>
      <c r="P17" s="248">
        <f>P13+P15</f>
        <v>212370.47089883956</v>
      </c>
      <c r="Q17" s="381">
        <f>Q13+Q15</f>
        <v>197326.5</v>
      </c>
      <c r="R17" s="251">
        <f t="shared" si="3"/>
        <v>-15043.970898839558</v>
      </c>
      <c r="S17" s="250">
        <f>S13+S15</f>
        <v>459106.42596871534</v>
      </c>
      <c r="T17" s="381">
        <f>T13+T15</f>
        <v>245470</v>
      </c>
      <c r="U17" s="249">
        <f t="shared" si="4"/>
        <v>-213636.42596871534</v>
      </c>
      <c r="V17" s="406">
        <f>V13+V15</f>
        <v>671476.89686755487</v>
      </c>
      <c r="W17" s="381">
        <f>W13+W15</f>
        <v>442796.5</v>
      </c>
      <c r="X17" s="407">
        <f t="shared" si="5"/>
        <v>-228680.39686755487</v>
      </c>
      <c r="Y17" s="249">
        <f>Y13+Y15</f>
        <v>557432.64248418878</v>
      </c>
      <c r="Z17" s="381">
        <f>Z13+Z15</f>
        <v>535572</v>
      </c>
      <c r="AA17" s="249">
        <f t="shared" si="6"/>
        <v>-21860.642484188778</v>
      </c>
      <c r="AB17" s="406">
        <f>AB13+AB15</f>
        <v>1402516.3393517437</v>
      </c>
      <c r="AC17" s="381">
        <f>AC13+AC15</f>
        <v>1297086.5</v>
      </c>
      <c r="AD17" s="407">
        <f t="shared" si="7"/>
        <v>-105429.83935174369</v>
      </c>
      <c r="AF17" s="6">
        <f>+'사업장별(당월)'!O32*1000</f>
        <v>1402516.3393517437</v>
      </c>
      <c r="AG17" s="6">
        <f>+'사업장별(당월)'!P32*1000</f>
        <v>1297086.5</v>
      </c>
    </row>
    <row r="18" spans="4:33" ht="24" customHeight="1">
      <c r="D18" s="76"/>
      <c r="E18" s="247" t="s">
        <v>7</v>
      </c>
      <c r="F18" s="246" t="s">
        <v>134</v>
      </c>
      <c r="G18" s="230">
        <f>+IFERROR(HLOOKUP($A$1,[14]손익요약!$G$5:$AL$106,80,),)</f>
        <v>76440.424879611863</v>
      </c>
      <c r="H18" s="382">
        <f>+'[9]서부산크라샤(당월)'!$F$87</f>
        <v>38957.506993334115</v>
      </c>
      <c r="I18" s="233">
        <f t="shared" si="0"/>
        <v>-37482.917886277748</v>
      </c>
      <c r="J18" s="232">
        <f>+IFERROR(HLOOKUP($A$1,[14]손익요약!$G$5:$AL$106,83,),)</f>
        <v>1729.5438342343159</v>
      </c>
      <c r="K18" s="382">
        <f>+'[9]서부산크라샤(당월)'!$I$87</f>
        <v>1405.290803035401</v>
      </c>
      <c r="L18" s="231">
        <f t="shared" si="1"/>
        <v>-324.25303119891487</v>
      </c>
      <c r="M18" s="408">
        <f>+G18+J18</f>
        <v>78169.968713846174</v>
      </c>
      <c r="N18" s="382">
        <f>+H18+K18</f>
        <v>40362.797796369516</v>
      </c>
      <c r="O18" s="409">
        <f t="shared" si="2"/>
        <v>-37807.170917476658</v>
      </c>
      <c r="P18" s="661">
        <f>+IFERROR(HLOOKUP($A$1,[15]손익요약!$G$5:$U$95,57,),)</f>
        <v>-16012.10352412706</v>
      </c>
      <c r="Q18" s="382">
        <f>+'[9]부산크라샤(당월)'!$F$87</f>
        <v>-7760.6306931670433</v>
      </c>
      <c r="R18" s="233">
        <f t="shared" si="3"/>
        <v>8251.4728309600177</v>
      </c>
      <c r="S18" s="232">
        <f>+IFERROR(HLOOKUP($A$1,[15]손익요약!$G$5:$AL$106,60,),)</f>
        <v>32289.571968268356</v>
      </c>
      <c r="T18" s="382">
        <f>+'[9]부산크라샤(당월)'!$I$87</f>
        <v>34690.023220046671</v>
      </c>
      <c r="U18" s="231">
        <f t="shared" si="4"/>
        <v>2400.4512517783151</v>
      </c>
      <c r="V18" s="408">
        <f>+P18+S18</f>
        <v>16277.468444141296</v>
      </c>
      <c r="W18" s="382">
        <f>+Q18+T18</f>
        <v>26929.392526879627</v>
      </c>
      <c r="X18" s="409">
        <f t="shared" si="5"/>
        <v>10651.924082738331</v>
      </c>
      <c r="Y18" s="231">
        <f>+IFERROR(HLOOKUP($A$1,[16]손익계획!$G$5:$AX$449,25,),)</f>
        <v>20500.843441515543</v>
      </c>
      <c r="Z18" s="382">
        <f>+'[9]부산모래장(당월)'!$R$82</f>
        <v>36816.125</v>
      </c>
      <c r="AA18" s="231">
        <f t="shared" si="6"/>
        <v>16315.281558484457</v>
      </c>
      <c r="AB18" s="408">
        <f t="shared" ref="AB18:AC19" si="8">+M18+V18+Y18</f>
        <v>114948.28059950302</v>
      </c>
      <c r="AC18" s="382">
        <f t="shared" si="8"/>
        <v>104108.31532324915</v>
      </c>
      <c r="AD18" s="409">
        <f t="shared" si="7"/>
        <v>-10839.965276253875</v>
      </c>
      <c r="AF18" s="6" t="b">
        <f>+AF17=AB17</f>
        <v>1</v>
      </c>
      <c r="AG18" s="6" t="b">
        <f>+AG17=AC17</f>
        <v>1</v>
      </c>
    </row>
    <row r="19" spans="4:33" ht="24" customHeight="1">
      <c r="D19" s="76"/>
      <c r="E19" s="166"/>
      <c r="F19" s="245" t="s">
        <v>133</v>
      </c>
      <c r="G19" s="241">
        <f>+IFERROR(HLOOKUP($A$1,[14]손익요약!$G$5:$AL$106,79,),)</f>
        <v>0</v>
      </c>
      <c r="H19" s="383">
        <f>+'[9]서부산크라샤(당월)'!$F$86</f>
        <v>-7913.8822370346152</v>
      </c>
      <c r="I19" s="244">
        <f t="shared" si="0"/>
        <v>-7913.8822370346152</v>
      </c>
      <c r="J19" s="243">
        <f>+IFERROR(HLOOKUP($A$1,[14]손익요약!$G$5:$AL$106,82,),)</f>
        <v>0</v>
      </c>
      <c r="K19" s="383">
        <f>+'[9]서부산크라샤(당월)'!$I$86</f>
        <v>4801.7069686657633</v>
      </c>
      <c r="L19" s="242">
        <f t="shared" si="1"/>
        <v>4801.7069686657633</v>
      </c>
      <c r="M19" s="410">
        <f>+G19+J19</f>
        <v>0</v>
      </c>
      <c r="N19" s="383">
        <f>+H19+K19</f>
        <v>-3112.1752683688519</v>
      </c>
      <c r="O19" s="411">
        <f t="shared" si="2"/>
        <v>-3112.1752683688519</v>
      </c>
      <c r="P19" s="241">
        <f>+IFERROR(HLOOKUP($A$1,[15]손익요약!$G$5:$AL$106,56,),)</f>
        <v>-34301.752584933653</v>
      </c>
      <c r="Q19" s="383">
        <f>+'[9]부산크라샤(당월)'!$F$86</f>
        <v>-20028.567650707337</v>
      </c>
      <c r="R19" s="244">
        <f t="shared" si="3"/>
        <v>14273.184934226316</v>
      </c>
      <c r="S19" s="243">
        <f>+IFERROR(HLOOKUP($A$1,[15]손익요약!$G$5:$AL$106,59,),)</f>
        <v>16406.254718317574</v>
      </c>
      <c r="T19" s="383">
        <f>+'[9]부산크라샤(당월)'!$I$86</f>
        <v>1333.9053738277003</v>
      </c>
      <c r="U19" s="242">
        <f t="shared" si="4"/>
        <v>-15072.349344489874</v>
      </c>
      <c r="V19" s="410">
        <f>+P19+S19</f>
        <v>-17895.497866616079</v>
      </c>
      <c r="W19" s="383">
        <f>+Q19+T19</f>
        <v>-18694.662276879637</v>
      </c>
      <c r="X19" s="411">
        <f t="shared" si="5"/>
        <v>-799.16441026355824</v>
      </c>
      <c r="Y19" s="242">
        <f>+IFERROR(HLOOKUP($A$1,[16]손익계획!$G$5:$AX$449,24,),)</f>
        <v>13627.708378607138</v>
      </c>
      <c r="Z19" s="383">
        <f>+'[9]부산모래장(당월)'!$I$81-'[9]부산모래장(당월)'!$R$82</f>
        <v>-3122.1124571076725</v>
      </c>
      <c r="AA19" s="242">
        <f t="shared" si="6"/>
        <v>-16749.820835714811</v>
      </c>
      <c r="AB19" s="410">
        <f t="shared" si="8"/>
        <v>-4267.7894880089407</v>
      </c>
      <c r="AC19" s="383">
        <f t="shared" si="8"/>
        <v>-24928.950002356163</v>
      </c>
      <c r="AD19" s="411">
        <f t="shared" si="7"/>
        <v>-20661.160514347222</v>
      </c>
    </row>
    <row r="20" spans="4:33" ht="24" customHeight="1">
      <c r="D20" s="76"/>
      <c r="E20" s="664"/>
      <c r="F20" s="240" t="s">
        <v>58</v>
      </c>
      <c r="G20" s="236">
        <f>G18+G19</f>
        <v>76440.424879611863</v>
      </c>
      <c r="H20" s="384">
        <f>H18+H19</f>
        <v>31043.624756299498</v>
      </c>
      <c r="I20" s="239">
        <f t="shared" si="0"/>
        <v>-45396.800123312365</v>
      </c>
      <c r="J20" s="238">
        <f>J18+J19</f>
        <v>1729.5438342343159</v>
      </c>
      <c r="K20" s="384">
        <f>K18+K19</f>
        <v>6206.9977717011643</v>
      </c>
      <c r="L20" s="237">
        <f t="shared" si="1"/>
        <v>4477.4539374668484</v>
      </c>
      <c r="M20" s="412">
        <f>M18+M19</f>
        <v>78169.968713846174</v>
      </c>
      <c r="N20" s="384">
        <f>N18+N19</f>
        <v>37250.622528000662</v>
      </c>
      <c r="O20" s="413">
        <f t="shared" si="2"/>
        <v>-40919.346185845512</v>
      </c>
      <c r="P20" s="236">
        <f>P18+P19</f>
        <v>-50313.856109060711</v>
      </c>
      <c r="Q20" s="384">
        <f>Q18+Q19</f>
        <v>-27789.198343874381</v>
      </c>
      <c r="R20" s="239">
        <f t="shared" si="3"/>
        <v>22524.65776518633</v>
      </c>
      <c r="S20" s="238">
        <f>S18+S19</f>
        <v>48695.826686585933</v>
      </c>
      <c r="T20" s="384">
        <f>T18+T19</f>
        <v>36023.928593874371</v>
      </c>
      <c r="U20" s="237">
        <f t="shared" si="4"/>
        <v>-12671.898092711563</v>
      </c>
      <c r="V20" s="412">
        <f>V18+V19</f>
        <v>-1618.0294224747831</v>
      </c>
      <c r="W20" s="384">
        <f>W18+W19</f>
        <v>8234.7302499999896</v>
      </c>
      <c r="X20" s="413">
        <f t="shared" si="5"/>
        <v>9852.7596724747727</v>
      </c>
      <c r="Y20" s="237">
        <f>Y18+Y19</f>
        <v>34128.551820122681</v>
      </c>
      <c r="Z20" s="384">
        <f>Z18+Z19</f>
        <v>33694.012542892327</v>
      </c>
      <c r="AA20" s="237">
        <f t="shared" si="6"/>
        <v>-434.53927723035304</v>
      </c>
      <c r="AB20" s="412">
        <f>AB18+AB19</f>
        <v>110680.49111149408</v>
      </c>
      <c r="AC20" s="384">
        <f>AC18+AC19</f>
        <v>79179.365320892975</v>
      </c>
      <c r="AD20" s="413">
        <f t="shared" si="7"/>
        <v>-31501.125790601101</v>
      </c>
      <c r="AF20" s="6">
        <f>+'사업장별(당월)'!T32*1000</f>
        <v>110680.491111494</v>
      </c>
      <c r="AG20" s="6">
        <f>'사업장별(당월)'!U32*1000</f>
        <v>79179.365310892987</v>
      </c>
    </row>
    <row r="21" spans="4:33" ht="24" customHeight="1">
      <c r="D21" s="76"/>
      <c r="E21" s="235" t="s">
        <v>132</v>
      </c>
      <c r="F21" s="234" t="s">
        <v>25</v>
      </c>
      <c r="G21" s="230">
        <f>+IFERROR(HLOOKUP($A$1,[14]손익!$G$5:$AB$252,3,),)</f>
        <v>0</v>
      </c>
      <c r="H21" s="382">
        <f>+'[9]서부산크라샤(당월)'!$F$60</f>
        <v>864</v>
      </c>
      <c r="I21" s="233">
        <f t="shared" si="0"/>
        <v>864</v>
      </c>
      <c r="J21" s="232">
        <f>+IFERROR(HLOOKUP($A$1,[14]손익!$G$5:$AB$252,12,),)</f>
        <v>0</v>
      </c>
      <c r="K21" s="382">
        <f>+'[9]서부산크라샤(당월)'!$I$60</f>
        <v>0</v>
      </c>
      <c r="L21" s="231">
        <f t="shared" si="1"/>
        <v>0</v>
      </c>
      <c r="M21" s="408">
        <f t="shared" ref="M21:N26" si="9">+G21+J21</f>
        <v>0</v>
      </c>
      <c r="N21" s="382">
        <f t="shared" si="9"/>
        <v>864</v>
      </c>
      <c r="O21" s="409">
        <f t="shared" si="2"/>
        <v>864</v>
      </c>
      <c r="P21" s="230">
        <f>+IFERROR(HLOOKUP($A$1,[15]손익!$G$5:$AB$252,3,),)</f>
        <v>8773.1544311774724</v>
      </c>
      <c r="Q21" s="382">
        <f>+'[9]부산크라샤(당월)'!$F$60</f>
        <v>8447</v>
      </c>
      <c r="R21" s="233">
        <f t="shared" si="3"/>
        <v>-326.15443117747236</v>
      </c>
      <c r="S21" s="232">
        <f>+IFERROR(HLOOKUP($A$1,[15]손익!$G$5:$AB$252,12,),)</f>
        <v>6081.2689551615358</v>
      </c>
      <c r="T21" s="382">
        <f>+'[9]부산크라샤(당월)'!$I$60</f>
        <v>5924</v>
      </c>
      <c r="U21" s="231">
        <f t="shared" si="4"/>
        <v>-157.26895516153581</v>
      </c>
      <c r="V21" s="408">
        <f t="shared" ref="V21:W26" si="10">+P21+S21</f>
        <v>14854.423386339007</v>
      </c>
      <c r="W21" s="382">
        <f t="shared" si="10"/>
        <v>14371</v>
      </c>
      <c r="X21" s="409">
        <f t="shared" si="5"/>
        <v>-483.42338633900727</v>
      </c>
      <c r="Y21" s="231">
        <f>+IFERROR(HLOOKUP($A$1,[16]이송계획!$G$193:$U$216,16,),)</f>
        <v>3418.5271707923466</v>
      </c>
      <c r="Z21" s="382">
        <f>+'[9]부산모래장(당월)'!$R$64</f>
        <v>3633</v>
      </c>
      <c r="AA21" s="231">
        <f t="shared" si="6"/>
        <v>214.47282920765338</v>
      </c>
      <c r="AB21" s="408">
        <f t="shared" ref="AB21:AC26" si="11">+M21+V21+Y21</f>
        <v>18272.950557131353</v>
      </c>
      <c r="AC21" s="382">
        <f t="shared" si="11"/>
        <v>18868</v>
      </c>
      <c r="AD21" s="409">
        <f t="shared" si="7"/>
        <v>595.04944286864702</v>
      </c>
      <c r="AF21" s="595" t="b">
        <f>+AF20=AB20</f>
        <v>1</v>
      </c>
      <c r="AG21" s="595" t="b">
        <f>+AG20=AC20</f>
        <v>0</v>
      </c>
    </row>
    <row r="22" spans="4:33" ht="24" customHeight="1">
      <c r="D22" s="76"/>
      <c r="E22" s="166" t="s">
        <v>0</v>
      </c>
      <c r="F22" s="221" t="s">
        <v>26</v>
      </c>
      <c r="G22" s="226">
        <f>+IFERROR(HLOOKUP($A$1,[14]손익!$G$5:$AB$252,4,),)</f>
        <v>10301.799999999999</v>
      </c>
      <c r="H22" s="385">
        <f>+'[9]서부산크라샤(당월)'!$F$61</f>
        <v>10150</v>
      </c>
      <c r="I22" s="229">
        <f t="shared" si="0"/>
        <v>-151.79999999999927</v>
      </c>
      <c r="J22" s="228">
        <f>+IFERROR(HLOOKUP($A$1,[14]손익!$G$5:$AB$252,13,),)</f>
        <v>836</v>
      </c>
      <c r="K22" s="385">
        <f>+'[9]서부산크라샤(당월)'!$I$61</f>
        <v>0</v>
      </c>
      <c r="L22" s="227">
        <f t="shared" si="1"/>
        <v>-836</v>
      </c>
      <c r="M22" s="414">
        <f t="shared" si="9"/>
        <v>11137.8</v>
      </c>
      <c r="N22" s="385">
        <f t="shared" si="9"/>
        <v>10150</v>
      </c>
      <c r="O22" s="415">
        <f t="shared" si="2"/>
        <v>-987.79999999999927</v>
      </c>
      <c r="P22" s="226">
        <f>+IFERROR(HLOOKUP($A$1,[15]손익!$G$5:$AB$252,4,),)</f>
        <v>0</v>
      </c>
      <c r="Q22" s="385">
        <f>+'[9]부산크라샤(당월)'!$F$61</f>
        <v>0</v>
      </c>
      <c r="R22" s="229">
        <f t="shared" si="3"/>
        <v>0</v>
      </c>
      <c r="S22" s="228">
        <f>+IFERROR(HLOOKUP($A$1,[15]손익!$G$5:$AB$252,13,),)</f>
        <v>1801.96</v>
      </c>
      <c r="T22" s="385">
        <f>+'[9]부산크라샤(당월)'!$I$61</f>
        <v>3200</v>
      </c>
      <c r="U22" s="227">
        <f t="shared" si="4"/>
        <v>1398.04</v>
      </c>
      <c r="V22" s="414">
        <f t="shared" si="10"/>
        <v>1801.96</v>
      </c>
      <c r="W22" s="385">
        <f t="shared" si="10"/>
        <v>3200</v>
      </c>
      <c r="X22" s="415">
        <f t="shared" si="5"/>
        <v>1398.04</v>
      </c>
      <c r="Y22" s="227">
        <f>+IFERROR(HLOOKUP($A$1,[16]이송계획!$G$193:$U$216,17,),)</f>
        <v>2466.0139860139861</v>
      </c>
      <c r="Z22" s="385">
        <f>+'[9]부산모래장(당월)'!$R$65</f>
        <v>3472</v>
      </c>
      <c r="AA22" s="227">
        <f t="shared" si="6"/>
        <v>1005.9860139860139</v>
      </c>
      <c r="AB22" s="414">
        <f t="shared" si="11"/>
        <v>15405.773986013985</v>
      </c>
      <c r="AC22" s="385">
        <f t="shared" si="11"/>
        <v>16822</v>
      </c>
      <c r="AD22" s="415">
        <f t="shared" si="7"/>
        <v>1416.2260139860155</v>
      </c>
      <c r="AF22" s="99">
        <f>+AB20-AF20</f>
        <v>0</v>
      </c>
      <c r="AG22" s="99">
        <f>+AC20-AG20</f>
        <v>9.9999888334423304E-6</v>
      </c>
    </row>
    <row r="23" spans="4:33" ht="24" customHeight="1">
      <c r="D23" s="76"/>
      <c r="E23" s="166"/>
      <c r="F23" s="221" t="s">
        <v>27</v>
      </c>
      <c r="G23" s="226">
        <f>+IFERROR(HLOOKUP($A$1,[14]손익!$G$5:$AB$252,5,),)</f>
        <v>0</v>
      </c>
      <c r="H23" s="385">
        <f>+'[9]서부산크라샤(당월)'!$F$62</f>
        <v>864</v>
      </c>
      <c r="I23" s="229">
        <f t="shared" si="0"/>
        <v>864</v>
      </c>
      <c r="J23" s="228">
        <f>+IFERROR(HLOOKUP($A$1,[14]손익!$G$5:$AB$252,14,),)</f>
        <v>0</v>
      </c>
      <c r="K23" s="385">
        <f>+'[9]서부산크라샤(당월)'!$I$62</f>
        <v>0</v>
      </c>
      <c r="L23" s="227">
        <f t="shared" si="1"/>
        <v>0</v>
      </c>
      <c r="M23" s="414">
        <f t="shared" si="9"/>
        <v>0</v>
      </c>
      <c r="N23" s="385">
        <f t="shared" si="9"/>
        <v>864</v>
      </c>
      <c r="O23" s="415">
        <f t="shared" si="2"/>
        <v>864</v>
      </c>
      <c r="P23" s="226">
        <f>+IFERROR(HLOOKUP($A$1,[15]손익!$G$5:$AB$252,5,),)</f>
        <v>0</v>
      </c>
      <c r="Q23" s="385">
        <f>+'[9]부산크라샤(당월)'!$F$62</f>
        <v>0</v>
      </c>
      <c r="R23" s="229">
        <f t="shared" si="3"/>
        <v>0</v>
      </c>
      <c r="S23" s="228">
        <f>+IFERROR(HLOOKUP($A$1,[15]손익!$G$5:$AB$252,14,),)</f>
        <v>0</v>
      </c>
      <c r="T23" s="385">
        <f>+'[9]부산크라샤(당월)'!$I$62</f>
        <v>0</v>
      </c>
      <c r="U23" s="227">
        <f t="shared" si="4"/>
        <v>0</v>
      </c>
      <c r="V23" s="414">
        <f t="shared" si="10"/>
        <v>0</v>
      </c>
      <c r="W23" s="385">
        <f t="shared" si="10"/>
        <v>0</v>
      </c>
      <c r="X23" s="415">
        <f t="shared" si="5"/>
        <v>0</v>
      </c>
      <c r="Y23" s="227">
        <f>+IFERROR(HLOOKUP($A$1,[16]이송계획!$G$193:$U$216,18,),)</f>
        <v>1461.5384615384614</v>
      </c>
      <c r="Z23" s="385">
        <f>+'[9]부산모래장(당월)'!$V$64</f>
        <v>0</v>
      </c>
      <c r="AA23" s="227">
        <f t="shared" si="6"/>
        <v>-1461.5384615384614</v>
      </c>
      <c r="AB23" s="414">
        <f t="shared" si="11"/>
        <v>1461.5384615384614</v>
      </c>
      <c r="AC23" s="385">
        <f t="shared" si="11"/>
        <v>864</v>
      </c>
      <c r="AD23" s="415">
        <f t="shared" si="7"/>
        <v>-597.53846153846143</v>
      </c>
    </row>
    <row r="24" spans="4:33" ht="24" customHeight="1">
      <c r="D24" s="76"/>
      <c r="E24" s="166"/>
      <c r="F24" s="221" t="s">
        <v>28</v>
      </c>
      <c r="G24" s="226">
        <f>+IFERROR(HLOOKUP($A$1,[14]손익!$G$5:$AB$252,6,),)</f>
        <v>0</v>
      </c>
      <c r="H24" s="385">
        <f>+'[9]서부산크라샤(당월)'!$F$63</f>
        <v>0</v>
      </c>
      <c r="I24" s="229">
        <f t="shared" si="0"/>
        <v>0</v>
      </c>
      <c r="J24" s="228">
        <f>+IFERROR(HLOOKUP($A$1,[14]손익!$G$5:$AB$252,15,),)</f>
        <v>0</v>
      </c>
      <c r="K24" s="385">
        <f>+'[9]서부산크라샤(당월)'!$I$63</f>
        <v>0</v>
      </c>
      <c r="L24" s="227">
        <f t="shared" si="1"/>
        <v>0</v>
      </c>
      <c r="M24" s="414">
        <f t="shared" si="9"/>
        <v>0</v>
      </c>
      <c r="N24" s="385">
        <f t="shared" si="9"/>
        <v>0</v>
      </c>
      <c r="O24" s="415">
        <f t="shared" si="2"/>
        <v>0</v>
      </c>
      <c r="P24" s="226">
        <f>+IFERROR(HLOOKUP($A$1,[15]손익!$G$5:$AB$252,6,),)</f>
        <v>0</v>
      </c>
      <c r="Q24" s="385">
        <f>+'[9]부산크라샤(당월)'!$F$63</f>
        <v>0</v>
      </c>
      <c r="R24" s="229">
        <f t="shared" si="3"/>
        <v>0</v>
      </c>
      <c r="S24" s="228">
        <f>+IFERROR(HLOOKUP($A$1,[15]손익!$G$5:$AB$252,15,),)</f>
        <v>0</v>
      </c>
      <c r="T24" s="385">
        <f>+'[9]부산크라샤(당월)'!$I$63</f>
        <v>128</v>
      </c>
      <c r="U24" s="227">
        <f t="shared" si="4"/>
        <v>128</v>
      </c>
      <c r="V24" s="414">
        <f t="shared" si="10"/>
        <v>0</v>
      </c>
      <c r="W24" s="385">
        <f t="shared" si="10"/>
        <v>128</v>
      </c>
      <c r="X24" s="415">
        <f t="shared" si="5"/>
        <v>128</v>
      </c>
      <c r="Y24" s="227">
        <f>+IFERROR(HLOOKUP($A$1,[16]이송계획!$G$193:$U$216,19,),)</f>
        <v>3705.7342657342656</v>
      </c>
      <c r="Z24" s="385">
        <f>+'[9]부산모래장(당월)'!$V$65</f>
        <v>0</v>
      </c>
      <c r="AA24" s="227">
        <f t="shared" si="6"/>
        <v>-3705.7342657342656</v>
      </c>
      <c r="AB24" s="414">
        <f t="shared" si="11"/>
        <v>3705.7342657342656</v>
      </c>
      <c r="AC24" s="385">
        <f t="shared" si="11"/>
        <v>128</v>
      </c>
      <c r="AD24" s="415">
        <f t="shared" si="7"/>
        <v>-3577.7342657342656</v>
      </c>
    </row>
    <row r="25" spans="4:33" ht="24" customHeight="1">
      <c r="D25" s="76"/>
      <c r="E25" s="166"/>
      <c r="F25" s="221" t="s">
        <v>29</v>
      </c>
      <c r="G25" s="226">
        <f>+IFERROR(HLOOKUP($A$1,[14]손익!$G$5:$AB$252,7,),)</f>
        <v>0</v>
      </c>
      <c r="H25" s="385">
        <f>+'[9]서부산크라샤(당월)'!$F$64</f>
        <v>0</v>
      </c>
      <c r="I25" s="229">
        <f t="shared" si="0"/>
        <v>0</v>
      </c>
      <c r="J25" s="228">
        <f>+IFERROR(HLOOKUP($A$1,[14]손익!$G$5:$AB$252,16,),)</f>
        <v>0</v>
      </c>
      <c r="K25" s="385">
        <f>+'[9]서부산크라샤(당월)'!$I$64</f>
        <v>384</v>
      </c>
      <c r="L25" s="227">
        <f t="shared" si="1"/>
        <v>384</v>
      </c>
      <c r="M25" s="414">
        <f t="shared" si="9"/>
        <v>0</v>
      </c>
      <c r="N25" s="385">
        <f t="shared" si="9"/>
        <v>384</v>
      </c>
      <c r="O25" s="415">
        <f t="shared" si="2"/>
        <v>384</v>
      </c>
      <c r="P25" s="226">
        <f>+IFERROR(HLOOKUP($A$1,[15]손익!$G$5:$AB$252,7,),)</f>
        <v>0</v>
      </c>
      <c r="Q25" s="385">
        <f>+'[9]부산크라샤(당월)'!$F$64</f>
        <v>0</v>
      </c>
      <c r="R25" s="229">
        <f t="shared" si="3"/>
        <v>0</v>
      </c>
      <c r="S25" s="228">
        <f>+IFERROR(HLOOKUP($A$1,[15]손익!$G$5:$AB$252,16,),)</f>
        <v>0</v>
      </c>
      <c r="T25" s="385">
        <f>+'[9]부산크라샤(당월)'!$I$64</f>
        <v>0</v>
      </c>
      <c r="U25" s="227">
        <f t="shared" si="4"/>
        <v>0</v>
      </c>
      <c r="V25" s="414">
        <f t="shared" si="10"/>
        <v>0</v>
      </c>
      <c r="W25" s="385">
        <f t="shared" si="10"/>
        <v>0</v>
      </c>
      <c r="X25" s="415">
        <f t="shared" si="5"/>
        <v>0</v>
      </c>
      <c r="Y25" s="227">
        <f>+IFERROR(HLOOKUP($A$1,[16]이송계획!$G$193:$U$216,20,),)</f>
        <v>516.08391608391605</v>
      </c>
      <c r="Z25" s="385">
        <f>+'[9]부산모래장(당월)'!$R$66</f>
        <v>1568</v>
      </c>
      <c r="AA25" s="227">
        <f t="shared" si="6"/>
        <v>1051.9160839160841</v>
      </c>
      <c r="AB25" s="414">
        <f t="shared" si="11"/>
        <v>516.08391608391605</v>
      </c>
      <c r="AC25" s="385">
        <f t="shared" si="11"/>
        <v>1952</v>
      </c>
      <c r="AD25" s="415">
        <f t="shared" si="7"/>
        <v>1435.9160839160841</v>
      </c>
    </row>
    <row r="26" spans="4:33" ht="24" customHeight="1">
      <c r="D26" s="76"/>
      <c r="E26" s="166"/>
      <c r="F26" s="221" t="s">
        <v>30</v>
      </c>
      <c r="G26" s="226">
        <f>+IFERROR(HLOOKUP($A$1,[14]손익!$G$5:$AB$252,8,),)</f>
        <v>0</v>
      </c>
      <c r="H26" s="385">
        <f>+'[9]서부산크라샤(당월)'!$F$65</f>
        <v>0</v>
      </c>
      <c r="I26" s="229">
        <f t="shared" si="0"/>
        <v>0</v>
      </c>
      <c r="J26" s="228">
        <f>+IFERROR(HLOOKUP($A$1,[14]손익!$G$5:$AB$252,17,),)</f>
        <v>0</v>
      </c>
      <c r="K26" s="385">
        <f>+'[9]서부산크라샤(당월)'!$I$65</f>
        <v>0</v>
      </c>
      <c r="L26" s="227">
        <f t="shared" si="1"/>
        <v>0</v>
      </c>
      <c r="M26" s="414">
        <f t="shared" si="9"/>
        <v>0</v>
      </c>
      <c r="N26" s="383">
        <f t="shared" si="9"/>
        <v>0</v>
      </c>
      <c r="O26" s="433">
        <f t="shared" si="2"/>
        <v>0</v>
      </c>
      <c r="P26" s="226">
        <f>+IFERROR(HLOOKUP($A$1,[15]손익!$G$5:$AB$252,8,),)</f>
        <v>0</v>
      </c>
      <c r="Q26" s="385">
        <f>+'[9]부산크라샤(당월)'!$F$65</f>
        <v>0</v>
      </c>
      <c r="R26" s="229">
        <f t="shared" si="3"/>
        <v>0</v>
      </c>
      <c r="S26" s="228">
        <f>+IFERROR(HLOOKUP($A$1,[15]손익!$G$5:$AB$252,17,),)</f>
        <v>0</v>
      </c>
      <c r="T26" s="385">
        <f>+'[9]부산크라샤(당월)'!$I$65</f>
        <v>0</v>
      </c>
      <c r="U26" s="227">
        <f t="shared" si="4"/>
        <v>0</v>
      </c>
      <c r="V26" s="414">
        <f t="shared" si="10"/>
        <v>0</v>
      </c>
      <c r="W26" s="383">
        <f t="shared" si="10"/>
        <v>0</v>
      </c>
      <c r="X26" s="433">
        <f t="shared" si="5"/>
        <v>0</v>
      </c>
      <c r="Y26" s="227">
        <f>+IFERROR(HLOOKUP($A$1,[16]이송계획!$G$193:$U$216,21,),)</f>
        <v>0</v>
      </c>
      <c r="Z26" s="385"/>
      <c r="AA26" s="227">
        <f t="shared" si="6"/>
        <v>0</v>
      </c>
      <c r="AB26" s="414">
        <f t="shared" si="11"/>
        <v>0</v>
      </c>
      <c r="AC26" s="383">
        <f t="shared" si="11"/>
        <v>0</v>
      </c>
      <c r="AD26" s="415">
        <f t="shared" si="7"/>
        <v>0</v>
      </c>
    </row>
    <row r="27" spans="4:33" ht="24" customHeight="1">
      <c r="D27" s="76"/>
      <c r="E27" s="225" t="s">
        <v>132</v>
      </c>
      <c r="F27" s="224" t="s">
        <v>25</v>
      </c>
      <c r="G27" s="192">
        <f>+IFERROR(HLOOKUP($A$1,[14]손익!$G$5:$AB$252,31,),)</f>
        <v>0</v>
      </c>
      <c r="H27" s="386">
        <f t="shared" ref="H27:H32" si="12">IFERROR(H35/H21,)*1000</f>
        <v>12500</v>
      </c>
      <c r="I27" s="193">
        <f t="shared" si="0"/>
        <v>12500</v>
      </c>
      <c r="J27" s="223">
        <f>+IFERROR(HLOOKUP($A$1,[14]손익!$G$5:$AB$252,40,),)</f>
        <v>0</v>
      </c>
      <c r="K27" s="386">
        <f t="shared" ref="K27:K32" si="13">IFERROR(K35/K21,)*1000</f>
        <v>0</v>
      </c>
      <c r="L27" s="205">
        <f t="shared" si="1"/>
        <v>0</v>
      </c>
      <c r="M27" s="428">
        <f>+IFERROR(HLOOKUP($A$1,[14]손익!$G$5:$AB$252,48,),)</f>
        <v>0</v>
      </c>
      <c r="N27" s="424">
        <f t="shared" ref="N27:N32" si="14">IFERROR(N35/N21,)*1000</f>
        <v>12500</v>
      </c>
      <c r="O27" s="434">
        <f t="shared" si="2"/>
        <v>12500</v>
      </c>
      <c r="P27" s="192">
        <f>+IFERROR(HLOOKUP($A$1,[15]손익!$G$5:$AB$252,30,),)</f>
        <v>16000</v>
      </c>
      <c r="Q27" s="386">
        <f t="shared" ref="Q27:Q32" si="15">IFERROR(Q35/Q21,)*1000</f>
        <v>17500</v>
      </c>
      <c r="R27" s="193">
        <f t="shared" si="3"/>
        <v>1500</v>
      </c>
      <c r="S27" s="223">
        <f>+IFERROR(HLOOKUP($A$1,[15]손익!$G$5:$AB$252,39,),)</f>
        <v>23000</v>
      </c>
      <c r="T27" s="386">
        <f t="shared" ref="T27:T32" si="16">IFERROR(T35/T21,)*1000</f>
        <v>23500</v>
      </c>
      <c r="U27" s="205">
        <f t="shared" si="4"/>
        <v>500</v>
      </c>
      <c r="V27" s="428">
        <f>+IFERROR(HLOOKUP($A$1,[15]손익!$G$5:$AB$252,48,),)</f>
        <v>18865.737806105593</v>
      </c>
      <c r="W27" s="424">
        <f t="shared" ref="W27:W32" si="17">IFERROR(W35/W21,)*1000</f>
        <v>19973.314313548119</v>
      </c>
      <c r="X27" s="434">
        <f t="shared" si="5"/>
        <v>1107.5765074425253</v>
      </c>
      <c r="Y27" s="205">
        <f t="shared" ref="Y27:Z32" si="18">IFERROR(Y35/Y21,)*1000</f>
        <v>32399.709087337855</v>
      </c>
      <c r="Z27" s="386">
        <f t="shared" si="18"/>
        <v>32000</v>
      </c>
      <c r="AA27" s="205">
        <f t="shared" si="6"/>
        <v>-399.70908733785473</v>
      </c>
      <c r="AB27" s="416">
        <f t="shared" ref="AB27:AB32" si="19">+AB35/AB21*1000</f>
        <v>21397.690618485944</v>
      </c>
      <c r="AC27" s="386">
        <f t="shared" ref="AC27:AC32" si="20">IFERROR(AC35/AC21,)*1000</f>
        <v>21946.814712741147</v>
      </c>
      <c r="AD27" s="417">
        <f t="shared" si="7"/>
        <v>549.12409425520309</v>
      </c>
    </row>
    <row r="28" spans="4:33" ht="24" customHeight="1">
      <c r="D28" s="76"/>
      <c r="E28" s="166" t="s">
        <v>131</v>
      </c>
      <c r="F28" s="221" t="s">
        <v>26</v>
      </c>
      <c r="G28" s="190">
        <f>+IFERROR(HLOOKUP($A$1,[14]손익!$G$5:$AB$252,32,),)</f>
        <v>16000</v>
      </c>
      <c r="H28" s="95">
        <f t="shared" si="12"/>
        <v>17000</v>
      </c>
      <c r="I28" s="191">
        <f t="shared" si="0"/>
        <v>1000</v>
      </c>
      <c r="J28" s="220">
        <f>+IFERROR(HLOOKUP($A$1,[14]손익!$G$5:$AB$252,41,),)</f>
        <v>10500</v>
      </c>
      <c r="K28" s="95">
        <f t="shared" si="13"/>
        <v>0</v>
      </c>
      <c r="L28" s="196">
        <f t="shared" si="1"/>
        <v>-10500</v>
      </c>
      <c r="M28" s="429">
        <f>+IFERROR(HLOOKUP($A$1,[14]손익!$G$5:$AB$252,49,),)</f>
        <v>0</v>
      </c>
      <c r="N28" s="425">
        <f t="shared" si="14"/>
        <v>17000</v>
      </c>
      <c r="O28" s="435">
        <f t="shared" si="2"/>
        <v>17000</v>
      </c>
      <c r="P28" s="190">
        <f>+IFERROR(HLOOKUP($A$1,[15]손익!$G$5:$AB$252,31,),)</f>
        <v>0</v>
      </c>
      <c r="Q28" s="95">
        <f t="shared" si="15"/>
        <v>0</v>
      </c>
      <c r="R28" s="191">
        <f t="shared" si="3"/>
        <v>0</v>
      </c>
      <c r="S28" s="220">
        <f>+IFERROR(HLOOKUP($A$1,[15]손익!$G$5:$AB$252,40,),)</f>
        <v>19000</v>
      </c>
      <c r="T28" s="95">
        <f t="shared" si="16"/>
        <v>20000</v>
      </c>
      <c r="U28" s="196">
        <f t="shared" si="4"/>
        <v>1000</v>
      </c>
      <c r="V28" s="429">
        <f>+IFERROR(HLOOKUP($A$1,[15]손익!$G$5:$AB$252,49,),)</f>
        <v>19000</v>
      </c>
      <c r="W28" s="425">
        <f t="shared" si="17"/>
        <v>20000</v>
      </c>
      <c r="X28" s="435">
        <f t="shared" si="5"/>
        <v>1000</v>
      </c>
      <c r="Y28" s="196">
        <f t="shared" si="18"/>
        <v>28000</v>
      </c>
      <c r="Z28" s="95">
        <f t="shared" si="18"/>
        <v>28000</v>
      </c>
      <c r="AA28" s="196">
        <f t="shared" si="6"/>
        <v>0</v>
      </c>
      <c r="AB28" s="418">
        <f t="shared" si="19"/>
        <v>17973.289226478741</v>
      </c>
      <c r="AC28" s="95">
        <f t="shared" si="20"/>
        <v>19841.041493282606</v>
      </c>
      <c r="AD28" s="419">
        <f t="shared" si="7"/>
        <v>1867.7522668038655</v>
      </c>
    </row>
    <row r="29" spans="4:33" ht="24" customHeight="1">
      <c r="D29" s="76"/>
      <c r="E29" s="166"/>
      <c r="F29" s="221" t="s">
        <v>27</v>
      </c>
      <c r="G29" s="190">
        <f>+IFERROR(HLOOKUP($A$1,[14]손익!$G$5:$AB$252,33,),)</f>
        <v>0</v>
      </c>
      <c r="H29" s="95">
        <f t="shared" si="12"/>
        <v>11500</v>
      </c>
      <c r="I29" s="191">
        <f t="shared" si="0"/>
        <v>11500</v>
      </c>
      <c r="J29" s="220">
        <f>+IFERROR(HLOOKUP($A$1,[14]손익!$G$5:$AB$252,42,),)</f>
        <v>0</v>
      </c>
      <c r="K29" s="95">
        <f t="shared" si="13"/>
        <v>0</v>
      </c>
      <c r="L29" s="196">
        <f t="shared" si="1"/>
        <v>0</v>
      </c>
      <c r="M29" s="430">
        <f>+IFERROR(HLOOKUP($A$1,[14]손익!$G$5:$AB$252,50,),)</f>
        <v>0</v>
      </c>
      <c r="N29" s="426">
        <f t="shared" si="14"/>
        <v>11500</v>
      </c>
      <c r="O29" s="435">
        <f t="shared" si="2"/>
        <v>11500</v>
      </c>
      <c r="P29" s="190">
        <f>+IFERROR(HLOOKUP($A$1,[15]손익!$G$5:$AB$252,32,),)</f>
        <v>0</v>
      </c>
      <c r="Q29" s="95">
        <f t="shared" si="15"/>
        <v>0</v>
      </c>
      <c r="R29" s="191">
        <f t="shared" si="3"/>
        <v>0</v>
      </c>
      <c r="S29" s="220">
        <f>+IFERROR(HLOOKUP($A$1,[15]손익!$G$5:$AB$252,41,),)</f>
        <v>0</v>
      </c>
      <c r="T29" s="95">
        <f t="shared" si="16"/>
        <v>0</v>
      </c>
      <c r="U29" s="196">
        <f t="shared" si="4"/>
        <v>0</v>
      </c>
      <c r="V29" s="430">
        <f>+IFERROR(HLOOKUP($A$1,[15]손익!$G$5:$AB$252,50,),)</f>
        <v>0</v>
      </c>
      <c r="W29" s="426">
        <f t="shared" si="17"/>
        <v>0</v>
      </c>
      <c r="X29" s="435">
        <f t="shared" si="5"/>
        <v>0</v>
      </c>
      <c r="Y29" s="196">
        <f t="shared" si="18"/>
        <v>27500</v>
      </c>
      <c r="Z29" s="95">
        <f t="shared" si="18"/>
        <v>0</v>
      </c>
      <c r="AA29" s="196">
        <f t="shared" si="6"/>
        <v>-27500</v>
      </c>
      <c r="AB29" s="418">
        <f t="shared" si="19"/>
        <v>27500</v>
      </c>
      <c r="AC29" s="95">
        <f t="shared" si="20"/>
        <v>61407.407407407401</v>
      </c>
      <c r="AD29" s="419">
        <f t="shared" si="7"/>
        <v>33907.407407407401</v>
      </c>
    </row>
    <row r="30" spans="4:33" ht="24" customHeight="1">
      <c r="D30" s="76"/>
      <c r="E30" s="166"/>
      <c r="F30" s="221" t="s">
        <v>28</v>
      </c>
      <c r="G30" s="190">
        <f>+IFERROR(HLOOKUP($A$1,[14]손익!$G$5:$AB$252,34,),)</f>
        <v>0</v>
      </c>
      <c r="H30" s="95">
        <f t="shared" si="12"/>
        <v>0</v>
      </c>
      <c r="I30" s="191">
        <f t="shared" si="0"/>
        <v>0</v>
      </c>
      <c r="J30" s="220">
        <f>+IFERROR(HLOOKUP($A$1,[14]손익!$G$5:$AB$252,43,),)</f>
        <v>0</v>
      </c>
      <c r="K30" s="95">
        <f t="shared" si="13"/>
        <v>0</v>
      </c>
      <c r="L30" s="196">
        <f t="shared" si="1"/>
        <v>0</v>
      </c>
      <c r="M30" s="430">
        <f>+IFERROR(HLOOKUP($A$1,[14]손익!$G$5:$AB$252,51,),)</f>
        <v>15587.171613783692</v>
      </c>
      <c r="N30" s="55">
        <f t="shared" si="14"/>
        <v>0</v>
      </c>
      <c r="O30" s="436">
        <f t="shared" si="2"/>
        <v>-15587.171613783692</v>
      </c>
      <c r="P30" s="190">
        <f>+IFERROR(HLOOKUP($A$1,[15]손익!$G$5:$AB$252,33,),)</f>
        <v>0</v>
      </c>
      <c r="Q30" s="95">
        <f t="shared" si="15"/>
        <v>0</v>
      </c>
      <c r="R30" s="191">
        <f t="shared" si="3"/>
        <v>0</v>
      </c>
      <c r="S30" s="220">
        <f>+IFERROR(HLOOKUP($A$1,[15]손익!$G$5:$AB$252,42,),)</f>
        <v>0</v>
      </c>
      <c r="T30" s="95">
        <f t="shared" si="16"/>
        <v>19000</v>
      </c>
      <c r="U30" s="196">
        <f t="shared" si="4"/>
        <v>19000</v>
      </c>
      <c r="V30" s="430">
        <f>+IFERROR(HLOOKUP($A$1,[15]손익!$G$5:$AB$252,51,),)</f>
        <v>0</v>
      </c>
      <c r="W30" s="55">
        <f t="shared" si="17"/>
        <v>19000</v>
      </c>
      <c r="X30" s="436">
        <f t="shared" si="5"/>
        <v>19000</v>
      </c>
      <c r="Y30" s="196">
        <f t="shared" si="18"/>
        <v>31000</v>
      </c>
      <c r="Z30" s="95">
        <f t="shared" si="18"/>
        <v>0</v>
      </c>
      <c r="AA30" s="196">
        <f t="shared" si="6"/>
        <v>-31000</v>
      </c>
      <c r="AB30" s="418">
        <f t="shared" si="19"/>
        <v>31000</v>
      </c>
      <c r="AC30" s="95">
        <f t="shared" si="20"/>
        <v>627437.5</v>
      </c>
      <c r="AD30" s="419">
        <f t="shared" si="7"/>
        <v>596437.5</v>
      </c>
    </row>
    <row r="31" spans="4:33" ht="24" customHeight="1">
      <c r="D31" s="76"/>
      <c r="E31" s="166"/>
      <c r="F31" s="221" t="s">
        <v>29</v>
      </c>
      <c r="G31" s="190">
        <f>+IFERROR(HLOOKUP($A$1,[14]손익!$G$5:$AB$252,35,),)</f>
        <v>0</v>
      </c>
      <c r="H31" s="95">
        <f t="shared" si="12"/>
        <v>0</v>
      </c>
      <c r="I31" s="191">
        <f t="shared" si="0"/>
        <v>0</v>
      </c>
      <c r="J31" s="220">
        <f>+IFERROR(HLOOKUP($A$1,[14]손익!$G$5:$AB$252,44,),)</f>
        <v>0</v>
      </c>
      <c r="K31" s="95">
        <f t="shared" si="13"/>
        <v>9000</v>
      </c>
      <c r="L31" s="196">
        <f t="shared" si="1"/>
        <v>9000</v>
      </c>
      <c r="M31" s="430">
        <f>+IFERROR(HLOOKUP($A$1,[14]손익!$G$5:$AB$252,52,),)</f>
        <v>0</v>
      </c>
      <c r="N31" s="55">
        <f t="shared" si="14"/>
        <v>9000</v>
      </c>
      <c r="O31" s="436">
        <f t="shared" si="2"/>
        <v>9000</v>
      </c>
      <c r="P31" s="190">
        <f>+IFERROR(HLOOKUP($A$1,[15]손익!$G$5:$AB$252,34,),)</f>
        <v>0</v>
      </c>
      <c r="Q31" s="95">
        <f t="shared" si="15"/>
        <v>0</v>
      </c>
      <c r="R31" s="191">
        <f t="shared" si="3"/>
        <v>0</v>
      </c>
      <c r="S31" s="220">
        <f>+IFERROR(HLOOKUP($A$1,[15]손익!$G$5:$AB$252,43,),)</f>
        <v>0</v>
      </c>
      <c r="T31" s="95">
        <f t="shared" si="16"/>
        <v>0</v>
      </c>
      <c r="U31" s="196">
        <f t="shared" si="4"/>
        <v>0</v>
      </c>
      <c r="V31" s="430">
        <f>+IFERROR(HLOOKUP($A$1,[15]손익!$G$5:$AB$252,52,),)</f>
        <v>0</v>
      </c>
      <c r="W31" s="55">
        <f t="shared" si="17"/>
        <v>0</v>
      </c>
      <c r="X31" s="436">
        <f t="shared" si="5"/>
        <v>0</v>
      </c>
      <c r="Y31" s="196">
        <f t="shared" si="18"/>
        <v>34500</v>
      </c>
      <c r="Z31" s="95">
        <f t="shared" si="18"/>
        <v>4489.7959183673465</v>
      </c>
      <c r="AA31" s="196">
        <f t="shared" si="6"/>
        <v>-30010.204081632655</v>
      </c>
      <c r="AB31" s="418">
        <f t="shared" si="19"/>
        <v>34500</v>
      </c>
      <c r="AC31" s="95">
        <f t="shared" si="20"/>
        <v>5377.0491803278683</v>
      </c>
      <c r="AD31" s="419">
        <f t="shared" si="7"/>
        <v>-29122.950819672133</v>
      </c>
    </row>
    <row r="32" spans="4:33" ht="24" customHeight="1" thickBot="1">
      <c r="D32" s="76"/>
      <c r="E32" s="218"/>
      <c r="F32" s="217" t="s">
        <v>30</v>
      </c>
      <c r="G32" s="213">
        <f>+IFERROR(HLOOKUP($A$1,[14]손익!$G$5:$AB$252,36,),)</f>
        <v>0</v>
      </c>
      <c r="H32" s="387">
        <f t="shared" si="12"/>
        <v>0</v>
      </c>
      <c r="I32" s="216">
        <f t="shared" si="0"/>
        <v>0</v>
      </c>
      <c r="J32" s="215">
        <f>+IFERROR(HLOOKUP($A$1,[14]손익!$G$5:$AB$252,45,),)</f>
        <v>0</v>
      </c>
      <c r="K32" s="387">
        <f t="shared" si="13"/>
        <v>0</v>
      </c>
      <c r="L32" s="214">
        <f t="shared" si="1"/>
        <v>0</v>
      </c>
      <c r="M32" s="431">
        <f>+IFERROR(HLOOKUP($A$1,[14]손익!$G$5:$AB$252,53,),)</f>
        <v>0</v>
      </c>
      <c r="N32" s="427">
        <f t="shared" si="14"/>
        <v>0</v>
      </c>
      <c r="O32" s="437">
        <f t="shared" si="2"/>
        <v>0</v>
      </c>
      <c r="P32" s="213">
        <f>+IFERROR(HLOOKUP($A$1,[15]손익!$G$5:$AB$252,35,),)</f>
        <v>0</v>
      </c>
      <c r="Q32" s="387">
        <f t="shared" si="15"/>
        <v>0</v>
      </c>
      <c r="R32" s="216">
        <f t="shared" si="3"/>
        <v>0</v>
      </c>
      <c r="S32" s="215">
        <f>+IFERROR(HLOOKUP($A$1,[15]손익!$G$5:$AB$252,44,),)</f>
        <v>0</v>
      </c>
      <c r="T32" s="387">
        <f t="shared" si="16"/>
        <v>0</v>
      </c>
      <c r="U32" s="214">
        <f t="shared" si="4"/>
        <v>0</v>
      </c>
      <c r="V32" s="431">
        <f>+IFERROR(HLOOKUP($A$1,[15]손익!$G$5:$AB$252,53,),)</f>
        <v>0</v>
      </c>
      <c r="W32" s="427">
        <f t="shared" si="17"/>
        <v>0</v>
      </c>
      <c r="X32" s="437">
        <f t="shared" si="5"/>
        <v>0</v>
      </c>
      <c r="Y32" s="214">
        <f t="shared" si="18"/>
        <v>0</v>
      </c>
      <c r="Z32" s="387">
        <f t="shared" si="18"/>
        <v>0</v>
      </c>
      <c r="AA32" s="214">
        <f t="shared" si="6"/>
        <v>0</v>
      </c>
      <c r="AB32" s="420" t="e">
        <f t="shared" si="19"/>
        <v>#DIV/0!</v>
      </c>
      <c r="AC32" s="421">
        <f t="shared" si="20"/>
        <v>0</v>
      </c>
      <c r="AD32" s="422" t="e">
        <f t="shared" si="7"/>
        <v>#DIV/0!</v>
      </c>
    </row>
    <row r="33" spans="5:30" ht="21.95" customHeight="1" thickTop="1">
      <c r="E33" s="6" t="s">
        <v>130</v>
      </c>
      <c r="G33" s="211"/>
      <c r="H33" s="211"/>
      <c r="I33" s="211"/>
      <c r="J33" s="76"/>
      <c r="P33" s="211"/>
      <c r="Q33" s="211"/>
      <c r="R33" s="211"/>
      <c r="S33" s="76"/>
      <c r="Y33" s="76"/>
      <c r="AB33" s="76"/>
    </row>
    <row r="34" spans="5:30" ht="21.95" customHeight="1">
      <c r="J34" s="76"/>
      <c r="S34" s="76"/>
      <c r="Y34" s="76"/>
      <c r="Z34" s="6" t="s">
        <v>164</v>
      </c>
      <c r="AB34" s="76"/>
    </row>
    <row r="35" spans="5:30" ht="21.95" customHeight="1">
      <c r="E35" s="26" t="s">
        <v>132</v>
      </c>
      <c r="F35" s="432" t="s">
        <v>25</v>
      </c>
      <c r="G35" s="6">
        <f>+IFERROR(HLOOKUP($A$1,[14]손익!$G$5:$AB$252,59,),)</f>
        <v>0</v>
      </c>
      <c r="H35" s="6">
        <f>+IFERROR(VLOOKUP($F35,'[17]서부산(손익)'!$L$16:$R$29,4,),)/1000</f>
        <v>10800</v>
      </c>
      <c r="I35" s="6">
        <f t="shared" ref="I35:I41" si="21">+H35-G35</f>
        <v>10800</v>
      </c>
      <c r="J35" s="76">
        <f>+IFERROR(HLOOKUP($A$1,[14]손익!$G$5:$AB$252,68,),)</f>
        <v>0</v>
      </c>
      <c r="K35" s="6">
        <f>+IFERROR(VLOOKUP($F35,'[17]서부산(손익)'!$L$16:$R$29,3,),)/1000</f>
        <v>0</v>
      </c>
      <c r="L35" s="6">
        <f>+K35-J35</f>
        <v>0</v>
      </c>
      <c r="M35" s="6">
        <f>SUM(G35,J35)</f>
        <v>0</v>
      </c>
      <c r="N35" s="6">
        <f t="shared" ref="N35:N40" si="22">SUM(H35,K35)</f>
        <v>10800</v>
      </c>
      <c r="O35" s="6">
        <f t="shared" ref="O35:O41" si="23">+N35-M35</f>
        <v>10800</v>
      </c>
      <c r="P35" s="6">
        <f>+IFERROR(HLOOKUP($A$1,[15]손익!$G$5:$AB$252,57,),)</f>
        <v>140370.47089883956</v>
      </c>
      <c r="Q35" s="6">
        <f>+IFERROR(VLOOKUP($F35,'[17]부산크라샤(손익)'!$L$16:$R$29,3,),)/1000</f>
        <v>147822.5</v>
      </c>
      <c r="R35" s="6">
        <f t="shared" ref="R35:R41" si="24">+Q35-P35</f>
        <v>7452.0291011604422</v>
      </c>
      <c r="S35" s="76">
        <f>+IFERROR(HLOOKUP($A$1,[15]손익!$G$5:$AB$252,66,),)</f>
        <v>139869.18596871532</v>
      </c>
      <c r="T35" s="6">
        <f>+IFERROR(VLOOKUP($F35,'[17]부산크라샤(손익)'!$L$16:$R$29,4,),)/1000</f>
        <v>139214</v>
      </c>
      <c r="U35" s="6">
        <f>+T35-S35</f>
        <v>-655.18596871531918</v>
      </c>
      <c r="V35" s="6">
        <f>SUM(P35,S35)</f>
        <v>280239.65686755488</v>
      </c>
      <c r="W35" s="6">
        <f t="shared" ref="W35:W41" si="25">SUM(Q35,T35)</f>
        <v>287036.5</v>
      </c>
      <c r="X35" s="6">
        <f t="shared" ref="X35:X41" si="26">+W35-V35</f>
        <v>6796.843132445123</v>
      </c>
      <c r="Y35" s="438">
        <f>+IFERROR(HLOOKUP($A$1,[16]이송계획!$G$70:$W$100,16,),)+IFERROR(HLOOKUP($A$1,[16]이송계획!$G$70:$W$100,23,),)</f>
        <v>110759.28584083216</v>
      </c>
      <c r="Z35" s="6">
        <f>+'[9]부산모래장(당월)'!R76</f>
        <v>116256</v>
      </c>
      <c r="AB35" s="76">
        <f t="shared" ref="AB35:AC41" si="27">+M35+V35+Y35</f>
        <v>390998.94270838704</v>
      </c>
      <c r="AC35" s="76">
        <f t="shared" si="27"/>
        <v>414092.5</v>
      </c>
      <c r="AD35" s="6">
        <f t="shared" ref="AD35:AD41" si="28">+AC35-AB35</f>
        <v>23093.55729161296</v>
      </c>
    </row>
    <row r="36" spans="5:30" ht="21.95" customHeight="1">
      <c r="E36" s="26" t="s">
        <v>77</v>
      </c>
      <c r="F36" s="432" t="s">
        <v>26</v>
      </c>
      <c r="G36" s="6">
        <f>+IFERROR(HLOOKUP($A$1,[14]손익!$G$5:$AB$252,60,),)</f>
        <v>164828.79999999999</v>
      </c>
      <c r="H36" s="6">
        <f>+IFERROR(VLOOKUP($F36,'[17]서부산(손익)'!$L$16:$R$29,4,),)/1000</f>
        <v>172550</v>
      </c>
      <c r="I36" s="6">
        <f t="shared" si="21"/>
        <v>7721.2000000000116</v>
      </c>
      <c r="J36" s="76">
        <f>+IFERROR(HLOOKUP($A$1,[14]손익!$G$5:$AB$252,69,),)</f>
        <v>8778</v>
      </c>
      <c r="K36" s="6">
        <f>+IFERROR(VLOOKUP($F36,'[17]서부산(손익)'!$L$16:$R$29,3,),)/1000</f>
        <v>0</v>
      </c>
      <c r="L36" s="6">
        <f t="shared" ref="L36:L41" si="29">+K36-J36</f>
        <v>-8778</v>
      </c>
      <c r="M36" s="6">
        <f t="shared" ref="M36:N41" si="30">SUM(G36,J36)</f>
        <v>173606.8</v>
      </c>
      <c r="N36" s="6">
        <f t="shared" si="22"/>
        <v>172550</v>
      </c>
      <c r="O36" s="6">
        <f t="shared" si="23"/>
        <v>-1056.7999999999884</v>
      </c>
      <c r="P36" s="6">
        <f>+IFERROR(HLOOKUP($A$1,[15]손익!$G$5:$AB$252,58,),)</f>
        <v>0</v>
      </c>
      <c r="Q36" s="6">
        <f>+IFERROR(VLOOKUP($F36,'[17]부산크라샤(손익)'!$L$16:$R$29,3,),)/1000</f>
        <v>0</v>
      </c>
      <c r="R36" s="6">
        <f t="shared" si="24"/>
        <v>0</v>
      </c>
      <c r="S36" s="76">
        <f>+IFERROR(HLOOKUP($A$1,[15]손익!$G$5:$AB$252,67,),)</f>
        <v>34237.24</v>
      </c>
      <c r="T36" s="6">
        <f>+IFERROR(VLOOKUP($F36,'[17]부산크라샤(손익)'!$L$16:$R$29,4,),)/1000</f>
        <v>64000</v>
      </c>
      <c r="U36" s="6">
        <f t="shared" ref="U36:U41" si="31">+T36-S36</f>
        <v>29762.760000000002</v>
      </c>
      <c r="V36" s="6">
        <f t="shared" ref="V36:V41" si="32">SUM(P36,S36)</f>
        <v>34237.24</v>
      </c>
      <c r="W36" s="6">
        <f t="shared" si="25"/>
        <v>64000</v>
      </c>
      <c r="X36" s="6">
        <f>+W36-V36</f>
        <v>29762.760000000002</v>
      </c>
      <c r="Y36" s="438">
        <f>+IFERROR(HLOOKUP($A$1,[16]이송계획!$G$70:$W$100,17,),)+IFERROR(HLOOKUP($A$1,[16]이송계획!$G$70:$W$100,24,),)</f>
        <v>69048.391608391612</v>
      </c>
      <c r="Z36" s="6">
        <f>+'[9]부산모래장(당월)'!R77</f>
        <v>97216</v>
      </c>
      <c r="AB36" s="6">
        <f t="shared" si="27"/>
        <v>276892.43160839158</v>
      </c>
      <c r="AC36" s="6">
        <f t="shared" si="27"/>
        <v>333766</v>
      </c>
      <c r="AD36" s="6">
        <f t="shared" si="28"/>
        <v>56873.568391608424</v>
      </c>
    </row>
    <row r="37" spans="5:30" ht="21.95" customHeight="1">
      <c r="F37" s="432" t="s">
        <v>27</v>
      </c>
      <c r="G37" s="6">
        <f>+IFERROR(HLOOKUP($A$1,[14]손익!$G$5:$AB$252,61,),)</f>
        <v>0</v>
      </c>
      <c r="H37" s="6">
        <f>+IFERROR(VLOOKUP($F37,'[17]서부산(손익)'!$L$16:$R$29,4,),)/1000</f>
        <v>9936</v>
      </c>
      <c r="I37" s="6">
        <f t="shared" si="21"/>
        <v>9936</v>
      </c>
      <c r="J37" s="76">
        <f>+IFERROR(HLOOKUP($A$1,[14]손익!$G$5:$AB$252,70,),)</f>
        <v>0</v>
      </c>
      <c r="K37" s="6">
        <f>+IFERROR(VLOOKUP($F37,'[17]서부산(손익)'!$L$16:$R$29,3,),)/1000</f>
        <v>0</v>
      </c>
      <c r="L37" s="6">
        <f t="shared" si="29"/>
        <v>0</v>
      </c>
      <c r="M37" s="6">
        <f t="shared" si="30"/>
        <v>0</v>
      </c>
      <c r="N37" s="6">
        <f t="shared" si="22"/>
        <v>9936</v>
      </c>
      <c r="O37" s="6">
        <f t="shared" si="23"/>
        <v>9936</v>
      </c>
      <c r="P37" s="6">
        <f>+IFERROR(HLOOKUP($A$1,[15]손익!$G$5:$AB$252,59,),)</f>
        <v>0</v>
      </c>
      <c r="Q37" s="6">
        <f>+IFERROR(VLOOKUP($F37,'[17]부산크라샤(손익)'!$L$16:$R$29,3,),)/1000</f>
        <v>0</v>
      </c>
      <c r="R37" s="6">
        <f t="shared" si="24"/>
        <v>0</v>
      </c>
      <c r="S37" s="76">
        <f>+IFERROR(HLOOKUP($A$1,[15]손익!$G$5:$AB$252,68,),)</f>
        <v>0</v>
      </c>
      <c r="T37" s="6">
        <f>+IFERROR(VLOOKUP($F37,'[17]부산크라샤(손익)'!$L$16:$R$29,4,),)/1000</f>
        <v>0</v>
      </c>
      <c r="U37" s="6">
        <f t="shared" si="31"/>
        <v>0</v>
      </c>
      <c r="V37" s="6">
        <f t="shared" si="32"/>
        <v>0</v>
      </c>
      <c r="W37" s="6">
        <f t="shared" si="25"/>
        <v>0</v>
      </c>
      <c r="X37" s="6">
        <f t="shared" si="26"/>
        <v>0</v>
      </c>
      <c r="Y37" s="438">
        <f>+IFERROR(HLOOKUP($A$1,[16]이송계획!$G$70:$W$100,18,),)+IFERROR(HLOOKUP($A$1,[16]이송계획!$G$70:$W$100,25,),)</f>
        <v>40192.307692307688</v>
      </c>
      <c r="Z37" s="6">
        <f>+'[9]부산모래장(당월)'!R78</f>
        <v>43120</v>
      </c>
      <c r="AB37" s="6">
        <f t="shared" si="27"/>
        <v>40192.307692307688</v>
      </c>
      <c r="AC37" s="6">
        <f t="shared" si="27"/>
        <v>53056</v>
      </c>
      <c r="AD37" s="6">
        <f t="shared" si="28"/>
        <v>12863.692307692312</v>
      </c>
    </row>
    <row r="38" spans="5:30" ht="21.95" customHeight="1">
      <c r="F38" s="432" t="s">
        <v>28</v>
      </c>
      <c r="G38" s="6">
        <f>+IFERROR(HLOOKUP($A$1,[14]손익!$G$5:$AB$252,62,),)</f>
        <v>0</v>
      </c>
      <c r="H38" s="6">
        <f>+IFERROR(VLOOKUP($F38,'[17]서부산(손익)'!$L$16:$R$29,4,),)/1000</f>
        <v>0</v>
      </c>
      <c r="I38" s="6">
        <f t="shared" si="21"/>
        <v>0</v>
      </c>
      <c r="J38" s="76">
        <f>+IFERROR(HLOOKUP($A$1,[14]손익!$G$5:$AB$252,71,),)</f>
        <v>0</v>
      </c>
      <c r="K38" s="6">
        <f>+IFERROR(VLOOKUP($F38,'[17]서부산(손익)'!$L$16:$R$29,3,),)/1000</f>
        <v>0</v>
      </c>
      <c r="L38" s="6">
        <f t="shared" si="29"/>
        <v>0</v>
      </c>
      <c r="M38" s="6">
        <f t="shared" si="30"/>
        <v>0</v>
      </c>
      <c r="N38" s="6">
        <f t="shared" si="22"/>
        <v>0</v>
      </c>
      <c r="O38" s="6">
        <f t="shared" si="23"/>
        <v>0</v>
      </c>
      <c r="P38" s="6">
        <f>+IFERROR(HLOOKUP($A$1,[15]손익!$G$5:$AB$252,60,),)</f>
        <v>0</v>
      </c>
      <c r="Q38" s="6">
        <f>+IFERROR(VLOOKUP($F38,'[17]부산크라샤(손익)'!$L$16:$R$29,3,),)/1000</f>
        <v>0</v>
      </c>
      <c r="R38" s="6">
        <f t="shared" si="24"/>
        <v>0</v>
      </c>
      <c r="S38" s="76">
        <f>+IFERROR(HLOOKUP($A$1,[15]손익!$G$5:$AB$252,69,),)</f>
        <v>0</v>
      </c>
      <c r="T38" s="6">
        <f>+IFERROR(VLOOKUP($F38,'[17]부산크라샤(손익)'!$L$16:$R$29,4,),)/1000</f>
        <v>2432</v>
      </c>
      <c r="U38" s="6">
        <f t="shared" si="31"/>
        <v>2432</v>
      </c>
      <c r="V38" s="6">
        <f t="shared" si="32"/>
        <v>0</v>
      </c>
      <c r="W38" s="6">
        <f t="shared" si="25"/>
        <v>2432</v>
      </c>
      <c r="X38" s="6">
        <f t="shared" si="26"/>
        <v>2432</v>
      </c>
      <c r="Y38" s="438">
        <f>+IFERROR(HLOOKUP($A$1,[16]이송계획!$G$70:$W$100,19,),)+IFERROR(HLOOKUP($A$1,[16]이송계획!$G$70:$W$100,26,),)</f>
        <v>114877.76223776223</v>
      </c>
      <c r="Z38" s="6">
        <f>+'[9]부산모래장(당월)'!R79</f>
        <v>77880</v>
      </c>
      <c r="AB38" s="6">
        <f t="shared" si="27"/>
        <v>114877.76223776223</v>
      </c>
      <c r="AC38" s="6">
        <f t="shared" si="27"/>
        <v>80312</v>
      </c>
      <c r="AD38" s="6">
        <f t="shared" si="28"/>
        <v>-34565.762237762232</v>
      </c>
    </row>
    <row r="39" spans="5:30" ht="21.95" customHeight="1">
      <c r="F39" s="432" t="s">
        <v>29</v>
      </c>
      <c r="G39" s="6">
        <f>+IFERROR(HLOOKUP($A$1,[14]손익!$G$5:$AB$252,63,),)</f>
        <v>0</v>
      </c>
      <c r="H39" s="6">
        <f>+IFERROR(VLOOKUP($F39,'[17]서부산(손익)'!$L$16:$R$29,4,),)/1000</f>
        <v>0</v>
      </c>
      <c r="I39" s="6">
        <f t="shared" si="21"/>
        <v>0</v>
      </c>
      <c r="J39" s="76">
        <f>+IFERROR(HLOOKUP($A$1,[14]손익!$G$5:$AB$252,72,),)</f>
        <v>0</v>
      </c>
      <c r="K39" s="6">
        <f>+IFERROR(VLOOKUP($F39,'[17]서부산(손익)'!$L$16:$R$29,3,),)/1000</f>
        <v>3456</v>
      </c>
      <c r="L39" s="6">
        <f t="shared" si="29"/>
        <v>3456</v>
      </c>
      <c r="M39" s="6">
        <f t="shared" si="30"/>
        <v>0</v>
      </c>
      <c r="N39" s="6">
        <f t="shared" si="22"/>
        <v>3456</v>
      </c>
      <c r="O39" s="6">
        <f t="shared" si="23"/>
        <v>3456</v>
      </c>
      <c r="P39" s="6">
        <f>+IFERROR(HLOOKUP($A$1,[15]손익!$G$5:$AB$252,61,),)</f>
        <v>0</v>
      </c>
      <c r="Q39" s="6">
        <f>+IFERROR(VLOOKUP($F39,'[17]부산크라샤(손익)'!$L$16:$R$29,3,),)/1000</f>
        <v>0</v>
      </c>
      <c r="R39" s="6">
        <f t="shared" si="24"/>
        <v>0</v>
      </c>
      <c r="S39" s="76">
        <f>+IFERROR(HLOOKUP($A$1,[15]손익!$G$5:$AB$252,70,),)</f>
        <v>0</v>
      </c>
      <c r="T39" s="6">
        <f>+IFERROR(VLOOKUP($F39,'[17]부산크라샤(손익)'!$L$16:$R$29,4,),)/1000</f>
        <v>0</v>
      </c>
      <c r="U39" s="6">
        <f t="shared" si="31"/>
        <v>0</v>
      </c>
      <c r="V39" s="6">
        <f t="shared" si="32"/>
        <v>0</v>
      </c>
      <c r="W39" s="6">
        <f t="shared" si="25"/>
        <v>0</v>
      </c>
      <c r="X39" s="6">
        <f t="shared" si="26"/>
        <v>0</v>
      </c>
      <c r="Y39" s="438">
        <f>+IFERROR(HLOOKUP($A$1,[16]이송계획!$G$70:$W$100,20,),)+IFERROR(HLOOKUP($A$1,[16]이송계획!$G$70:$W$100,27,),)</f>
        <v>17804.895104895102</v>
      </c>
      <c r="Z39" s="6">
        <f>+'[9]부산모래장(당월)'!R80</f>
        <v>7040</v>
      </c>
      <c r="AB39" s="6">
        <f t="shared" si="27"/>
        <v>17804.895104895102</v>
      </c>
      <c r="AC39" s="6">
        <f t="shared" si="27"/>
        <v>10496</v>
      </c>
      <c r="AD39" s="6">
        <f t="shared" si="28"/>
        <v>-7308.8951048951021</v>
      </c>
    </row>
    <row r="40" spans="5:30" ht="21.95" customHeight="1">
      <c r="F40" s="432" t="s">
        <v>30</v>
      </c>
      <c r="G40" s="6">
        <f>+IFERROR(HLOOKUP($A$1,[14]손익!$G$5:$AB$252,64,),)</f>
        <v>0</v>
      </c>
      <c r="H40" s="6">
        <f>+IFERROR(VLOOKUP($F40,'[17]서부산(손익)'!$L$16:$R$29,4,),)/1000</f>
        <v>0</v>
      </c>
      <c r="I40" s="6">
        <f t="shared" si="21"/>
        <v>0</v>
      </c>
      <c r="J40" s="76">
        <f>+IFERROR(HLOOKUP($A$1,[14]손익!$G$5:$AB$252,73,),)</f>
        <v>0</v>
      </c>
      <c r="K40" s="6">
        <f>+IFERROR(VLOOKUP($F40,'[17]서부산(손익)'!$L$16:$R$29,3,),)/1000</f>
        <v>0</v>
      </c>
      <c r="L40" s="6">
        <f t="shared" si="29"/>
        <v>0</v>
      </c>
      <c r="M40" s="6">
        <f t="shared" si="30"/>
        <v>0</v>
      </c>
      <c r="N40" s="6">
        <f t="shared" si="22"/>
        <v>0</v>
      </c>
      <c r="O40" s="6">
        <f t="shared" si="23"/>
        <v>0</v>
      </c>
      <c r="P40" s="6">
        <f>+IFERROR(HLOOKUP($A$1,[15]손익!$G$5:$AB$252,62,),)</f>
        <v>0</v>
      </c>
      <c r="Q40" s="6">
        <f>+IFERROR(VLOOKUP($F40,'[17]부산크라샤(손익)'!$L$16:$R$29,3,),)/1000</f>
        <v>0</v>
      </c>
      <c r="R40" s="6">
        <f t="shared" si="24"/>
        <v>0</v>
      </c>
      <c r="S40" s="76">
        <f>+IFERROR(HLOOKUP($A$1,[15]손익!$G$5:$AB$252,71,),)</f>
        <v>0</v>
      </c>
      <c r="T40" s="6">
        <f>+IFERROR(VLOOKUP($F40,'[17]부산크라샤(손익)'!$L$16:$R$29,4,),)/1000</f>
        <v>0</v>
      </c>
      <c r="U40" s="6">
        <f t="shared" si="31"/>
        <v>0</v>
      </c>
      <c r="V40" s="6">
        <f t="shared" si="32"/>
        <v>0</v>
      </c>
      <c r="W40" s="6">
        <f t="shared" si="25"/>
        <v>0</v>
      </c>
      <c r="X40" s="6">
        <f t="shared" si="26"/>
        <v>0</v>
      </c>
      <c r="Y40" s="438">
        <f>+IFERROR(HLOOKUP($A$1,[16]이송계획!$G$70:$W$100,21,),)+IFERROR(HLOOKUP($A$1,[16]이송계획!$G$70:$W$100,28,),)</f>
        <v>0</v>
      </c>
      <c r="AB40" s="6">
        <f t="shared" si="27"/>
        <v>0</v>
      </c>
      <c r="AC40" s="6">
        <f t="shared" si="27"/>
        <v>0</v>
      </c>
      <c r="AD40" s="6">
        <f t="shared" si="28"/>
        <v>0</v>
      </c>
    </row>
    <row r="41" spans="5:30" ht="21.95" customHeight="1">
      <c r="F41" s="432" t="s">
        <v>8</v>
      </c>
      <c r="G41" s="6">
        <f>SUM(G35:G40)</f>
        <v>164828.79999999999</v>
      </c>
      <c r="H41" s="6">
        <f>SUM(H35:H40)</f>
        <v>193286</v>
      </c>
      <c r="I41" s="6">
        <f t="shared" si="21"/>
        <v>28457.200000000012</v>
      </c>
      <c r="J41" s="76">
        <f>SUM(J35:J40)</f>
        <v>8778</v>
      </c>
      <c r="K41" s="76">
        <f>SUM(K35:K40)</f>
        <v>3456</v>
      </c>
      <c r="L41" s="6">
        <f t="shared" si="29"/>
        <v>-5322</v>
      </c>
      <c r="M41" s="6">
        <f t="shared" si="30"/>
        <v>173606.8</v>
      </c>
      <c r="N41" s="6">
        <f t="shared" si="30"/>
        <v>196742</v>
      </c>
      <c r="O41" s="6">
        <f t="shared" si="23"/>
        <v>23135.200000000012</v>
      </c>
      <c r="P41" s="6">
        <f>SUM(P35:P40)</f>
        <v>140370.47089883956</v>
      </c>
      <c r="Q41" s="6">
        <f>SUM(Q35:Q40)</f>
        <v>147822.5</v>
      </c>
      <c r="R41" s="6">
        <f t="shared" si="24"/>
        <v>7452.0291011604422</v>
      </c>
      <c r="S41" s="76">
        <f>SUM(S35:S40)</f>
        <v>174106.42596871531</v>
      </c>
      <c r="T41" s="76">
        <f>SUM(T35:T40)</f>
        <v>205646</v>
      </c>
      <c r="U41" s="6">
        <f t="shared" si="31"/>
        <v>31539.57403128469</v>
      </c>
      <c r="V41" s="6">
        <f t="shared" si="32"/>
        <v>314476.89686755487</v>
      </c>
      <c r="W41" s="6">
        <f t="shared" si="25"/>
        <v>353468.5</v>
      </c>
      <c r="X41" s="6">
        <f t="shared" si="26"/>
        <v>38991.603132445132</v>
      </c>
      <c r="Y41" s="6">
        <f>SUM(Y35:Y40)</f>
        <v>352682.64248418878</v>
      </c>
      <c r="Z41" s="6">
        <f>SUM(Z35:Z40)</f>
        <v>341512</v>
      </c>
      <c r="AB41" s="6">
        <f t="shared" si="27"/>
        <v>840766.33935174369</v>
      </c>
      <c r="AC41" s="6">
        <f t="shared" si="27"/>
        <v>891722.5</v>
      </c>
      <c r="AD41" s="6">
        <f t="shared" si="28"/>
        <v>50956.160648256307</v>
      </c>
    </row>
    <row r="42" spans="5:30" ht="21.95" customHeight="1">
      <c r="G42" s="6" t="b">
        <f>+G41=G13</f>
        <v>1</v>
      </c>
      <c r="H42" s="6" t="b">
        <f>+H41=H13</f>
        <v>1</v>
      </c>
      <c r="J42" s="6" t="b">
        <f>+J41=J13</f>
        <v>1</v>
      </c>
      <c r="K42" s="6" t="b">
        <f>+K41=K13</f>
        <v>1</v>
      </c>
      <c r="M42" s="6" t="b">
        <f>+M41=M13</f>
        <v>1</v>
      </c>
      <c r="N42" s="6" t="b">
        <f>+N41=N13</f>
        <v>1</v>
      </c>
      <c r="P42" s="6" t="b">
        <f>+P41=P13</f>
        <v>1</v>
      </c>
      <c r="Q42" s="6" t="b">
        <f>+Q41=Q13</f>
        <v>1</v>
      </c>
      <c r="S42" s="6" t="b">
        <f>+S41=S13</f>
        <v>1</v>
      </c>
      <c r="T42" s="6" t="b">
        <f>+T41=T13</f>
        <v>1</v>
      </c>
      <c r="V42" s="6" t="b">
        <f>+V41=V13</f>
        <v>1</v>
      </c>
      <c r="W42" s="6" t="b">
        <f>+W41=W13</f>
        <v>1</v>
      </c>
      <c r="Y42" s="6" t="b">
        <f>+Y41=Y13</f>
        <v>1</v>
      </c>
      <c r="Z42" s="6" t="b">
        <f>+Z41=Z13</f>
        <v>1</v>
      </c>
      <c r="AB42" s="6" t="b">
        <f>+AB41=AB13</f>
        <v>1</v>
      </c>
      <c r="AC42" s="6" t="b">
        <f>+AC41=AC13</f>
        <v>1</v>
      </c>
    </row>
    <row r="43" spans="5:30" ht="21.95" customHeight="1"/>
    <row r="44" spans="5:30" ht="21.95" customHeight="1"/>
    <row r="45" spans="5:30" ht="21.95" customHeight="1"/>
    <row r="46" spans="5:30" ht="21.95" customHeight="1"/>
    <row r="47" spans="5:30" ht="21.95" customHeight="1"/>
    <row r="48" spans="5:30" ht="21.95" customHeight="1"/>
    <row r="49" ht="21.95" customHeight="1"/>
    <row r="50" ht="21.95" customHeight="1"/>
    <row r="51" ht="21.95" customHeight="1"/>
    <row r="52" ht="21.95" customHeight="1"/>
    <row r="53" ht="21.95" customHeight="1"/>
  </sheetData>
  <mergeCells count="1">
    <mergeCell ref="E6:F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4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6ED8-5E52-4D82-B96B-B96DE3FEDC7F}">
  <sheetPr>
    <tabColor theme="0" tint="-0.249977111117893"/>
    <pageSetUpPr fitToPage="1"/>
  </sheetPr>
  <dimension ref="A1:AG53"/>
  <sheetViews>
    <sheetView showGridLines="0" showZeros="0" view="pageBreakPreview" zoomScale="60" zoomScaleNormal="85" workbookViewId="0">
      <pane xSplit="6" ySplit="7" topLeftCell="G23" activePane="bottomRight" state="frozen"/>
      <selection activeCell="N18" sqref="N18"/>
      <selection pane="topRight" activeCell="N18" sqref="N18"/>
      <selection pane="bottomLeft" activeCell="N18" sqref="N18"/>
      <selection pane="bottomRight" activeCell="N18" sqref="N18"/>
    </sheetView>
  </sheetViews>
  <sheetFormatPr defaultRowHeight="16.5"/>
  <cols>
    <col min="1" max="3" width="5.625" style="6" customWidth="1"/>
    <col min="4" max="4" width="3.125" style="6" customWidth="1"/>
    <col min="5" max="6" width="8.625" style="6" customWidth="1"/>
    <col min="7" max="30" width="10.625" style="6" customWidth="1"/>
    <col min="31" max="31" width="9" style="6"/>
    <col min="32" max="33" width="14.25" style="6" customWidth="1"/>
    <col min="34" max="16384" width="9" style="6"/>
  </cols>
  <sheetData>
    <row r="1" spans="1:33" ht="22.5" customHeight="1">
      <c r="A1" s="423" t="s">
        <v>179</v>
      </c>
    </row>
    <row r="2" spans="1:33" ht="9.75" customHeight="1"/>
    <row r="3" spans="1:33" ht="9.9499999999999993" customHeight="1"/>
    <row r="4" spans="1:33" ht="31.5">
      <c r="D4" s="184" t="s">
        <v>217</v>
      </c>
      <c r="F4" s="184"/>
      <c r="I4" s="184"/>
    </row>
    <row r="5" spans="1:33" ht="21.95" customHeight="1" thickBot="1">
      <c r="J5" s="76"/>
      <c r="Y5" s="76"/>
      <c r="AB5" s="76"/>
      <c r="AD5" s="186" t="s">
        <v>167</v>
      </c>
    </row>
    <row r="6" spans="1:33" ht="24" customHeight="1" thickTop="1">
      <c r="D6" s="296" t="s">
        <v>15</v>
      </c>
      <c r="E6" s="837" t="s">
        <v>11</v>
      </c>
      <c r="F6" s="838"/>
      <c r="G6" s="294" t="s">
        <v>140</v>
      </c>
      <c r="H6" s="293"/>
      <c r="I6" s="293"/>
      <c r="J6" s="293" t="s">
        <v>139</v>
      </c>
      <c r="K6" s="293"/>
      <c r="L6" s="295"/>
      <c r="M6" s="389" t="s">
        <v>138</v>
      </c>
      <c r="N6" s="390"/>
      <c r="O6" s="391"/>
      <c r="P6" s="294" t="s">
        <v>186</v>
      </c>
      <c r="Q6" s="293"/>
      <c r="R6" s="293"/>
      <c r="S6" s="293" t="s">
        <v>187</v>
      </c>
      <c r="T6" s="293"/>
      <c r="U6" s="295"/>
      <c r="V6" s="389" t="s">
        <v>188</v>
      </c>
      <c r="W6" s="390"/>
      <c r="X6" s="391"/>
      <c r="Y6" s="388" t="s">
        <v>137</v>
      </c>
      <c r="Z6" s="293"/>
      <c r="AA6" s="295"/>
      <c r="AB6" s="389" t="s">
        <v>136</v>
      </c>
      <c r="AC6" s="390"/>
      <c r="AD6" s="391"/>
    </row>
    <row r="7" spans="1:33" ht="24" customHeight="1">
      <c r="D7" s="292"/>
      <c r="E7" s="839"/>
      <c r="F7" s="840"/>
      <c r="G7" s="288" t="s">
        <v>12</v>
      </c>
      <c r="H7" s="374" t="s">
        <v>13</v>
      </c>
      <c r="I7" s="291" t="s">
        <v>36</v>
      </c>
      <c r="J7" s="290" t="s">
        <v>15</v>
      </c>
      <c r="K7" s="374" t="s">
        <v>16</v>
      </c>
      <c r="L7" s="289" t="s">
        <v>36</v>
      </c>
      <c r="M7" s="392" t="s">
        <v>15</v>
      </c>
      <c r="N7" s="374" t="s">
        <v>16</v>
      </c>
      <c r="O7" s="393" t="s">
        <v>36</v>
      </c>
      <c r="P7" s="288" t="s">
        <v>12</v>
      </c>
      <c r="Q7" s="374" t="s">
        <v>13</v>
      </c>
      <c r="R7" s="291" t="s">
        <v>36</v>
      </c>
      <c r="S7" s="290" t="s">
        <v>15</v>
      </c>
      <c r="T7" s="374" t="s">
        <v>16</v>
      </c>
      <c r="U7" s="289" t="s">
        <v>36</v>
      </c>
      <c r="V7" s="392" t="s">
        <v>15</v>
      </c>
      <c r="W7" s="374" t="s">
        <v>16</v>
      </c>
      <c r="X7" s="393" t="s">
        <v>36</v>
      </c>
      <c r="Y7" s="289" t="s">
        <v>15</v>
      </c>
      <c r="Z7" s="374" t="s">
        <v>16</v>
      </c>
      <c r="AA7" s="289" t="s">
        <v>36</v>
      </c>
      <c r="AB7" s="392" t="s">
        <v>15</v>
      </c>
      <c r="AC7" s="374" t="s">
        <v>16</v>
      </c>
      <c r="AD7" s="393" t="s">
        <v>36</v>
      </c>
    </row>
    <row r="8" spans="1:33" ht="24" customHeight="1">
      <c r="D8" s="77"/>
      <c r="E8" s="265" t="s">
        <v>110</v>
      </c>
      <c r="F8" s="264" t="s">
        <v>132</v>
      </c>
      <c r="G8" s="260">
        <f>+'골재사업소(당월)'!G8+'[4]골재사업소(누계)'!G8</f>
        <v>21758</v>
      </c>
      <c r="H8" s="375">
        <f>+'골재사업소(당월)'!H8+'[4]골재사업소(누계)'!H8</f>
        <v>23830</v>
      </c>
      <c r="I8" s="263">
        <f>H8-G8</f>
        <v>2072</v>
      </c>
      <c r="J8" s="262">
        <f>+'골재사업소(당월)'!J8+'[4]골재사업소(누계)'!J8</f>
        <v>1751.6000000000001</v>
      </c>
      <c r="K8" s="375">
        <f>+'골재사업소(당월)'!K8+'[4]골재사업소(누계)'!K8</f>
        <v>1408</v>
      </c>
      <c r="L8" s="261">
        <f>K8-J8</f>
        <v>-343.60000000000014</v>
      </c>
      <c r="M8" s="394">
        <f>+G8+J8</f>
        <v>23509.599999999999</v>
      </c>
      <c r="N8" s="375">
        <f>+H8+K8</f>
        <v>25238</v>
      </c>
      <c r="O8" s="395">
        <f>N8-M8</f>
        <v>1728.4000000000015</v>
      </c>
      <c r="P8" s="260">
        <f>+'골재사업소(당월)'!P8+'[4]골재사업소(누계)'!P8</f>
        <v>18632.909771880295</v>
      </c>
      <c r="Q8" s="375">
        <f>+'골재사업소(당월)'!Q8+'[4]골재사업소(누계)'!Q8</f>
        <v>20816</v>
      </c>
      <c r="R8" s="263">
        <f>Q8-P8</f>
        <v>2183.090228119705</v>
      </c>
      <c r="S8" s="262">
        <f>+'골재사업소(당월)'!S8+'[4]골재사업소(누계)'!S8</f>
        <v>16693.773580056532</v>
      </c>
      <c r="T8" s="375">
        <f>+'골재사업소(당월)'!T8+'[4]골재사업소(누계)'!T8</f>
        <v>21683</v>
      </c>
      <c r="U8" s="261">
        <f>T8-S8</f>
        <v>4989.2264199434685</v>
      </c>
      <c r="V8" s="394">
        <f>+P8+S8</f>
        <v>35326.683351936823</v>
      </c>
      <c r="W8" s="375">
        <f>+Q8+T8</f>
        <v>42499</v>
      </c>
      <c r="X8" s="395">
        <f>W8-V8</f>
        <v>7172.3166480631771</v>
      </c>
      <c r="Y8" s="261">
        <f>+'골재사업소(당월)'!Y8+'[4]골재사업소(누계)'!Y8</f>
        <v>28154.76848315393</v>
      </c>
      <c r="Z8" s="375">
        <f>+'골재사업소(당월)'!Z8+'[4]골재사업소(누계)'!Z8</f>
        <v>29721</v>
      </c>
      <c r="AA8" s="261">
        <f>Z8-Y8</f>
        <v>1566.23151684607</v>
      </c>
      <c r="AB8" s="394">
        <f>+M8+V8+Y8</f>
        <v>86991.051835090751</v>
      </c>
      <c r="AC8" s="375">
        <f>+N8+W8+Z8</f>
        <v>97458</v>
      </c>
      <c r="AD8" s="395">
        <f>AC8-AB8</f>
        <v>10466.948164909249</v>
      </c>
    </row>
    <row r="9" spans="1:33" ht="24" customHeight="1">
      <c r="D9" s="77"/>
      <c r="E9" s="282"/>
      <c r="F9" s="287" t="s">
        <v>10</v>
      </c>
      <c r="G9" s="283">
        <f>+G8/G$12</f>
        <v>1</v>
      </c>
      <c r="H9" s="376">
        <f>+H8/H$12</f>
        <v>0.51600190550430902</v>
      </c>
      <c r="I9" s="286">
        <f>+H9-G9</f>
        <v>-0.48399809449569098</v>
      </c>
      <c r="J9" s="285">
        <f>+J8/J$12</f>
        <v>1</v>
      </c>
      <c r="K9" s="376">
        <f>+K8/K$12</f>
        <v>0.29729729729729731</v>
      </c>
      <c r="L9" s="284">
        <f>+K9-J9</f>
        <v>-0.70270270270270263</v>
      </c>
      <c r="M9" s="396">
        <f>+M8/M$12</f>
        <v>1</v>
      </c>
      <c r="N9" s="376">
        <f>+N8/N$12</f>
        <v>0.49565968812600653</v>
      </c>
      <c r="O9" s="397">
        <f>+N9-M9</f>
        <v>-0.50434031187399353</v>
      </c>
      <c r="P9" s="283">
        <f>+P8/P$12</f>
        <v>0.60826444208654684</v>
      </c>
      <c r="Q9" s="376">
        <f>+Q8/Q$12</f>
        <v>0.76619552414605419</v>
      </c>
      <c r="R9" s="286">
        <f>+Q9-P9</f>
        <v>0.15793108205950734</v>
      </c>
      <c r="S9" s="285">
        <f>+S8/S$12</f>
        <v>0.35751605193002955</v>
      </c>
      <c r="T9" s="376">
        <f>+T8/T$12</f>
        <v>0.83799033816425117</v>
      </c>
      <c r="U9" s="284">
        <f>+T9-S9</f>
        <v>0.48047428623422161</v>
      </c>
      <c r="V9" s="396">
        <f>+V8/V$12</f>
        <v>0.456849845623852</v>
      </c>
      <c r="W9" s="376">
        <f>+W8/W$12</f>
        <v>0.80121787983334281</v>
      </c>
      <c r="X9" s="397">
        <f>+W9-V9</f>
        <v>0.3443680342094908</v>
      </c>
      <c r="Y9" s="284">
        <f>+Y8/Y$12</f>
        <v>0.66006145348727829</v>
      </c>
      <c r="Z9" s="376">
        <f>+Z8/Z$12</f>
        <v>0.64853364755171505</v>
      </c>
      <c r="AA9" s="284">
        <f>+Z9-Y9</f>
        <v>-1.152780593556324E-2</v>
      </c>
      <c r="AB9" s="396">
        <f>+AB8/AB$12</f>
        <v>0.60624722393885955</v>
      </c>
      <c r="AC9" s="376">
        <f>+AC8/AC$12</f>
        <v>0.65063522688581943</v>
      </c>
      <c r="AD9" s="397">
        <f>+AC9-AB9</f>
        <v>4.4388002946959881E-2</v>
      </c>
    </row>
    <row r="10" spans="1:33" ht="24" customHeight="1">
      <c r="D10" s="258"/>
      <c r="E10" s="282"/>
      <c r="F10" s="281" t="s">
        <v>135</v>
      </c>
      <c r="G10" s="277">
        <f>+'골재사업소(당월)'!G10+'[4]골재사업소(누계)'!G10</f>
        <v>0</v>
      </c>
      <c r="H10" s="377">
        <f>+'골재사업소(당월)'!H10+'[4]골재사업소(누계)'!H10</f>
        <v>22352</v>
      </c>
      <c r="I10" s="280">
        <f>H10-G10</f>
        <v>22352</v>
      </c>
      <c r="J10" s="279">
        <f>+'골재사업소(당월)'!J10+'[4]골재사업소(누계)'!J10</f>
        <v>0</v>
      </c>
      <c r="K10" s="377">
        <f>+'골재사업소(당월)'!K10+'[4]골재사업소(누계)'!K10</f>
        <v>3328</v>
      </c>
      <c r="L10" s="278">
        <f>K10-J10</f>
        <v>3328</v>
      </c>
      <c r="M10" s="398">
        <f>+G10+J10</f>
        <v>0</v>
      </c>
      <c r="N10" s="377">
        <f>+H10+K10</f>
        <v>25680</v>
      </c>
      <c r="O10" s="399">
        <f>N10-M10</f>
        <v>25680</v>
      </c>
      <c r="P10" s="277">
        <f>+'골재사업소(당월)'!P10+'[4]골재사업소(누계)'!P10</f>
        <v>12000</v>
      </c>
      <c r="Q10" s="377">
        <f>+'골재사업소(당월)'!Q10+'[4]골재사업소(누계)'!Q10</f>
        <v>6352</v>
      </c>
      <c r="R10" s="280">
        <f>Q10-P10</f>
        <v>-5648</v>
      </c>
      <c r="S10" s="279">
        <f>+'골재사업소(당월)'!S10+'[4]골재사업소(누계)'!S10</f>
        <v>30000</v>
      </c>
      <c r="T10" s="377">
        <f>+'골재사업소(당월)'!T10+'[4]골재사업소(누계)'!T10</f>
        <v>4192</v>
      </c>
      <c r="U10" s="278">
        <f>T10-S10</f>
        <v>-25808</v>
      </c>
      <c r="V10" s="398">
        <f>+P10+S10</f>
        <v>42000</v>
      </c>
      <c r="W10" s="377">
        <f>+Q10+T10</f>
        <v>10544</v>
      </c>
      <c r="X10" s="399">
        <f>W10-V10</f>
        <v>-31456</v>
      </c>
      <c r="Y10" s="278">
        <f>+'골재사업소(당월)'!Y10+'[4]골재사업소(누계)'!Y10</f>
        <v>14500</v>
      </c>
      <c r="Z10" s="377">
        <f>+'골재사업소(당월)'!Z10+'[4]골재사업소(누계)'!Z10</f>
        <v>16107</v>
      </c>
      <c r="AA10" s="278">
        <f>Z10-Y10</f>
        <v>1607</v>
      </c>
      <c r="AB10" s="398">
        <f>+M10+V10+Y10</f>
        <v>56500</v>
      </c>
      <c r="AC10" s="377">
        <f>+N10+W10+Z10</f>
        <v>52331</v>
      </c>
      <c r="AD10" s="399">
        <f>AC10-AB10</f>
        <v>-4169</v>
      </c>
    </row>
    <row r="11" spans="1:33" ht="24" customHeight="1">
      <c r="D11" s="258"/>
      <c r="E11" s="259"/>
      <c r="F11" s="276" t="s">
        <v>10</v>
      </c>
      <c r="G11" s="272">
        <f>+G10/G$12</f>
        <v>0</v>
      </c>
      <c r="H11" s="378">
        <f>+H10/H$12</f>
        <v>0.48399809449569098</v>
      </c>
      <c r="I11" s="275">
        <f>+H11-G11</f>
        <v>0.48399809449569098</v>
      </c>
      <c r="J11" s="274">
        <f>+J10/J$12</f>
        <v>0</v>
      </c>
      <c r="K11" s="378">
        <f>+K10/K$12</f>
        <v>0.70270270270270274</v>
      </c>
      <c r="L11" s="273">
        <f>+K11-J11</f>
        <v>0.70270270270270274</v>
      </c>
      <c r="M11" s="400">
        <f>+M10/M$12</f>
        <v>0</v>
      </c>
      <c r="N11" s="378">
        <f>+N10/N$12</f>
        <v>0.50434031187399353</v>
      </c>
      <c r="O11" s="401">
        <f>+N11-M11</f>
        <v>0.50434031187399353</v>
      </c>
      <c r="P11" s="272">
        <f>+P10/P$12</f>
        <v>0.39173555791345321</v>
      </c>
      <c r="Q11" s="378">
        <f>+Q10/Q$12</f>
        <v>0.23380447585394581</v>
      </c>
      <c r="R11" s="275">
        <f>+Q11-P11</f>
        <v>-0.1579310820595074</v>
      </c>
      <c r="S11" s="274">
        <f>+S10/S$12</f>
        <v>0.64248394806997056</v>
      </c>
      <c r="T11" s="378">
        <f>+T10/T$12</f>
        <v>0.1620096618357488</v>
      </c>
      <c r="U11" s="273">
        <f>+T11-S11</f>
        <v>-0.48047428623422173</v>
      </c>
      <c r="V11" s="400">
        <f>+V10/V$12</f>
        <v>0.543150154376148</v>
      </c>
      <c r="W11" s="378">
        <f>+W10/W$12</f>
        <v>0.19878212016665725</v>
      </c>
      <c r="X11" s="401">
        <f>+W11-V11</f>
        <v>-0.34436803420949075</v>
      </c>
      <c r="Y11" s="273">
        <f>+Y10/Y$12</f>
        <v>0.33993854651272176</v>
      </c>
      <c r="Z11" s="378">
        <f>+Z10/Z$12</f>
        <v>0.35146635244828489</v>
      </c>
      <c r="AA11" s="273">
        <f>+Z11-Y11</f>
        <v>1.1527805935563129E-2</v>
      </c>
      <c r="AB11" s="400">
        <f>+AB10/AB$12</f>
        <v>0.39375277606114062</v>
      </c>
      <c r="AC11" s="378">
        <f>+AC10/AC$12</f>
        <v>0.34936477311418063</v>
      </c>
      <c r="AD11" s="401">
        <f>+AC11-AB11</f>
        <v>-4.4388002946959992E-2</v>
      </c>
    </row>
    <row r="12" spans="1:33" ht="24" customHeight="1">
      <c r="D12" s="258"/>
      <c r="E12" s="271"/>
      <c r="F12" s="270" t="s">
        <v>43</v>
      </c>
      <c r="G12" s="266">
        <f>G8+G10</f>
        <v>21758</v>
      </c>
      <c r="H12" s="379">
        <f>H8+H10</f>
        <v>46182</v>
      </c>
      <c r="I12" s="269">
        <f t="shared" ref="I12:I32" si="0">H12-G12</f>
        <v>24424</v>
      </c>
      <c r="J12" s="268">
        <f>J8+J10</f>
        <v>1751.6000000000001</v>
      </c>
      <c r="K12" s="379">
        <f>K8+K10</f>
        <v>4736</v>
      </c>
      <c r="L12" s="267">
        <f t="shared" ref="L12:L32" si="1">K12-J12</f>
        <v>2984.3999999999996</v>
      </c>
      <c r="M12" s="402">
        <f>M8+M10</f>
        <v>23509.599999999999</v>
      </c>
      <c r="N12" s="379">
        <f>N8+N10</f>
        <v>50918</v>
      </c>
      <c r="O12" s="403">
        <f t="shared" ref="O12:O32" si="2">N12-M12</f>
        <v>27408.400000000001</v>
      </c>
      <c r="P12" s="266">
        <f>P8+P10</f>
        <v>30632.909771880295</v>
      </c>
      <c r="Q12" s="379">
        <f>Q8+Q10</f>
        <v>27168</v>
      </c>
      <c r="R12" s="269">
        <f t="shared" ref="R12:R32" si="3">Q12-P12</f>
        <v>-3464.909771880295</v>
      </c>
      <c r="S12" s="268">
        <f>S8+S10</f>
        <v>46693.773580056528</v>
      </c>
      <c r="T12" s="379">
        <f>T8+T10</f>
        <v>25875</v>
      </c>
      <c r="U12" s="267">
        <f t="shared" ref="U12:U32" si="4">T12-S12</f>
        <v>-20818.773580056528</v>
      </c>
      <c r="V12" s="402">
        <f>V8+V10</f>
        <v>77326.683351936823</v>
      </c>
      <c r="W12" s="379">
        <f>W8+W10</f>
        <v>53043</v>
      </c>
      <c r="X12" s="403">
        <f t="shared" ref="X12:X32" si="5">W12-V12</f>
        <v>-24283.683351936823</v>
      </c>
      <c r="Y12" s="267">
        <f>Y8+Y10</f>
        <v>42654.76848315393</v>
      </c>
      <c r="Z12" s="379">
        <f>Z8+Z10</f>
        <v>45828</v>
      </c>
      <c r="AA12" s="267">
        <f t="shared" ref="AA12:AA32" si="6">Z12-Y12</f>
        <v>3173.23151684607</v>
      </c>
      <c r="AB12" s="402">
        <f>AB8+AB10</f>
        <v>143491.05183509074</v>
      </c>
      <c r="AC12" s="379">
        <f>AC8+AC10</f>
        <v>149789</v>
      </c>
      <c r="AD12" s="403">
        <f t="shared" ref="AD12:AD32" si="7">AC12-AB12</f>
        <v>6297.9481649092631</v>
      </c>
      <c r="AF12" s="6">
        <f>+'골재사업소(당월)'!AF12+'[4]골재사업소(누계)'!AF12</f>
        <v>143491.05183509074</v>
      </c>
      <c r="AG12" s="6">
        <f>+'골재사업소(당월)'!AG12+'[4]골재사업소(누계)'!AG12</f>
        <v>149789</v>
      </c>
    </row>
    <row r="13" spans="1:33" ht="24" customHeight="1">
      <c r="D13" s="258"/>
      <c r="E13" s="265" t="s">
        <v>77</v>
      </c>
      <c r="F13" s="264" t="s">
        <v>132</v>
      </c>
      <c r="G13" s="260">
        <f>+'골재사업소(당월)'!G13+'[4]골재사업소(누계)'!G13</f>
        <v>348128</v>
      </c>
      <c r="H13" s="375">
        <f>+'골재사업소(당월)'!H13+'[4]골재사업소(누계)'!H13</f>
        <v>386742</v>
      </c>
      <c r="I13" s="263">
        <f t="shared" si="0"/>
        <v>38614</v>
      </c>
      <c r="J13" s="262">
        <f>+'골재사업소(당월)'!J13+'[4]골재사업소(누계)'!J13</f>
        <v>18391.800000000003</v>
      </c>
      <c r="K13" s="375">
        <f>+'골재사업소(당월)'!K13+'[4]골재사업소(누계)'!K13</f>
        <v>13632</v>
      </c>
      <c r="L13" s="261">
        <f t="shared" si="1"/>
        <v>-4759.8000000000029</v>
      </c>
      <c r="M13" s="394">
        <f>+G13+J13</f>
        <v>366519.8</v>
      </c>
      <c r="N13" s="375">
        <f>+H13+K13</f>
        <v>400374</v>
      </c>
      <c r="O13" s="395">
        <f t="shared" si="2"/>
        <v>33854.200000000012</v>
      </c>
      <c r="P13" s="260">
        <f>+'골재사업소(당월)'!P13+'[4]골재사업소(누계)'!P13</f>
        <v>298126.55635008472</v>
      </c>
      <c r="Q13" s="375">
        <f>+'골재사업소(당월)'!Q13+'[4]골재사업소(누계)'!Q13</f>
        <v>363312</v>
      </c>
      <c r="R13" s="263">
        <f t="shared" si="3"/>
        <v>65185.44364991528</v>
      </c>
      <c r="S13" s="262">
        <f>+'골재사업소(당월)'!S13+'[4]골재사업소(누계)'!S13</f>
        <v>368757.19234130019</v>
      </c>
      <c r="T13" s="375">
        <f>+'골재사업소(당월)'!T13+'[4]골재사업소(누계)'!T13</f>
        <v>483422.5</v>
      </c>
      <c r="U13" s="261">
        <f t="shared" si="4"/>
        <v>114665.30765869981</v>
      </c>
      <c r="V13" s="394">
        <f>+P13+S13</f>
        <v>666883.74869138491</v>
      </c>
      <c r="W13" s="375">
        <f>+Q13+T13</f>
        <v>846734.5</v>
      </c>
      <c r="X13" s="395">
        <f t="shared" si="5"/>
        <v>179850.75130861509</v>
      </c>
      <c r="Y13" s="261">
        <f>+'골재사업소(당월)'!Y13+'[4]골재사업소(누계)'!Y13</f>
        <v>822525.78572800034</v>
      </c>
      <c r="Z13" s="375">
        <f>+'골재사업소(당월)'!Z13+'[4]골재사업소(누계)'!Z13</f>
        <v>859968</v>
      </c>
      <c r="AA13" s="261">
        <f t="shared" si="6"/>
        <v>37442.214271999663</v>
      </c>
      <c r="AB13" s="394">
        <f>+M13+V13+Y13</f>
        <v>1855929.3344193853</v>
      </c>
      <c r="AC13" s="375">
        <f>+N13+W13+Z13</f>
        <v>2107076.5</v>
      </c>
      <c r="AD13" s="395">
        <f t="shared" si="7"/>
        <v>251147.1655806147</v>
      </c>
      <c r="AF13" s="6" t="b">
        <f>+AF12=AB12</f>
        <v>1</v>
      </c>
      <c r="AG13" s="6" t="b">
        <f>+AG12=AC12</f>
        <v>1</v>
      </c>
    </row>
    <row r="14" spans="1:33" ht="24" customHeight="1">
      <c r="D14" s="258"/>
      <c r="E14" s="259"/>
      <c r="F14" s="257" t="s">
        <v>131</v>
      </c>
      <c r="G14" s="253">
        <f>+G13/G8*1000</f>
        <v>16000</v>
      </c>
      <c r="H14" s="380">
        <f>+H13/H8*1000</f>
        <v>16229.206882081409</v>
      </c>
      <c r="I14" s="256">
        <f t="shared" si="0"/>
        <v>229.20688208140928</v>
      </c>
      <c r="J14" s="255">
        <f>+J13/J8*1000</f>
        <v>10500</v>
      </c>
      <c r="K14" s="380">
        <f>+K13/K8*1000</f>
        <v>9681.818181818182</v>
      </c>
      <c r="L14" s="254">
        <f t="shared" si="1"/>
        <v>-818.18181818181802</v>
      </c>
      <c r="M14" s="404">
        <f>+M13/M8*1000</f>
        <v>15590.218463946643</v>
      </c>
      <c r="N14" s="380">
        <f>+N13/N8*1000</f>
        <v>15863.93533560504</v>
      </c>
      <c r="O14" s="405">
        <f t="shared" si="2"/>
        <v>273.71687165839649</v>
      </c>
      <c r="P14" s="253">
        <f>+P13/P8*1000</f>
        <v>16000</v>
      </c>
      <c r="Q14" s="380">
        <f>+Q13/Q8*1000</f>
        <v>17453.497309761722</v>
      </c>
      <c r="R14" s="256">
        <f t="shared" si="3"/>
        <v>1453.4973097617221</v>
      </c>
      <c r="S14" s="255">
        <f>+S13/S8*1000</f>
        <v>22089.504842802082</v>
      </c>
      <c r="T14" s="380">
        <f>+T13/T8*1000</f>
        <v>22295.000691786194</v>
      </c>
      <c r="U14" s="254">
        <f t="shared" si="4"/>
        <v>205.49584898411194</v>
      </c>
      <c r="V14" s="404">
        <f>+V13/V8*1000</f>
        <v>18877.621260044561</v>
      </c>
      <c r="W14" s="380">
        <f>+W13/W8*1000</f>
        <v>19923.633497258757</v>
      </c>
      <c r="X14" s="405">
        <f t="shared" si="5"/>
        <v>1046.0122372141959</v>
      </c>
      <c r="Y14" s="254">
        <f>+Y13/Y8*1000</f>
        <v>29214.43968612808</v>
      </c>
      <c r="Z14" s="380">
        <f>+Z13/Z8*1000</f>
        <v>28934.692641566569</v>
      </c>
      <c r="AA14" s="254">
        <f t="shared" si="6"/>
        <v>-279.74704456151085</v>
      </c>
      <c r="AB14" s="404">
        <f>+AB13/AB8*1000</f>
        <v>21334.715413462032</v>
      </c>
      <c r="AC14" s="380">
        <f>+AC13/AC8*1000</f>
        <v>21620.354409078784</v>
      </c>
      <c r="AD14" s="405">
        <f t="shared" si="7"/>
        <v>285.63899561675134</v>
      </c>
    </row>
    <row r="15" spans="1:33" ht="24" customHeight="1">
      <c r="D15" s="258"/>
      <c r="E15" s="666"/>
      <c r="F15" s="224" t="s">
        <v>135</v>
      </c>
      <c r="G15" s="248">
        <f>+'골재사업소(당월)'!G15+'[4]골재사업소(누계)'!G15</f>
        <v>0</v>
      </c>
      <c r="H15" s="381">
        <f>+'골재사업소(당월)'!H15+'[4]골재사업소(누계)'!H15</f>
        <v>264904</v>
      </c>
      <c r="I15" s="251">
        <f t="shared" si="0"/>
        <v>264904</v>
      </c>
      <c r="J15" s="250">
        <f>+'골재사업소(당월)'!J15+'[4]골재사업소(누계)'!J15</f>
        <v>0</v>
      </c>
      <c r="K15" s="381">
        <f>+'골재사업소(당월)'!K15+'[4]골재사업소(누계)'!K15</f>
        <v>26752</v>
      </c>
      <c r="L15" s="249">
        <f t="shared" si="1"/>
        <v>26752</v>
      </c>
      <c r="M15" s="406">
        <f>+G15+J15</f>
        <v>0</v>
      </c>
      <c r="N15" s="381">
        <f>+H15+K15</f>
        <v>291656</v>
      </c>
      <c r="O15" s="407">
        <f t="shared" si="2"/>
        <v>291656</v>
      </c>
      <c r="P15" s="248">
        <f>+'골재사업소(당월)'!P15+'[4]골재사업소(누계)'!P15</f>
        <v>144000</v>
      </c>
      <c r="Q15" s="381">
        <f>+'골재사업소(당월)'!Q15+'[4]골재사업소(누계)'!Q15</f>
        <v>82576</v>
      </c>
      <c r="R15" s="251">
        <f t="shared" si="3"/>
        <v>-61424</v>
      </c>
      <c r="S15" s="250">
        <f>+'골재사업소(당월)'!S15+'[4]골재사업소(누계)'!S15</f>
        <v>570000</v>
      </c>
      <c r="T15" s="381">
        <f>+'골재사업소(당월)'!T15+'[4]골재사업소(누계)'!T15</f>
        <v>79648</v>
      </c>
      <c r="U15" s="249">
        <f t="shared" si="4"/>
        <v>-490352</v>
      </c>
      <c r="V15" s="406">
        <f>+P15+S15</f>
        <v>714000</v>
      </c>
      <c r="W15" s="381">
        <f>+Q15+T15</f>
        <v>162224</v>
      </c>
      <c r="X15" s="407">
        <f t="shared" si="5"/>
        <v>-551776</v>
      </c>
      <c r="Y15" s="249">
        <f>+'골재사업소(당월)'!Y15+'[4]골재사업소(누계)'!Y15</f>
        <v>432750</v>
      </c>
      <c r="Z15" s="381">
        <f>+'골재사업소(당월)'!Z15+'[4]골재사업소(누계)'!Z15</f>
        <v>455650</v>
      </c>
      <c r="AA15" s="249">
        <f t="shared" si="6"/>
        <v>22900</v>
      </c>
      <c r="AB15" s="406">
        <f>+M15+V15+Y15</f>
        <v>1146750</v>
      </c>
      <c r="AC15" s="381">
        <f>+N15+W15+Z15</f>
        <v>909530</v>
      </c>
      <c r="AD15" s="407">
        <f t="shared" si="7"/>
        <v>-237220</v>
      </c>
    </row>
    <row r="16" spans="1:33" ht="24" customHeight="1">
      <c r="D16" s="76"/>
      <c r="E16" s="666"/>
      <c r="F16" s="257" t="s">
        <v>131</v>
      </c>
      <c r="G16" s="253">
        <f>IFERROR(G15/G10,)*1000</f>
        <v>0</v>
      </c>
      <c r="H16" s="380">
        <f>IFERROR(H15/H10,)*1000</f>
        <v>11851.467430207587</v>
      </c>
      <c r="I16" s="256">
        <f t="shared" si="0"/>
        <v>11851.467430207587</v>
      </c>
      <c r="J16" s="255">
        <f>IFERROR(J15/J10,)*1000</f>
        <v>0</v>
      </c>
      <c r="K16" s="380">
        <f>IFERROR(K15/K10,)*1000</f>
        <v>8038.4615384615381</v>
      </c>
      <c r="L16" s="254">
        <f t="shared" si="1"/>
        <v>8038.4615384615381</v>
      </c>
      <c r="M16" s="404">
        <f>IFERROR(M15/M10,)*1000</f>
        <v>0</v>
      </c>
      <c r="N16" s="380">
        <f>IFERROR(N15/N10,)*1000</f>
        <v>11357.320872274144</v>
      </c>
      <c r="O16" s="405">
        <f t="shared" si="2"/>
        <v>11357.320872274144</v>
      </c>
      <c r="P16" s="253">
        <f>IFERROR(P15/P10,)*1000</f>
        <v>12000</v>
      </c>
      <c r="Q16" s="380">
        <f>IFERROR(Q15/Q10,)*1000</f>
        <v>13000</v>
      </c>
      <c r="R16" s="256">
        <f t="shared" si="3"/>
        <v>1000</v>
      </c>
      <c r="S16" s="255">
        <f>IFERROR(S15/S10,)*1000</f>
        <v>19000</v>
      </c>
      <c r="T16" s="380">
        <f>IFERROR(T15/T10,)*1000</f>
        <v>19000</v>
      </c>
      <c r="U16" s="254">
        <f t="shared" si="4"/>
        <v>0</v>
      </c>
      <c r="V16" s="404">
        <f>IFERROR(V15/V10,)*1000</f>
        <v>17000</v>
      </c>
      <c r="W16" s="380">
        <f>IFERROR(W15/W10,)*1000</f>
        <v>15385.432473444613</v>
      </c>
      <c r="X16" s="405">
        <f t="shared" si="5"/>
        <v>-1614.5675265553873</v>
      </c>
      <c r="Y16" s="254">
        <f>IFERROR(Y15/Y10,)*1000</f>
        <v>29844.827586206899</v>
      </c>
      <c r="Z16" s="380">
        <f>IFERROR(Z15/Z10,)*1000</f>
        <v>28288.942695722359</v>
      </c>
      <c r="AA16" s="254">
        <f t="shared" si="6"/>
        <v>-1555.8848904845399</v>
      </c>
      <c r="AB16" s="404">
        <f>IFERROR(AB15/AB10,)*1000</f>
        <v>20296.46017699115</v>
      </c>
      <c r="AC16" s="380">
        <f>IFERROR(AC15/AC10,)*1000</f>
        <v>17380.329059257419</v>
      </c>
      <c r="AD16" s="405">
        <f t="shared" si="7"/>
        <v>-2916.1311177337302</v>
      </c>
    </row>
    <row r="17" spans="4:33" ht="24" customHeight="1">
      <c r="D17" s="76"/>
      <c r="E17" s="666"/>
      <c r="F17" s="252" t="s">
        <v>43</v>
      </c>
      <c r="G17" s="248">
        <f>G13+G15</f>
        <v>348128</v>
      </c>
      <c r="H17" s="381">
        <f>H13+H15</f>
        <v>651646</v>
      </c>
      <c r="I17" s="251">
        <f t="shared" si="0"/>
        <v>303518</v>
      </c>
      <c r="J17" s="250">
        <f>J13+J15</f>
        <v>18391.800000000003</v>
      </c>
      <c r="K17" s="381">
        <f>K13+K15</f>
        <v>40384</v>
      </c>
      <c r="L17" s="249">
        <f t="shared" si="1"/>
        <v>21992.199999999997</v>
      </c>
      <c r="M17" s="406">
        <f>M13+M15</f>
        <v>366519.8</v>
      </c>
      <c r="N17" s="381">
        <f>N13+N15</f>
        <v>692030</v>
      </c>
      <c r="O17" s="407">
        <f t="shared" si="2"/>
        <v>325510.2</v>
      </c>
      <c r="P17" s="248">
        <f>P13+P15</f>
        <v>442126.55635008472</v>
      </c>
      <c r="Q17" s="381">
        <f>Q13+Q15</f>
        <v>445888</v>
      </c>
      <c r="R17" s="251">
        <f t="shared" si="3"/>
        <v>3761.4436499152798</v>
      </c>
      <c r="S17" s="250">
        <f>S13+S15</f>
        <v>938757.19234130019</v>
      </c>
      <c r="T17" s="381">
        <f>T13+T15</f>
        <v>563070.5</v>
      </c>
      <c r="U17" s="249">
        <f t="shared" si="4"/>
        <v>-375686.69234130019</v>
      </c>
      <c r="V17" s="406">
        <f>V13+V15</f>
        <v>1380883.7486913849</v>
      </c>
      <c r="W17" s="381">
        <f>W13+W15</f>
        <v>1008958.5</v>
      </c>
      <c r="X17" s="407">
        <f t="shared" si="5"/>
        <v>-371925.24869138491</v>
      </c>
      <c r="Y17" s="249">
        <f>Y13+Y15</f>
        <v>1255275.7857280003</v>
      </c>
      <c r="Z17" s="381">
        <f>Z13+Z15</f>
        <v>1315618</v>
      </c>
      <c r="AA17" s="249">
        <f t="shared" si="6"/>
        <v>60342.214271999663</v>
      </c>
      <c r="AB17" s="406">
        <f>AB13+AB15</f>
        <v>3002679.3344193855</v>
      </c>
      <c r="AC17" s="381">
        <f>AC13+AC15</f>
        <v>3016606.5</v>
      </c>
      <c r="AD17" s="407">
        <f t="shared" si="7"/>
        <v>13927.16558061447</v>
      </c>
      <c r="AF17" s="6">
        <f>+'골재사업소(당월)'!AF17+'[4]골재사업소(누계)'!AF17</f>
        <v>3002679.3344193855</v>
      </c>
      <c r="AG17" s="6">
        <f>+'골재사업소(당월)'!AG17+'[4]골재사업소(누계)'!AG17</f>
        <v>3016606.5</v>
      </c>
    </row>
    <row r="18" spans="4:33" ht="24" customHeight="1">
      <c r="D18" s="76"/>
      <c r="E18" s="247" t="s">
        <v>7</v>
      </c>
      <c r="F18" s="246" t="s">
        <v>134</v>
      </c>
      <c r="G18" s="230">
        <f>+'골재사업소(당월)'!G18+'[4]골재사업소(누계)'!G18</f>
        <v>141858.19681693712</v>
      </c>
      <c r="H18" s="382">
        <f>+'골재사업소(당월)'!H18+'[4]골재사업소(누계)'!H18</f>
        <v>86475.319785589352</v>
      </c>
      <c r="I18" s="233">
        <f t="shared" si="0"/>
        <v>-55382.877031347773</v>
      </c>
      <c r="J18" s="232">
        <f>+'골재사업소(당월)'!J18+'[4]골재사업소(누계)'!J18</f>
        <v>2033.3022670358764</v>
      </c>
      <c r="K18" s="382">
        <f>+'골재사업소(당월)'!K18+'[4]골재사업소(누계)'!K18</f>
        <v>7025.7104366556478</v>
      </c>
      <c r="L18" s="231">
        <f t="shared" si="1"/>
        <v>4992.4081696197718</v>
      </c>
      <c r="M18" s="408">
        <f>+G18+J18</f>
        <v>143891.499083973</v>
      </c>
      <c r="N18" s="382">
        <f>+H18+K18</f>
        <v>93501.030222244997</v>
      </c>
      <c r="O18" s="409">
        <f t="shared" si="2"/>
        <v>-50390.468861728004</v>
      </c>
      <c r="P18" s="661">
        <f>+'골재사업소(당월)'!P18+'[4]골재사업소(누계)'!P18</f>
        <v>-47962.259026500011</v>
      </c>
      <c r="Q18" s="382">
        <f>+'골재사업소(당월)'!Q18+'[4]골재사업소(누계)'!Q18</f>
        <v>-3627.379735786275</v>
      </c>
      <c r="R18" s="233">
        <f t="shared" si="3"/>
        <v>44334.879290713739</v>
      </c>
      <c r="S18" s="232">
        <f>+'골재사업소(당월)'!S18+'[4]골재사업소(누계)'!S18</f>
        <v>56235.42852961157</v>
      </c>
      <c r="T18" s="382">
        <f>+'골재사업소(당월)'!T18+'[4]골재사업소(누계)'!T18</f>
        <v>107424.12247083012</v>
      </c>
      <c r="U18" s="231">
        <f t="shared" si="4"/>
        <v>51188.693941218546</v>
      </c>
      <c r="V18" s="408">
        <f>+P18+S18</f>
        <v>8273.1695031115596</v>
      </c>
      <c r="W18" s="382">
        <f>+Q18+T18</f>
        <v>103796.74273504384</v>
      </c>
      <c r="X18" s="409">
        <f t="shared" si="5"/>
        <v>95523.573231932271</v>
      </c>
      <c r="Y18" s="231">
        <f>+'골재사업소(당월)'!Y18+'[4]골재사업소(누계)'!Y18</f>
        <v>31181.609585358907</v>
      </c>
      <c r="Z18" s="382">
        <f>+'골재사업소(당월)'!Z18+'[4]골재사업소(누계)'!Z18</f>
        <v>90142.841</v>
      </c>
      <c r="AA18" s="231">
        <f t="shared" si="6"/>
        <v>58961.231414641094</v>
      </c>
      <c r="AB18" s="408">
        <f t="shared" ref="AB18:AC19" si="8">+M18+V18+Y18</f>
        <v>183346.27817244348</v>
      </c>
      <c r="AC18" s="382">
        <f t="shared" si="8"/>
        <v>287440.61395728885</v>
      </c>
      <c r="AD18" s="409">
        <f t="shared" si="7"/>
        <v>104094.33578484537</v>
      </c>
      <c r="AF18" s="6" t="b">
        <f>+AF17=AB17</f>
        <v>1</v>
      </c>
      <c r="AG18" s="6" t="b">
        <f>+AG17=AC17</f>
        <v>1</v>
      </c>
    </row>
    <row r="19" spans="4:33" ht="24" customHeight="1">
      <c r="D19" s="76"/>
      <c r="E19" s="166"/>
      <c r="F19" s="245" t="s">
        <v>133</v>
      </c>
      <c r="G19" s="241">
        <f>+'골재사업소(당월)'!G19+'[4]골재사업소(누계)'!G19</f>
        <v>0</v>
      </c>
      <c r="H19" s="383">
        <f>+'골재사업소(당월)'!H19+'[4]골재사업소(누계)'!H19</f>
        <v>-12269.687890009058</v>
      </c>
      <c r="I19" s="244">
        <f t="shared" si="0"/>
        <v>-12269.687890009058</v>
      </c>
      <c r="J19" s="243">
        <f>+'골재사업소(당월)'!J19+'[4]골재사업소(누계)'!J19</f>
        <v>0</v>
      </c>
      <c r="K19" s="383">
        <f>+'골재사업소(당월)'!K19+'[4]골재사업소(누계)'!K19</f>
        <v>10495.381891182944</v>
      </c>
      <c r="L19" s="242">
        <f t="shared" si="1"/>
        <v>10495.381891182944</v>
      </c>
      <c r="M19" s="410">
        <f>+G19+J19</f>
        <v>0</v>
      </c>
      <c r="N19" s="383">
        <f>+H19+K19</f>
        <v>-1774.3059988261139</v>
      </c>
      <c r="O19" s="411">
        <f t="shared" si="2"/>
        <v>-1774.3059988261139</v>
      </c>
      <c r="P19" s="241">
        <f>+'골재사업소(당월)'!P19+'[4]골재사업소(누계)'!P19</f>
        <v>-77214.301984396225</v>
      </c>
      <c r="Q19" s="383">
        <f>+'골재사업소(당월)'!Q19+'[4]골재사업소(누계)'!Q19</f>
        <v>-30154.486780907588</v>
      </c>
      <c r="R19" s="244">
        <f t="shared" si="3"/>
        <v>47059.815203488637</v>
      </c>
      <c r="S19" s="243">
        <f>+'골재사업소(당월)'!S19+'[4]골재사업소(누계)'!S19</f>
        <v>11805.176001229222</v>
      </c>
      <c r="T19" s="383">
        <f>+'골재사업소(당월)'!T19+'[4]골재사업소(누계)'!T19</f>
        <v>6755.6377458637489</v>
      </c>
      <c r="U19" s="242">
        <f t="shared" si="4"/>
        <v>-5049.5382553654727</v>
      </c>
      <c r="V19" s="410">
        <f>+P19+S19</f>
        <v>-65409.125983167003</v>
      </c>
      <c r="W19" s="383">
        <f>+Q19+T19</f>
        <v>-23398.849035043837</v>
      </c>
      <c r="X19" s="411">
        <f t="shared" si="5"/>
        <v>42010.276948123166</v>
      </c>
      <c r="Y19" s="242">
        <f>+'골재사업소(당월)'!Y19+'[4]골재사업소(누계)'!Y19</f>
        <v>19768.362770592605</v>
      </c>
      <c r="Z19" s="383">
        <f>+'골재사업소(당월)'!Z19+'[4]골재사업소(누계)'!Z19</f>
        <v>985.63863920899894</v>
      </c>
      <c r="AA19" s="242">
        <f t="shared" si="6"/>
        <v>-18782.724131383606</v>
      </c>
      <c r="AB19" s="410">
        <f t="shared" si="8"/>
        <v>-45640.763212574398</v>
      </c>
      <c r="AC19" s="383">
        <f t="shared" si="8"/>
        <v>-24187.516394660954</v>
      </c>
      <c r="AD19" s="411">
        <f t="shared" si="7"/>
        <v>21453.246817913445</v>
      </c>
    </row>
    <row r="20" spans="4:33" ht="24" customHeight="1">
      <c r="D20" s="76"/>
      <c r="E20" s="667"/>
      <c r="F20" s="240" t="s">
        <v>58</v>
      </c>
      <c r="G20" s="236">
        <f>G18+G19</f>
        <v>141858.19681693712</v>
      </c>
      <c r="H20" s="384">
        <f>H18+H19</f>
        <v>74205.6318955803</v>
      </c>
      <c r="I20" s="239">
        <f t="shared" si="0"/>
        <v>-67652.564921356825</v>
      </c>
      <c r="J20" s="238">
        <f>J18+J19</f>
        <v>2033.3022670358764</v>
      </c>
      <c r="K20" s="384">
        <f>K18+K19</f>
        <v>17521.092327838593</v>
      </c>
      <c r="L20" s="237">
        <f t="shared" si="1"/>
        <v>15487.790060802716</v>
      </c>
      <c r="M20" s="412">
        <f>M18+M19</f>
        <v>143891.499083973</v>
      </c>
      <c r="N20" s="384">
        <f>N18+N19</f>
        <v>91726.724223418889</v>
      </c>
      <c r="O20" s="413">
        <f t="shared" si="2"/>
        <v>-52164.774860554113</v>
      </c>
      <c r="P20" s="236">
        <f>P18+P19</f>
        <v>-125176.56101089623</v>
      </c>
      <c r="Q20" s="384">
        <f>Q18+Q19</f>
        <v>-33781.866516693859</v>
      </c>
      <c r="R20" s="239">
        <f t="shared" si="3"/>
        <v>91394.694494202369</v>
      </c>
      <c r="S20" s="238">
        <f>S18+S19</f>
        <v>68040.604530840792</v>
      </c>
      <c r="T20" s="384">
        <f>T18+T19</f>
        <v>114179.76021669386</v>
      </c>
      <c r="U20" s="237">
        <f t="shared" si="4"/>
        <v>46139.155685853068</v>
      </c>
      <c r="V20" s="412">
        <f>V18+V19</f>
        <v>-57135.956480055444</v>
      </c>
      <c r="W20" s="384">
        <f>W18+W19</f>
        <v>80397.893700000001</v>
      </c>
      <c r="X20" s="413">
        <f t="shared" si="5"/>
        <v>137533.85018005545</v>
      </c>
      <c r="Y20" s="237">
        <f>Y18+Y19</f>
        <v>50949.972355951511</v>
      </c>
      <c r="Z20" s="384">
        <f>Z18+Z19</f>
        <v>91128.479639208992</v>
      </c>
      <c r="AA20" s="237">
        <f t="shared" si="6"/>
        <v>40178.507283257481</v>
      </c>
      <c r="AB20" s="412">
        <f>AB18+AB19</f>
        <v>137705.51495986909</v>
      </c>
      <c r="AC20" s="384">
        <f>AC18+AC19</f>
        <v>263253.09756262787</v>
      </c>
      <c r="AD20" s="413">
        <f t="shared" si="7"/>
        <v>125547.58260275878</v>
      </c>
      <c r="AF20" s="6">
        <f>+'골재사업소(당월)'!AF20+'[4]골재사업소(누계)'!AF20</f>
        <v>137705.51495986892</v>
      </c>
      <c r="AG20" s="6">
        <f>+'골재사업소(당월)'!AG20+'[4]골재사업소(누계)'!AG20</f>
        <v>263253.09755262791</v>
      </c>
    </row>
    <row r="21" spans="4:33" ht="24" customHeight="1">
      <c r="D21" s="76"/>
      <c r="E21" s="235" t="s">
        <v>132</v>
      </c>
      <c r="F21" s="234" t="s">
        <v>25</v>
      </c>
      <c r="G21" s="230">
        <f>+'골재사업소(당월)'!G21+'[4]골재사업소(누계)'!G21</f>
        <v>0</v>
      </c>
      <c r="H21" s="382">
        <f>+'골재사업소(당월)'!H21+'[4]골재사업소(누계)'!H21</f>
        <v>1872</v>
      </c>
      <c r="I21" s="233">
        <f t="shared" si="0"/>
        <v>1872</v>
      </c>
      <c r="J21" s="232">
        <f>+'골재사업소(당월)'!J21+'[4]골재사업소(누계)'!J21</f>
        <v>0</v>
      </c>
      <c r="K21" s="382">
        <f>+'골재사업소(당월)'!K21+'[4]골재사업소(누계)'!K21</f>
        <v>0</v>
      </c>
      <c r="L21" s="231">
        <f t="shared" si="1"/>
        <v>0</v>
      </c>
      <c r="M21" s="408">
        <f t="shared" ref="M21:N26" si="9">+G21+J21</f>
        <v>0</v>
      </c>
      <c r="N21" s="382">
        <f t="shared" si="9"/>
        <v>1872</v>
      </c>
      <c r="O21" s="409">
        <f t="shared" si="2"/>
        <v>1872</v>
      </c>
      <c r="P21" s="230">
        <f>+'골재사업소(당월)'!P21+'[4]골재사업소(누계)'!P21</f>
        <v>18632.909771880295</v>
      </c>
      <c r="Q21" s="382">
        <f>+'골재사업소(당월)'!Q21+'[4]골재사업소(누계)'!Q21</f>
        <v>20640</v>
      </c>
      <c r="R21" s="233">
        <f t="shared" si="3"/>
        <v>2007.090228119705</v>
      </c>
      <c r="S21" s="232">
        <f>+'골재사업소(당월)'!S21+'[4]골재사업소(누계)'!S21</f>
        <v>12893.87358005653</v>
      </c>
      <c r="T21" s="382">
        <f>+'골재사업소(당월)'!T21+'[4]골재사업소(누계)'!T21</f>
        <v>14323</v>
      </c>
      <c r="U21" s="231">
        <f t="shared" si="4"/>
        <v>1429.12641994347</v>
      </c>
      <c r="V21" s="408">
        <f t="shared" ref="V21:W26" si="10">+P21+S21</f>
        <v>31526.783351936825</v>
      </c>
      <c r="W21" s="382">
        <f t="shared" si="10"/>
        <v>34963</v>
      </c>
      <c r="X21" s="409">
        <f t="shared" si="5"/>
        <v>3436.2166480631749</v>
      </c>
      <c r="Y21" s="231">
        <f>+'골재사업소(당월)'!Y21+'[4]골재사업소(누계)'!Y21</f>
        <v>7243.1251265105711</v>
      </c>
      <c r="Z21" s="382">
        <f>+'골재사업소(당월)'!Z21+'[4]골재사업소(누계)'!Z21</f>
        <v>8633</v>
      </c>
      <c r="AA21" s="231">
        <f t="shared" si="6"/>
        <v>1389.8748734894289</v>
      </c>
      <c r="AB21" s="408">
        <f t="shared" ref="AB21:AC26" si="11">+M21+V21+Y21</f>
        <v>38769.908478447396</v>
      </c>
      <c r="AC21" s="382">
        <f t="shared" si="11"/>
        <v>45468</v>
      </c>
      <c r="AD21" s="409">
        <f t="shared" si="7"/>
        <v>6698.0915215526038</v>
      </c>
      <c r="AF21" s="595" t="b">
        <f>+AF20=AB20</f>
        <v>1</v>
      </c>
      <c r="AG21" s="595" t="b">
        <f>+AG20=AC20</f>
        <v>0</v>
      </c>
    </row>
    <row r="22" spans="4:33" ht="24" customHeight="1">
      <c r="D22" s="76"/>
      <c r="E22" s="166" t="s">
        <v>0</v>
      </c>
      <c r="F22" s="221" t="s">
        <v>26</v>
      </c>
      <c r="G22" s="226">
        <f>+'골재사업소(당월)'!G22+'[4]골재사업소(누계)'!G22</f>
        <v>21758</v>
      </c>
      <c r="H22" s="385">
        <f>+'골재사업소(당월)'!H22+'[4]골재사업소(누계)'!H22</f>
        <v>20150</v>
      </c>
      <c r="I22" s="229">
        <f t="shared" si="0"/>
        <v>-1608</v>
      </c>
      <c r="J22" s="228">
        <f>+'골재사업소(당월)'!J22+'[4]골재사업소(누계)'!J22</f>
        <v>1751.6000000000001</v>
      </c>
      <c r="K22" s="385">
        <f>+'골재사업소(당월)'!K22+'[4]골재사업소(누계)'!K22</f>
        <v>640</v>
      </c>
      <c r="L22" s="227">
        <f t="shared" si="1"/>
        <v>-1111.6000000000001</v>
      </c>
      <c r="M22" s="414">
        <f t="shared" si="9"/>
        <v>23509.599999999999</v>
      </c>
      <c r="N22" s="385">
        <f t="shared" si="9"/>
        <v>20790</v>
      </c>
      <c r="O22" s="415">
        <f t="shared" si="2"/>
        <v>-2719.5999999999985</v>
      </c>
      <c r="P22" s="226">
        <f>+'골재사업소(당월)'!P22+'[4]골재사업소(누계)'!P22</f>
        <v>0</v>
      </c>
      <c r="Q22" s="385">
        <f>+'골재사업소(당월)'!Q22+'[4]골재사업소(누계)'!Q22</f>
        <v>176</v>
      </c>
      <c r="R22" s="229">
        <f t="shared" si="3"/>
        <v>176</v>
      </c>
      <c r="S22" s="228">
        <f>+'골재사업소(당월)'!S22+'[4]골재사업소(누계)'!S22</f>
        <v>3799.9000000000005</v>
      </c>
      <c r="T22" s="385">
        <f>+'골재사업소(당월)'!T22+'[4]골재사업소(누계)'!T22</f>
        <v>6992</v>
      </c>
      <c r="U22" s="227">
        <f t="shared" si="4"/>
        <v>3192.0999999999995</v>
      </c>
      <c r="V22" s="414">
        <f t="shared" si="10"/>
        <v>3799.9000000000005</v>
      </c>
      <c r="W22" s="385">
        <f t="shared" si="10"/>
        <v>7168</v>
      </c>
      <c r="X22" s="415">
        <f t="shared" si="5"/>
        <v>3368.0999999999995</v>
      </c>
      <c r="Y22" s="227">
        <f>+'골재사업소(당월)'!Y22+'[4]골재사업소(누계)'!Y22</f>
        <v>6926.8251748251751</v>
      </c>
      <c r="Z22" s="385">
        <f>+'골재사업소(당월)'!Z22+'[4]골재사업소(누계)'!Z22</f>
        <v>7584</v>
      </c>
      <c r="AA22" s="227">
        <f t="shared" si="6"/>
        <v>657.17482517482495</v>
      </c>
      <c r="AB22" s="414">
        <f t="shared" si="11"/>
        <v>34236.325174825179</v>
      </c>
      <c r="AC22" s="385">
        <f t="shared" si="11"/>
        <v>35542</v>
      </c>
      <c r="AD22" s="415">
        <f t="shared" si="7"/>
        <v>1305.6748251748213</v>
      </c>
      <c r="AF22" s="99">
        <f>+AB20-AF20</f>
        <v>0</v>
      </c>
      <c r="AG22" s="99">
        <f>+AC20-AG20</f>
        <v>9.9999597296118736E-6</v>
      </c>
    </row>
    <row r="23" spans="4:33" ht="24" customHeight="1">
      <c r="D23" s="76"/>
      <c r="E23" s="166"/>
      <c r="F23" s="221" t="s">
        <v>27</v>
      </c>
      <c r="G23" s="226">
        <f>+'골재사업소(당월)'!G23+'[4]골재사업소(누계)'!G23</f>
        <v>0</v>
      </c>
      <c r="H23" s="385">
        <f>+'골재사업소(당월)'!H23+'[4]골재사업소(누계)'!H23</f>
        <v>1648</v>
      </c>
      <c r="I23" s="229">
        <f t="shared" si="0"/>
        <v>1648</v>
      </c>
      <c r="J23" s="228">
        <f>+'골재사업소(당월)'!J23+'[4]골재사업소(누계)'!J23</f>
        <v>0</v>
      </c>
      <c r="K23" s="385">
        <f>+'골재사업소(당월)'!K23+'[4]골재사업소(누계)'!K23</f>
        <v>0</v>
      </c>
      <c r="L23" s="227">
        <f t="shared" si="1"/>
        <v>0</v>
      </c>
      <c r="M23" s="414">
        <f t="shared" si="9"/>
        <v>0</v>
      </c>
      <c r="N23" s="385">
        <f t="shared" si="9"/>
        <v>1648</v>
      </c>
      <c r="O23" s="415">
        <f t="shared" si="2"/>
        <v>1648</v>
      </c>
      <c r="P23" s="226">
        <f>+'골재사업소(당월)'!P23+'[4]골재사업소(누계)'!P23</f>
        <v>0</v>
      </c>
      <c r="Q23" s="385">
        <f>+'골재사업소(당월)'!Q23+'[4]골재사업소(누계)'!Q23</f>
        <v>0</v>
      </c>
      <c r="R23" s="229">
        <f t="shared" si="3"/>
        <v>0</v>
      </c>
      <c r="S23" s="228">
        <f>+'골재사업소(당월)'!S23+'[4]골재사업소(누계)'!S23</f>
        <v>0</v>
      </c>
      <c r="T23" s="385">
        <f>+'골재사업소(당월)'!T23+'[4]골재사업소(누계)'!T23</f>
        <v>0</v>
      </c>
      <c r="U23" s="227">
        <f t="shared" si="4"/>
        <v>0</v>
      </c>
      <c r="V23" s="414">
        <f t="shared" si="10"/>
        <v>0</v>
      </c>
      <c r="W23" s="385">
        <f t="shared" si="10"/>
        <v>0</v>
      </c>
      <c r="X23" s="415">
        <f t="shared" si="5"/>
        <v>0</v>
      </c>
      <c r="Y23" s="227">
        <f>+'골재사업소(당월)'!Y23+'[4]골재사업소(누계)'!Y23</f>
        <v>4118.8811188811187</v>
      </c>
      <c r="Z23" s="385">
        <f>+'골재사업소(당월)'!Z23+'[4]골재사업소(누계)'!Z23</f>
        <v>0</v>
      </c>
      <c r="AA23" s="227">
        <f t="shared" si="6"/>
        <v>-4118.8811188811187</v>
      </c>
      <c r="AB23" s="414">
        <f t="shared" si="11"/>
        <v>4118.8811188811187</v>
      </c>
      <c r="AC23" s="385">
        <f t="shared" si="11"/>
        <v>1648</v>
      </c>
      <c r="AD23" s="415">
        <f t="shared" si="7"/>
        <v>-2470.8811188811187</v>
      </c>
    </row>
    <row r="24" spans="4:33" ht="24" customHeight="1">
      <c r="D24" s="76"/>
      <c r="E24" s="166"/>
      <c r="F24" s="221" t="s">
        <v>28</v>
      </c>
      <c r="G24" s="226">
        <f>+'골재사업소(당월)'!G24+'[4]골재사업소(누계)'!G24</f>
        <v>0</v>
      </c>
      <c r="H24" s="385">
        <f>+'골재사업소(당월)'!H24+'[4]골재사업소(누계)'!H24</f>
        <v>0</v>
      </c>
      <c r="I24" s="229">
        <f t="shared" si="0"/>
        <v>0</v>
      </c>
      <c r="J24" s="228">
        <f>+'골재사업소(당월)'!J24+'[4]골재사업소(누계)'!J24</f>
        <v>0</v>
      </c>
      <c r="K24" s="385">
        <f>+'골재사업소(당월)'!K24+'[4]골재사업소(누계)'!K24</f>
        <v>0</v>
      </c>
      <c r="L24" s="227">
        <f t="shared" si="1"/>
        <v>0</v>
      </c>
      <c r="M24" s="414">
        <f t="shared" si="9"/>
        <v>0</v>
      </c>
      <c r="N24" s="385">
        <f t="shared" si="9"/>
        <v>0</v>
      </c>
      <c r="O24" s="415">
        <f t="shared" si="2"/>
        <v>0</v>
      </c>
      <c r="P24" s="226">
        <f>+'골재사업소(당월)'!P24+'[4]골재사업소(누계)'!P24</f>
        <v>0</v>
      </c>
      <c r="Q24" s="385">
        <f>+'골재사업소(당월)'!Q24+'[4]골재사업소(누계)'!Q24</f>
        <v>0</v>
      </c>
      <c r="R24" s="229">
        <f t="shared" si="3"/>
        <v>0</v>
      </c>
      <c r="S24" s="228">
        <f>+'골재사업소(당월)'!S24+'[4]골재사업소(누계)'!S24</f>
        <v>0</v>
      </c>
      <c r="T24" s="385">
        <f>+'골재사업소(당월)'!T24+'[4]골재사업소(누계)'!T24</f>
        <v>128</v>
      </c>
      <c r="U24" s="227">
        <f t="shared" si="4"/>
        <v>128</v>
      </c>
      <c r="V24" s="414">
        <f t="shared" si="10"/>
        <v>0</v>
      </c>
      <c r="W24" s="385">
        <f t="shared" si="10"/>
        <v>128</v>
      </c>
      <c r="X24" s="415">
        <f t="shared" si="5"/>
        <v>128</v>
      </c>
      <c r="Y24" s="227">
        <f>+'골재사업소(당월)'!Y24+'[4]골재사업소(누계)'!Y24</f>
        <v>7874.6853146853136</v>
      </c>
      <c r="Z24" s="385">
        <f>+'골재사업소(당월)'!Z24+'[4]골재사업소(누계)'!Z24</f>
        <v>0</v>
      </c>
      <c r="AA24" s="227">
        <f t="shared" si="6"/>
        <v>-7874.6853146853136</v>
      </c>
      <c r="AB24" s="414">
        <f t="shared" si="11"/>
        <v>7874.6853146853136</v>
      </c>
      <c r="AC24" s="385">
        <f t="shared" si="11"/>
        <v>128</v>
      </c>
      <c r="AD24" s="415">
        <f t="shared" si="7"/>
        <v>-7746.6853146853136</v>
      </c>
    </row>
    <row r="25" spans="4:33" ht="24" customHeight="1">
      <c r="D25" s="76"/>
      <c r="E25" s="166"/>
      <c r="F25" s="221" t="s">
        <v>29</v>
      </c>
      <c r="G25" s="226">
        <f>+'골재사업소(당월)'!G25+'[4]골재사업소(누계)'!G25</f>
        <v>0</v>
      </c>
      <c r="H25" s="385">
        <f>+'골재사업소(당월)'!H25+'[4]골재사업소(누계)'!H25</f>
        <v>0</v>
      </c>
      <c r="I25" s="229">
        <f t="shared" si="0"/>
        <v>0</v>
      </c>
      <c r="J25" s="228">
        <f>+'골재사업소(당월)'!J25+'[4]골재사업소(누계)'!J25</f>
        <v>0</v>
      </c>
      <c r="K25" s="385">
        <f>+'골재사업소(당월)'!K25+'[4]골재사업소(누계)'!K25</f>
        <v>528</v>
      </c>
      <c r="L25" s="227">
        <f t="shared" si="1"/>
        <v>528</v>
      </c>
      <c r="M25" s="414">
        <f t="shared" si="9"/>
        <v>0</v>
      </c>
      <c r="N25" s="385">
        <f t="shared" si="9"/>
        <v>528</v>
      </c>
      <c r="O25" s="415">
        <f t="shared" si="2"/>
        <v>528</v>
      </c>
      <c r="P25" s="226">
        <f>+'골재사업소(당월)'!P25+'[4]골재사업소(누계)'!P25</f>
        <v>0</v>
      </c>
      <c r="Q25" s="385">
        <f>+'골재사업소(당월)'!Q25+'[4]골재사업소(누계)'!Q25</f>
        <v>0</v>
      </c>
      <c r="R25" s="229">
        <f t="shared" si="3"/>
        <v>0</v>
      </c>
      <c r="S25" s="228">
        <f>+'골재사업소(당월)'!S25+'[4]골재사업소(누계)'!S25</f>
        <v>0</v>
      </c>
      <c r="T25" s="385">
        <f>+'골재사업소(당월)'!T25+'[4]골재사업소(누계)'!T25</f>
        <v>240</v>
      </c>
      <c r="U25" s="227">
        <f t="shared" si="4"/>
        <v>240</v>
      </c>
      <c r="V25" s="414">
        <f t="shared" si="10"/>
        <v>0</v>
      </c>
      <c r="W25" s="385">
        <f t="shared" si="10"/>
        <v>240</v>
      </c>
      <c r="X25" s="415">
        <f t="shared" si="5"/>
        <v>240</v>
      </c>
      <c r="Y25" s="227">
        <f>+'골재사업소(당월)'!Y25+'[4]골재사업소(누계)'!Y25</f>
        <v>1991.2517482517483</v>
      </c>
      <c r="Z25" s="385">
        <f>+'골재사업소(당월)'!Z25+'[4]골재사업소(누계)'!Z25</f>
        <v>5168</v>
      </c>
      <c r="AA25" s="227">
        <f t="shared" si="6"/>
        <v>3176.7482517482517</v>
      </c>
      <c r="AB25" s="414">
        <f t="shared" si="11"/>
        <v>1991.2517482517483</v>
      </c>
      <c r="AC25" s="385">
        <f t="shared" si="11"/>
        <v>5936</v>
      </c>
      <c r="AD25" s="415">
        <f t="shared" si="7"/>
        <v>3944.7482517482517</v>
      </c>
    </row>
    <row r="26" spans="4:33" ht="24" customHeight="1">
      <c r="D26" s="76"/>
      <c r="E26" s="166"/>
      <c r="F26" s="221" t="s">
        <v>30</v>
      </c>
      <c r="G26" s="226">
        <f>+'골재사업소(당월)'!G26+'[4]골재사업소(누계)'!G26</f>
        <v>0</v>
      </c>
      <c r="H26" s="385">
        <f>+'골재사업소(당월)'!H26+'[4]골재사업소(누계)'!H26</f>
        <v>160</v>
      </c>
      <c r="I26" s="229">
        <f t="shared" si="0"/>
        <v>160</v>
      </c>
      <c r="J26" s="228">
        <f>+'골재사업소(당월)'!J26+'[4]골재사업소(누계)'!J26</f>
        <v>0</v>
      </c>
      <c r="K26" s="385">
        <f>+'골재사업소(당월)'!K26+'[4]골재사업소(누계)'!K26</f>
        <v>240</v>
      </c>
      <c r="L26" s="227">
        <f t="shared" si="1"/>
        <v>240</v>
      </c>
      <c r="M26" s="414">
        <f t="shared" si="9"/>
        <v>0</v>
      </c>
      <c r="N26" s="383">
        <f t="shared" si="9"/>
        <v>400</v>
      </c>
      <c r="O26" s="433">
        <f t="shared" si="2"/>
        <v>400</v>
      </c>
      <c r="P26" s="226">
        <f>+'골재사업소(당월)'!P26+'[4]골재사업소(누계)'!P26</f>
        <v>0</v>
      </c>
      <c r="Q26" s="385">
        <f>+'골재사업소(당월)'!Q26+'[4]골재사업소(누계)'!Q26</f>
        <v>0</v>
      </c>
      <c r="R26" s="229">
        <f t="shared" si="3"/>
        <v>0</v>
      </c>
      <c r="S26" s="228">
        <f>+'골재사업소(당월)'!S26+'[4]골재사업소(누계)'!S26</f>
        <v>0</v>
      </c>
      <c r="T26" s="385">
        <f>+'골재사업소(당월)'!T26+'[4]골재사업소(누계)'!T26</f>
        <v>0</v>
      </c>
      <c r="U26" s="227">
        <f t="shared" si="4"/>
        <v>0</v>
      </c>
      <c r="V26" s="414">
        <f t="shared" si="10"/>
        <v>0</v>
      </c>
      <c r="W26" s="383">
        <f t="shared" si="10"/>
        <v>0</v>
      </c>
      <c r="X26" s="433">
        <f t="shared" si="5"/>
        <v>0</v>
      </c>
      <c r="Y26" s="227">
        <f>+'골재사업소(당월)'!Y26+'[4]골재사업소(누계)'!Y26</f>
        <v>0</v>
      </c>
      <c r="Z26" s="385">
        <f>+'골재사업소(당월)'!Z26+'[4]골재사업소(누계)'!Z26</f>
        <v>0</v>
      </c>
      <c r="AA26" s="227">
        <f t="shared" si="6"/>
        <v>0</v>
      </c>
      <c r="AB26" s="414">
        <f t="shared" si="11"/>
        <v>0</v>
      </c>
      <c r="AC26" s="383">
        <f t="shared" si="11"/>
        <v>400</v>
      </c>
      <c r="AD26" s="415">
        <f t="shared" si="7"/>
        <v>400</v>
      </c>
    </row>
    <row r="27" spans="4:33" ht="24" customHeight="1">
      <c r="D27" s="76"/>
      <c r="E27" s="225" t="s">
        <v>132</v>
      </c>
      <c r="F27" s="224" t="s">
        <v>25</v>
      </c>
      <c r="G27" s="192">
        <f>IFERROR(G35/G21,)*1000</f>
        <v>0</v>
      </c>
      <c r="H27" s="386">
        <f t="shared" ref="H27:H32" si="12">IFERROR(H35/H21,)*1000</f>
        <v>12500</v>
      </c>
      <c r="I27" s="193">
        <f t="shared" si="0"/>
        <v>12500</v>
      </c>
      <c r="J27" s="223">
        <f t="shared" ref="J27:K27" si="13">IFERROR(J35/J21,)*1000</f>
        <v>0</v>
      </c>
      <c r="K27" s="386">
        <f t="shared" si="13"/>
        <v>0</v>
      </c>
      <c r="L27" s="205">
        <f t="shared" si="1"/>
        <v>0</v>
      </c>
      <c r="M27" s="428">
        <f>+IFERROR(HLOOKUP($A$1,[14]손익!$G$5:$AB$252,48,),)</f>
        <v>0</v>
      </c>
      <c r="N27" s="424">
        <f t="shared" ref="N27:N32" si="14">IFERROR(N35/N21,)*1000</f>
        <v>12500</v>
      </c>
      <c r="O27" s="434">
        <f t="shared" si="2"/>
        <v>12500</v>
      </c>
      <c r="P27" s="192">
        <f t="shared" ref="P27:Q27" si="15">IFERROR(P35/P21,)*1000</f>
        <v>16000</v>
      </c>
      <c r="Q27" s="386">
        <f t="shared" si="15"/>
        <v>17500</v>
      </c>
      <c r="R27" s="193">
        <f t="shared" si="3"/>
        <v>1500</v>
      </c>
      <c r="S27" s="223">
        <f t="shared" ref="S27:T27" si="16">IFERROR(S35/S21,)*1000</f>
        <v>23000.000000000004</v>
      </c>
      <c r="T27" s="386">
        <f t="shared" si="16"/>
        <v>23500</v>
      </c>
      <c r="U27" s="205">
        <f t="shared" si="4"/>
        <v>499.99999999999636</v>
      </c>
      <c r="V27" s="428">
        <f>+IFERROR(HLOOKUP($A$1,[15]손익!$G$5:$AB$252,48,),)</f>
        <v>18865.737806105593</v>
      </c>
      <c r="W27" s="424">
        <f t="shared" ref="W27:W32" si="17">IFERROR(W35/W21,)*1000</f>
        <v>19957.969853845494</v>
      </c>
      <c r="X27" s="434">
        <f t="shared" si="5"/>
        <v>1092.2320477399007</v>
      </c>
      <c r="Y27" s="205">
        <f t="shared" ref="Y27:Z27" si="18">IFERROR(Y35/Y21,)*1000</f>
        <v>31396.602919076486</v>
      </c>
      <c r="Z27" s="386">
        <f t="shared" si="18"/>
        <v>32000</v>
      </c>
      <c r="AA27" s="205">
        <f t="shared" si="6"/>
        <v>603.3970809235143</v>
      </c>
      <c r="AB27" s="416">
        <f t="shared" ref="AB27:AB32" si="19">+AB35/AB21*1000</f>
        <v>21204.46512373467</v>
      </c>
      <c r="AC27" s="386">
        <f t="shared" ref="AC27:AC32" si="20">IFERROR(AC35/AC21,)*1000</f>
        <v>21937.329550453065</v>
      </c>
      <c r="AD27" s="417">
        <f t="shared" si="7"/>
        <v>732.86442671839541</v>
      </c>
    </row>
    <row r="28" spans="4:33" ht="24" customHeight="1">
      <c r="D28" s="76"/>
      <c r="E28" s="166" t="s">
        <v>131</v>
      </c>
      <c r="F28" s="221" t="s">
        <v>26</v>
      </c>
      <c r="G28" s="190">
        <f t="shared" ref="G28" si="21">IFERROR(G36/G22,)*1000</f>
        <v>16000</v>
      </c>
      <c r="H28" s="95">
        <f t="shared" si="12"/>
        <v>17000</v>
      </c>
      <c r="I28" s="191">
        <f t="shared" si="0"/>
        <v>1000</v>
      </c>
      <c r="J28" s="220">
        <f t="shared" ref="J28:K28" si="22">IFERROR(J36/J22,)*1000</f>
        <v>10500</v>
      </c>
      <c r="K28" s="95">
        <f t="shared" si="22"/>
        <v>10500</v>
      </c>
      <c r="L28" s="196">
        <f t="shared" si="1"/>
        <v>0</v>
      </c>
      <c r="M28" s="429">
        <f>+IFERROR(HLOOKUP($A$1,[14]손익!$G$5:$AB$252,49,),)</f>
        <v>0</v>
      </c>
      <c r="N28" s="425">
        <f t="shared" si="14"/>
        <v>16799.903799903797</v>
      </c>
      <c r="O28" s="435">
        <f t="shared" si="2"/>
        <v>16799.903799903797</v>
      </c>
      <c r="P28" s="190">
        <f t="shared" ref="P28:Q28" si="23">IFERROR(P36/P22,)*1000</f>
        <v>0</v>
      </c>
      <c r="Q28" s="95">
        <f t="shared" si="23"/>
        <v>12000</v>
      </c>
      <c r="R28" s="191">
        <f t="shared" si="3"/>
        <v>12000</v>
      </c>
      <c r="S28" s="220">
        <f t="shared" ref="S28:T28" si="24">IFERROR(S36/S22,)*1000</f>
        <v>19000</v>
      </c>
      <c r="T28" s="95">
        <f t="shared" si="24"/>
        <v>20000</v>
      </c>
      <c r="U28" s="196">
        <f t="shared" si="4"/>
        <v>1000</v>
      </c>
      <c r="V28" s="429">
        <f>+IFERROR(HLOOKUP($A$1,[15]손익!$G$5:$AB$252,49,),)</f>
        <v>19000</v>
      </c>
      <c r="W28" s="425">
        <f t="shared" si="17"/>
        <v>19803.571428571428</v>
      </c>
      <c r="X28" s="435">
        <f t="shared" si="5"/>
        <v>803.57142857142753</v>
      </c>
      <c r="Y28" s="196">
        <f t="shared" ref="Y28:Z28" si="25">IFERROR(Y36/Y22,)*1000</f>
        <v>27999.999999999996</v>
      </c>
      <c r="Z28" s="95">
        <f t="shared" si="25"/>
        <v>28000</v>
      </c>
      <c r="AA28" s="196">
        <f t="shared" si="6"/>
        <v>0</v>
      </c>
      <c r="AB28" s="418">
        <f t="shared" si="19"/>
        <v>18479.465937551093</v>
      </c>
      <c r="AC28" s="95">
        <f t="shared" si="20"/>
        <v>19795.565809464857</v>
      </c>
      <c r="AD28" s="419">
        <f t="shared" si="7"/>
        <v>1316.0998719137642</v>
      </c>
    </row>
    <row r="29" spans="4:33" ht="24" customHeight="1">
      <c r="D29" s="76"/>
      <c r="E29" s="166"/>
      <c r="F29" s="221" t="s">
        <v>27</v>
      </c>
      <c r="G29" s="190">
        <f t="shared" ref="G29" si="26">IFERROR(G37/G23,)*1000</f>
        <v>0</v>
      </c>
      <c r="H29" s="95">
        <f t="shared" si="12"/>
        <v>11500</v>
      </c>
      <c r="I29" s="191">
        <f t="shared" si="0"/>
        <v>11500</v>
      </c>
      <c r="J29" s="220">
        <f t="shared" ref="J29:K29" si="27">IFERROR(J37/J23,)*1000</f>
        <v>0</v>
      </c>
      <c r="K29" s="95">
        <f t="shared" si="27"/>
        <v>0</v>
      </c>
      <c r="L29" s="196">
        <f t="shared" si="1"/>
        <v>0</v>
      </c>
      <c r="M29" s="430">
        <f>+IFERROR(HLOOKUP($A$1,[14]손익!$G$5:$AB$252,50,),)</f>
        <v>0</v>
      </c>
      <c r="N29" s="426">
        <f t="shared" si="14"/>
        <v>11500</v>
      </c>
      <c r="O29" s="435">
        <f t="shared" si="2"/>
        <v>11500</v>
      </c>
      <c r="P29" s="190">
        <f t="shared" ref="P29:Q29" si="28">IFERROR(P37/P23,)*1000</f>
        <v>0</v>
      </c>
      <c r="Q29" s="95">
        <f t="shared" si="28"/>
        <v>0</v>
      </c>
      <c r="R29" s="191">
        <f t="shared" si="3"/>
        <v>0</v>
      </c>
      <c r="S29" s="220">
        <f t="shared" ref="S29:T29" si="29">IFERROR(S37/S23,)*1000</f>
        <v>0</v>
      </c>
      <c r="T29" s="95">
        <f t="shared" si="29"/>
        <v>0</v>
      </c>
      <c r="U29" s="196">
        <f t="shared" si="4"/>
        <v>0</v>
      </c>
      <c r="V29" s="430">
        <f>+IFERROR(HLOOKUP($A$1,[15]손익!$G$5:$AB$252,50,),)</f>
        <v>0</v>
      </c>
      <c r="W29" s="426">
        <f t="shared" si="17"/>
        <v>0</v>
      </c>
      <c r="X29" s="435">
        <f t="shared" si="5"/>
        <v>0</v>
      </c>
      <c r="Y29" s="196">
        <f t="shared" ref="Y29:Z29" si="30">IFERROR(Y37/Y23,)*1000</f>
        <v>27500</v>
      </c>
      <c r="Z29" s="95">
        <f t="shared" si="30"/>
        <v>0</v>
      </c>
      <c r="AA29" s="196">
        <f t="shared" si="6"/>
        <v>-27500</v>
      </c>
      <c r="AB29" s="418">
        <f t="shared" si="19"/>
        <v>27500</v>
      </c>
      <c r="AC29" s="95">
        <f t="shared" si="20"/>
        <v>97737.864077669903</v>
      </c>
      <c r="AD29" s="419">
        <f t="shared" si="7"/>
        <v>70237.864077669903</v>
      </c>
    </row>
    <row r="30" spans="4:33" ht="24" customHeight="1">
      <c r="D30" s="76"/>
      <c r="E30" s="166"/>
      <c r="F30" s="221" t="s">
        <v>28</v>
      </c>
      <c r="G30" s="190">
        <f t="shared" ref="G30" si="31">IFERROR(G38/G24,)*1000</f>
        <v>0</v>
      </c>
      <c r="H30" s="95">
        <f t="shared" si="12"/>
        <v>0</v>
      </c>
      <c r="I30" s="191">
        <f t="shared" si="0"/>
        <v>0</v>
      </c>
      <c r="J30" s="220">
        <f t="shared" ref="J30:K30" si="32">IFERROR(J38/J24,)*1000</f>
        <v>0</v>
      </c>
      <c r="K30" s="95">
        <f t="shared" si="32"/>
        <v>0</v>
      </c>
      <c r="L30" s="196">
        <f t="shared" si="1"/>
        <v>0</v>
      </c>
      <c r="M30" s="430">
        <f>+IFERROR(HLOOKUP($A$1,[14]손익!$G$5:$AB$252,51,),)</f>
        <v>15587.171613783692</v>
      </c>
      <c r="N30" s="55">
        <f t="shared" si="14"/>
        <v>0</v>
      </c>
      <c r="O30" s="436">
        <f t="shared" si="2"/>
        <v>-15587.171613783692</v>
      </c>
      <c r="P30" s="190">
        <f t="shared" ref="P30:Q30" si="33">IFERROR(P38/P24,)*1000</f>
        <v>0</v>
      </c>
      <c r="Q30" s="95">
        <f t="shared" si="33"/>
        <v>0</v>
      </c>
      <c r="R30" s="191">
        <f t="shared" si="3"/>
        <v>0</v>
      </c>
      <c r="S30" s="220">
        <f t="shared" ref="S30:T30" si="34">IFERROR(S38/S24,)*1000</f>
        <v>0</v>
      </c>
      <c r="T30" s="95">
        <f t="shared" si="34"/>
        <v>19000</v>
      </c>
      <c r="U30" s="196">
        <f t="shared" si="4"/>
        <v>19000</v>
      </c>
      <c r="V30" s="430">
        <f>+IFERROR(HLOOKUP($A$1,[15]손익!$G$5:$AB$252,51,),)</f>
        <v>0</v>
      </c>
      <c r="W30" s="55">
        <f t="shared" si="17"/>
        <v>19000</v>
      </c>
      <c r="X30" s="436">
        <f t="shared" si="5"/>
        <v>19000</v>
      </c>
      <c r="Y30" s="196">
        <f t="shared" ref="Y30:Z30" si="35">IFERROR(Y38/Y24,)*1000</f>
        <v>29147.058823529416</v>
      </c>
      <c r="Z30" s="95">
        <f t="shared" si="35"/>
        <v>0</v>
      </c>
      <c r="AA30" s="196">
        <f t="shared" si="6"/>
        <v>-29147.058823529416</v>
      </c>
      <c r="AB30" s="418">
        <f t="shared" si="19"/>
        <v>29147.058823529416</v>
      </c>
      <c r="AC30" s="95">
        <f t="shared" si="20"/>
        <v>1572750</v>
      </c>
      <c r="AD30" s="419">
        <f t="shared" si="7"/>
        <v>1543602.9411764706</v>
      </c>
    </row>
    <row r="31" spans="4:33" ht="24" customHeight="1">
      <c r="D31" s="76"/>
      <c r="E31" s="166"/>
      <c r="F31" s="221" t="s">
        <v>29</v>
      </c>
      <c r="G31" s="190">
        <f t="shared" ref="G31" si="36">IFERROR(G39/G25,)*1000</f>
        <v>0</v>
      </c>
      <c r="H31" s="95">
        <f t="shared" si="12"/>
        <v>0</v>
      </c>
      <c r="I31" s="191">
        <f t="shared" si="0"/>
        <v>0</v>
      </c>
      <c r="J31" s="220">
        <f t="shared" ref="J31:K31" si="37">IFERROR(J39/J25,)*1000</f>
        <v>0</v>
      </c>
      <c r="K31" s="95">
        <f t="shared" si="37"/>
        <v>9000</v>
      </c>
      <c r="L31" s="196">
        <f t="shared" si="1"/>
        <v>9000</v>
      </c>
      <c r="M31" s="430">
        <f>+IFERROR(HLOOKUP($A$1,[14]손익!$G$5:$AB$252,52,),)</f>
        <v>0</v>
      </c>
      <c r="N31" s="55">
        <f t="shared" si="14"/>
        <v>9000</v>
      </c>
      <c r="O31" s="436">
        <f t="shared" si="2"/>
        <v>9000</v>
      </c>
      <c r="P31" s="190">
        <f t="shared" ref="P31:Q31" si="38">IFERROR(P39/P25,)*1000</f>
        <v>0</v>
      </c>
      <c r="Q31" s="95">
        <f t="shared" si="38"/>
        <v>0</v>
      </c>
      <c r="R31" s="191">
        <f t="shared" si="3"/>
        <v>0</v>
      </c>
      <c r="S31" s="220">
        <f t="shared" ref="S31:T31" si="39">IFERROR(S39/S25,)*1000</f>
        <v>0</v>
      </c>
      <c r="T31" s="95">
        <f t="shared" si="39"/>
        <v>19000</v>
      </c>
      <c r="U31" s="196">
        <f t="shared" si="4"/>
        <v>19000</v>
      </c>
      <c r="V31" s="430">
        <f>+IFERROR(HLOOKUP($A$1,[15]손익!$G$5:$AB$252,52,),)</f>
        <v>0</v>
      </c>
      <c r="W31" s="55">
        <f t="shared" si="17"/>
        <v>19000</v>
      </c>
      <c r="X31" s="436">
        <f t="shared" si="5"/>
        <v>19000</v>
      </c>
      <c r="Y31" s="196">
        <f t="shared" ref="Y31:Z31" si="40">IFERROR(Y39/Y25,)*1000</f>
        <v>29314.229373939856</v>
      </c>
      <c r="Z31" s="95">
        <f t="shared" si="40"/>
        <v>5874.6130030959748</v>
      </c>
      <c r="AA31" s="196">
        <f t="shared" si="6"/>
        <v>-23439.61637084388</v>
      </c>
      <c r="AB31" s="418">
        <f t="shared" si="19"/>
        <v>29314.229373939856</v>
      </c>
      <c r="AC31" s="95">
        <f t="shared" si="20"/>
        <v>6683.2884097035039</v>
      </c>
      <c r="AD31" s="419">
        <f t="shared" si="7"/>
        <v>-22630.940964236353</v>
      </c>
    </row>
    <row r="32" spans="4:33" ht="24" customHeight="1" thickBot="1">
      <c r="D32" s="76"/>
      <c r="E32" s="218"/>
      <c r="F32" s="217" t="s">
        <v>30</v>
      </c>
      <c r="G32" s="213">
        <f t="shared" ref="G32" si="41">IFERROR(G40/G26,)*1000</f>
        <v>0</v>
      </c>
      <c r="H32" s="387">
        <f t="shared" si="12"/>
        <v>11500</v>
      </c>
      <c r="I32" s="216">
        <f t="shared" si="0"/>
        <v>11500</v>
      </c>
      <c r="J32" s="215">
        <f t="shared" ref="J32:K32" si="42">IFERROR(J40/J26,)*1000</f>
        <v>0</v>
      </c>
      <c r="K32" s="387">
        <f t="shared" si="42"/>
        <v>9000</v>
      </c>
      <c r="L32" s="214">
        <f t="shared" si="1"/>
        <v>9000</v>
      </c>
      <c r="M32" s="431">
        <f>+IFERROR(HLOOKUP($A$1,[14]손익!$G$5:$AB$252,53,),)</f>
        <v>0</v>
      </c>
      <c r="N32" s="427">
        <f t="shared" si="14"/>
        <v>10000</v>
      </c>
      <c r="O32" s="437">
        <f t="shared" si="2"/>
        <v>10000</v>
      </c>
      <c r="P32" s="213">
        <f t="shared" ref="P32:Q32" si="43">IFERROR(P40/P26,)*1000</f>
        <v>0</v>
      </c>
      <c r="Q32" s="387">
        <f t="shared" si="43"/>
        <v>0</v>
      </c>
      <c r="R32" s="216">
        <f t="shared" si="3"/>
        <v>0</v>
      </c>
      <c r="S32" s="215">
        <f t="shared" ref="S32:T32" si="44">IFERROR(S40/S26,)*1000</f>
        <v>0</v>
      </c>
      <c r="T32" s="387">
        <f t="shared" si="44"/>
        <v>0</v>
      </c>
      <c r="U32" s="214">
        <f t="shared" si="4"/>
        <v>0</v>
      </c>
      <c r="V32" s="431">
        <f>+IFERROR(HLOOKUP($A$1,[15]손익!$G$5:$AB$252,53,),)</f>
        <v>0</v>
      </c>
      <c r="W32" s="427">
        <f t="shared" si="17"/>
        <v>0</v>
      </c>
      <c r="X32" s="437">
        <f t="shared" si="5"/>
        <v>0</v>
      </c>
      <c r="Y32" s="214">
        <f t="shared" ref="Y32:Z32" si="45">IFERROR(Y40/Y26,)*1000</f>
        <v>0</v>
      </c>
      <c r="Z32" s="387">
        <f t="shared" si="45"/>
        <v>0</v>
      </c>
      <c r="AA32" s="214">
        <f t="shared" si="6"/>
        <v>0</v>
      </c>
      <c r="AB32" s="420" t="e">
        <f t="shared" si="19"/>
        <v>#DIV/0!</v>
      </c>
      <c r="AC32" s="421">
        <f t="shared" si="20"/>
        <v>10000</v>
      </c>
      <c r="AD32" s="422" t="e">
        <f t="shared" si="7"/>
        <v>#DIV/0!</v>
      </c>
    </row>
    <row r="33" spans="5:30" ht="21.95" customHeight="1" thickTop="1">
      <c r="E33" s="6" t="s">
        <v>130</v>
      </c>
      <c r="G33" s="211"/>
      <c r="H33" s="211"/>
      <c r="I33" s="211"/>
      <c r="J33" s="76"/>
      <c r="P33" s="211"/>
      <c r="Q33" s="211"/>
      <c r="R33" s="211"/>
      <c r="S33" s="76"/>
      <c r="Y33" s="76"/>
      <c r="AB33" s="76"/>
    </row>
    <row r="34" spans="5:30" ht="21.95" customHeight="1">
      <c r="J34" s="76"/>
      <c r="S34" s="76"/>
      <c r="Y34" s="76"/>
      <c r="Z34" s="6" t="s">
        <v>164</v>
      </c>
      <c r="AB34" s="76"/>
    </row>
    <row r="35" spans="5:30" ht="21.95" customHeight="1">
      <c r="E35" s="26" t="s">
        <v>132</v>
      </c>
      <c r="F35" s="432" t="s">
        <v>25</v>
      </c>
      <c r="G35" s="6">
        <f>+'골재사업소(당월)'!G35+'[4]골재사업소(누계)'!G35</f>
        <v>0</v>
      </c>
      <c r="H35" s="6">
        <f>+'골재사업소(당월)'!H35+'[4]골재사업소(누계)'!H35</f>
        <v>23400</v>
      </c>
      <c r="I35" s="6">
        <f t="shared" ref="I35:I41" si="46">+H35-G35</f>
        <v>23400</v>
      </c>
      <c r="J35" s="76">
        <f>+'골재사업소(당월)'!J35+'[4]골재사업소(누계)'!J35</f>
        <v>0</v>
      </c>
      <c r="K35" s="6">
        <f>+'골재사업소(당월)'!K35+'[4]골재사업소(누계)'!K35</f>
        <v>0</v>
      </c>
      <c r="L35" s="6">
        <f>+K35-J35</f>
        <v>0</v>
      </c>
      <c r="M35" s="6">
        <f>SUM(G35,J35)</f>
        <v>0</v>
      </c>
      <c r="N35" s="6">
        <f t="shared" ref="N35:N40" si="47">SUM(H35,K35)</f>
        <v>23400</v>
      </c>
      <c r="O35" s="6">
        <f t="shared" ref="O35:O41" si="48">+N35-M35</f>
        <v>23400</v>
      </c>
      <c r="P35" s="6">
        <f>+'골재사업소(당월)'!P35+'[4]골재사업소(누계)'!P35</f>
        <v>298126.55635008472</v>
      </c>
      <c r="Q35" s="6">
        <f>+'골재사업소(당월)'!Q35+'[4]골재사업소(누계)'!Q35</f>
        <v>361200</v>
      </c>
      <c r="R35" s="6">
        <f t="shared" ref="R35:R41" si="49">+Q35-P35</f>
        <v>63073.44364991528</v>
      </c>
      <c r="S35" s="76">
        <f>+'골재사업소(당월)'!S35+'[4]골재사업소(누계)'!S35</f>
        <v>296559.09234130022</v>
      </c>
      <c r="T35" s="6">
        <f>+'골재사업소(당월)'!T35+'[4]골재사업소(누계)'!T35</f>
        <v>336590.5</v>
      </c>
      <c r="U35" s="6">
        <f>+T35-S35</f>
        <v>40031.407658699783</v>
      </c>
      <c r="V35" s="6">
        <f>SUM(P35,S35)</f>
        <v>594685.64869138494</v>
      </c>
      <c r="W35" s="6">
        <f t="shared" ref="W35:W41" si="50">SUM(Q35,T35)</f>
        <v>697790.5</v>
      </c>
      <c r="X35" s="6">
        <f t="shared" ref="X35:X41" si="51">+W35-V35</f>
        <v>103104.85130861506</v>
      </c>
      <c r="Y35" s="438">
        <f>+'골재사업소(당월)'!Y35+'[4]골재사업소(누계)'!Y35</f>
        <v>227409.52349023803</v>
      </c>
      <c r="Z35" s="6">
        <f>+'골재사업소(당월)'!Z35+'[4]골재사업소(누계)'!Z35</f>
        <v>276256</v>
      </c>
      <c r="AB35" s="76">
        <f t="shared" ref="AB35:AC41" si="52">+M35+V35+Y35</f>
        <v>822095.17218162294</v>
      </c>
      <c r="AC35" s="76">
        <f t="shared" si="52"/>
        <v>997446.5</v>
      </c>
      <c r="AD35" s="6">
        <f t="shared" ref="AD35:AD41" si="53">+AC35-AB35</f>
        <v>175351.32781837706</v>
      </c>
    </row>
    <row r="36" spans="5:30" ht="21.95" customHeight="1">
      <c r="E36" s="26" t="s">
        <v>77</v>
      </c>
      <c r="F36" s="432" t="s">
        <v>26</v>
      </c>
      <c r="G36" s="6">
        <f>+'골재사업소(당월)'!G36+'[4]골재사업소(누계)'!G36</f>
        <v>348128</v>
      </c>
      <c r="H36" s="6">
        <f>+'골재사업소(당월)'!H36+'[4]골재사업소(누계)'!H36</f>
        <v>342550</v>
      </c>
      <c r="I36" s="6">
        <f t="shared" si="46"/>
        <v>-5578</v>
      </c>
      <c r="J36" s="76">
        <f>+'골재사업소(당월)'!J36+'[4]골재사업소(누계)'!J36</f>
        <v>18391.800000000003</v>
      </c>
      <c r="K36" s="6">
        <f>+'골재사업소(당월)'!K36+'[4]골재사업소(누계)'!K36</f>
        <v>6720</v>
      </c>
      <c r="L36" s="6">
        <f t="shared" ref="L36:L41" si="54">+K36-J36</f>
        <v>-11671.800000000003</v>
      </c>
      <c r="M36" s="6">
        <f t="shared" ref="M36:N41" si="55">SUM(G36,J36)</f>
        <v>366519.8</v>
      </c>
      <c r="N36" s="6">
        <f t="shared" si="47"/>
        <v>349270</v>
      </c>
      <c r="O36" s="6">
        <f t="shared" si="48"/>
        <v>-17249.799999999988</v>
      </c>
      <c r="P36" s="6">
        <f>+'골재사업소(당월)'!P36+'[4]골재사업소(누계)'!P36</f>
        <v>0</v>
      </c>
      <c r="Q36" s="6">
        <f>+'골재사업소(당월)'!Q36+'[4]골재사업소(누계)'!Q36</f>
        <v>2112</v>
      </c>
      <c r="R36" s="6">
        <f t="shared" si="49"/>
        <v>2112</v>
      </c>
      <c r="S36" s="76">
        <f>+'골재사업소(당월)'!S36+'[4]골재사업소(누계)'!S36</f>
        <v>72198.100000000006</v>
      </c>
      <c r="T36" s="6">
        <f>+'골재사업소(당월)'!T36+'[4]골재사업소(누계)'!T36</f>
        <v>139840</v>
      </c>
      <c r="U36" s="6">
        <f t="shared" ref="U36:U41" si="56">+T36-S36</f>
        <v>67641.899999999994</v>
      </c>
      <c r="V36" s="6">
        <f t="shared" ref="V36:V41" si="57">SUM(P36,S36)</f>
        <v>72198.100000000006</v>
      </c>
      <c r="W36" s="6">
        <f t="shared" si="50"/>
        <v>141952</v>
      </c>
      <c r="X36" s="6">
        <f>+W36-V36</f>
        <v>69753.899999999994</v>
      </c>
      <c r="Y36" s="438">
        <f>+'골재사업소(당월)'!Y36+'[4]골재사업소(누계)'!Y36</f>
        <v>193951.10489510489</v>
      </c>
      <c r="Z36" s="6">
        <f>+'골재사업소(당월)'!Z36+'[4]골재사업소(누계)'!Z36</f>
        <v>212352</v>
      </c>
      <c r="AB36" s="6">
        <f t="shared" si="52"/>
        <v>632669.00489510491</v>
      </c>
      <c r="AC36" s="6">
        <f t="shared" si="52"/>
        <v>703574</v>
      </c>
      <c r="AD36" s="6">
        <f t="shared" si="53"/>
        <v>70904.99510489509</v>
      </c>
    </row>
    <row r="37" spans="5:30" ht="21.95" customHeight="1">
      <c r="F37" s="432" t="s">
        <v>27</v>
      </c>
      <c r="G37" s="6">
        <f>+'골재사업소(당월)'!G37+'[4]골재사업소(누계)'!G37</f>
        <v>0</v>
      </c>
      <c r="H37" s="6">
        <f>+'골재사업소(당월)'!H37+'[4]골재사업소(누계)'!H37</f>
        <v>18952</v>
      </c>
      <c r="I37" s="6">
        <f t="shared" si="46"/>
        <v>18952</v>
      </c>
      <c r="J37" s="76">
        <f>+'골재사업소(당월)'!J37+'[4]골재사업소(누계)'!J37</f>
        <v>0</v>
      </c>
      <c r="K37" s="6">
        <f>+'골재사업소(당월)'!K37+'[4]골재사업소(누계)'!K37</f>
        <v>0</v>
      </c>
      <c r="L37" s="6">
        <f t="shared" si="54"/>
        <v>0</v>
      </c>
      <c r="M37" s="6">
        <f t="shared" si="55"/>
        <v>0</v>
      </c>
      <c r="N37" s="6">
        <f t="shared" si="47"/>
        <v>18952</v>
      </c>
      <c r="O37" s="6">
        <f t="shared" si="48"/>
        <v>18952</v>
      </c>
      <c r="P37" s="6">
        <f>+'골재사업소(당월)'!P37+'[4]골재사업소(누계)'!P37</f>
        <v>0</v>
      </c>
      <c r="Q37" s="6">
        <f>+'골재사업소(당월)'!Q37+'[4]골재사업소(누계)'!Q37</f>
        <v>0</v>
      </c>
      <c r="R37" s="6">
        <f t="shared" si="49"/>
        <v>0</v>
      </c>
      <c r="S37" s="76">
        <f>+'골재사업소(당월)'!S37+'[4]골재사업소(누계)'!S37</f>
        <v>0</v>
      </c>
      <c r="T37" s="6">
        <f>+'골재사업소(당월)'!T37+'[4]골재사업소(누계)'!T37</f>
        <v>0</v>
      </c>
      <c r="U37" s="6">
        <f t="shared" si="56"/>
        <v>0</v>
      </c>
      <c r="V37" s="6">
        <f t="shared" si="57"/>
        <v>0</v>
      </c>
      <c r="W37" s="6">
        <f t="shared" si="50"/>
        <v>0</v>
      </c>
      <c r="X37" s="6">
        <f t="shared" si="51"/>
        <v>0</v>
      </c>
      <c r="Y37" s="438">
        <f>+'골재사업소(당월)'!Y37+'[4]골재사업소(누계)'!Y37</f>
        <v>113269.23076923077</v>
      </c>
      <c r="Z37" s="6">
        <f>+'골재사업소(당월)'!Z37+'[4]골재사업소(누계)'!Z37</f>
        <v>142120</v>
      </c>
      <c r="AB37" s="6">
        <f t="shared" si="52"/>
        <v>113269.23076923077</v>
      </c>
      <c r="AC37" s="6">
        <f t="shared" si="52"/>
        <v>161072</v>
      </c>
      <c r="AD37" s="6">
        <f t="shared" si="53"/>
        <v>47802.769230769234</v>
      </c>
    </row>
    <row r="38" spans="5:30" ht="21.95" customHeight="1">
      <c r="F38" s="432" t="s">
        <v>28</v>
      </c>
      <c r="G38" s="6">
        <f>+'골재사업소(당월)'!G38+'[4]골재사업소(누계)'!G38</f>
        <v>0</v>
      </c>
      <c r="H38" s="6">
        <f>+'골재사업소(당월)'!H38+'[4]골재사업소(누계)'!H38</f>
        <v>0</v>
      </c>
      <c r="I38" s="6">
        <f t="shared" si="46"/>
        <v>0</v>
      </c>
      <c r="J38" s="76">
        <f>+'골재사업소(당월)'!J38+'[4]골재사업소(누계)'!J38</f>
        <v>0</v>
      </c>
      <c r="K38" s="6">
        <f>+'골재사업소(당월)'!K38+'[4]골재사업소(누계)'!K38</f>
        <v>0</v>
      </c>
      <c r="L38" s="6">
        <f t="shared" si="54"/>
        <v>0</v>
      </c>
      <c r="M38" s="6">
        <f t="shared" si="55"/>
        <v>0</v>
      </c>
      <c r="N38" s="6">
        <f t="shared" si="47"/>
        <v>0</v>
      </c>
      <c r="O38" s="6">
        <f t="shared" si="48"/>
        <v>0</v>
      </c>
      <c r="P38" s="6">
        <f>+'골재사업소(당월)'!P38+'[4]골재사업소(누계)'!P38</f>
        <v>0</v>
      </c>
      <c r="Q38" s="6">
        <f>+'골재사업소(당월)'!Q38+'[4]골재사업소(누계)'!Q38</f>
        <v>0</v>
      </c>
      <c r="R38" s="6">
        <f t="shared" si="49"/>
        <v>0</v>
      </c>
      <c r="S38" s="76">
        <f>+'골재사업소(당월)'!S38+'[4]골재사업소(누계)'!S38</f>
        <v>0</v>
      </c>
      <c r="T38" s="6">
        <f>+'골재사업소(당월)'!T38+'[4]골재사업소(누계)'!T38</f>
        <v>2432</v>
      </c>
      <c r="U38" s="6">
        <f t="shared" si="56"/>
        <v>2432</v>
      </c>
      <c r="V38" s="6">
        <f t="shared" si="57"/>
        <v>0</v>
      </c>
      <c r="W38" s="6">
        <f t="shared" si="50"/>
        <v>2432</v>
      </c>
      <c r="X38" s="6">
        <f t="shared" si="51"/>
        <v>2432</v>
      </c>
      <c r="Y38" s="438">
        <f>+'골재사업소(당월)'!Y38+'[4]골재사업소(누계)'!Y38</f>
        <v>229523.91608391609</v>
      </c>
      <c r="Z38" s="6">
        <f>+'골재사업소(당월)'!Z38+'[4]골재사업소(누계)'!Z38</f>
        <v>198880</v>
      </c>
      <c r="AB38" s="6">
        <f t="shared" si="52"/>
        <v>229523.91608391609</v>
      </c>
      <c r="AC38" s="6">
        <f t="shared" si="52"/>
        <v>201312</v>
      </c>
      <c r="AD38" s="6">
        <f t="shared" si="53"/>
        <v>-28211.91608391609</v>
      </c>
    </row>
    <row r="39" spans="5:30" ht="21.95" customHeight="1">
      <c r="F39" s="432" t="s">
        <v>29</v>
      </c>
      <c r="G39" s="6">
        <f>+'골재사업소(당월)'!G39+'[4]골재사업소(누계)'!G39</f>
        <v>0</v>
      </c>
      <c r="H39" s="6">
        <f>+'골재사업소(당월)'!H39+'[4]골재사업소(누계)'!H39</f>
        <v>0</v>
      </c>
      <c r="I39" s="6">
        <f t="shared" si="46"/>
        <v>0</v>
      </c>
      <c r="J39" s="76">
        <f>+'골재사업소(당월)'!J39+'[4]골재사업소(누계)'!J39</f>
        <v>0</v>
      </c>
      <c r="K39" s="6">
        <f>+'골재사업소(당월)'!K39+'[4]골재사업소(누계)'!K39</f>
        <v>4752</v>
      </c>
      <c r="L39" s="6">
        <f t="shared" si="54"/>
        <v>4752</v>
      </c>
      <c r="M39" s="6">
        <f t="shared" si="55"/>
        <v>0</v>
      </c>
      <c r="N39" s="6">
        <f t="shared" si="47"/>
        <v>4752</v>
      </c>
      <c r="O39" s="6">
        <f t="shared" si="48"/>
        <v>4752</v>
      </c>
      <c r="P39" s="6">
        <f>+'골재사업소(당월)'!P39+'[4]골재사업소(누계)'!P39</f>
        <v>0</v>
      </c>
      <c r="Q39" s="6">
        <f>+'골재사업소(당월)'!Q39+'[4]골재사업소(누계)'!Q39</f>
        <v>0</v>
      </c>
      <c r="R39" s="6">
        <f t="shared" si="49"/>
        <v>0</v>
      </c>
      <c r="S39" s="76">
        <f>+'골재사업소(당월)'!S39+'[4]골재사업소(누계)'!S39</f>
        <v>0</v>
      </c>
      <c r="T39" s="6">
        <f>+'골재사업소(당월)'!T39+'[4]골재사업소(누계)'!T39</f>
        <v>4560</v>
      </c>
      <c r="U39" s="6">
        <f t="shared" si="56"/>
        <v>4560</v>
      </c>
      <c r="V39" s="6">
        <f t="shared" si="57"/>
        <v>0</v>
      </c>
      <c r="W39" s="6">
        <f t="shared" si="50"/>
        <v>4560</v>
      </c>
      <c r="X39" s="6">
        <f t="shared" si="51"/>
        <v>4560</v>
      </c>
      <c r="Y39" s="438">
        <f>+'골재사업소(당월)'!Y39+'[4]골재사업소(누계)'!Y39</f>
        <v>58372.010489510489</v>
      </c>
      <c r="Z39" s="6">
        <f>+'골재사업소(당월)'!Z39+'[4]골재사업소(누계)'!Z39</f>
        <v>30360</v>
      </c>
      <c r="AB39" s="6">
        <f t="shared" si="52"/>
        <v>58372.010489510489</v>
      </c>
      <c r="AC39" s="6">
        <f t="shared" si="52"/>
        <v>39672</v>
      </c>
      <c r="AD39" s="6">
        <f t="shared" si="53"/>
        <v>-18700.010489510489</v>
      </c>
    </row>
    <row r="40" spans="5:30" ht="21.95" customHeight="1">
      <c r="F40" s="432" t="s">
        <v>30</v>
      </c>
      <c r="G40" s="6">
        <f>+'골재사업소(당월)'!G40+'[4]골재사업소(누계)'!G40</f>
        <v>0</v>
      </c>
      <c r="H40" s="6">
        <f>+'골재사업소(당월)'!H40+'[4]골재사업소(누계)'!H40</f>
        <v>1840</v>
      </c>
      <c r="I40" s="6">
        <f t="shared" si="46"/>
        <v>1840</v>
      </c>
      <c r="J40" s="76">
        <f>+'골재사업소(당월)'!J40+'[4]골재사업소(누계)'!J40</f>
        <v>0</v>
      </c>
      <c r="K40" s="6">
        <f>+'골재사업소(당월)'!K40+'[4]골재사업소(누계)'!K40</f>
        <v>2160</v>
      </c>
      <c r="L40" s="6">
        <f t="shared" si="54"/>
        <v>2160</v>
      </c>
      <c r="M40" s="6">
        <f t="shared" si="55"/>
        <v>0</v>
      </c>
      <c r="N40" s="6">
        <f t="shared" si="47"/>
        <v>4000</v>
      </c>
      <c r="O40" s="6">
        <f t="shared" si="48"/>
        <v>4000</v>
      </c>
      <c r="P40" s="6">
        <f>+'골재사업소(당월)'!P40+'[4]골재사업소(누계)'!P40</f>
        <v>0</v>
      </c>
      <c r="Q40" s="6">
        <f>+'골재사업소(당월)'!Q40+'[4]골재사업소(누계)'!Q40</f>
        <v>0</v>
      </c>
      <c r="R40" s="6">
        <f t="shared" si="49"/>
        <v>0</v>
      </c>
      <c r="S40" s="76">
        <f>+'골재사업소(당월)'!S40+'[4]골재사업소(누계)'!S40</f>
        <v>0</v>
      </c>
      <c r="T40" s="6">
        <f>+'골재사업소(당월)'!T40+'[4]골재사업소(누계)'!T40</f>
        <v>0</v>
      </c>
      <c r="U40" s="6">
        <f t="shared" si="56"/>
        <v>0</v>
      </c>
      <c r="V40" s="6">
        <f t="shared" si="57"/>
        <v>0</v>
      </c>
      <c r="W40" s="6">
        <f t="shared" si="50"/>
        <v>0</v>
      </c>
      <c r="X40" s="6">
        <f t="shared" si="51"/>
        <v>0</v>
      </c>
      <c r="Y40" s="438">
        <f>+'골재사업소(당월)'!Y40+'[4]골재사업소(누계)'!Y40</f>
        <v>0</v>
      </c>
      <c r="Z40" s="6">
        <f>+'골재사업소(당월)'!Z40+'[4]골재사업소(누계)'!Z40</f>
        <v>0</v>
      </c>
      <c r="AB40" s="6">
        <f t="shared" si="52"/>
        <v>0</v>
      </c>
      <c r="AC40" s="6">
        <f t="shared" si="52"/>
        <v>4000</v>
      </c>
      <c r="AD40" s="6">
        <f t="shared" si="53"/>
        <v>4000</v>
      </c>
    </row>
    <row r="41" spans="5:30" ht="21.95" customHeight="1">
      <c r="F41" s="432" t="s">
        <v>8</v>
      </c>
      <c r="G41" s="6">
        <f>SUM(G35:G40)</f>
        <v>348128</v>
      </c>
      <c r="H41" s="6">
        <f>SUM(H35:H40)</f>
        <v>386742</v>
      </c>
      <c r="I41" s="6">
        <f t="shared" si="46"/>
        <v>38614</v>
      </c>
      <c r="J41" s="76">
        <f>SUM(J35:J40)</f>
        <v>18391.800000000003</v>
      </c>
      <c r="K41" s="76">
        <f>SUM(K35:K40)</f>
        <v>13632</v>
      </c>
      <c r="L41" s="6">
        <f t="shared" si="54"/>
        <v>-4759.8000000000029</v>
      </c>
      <c r="M41" s="6">
        <f t="shared" si="55"/>
        <v>366519.8</v>
      </c>
      <c r="N41" s="6">
        <f t="shared" si="55"/>
        <v>400374</v>
      </c>
      <c r="O41" s="6">
        <f t="shared" si="48"/>
        <v>33854.200000000012</v>
      </c>
      <c r="P41" s="6">
        <f>SUM(P35:P40)</f>
        <v>298126.55635008472</v>
      </c>
      <c r="Q41" s="6">
        <f>SUM(Q35:Q40)</f>
        <v>363312</v>
      </c>
      <c r="R41" s="6">
        <f t="shared" si="49"/>
        <v>65185.44364991528</v>
      </c>
      <c r="S41" s="76">
        <f>SUM(S35:S40)</f>
        <v>368757.19234130019</v>
      </c>
      <c r="T41" s="76">
        <f>SUM(T35:T40)</f>
        <v>483422.5</v>
      </c>
      <c r="U41" s="6">
        <f t="shared" si="56"/>
        <v>114665.30765869981</v>
      </c>
      <c r="V41" s="6">
        <f t="shared" si="57"/>
        <v>666883.74869138491</v>
      </c>
      <c r="W41" s="6">
        <f t="shared" si="50"/>
        <v>846734.5</v>
      </c>
      <c r="X41" s="6">
        <f t="shared" si="51"/>
        <v>179850.75130861509</v>
      </c>
      <c r="Y41" s="6">
        <f>SUM(Y35:Y40)</f>
        <v>822525.78572800022</v>
      </c>
      <c r="Z41" s="6">
        <f>SUM(Z35:Z40)</f>
        <v>859968</v>
      </c>
      <c r="AB41" s="6">
        <f t="shared" si="52"/>
        <v>1855929.3344193851</v>
      </c>
      <c r="AC41" s="6">
        <f t="shared" si="52"/>
        <v>2107076.5</v>
      </c>
      <c r="AD41" s="6">
        <f t="shared" si="53"/>
        <v>251147.16558061494</v>
      </c>
    </row>
    <row r="42" spans="5:30" ht="21.95" customHeight="1">
      <c r="G42" s="6" t="b">
        <f>+G41=G13</f>
        <v>1</v>
      </c>
      <c r="H42" s="6" t="b">
        <f>+H41=H13</f>
        <v>1</v>
      </c>
      <c r="J42" s="6" t="b">
        <f>+J41=J13</f>
        <v>1</v>
      </c>
      <c r="K42" s="6" t="b">
        <f>+K41=K13</f>
        <v>1</v>
      </c>
      <c r="M42" s="6" t="b">
        <f>+M41=M13</f>
        <v>1</v>
      </c>
      <c r="N42" s="6" t="b">
        <f>+N41=N13</f>
        <v>1</v>
      </c>
      <c r="P42" s="6" t="b">
        <f>+P41=P13</f>
        <v>1</v>
      </c>
      <c r="Q42" s="6" t="b">
        <f>+Q41=Q13</f>
        <v>1</v>
      </c>
      <c r="S42" s="6" t="b">
        <f>+S41=S13</f>
        <v>1</v>
      </c>
      <c r="T42" s="6" t="b">
        <f>+T41=T13</f>
        <v>1</v>
      </c>
      <c r="V42" s="6" t="b">
        <f>+V41=V13</f>
        <v>1</v>
      </c>
      <c r="W42" s="6" t="b">
        <f>+W41=W13</f>
        <v>1</v>
      </c>
      <c r="Y42" s="6" t="b">
        <f>+Y41=Y13</f>
        <v>1</v>
      </c>
      <c r="Z42" s="6" t="b">
        <f>+Z41=Z13</f>
        <v>1</v>
      </c>
      <c r="AB42" s="6" t="b">
        <f>+AB41=AB13</f>
        <v>1</v>
      </c>
      <c r="AC42" s="6" t="b">
        <f>+AC41=AC13</f>
        <v>1</v>
      </c>
    </row>
    <row r="43" spans="5:30" ht="21.95" customHeight="1"/>
    <row r="44" spans="5:30" ht="21.95" customHeight="1"/>
    <row r="45" spans="5:30" ht="21.95" customHeight="1"/>
    <row r="46" spans="5:30" ht="21.95" customHeight="1"/>
    <row r="47" spans="5:30" ht="21.95" customHeight="1"/>
    <row r="48" spans="5:30" ht="21.95" customHeight="1"/>
    <row r="49" ht="21.95" customHeight="1"/>
    <row r="50" ht="21.95" customHeight="1"/>
    <row r="51" ht="21.95" customHeight="1"/>
    <row r="52" ht="21.95" customHeight="1"/>
    <row r="53" ht="21.95" customHeight="1"/>
  </sheetData>
  <mergeCells count="1">
    <mergeCell ref="E6:F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10</vt:i4>
      </vt:variant>
    </vt:vector>
  </HeadingPairs>
  <TitlesOfParts>
    <vt:vector size="21" baseType="lpstr">
      <vt:lpstr>표지</vt:lpstr>
      <vt:lpstr>손익총괄</vt:lpstr>
      <vt:lpstr>사업장별(당월)</vt:lpstr>
      <vt:lpstr>사업장별(누계)</vt:lpstr>
      <vt:lpstr>영업이익</vt:lpstr>
      <vt:lpstr>공헌이익</vt:lpstr>
      <vt:lpstr>재료비단가</vt:lpstr>
      <vt:lpstr>원단위</vt:lpstr>
      <vt:lpstr>건자재</vt:lpstr>
      <vt:lpstr>골재사업소(당월)</vt:lpstr>
      <vt:lpstr>골재사업소(누계)</vt:lpstr>
      <vt:lpstr>건자재!Print_Area</vt:lpstr>
      <vt:lpstr>'골재사업소(누계)'!Print_Area</vt:lpstr>
      <vt:lpstr>'골재사업소(당월)'!Print_Area</vt:lpstr>
      <vt:lpstr>공헌이익!Print_Area</vt:lpstr>
      <vt:lpstr>'사업장별(누계)'!Print_Area</vt:lpstr>
      <vt:lpstr>'사업장별(당월)'!Print_Area</vt:lpstr>
      <vt:lpstr>손익총괄!Print_Area</vt:lpstr>
      <vt:lpstr>영업이익!Print_Area</vt:lpstr>
      <vt:lpstr>원단위!Print_Area</vt:lpstr>
      <vt:lpstr>재료비단가!Print_Area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김 창환</cp:lastModifiedBy>
  <cp:lastPrinted>2024-03-24T23:55:34Z</cp:lastPrinted>
  <dcterms:created xsi:type="dcterms:W3CDTF">2018-12-20T00:38:36Z</dcterms:created>
  <dcterms:modified xsi:type="dcterms:W3CDTF">2024-09-04T05:50:29Z</dcterms:modified>
</cp:coreProperties>
</file>