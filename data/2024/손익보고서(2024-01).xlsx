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7\00_보고서\"/>
    </mc:Choice>
  </mc:AlternateContent>
  <xr:revisionPtr revIDLastSave="0" documentId="13_ncr:1_{7F27EC87-FF51-4ED7-B2AC-17AEA4B75CDC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'골재사업소(누계)'!$D$4:$AD$33</definedName>
    <definedName name="_xlnm.Print_Area" localSheetId="9">'골재사업소(당월)'!$D$4:$AD$33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1" i="2" l="1"/>
  <c r="G30" i="2"/>
  <c r="G29" i="2"/>
  <c r="G39" i="2"/>
  <c r="G38" i="2"/>
  <c r="G37" i="2"/>
  <c r="G36" i="2"/>
  <c r="G35" i="2"/>
  <c r="G34" i="2"/>
  <c r="G33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Y40" i="43" l="1"/>
  <c r="T40" i="43"/>
  <c r="S40" i="43"/>
  <c r="Q40" i="43"/>
  <c r="W40" i="43" s="1"/>
  <c r="P40" i="43"/>
  <c r="K40" i="43"/>
  <c r="J40" i="43"/>
  <c r="H40" i="43"/>
  <c r="N40" i="43" s="1"/>
  <c r="AC40" i="43" s="1"/>
  <c r="G40" i="43"/>
  <c r="Z39" i="43"/>
  <c r="Y39" i="43"/>
  <c r="T39" i="43"/>
  <c r="W39" i="43" s="1"/>
  <c r="S39" i="43"/>
  <c r="Q39" i="43"/>
  <c r="P39" i="43"/>
  <c r="N39" i="43"/>
  <c r="N31" i="43" s="1"/>
  <c r="O31" i="43" s="1"/>
  <c r="K39" i="43"/>
  <c r="J39" i="43"/>
  <c r="H39" i="43"/>
  <c r="G39" i="43"/>
  <c r="Z38" i="43"/>
  <c r="Y38" i="43"/>
  <c r="T38" i="43"/>
  <c r="S38" i="43"/>
  <c r="Q38" i="43"/>
  <c r="Q30" i="43" s="1"/>
  <c r="P38" i="43"/>
  <c r="N38" i="43"/>
  <c r="K38" i="43"/>
  <c r="J38" i="43"/>
  <c r="H38" i="43"/>
  <c r="G38" i="43"/>
  <c r="Z37" i="43"/>
  <c r="Y37" i="43"/>
  <c r="T37" i="43"/>
  <c r="S37" i="43"/>
  <c r="Q37" i="43"/>
  <c r="P37" i="43"/>
  <c r="K37" i="43"/>
  <c r="J37" i="43"/>
  <c r="H37" i="43"/>
  <c r="G37" i="43"/>
  <c r="Z36" i="43"/>
  <c r="Y36" i="43"/>
  <c r="T36" i="43"/>
  <c r="S36" i="43"/>
  <c r="Q36" i="43"/>
  <c r="P36" i="43"/>
  <c r="K36" i="43"/>
  <c r="J36" i="43"/>
  <c r="H36" i="43"/>
  <c r="G36" i="43"/>
  <c r="Z35" i="43"/>
  <c r="Z27" i="43" s="1"/>
  <c r="Y35" i="43"/>
  <c r="W35" i="43"/>
  <c r="T35" i="43"/>
  <c r="S35" i="43"/>
  <c r="Q35" i="43"/>
  <c r="P35" i="43"/>
  <c r="K35" i="43"/>
  <c r="J35" i="43"/>
  <c r="H35" i="43"/>
  <c r="G35" i="43"/>
  <c r="Z32" i="43"/>
  <c r="V32" i="43"/>
  <c r="S32" i="43"/>
  <c r="Q32" i="43"/>
  <c r="P32" i="43"/>
  <c r="M32" i="43"/>
  <c r="J32" i="43"/>
  <c r="G32" i="43"/>
  <c r="V31" i="43"/>
  <c r="S31" i="43"/>
  <c r="P31" i="43"/>
  <c r="M31" i="43"/>
  <c r="K31" i="43"/>
  <c r="J31" i="43"/>
  <c r="G31" i="43"/>
  <c r="Z30" i="43"/>
  <c r="V30" i="43"/>
  <c r="S30" i="43"/>
  <c r="P30" i="43"/>
  <c r="M30" i="43"/>
  <c r="J30" i="43"/>
  <c r="G30" i="43"/>
  <c r="Z29" i="43"/>
  <c r="V29" i="43"/>
  <c r="T29" i="43"/>
  <c r="S29" i="43"/>
  <c r="P29" i="43"/>
  <c r="M29" i="43"/>
  <c r="J29" i="43"/>
  <c r="G29" i="43"/>
  <c r="Z28" i="43"/>
  <c r="V28" i="43"/>
  <c r="S28" i="43"/>
  <c r="P28" i="43"/>
  <c r="M28" i="43"/>
  <c r="K28" i="43"/>
  <c r="J28" i="43"/>
  <c r="G28" i="43"/>
  <c r="V27" i="43"/>
  <c r="S27" i="43"/>
  <c r="Q27" i="43"/>
  <c r="R27" i="43" s="1"/>
  <c r="P27" i="43"/>
  <c r="M27" i="43"/>
  <c r="J27" i="43"/>
  <c r="H27" i="43"/>
  <c r="G27" i="43"/>
  <c r="Y26" i="43"/>
  <c r="T26" i="43"/>
  <c r="S26" i="43"/>
  <c r="Q26" i="43"/>
  <c r="P26" i="43"/>
  <c r="K26" i="43"/>
  <c r="N26" i="43" s="1"/>
  <c r="J26" i="43"/>
  <c r="H26" i="43"/>
  <c r="G26" i="43"/>
  <c r="Z25" i="43"/>
  <c r="Z31" i="43" s="1"/>
  <c r="Y25" i="43"/>
  <c r="T25" i="43"/>
  <c r="S25" i="43"/>
  <c r="Q25" i="43"/>
  <c r="W25" i="43" s="1"/>
  <c r="P25" i="43"/>
  <c r="N25" i="43"/>
  <c r="K25" i="43"/>
  <c r="J25" i="43"/>
  <c r="H25" i="43"/>
  <c r="G25" i="43"/>
  <c r="Z24" i="43"/>
  <c r="Y24" i="43"/>
  <c r="T24" i="43"/>
  <c r="S24" i="43"/>
  <c r="Q24" i="43"/>
  <c r="P24" i="43"/>
  <c r="K24" i="43"/>
  <c r="K30" i="43" s="1"/>
  <c r="J24" i="43"/>
  <c r="H24" i="43"/>
  <c r="N24" i="43" s="1"/>
  <c r="G24" i="43"/>
  <c r="Z23" i="43"/>
  <c r="Y23" i="43"/>
  <c r="W23" i="43"/>
  <c r="T23" i="43"/>
  <c r="S23" i="43"/>
  <c r="Q23" i="43"/>
  <c r="P23" i="43"/>
  <c r="K23" i="43"/>
  <c r="N23" i="43" s="1"/>
  <c r="J23" i="43"/>
  <c r="H23" i="43"/>
  <c r="G23" i="43"/>
  <c r="Z22" i="43"/>
  <c r="Y22" i="43"/>
  <c r="T22" i="43"/>
  <c r="S22" i="43"/>
  <c r="Q22" i="43"/>
  <c r="P22" i="43"/>
  <c r="K22" i="43"/>
  <c r="J22" i="43"/>
  <c r="H22" i="43"/>
  <c r="N22" i="43" s="1"/>
  <c r="G22" i="43"/>
  <c r="Z21" i="43"/>
  <c r="Y21" i="43"/>
  <c r="T21" i="43"/>
  <c r="S21" i="43"/>
  <c r="Q21" i="43"/>
  <c r="P21" i="43"/>
  <c r="N21" i="43"/>
  <c r="K21" i="43"/>
  <c r="J21" i="43"/>
  <c r="H21" i="43"/>
  <c r="G21" i="43"/>
  <c r="K20" i="43"/>
  <c r="H20" i="43"/>
  <c r="Z19" i="43"/>
  <c r="Y19" i="43"/>
  <c r="W19" i="43"/>
  <c r="T19" i="43"/>
  <c r="S19" i="43"/>
  <c r="Q19" i="43"/>
  <c r="P19" i="43"/>
  <c r="K19" i="43"/>
  <c r="N19" i="43" s="1"/>
  <c r="J19" i="43"/>
  <c r="H19" i="43"/>
  <c r="G19" i="43"/>
  <c r="Z18" i="43"/>
  <c r="Z20" i="43" s="1"/>
  <c r="Y18" i="43"/>
  <c r="T18" i="43"/>
  <c r="S18" i="43"/>
  <c r="Q18" i="43"/>
  <c r="P18" i="43"/>
  <c r="K18" i="43"/>
  <c r="N18" i="43" s="1"/>
  <c r="J18" i="43"/>
  <c r="H18" i="43"/>
  <c r="G18" i="43"/>
  <c r="T17" i="43"/>
  <c r="Q17" i="43"/>
  <c r="T16" i="43"/>
  <c r="Z15" i="43"/>
  <c r="Z16" i="43" s="1"/>
  <c r="Y15" i="43"/>
  <c r="T15" i="43"/>
  <c r="W15" i="43" s="1"/>
  <c r="S15" i="43"/>
  <c r="Q15" i="43"/>
  <c r="P15" i="43"/>
  <c r="K15" i="43"/>
  <c r="K17" i="43" s="1"/>
  <c r="J15" i="43"/>
  <c r="H15" i="43"/>
  <c r="G15" i="43"/>
  <c r="K14" i="43"/>
  <c r="H14" i="43"/>
  <c r="Z13" i="43"/>
  <c r="Y13" i="43"/>
  <c r="T13" i="43"/>
  <c r="S13" i="43"/>
  <c r="Q13" i="43"/>
  <c r="W13" i="43" s="1"/>
  <c r="P13" i="43"/>
  <c r="N13" i="43"/>
  <c r="K13" i="43"/>
  <c r="J13" i="43"/>
  <c r="H13" i="43"/>
  <c r="G13" i="43"/>
  <c r="Z10" i="43"/>
  <c r="Y10" i="43"/>
  <c r="T10" i="43"/>
  <c r="S10" i="43"/>
  <c r="Q10" i="43"/>
  <c r="P10" i="43"/>
  <c r="K10" i="43"/>
  <c r="K16" i="43" s="1"/>
  <c r="J10" i="43"/>
  <c r="H10" i="43"/>
  <c r="G10" i="43"/>
  <c r="Z8" i="43"/>
  <c r="Y8" i="43"/>
  <c r="T8" i="43"/>
  <c r="T12" i="43" s="1"/>
  <c r="S8" i="43"/>
  <c r="Q8" i="43"/>
  <c r="W8" i="43" s="1"/>
  <c r="P8" i="43"/>
  <c r="K8" i="43"/>
  <c r="J8" i="43"/>
  <c r="H8" i="43"/>
  <c r="N8" i="43" s="1"/>
  <c r="G8" i="43"/>
  <c r="W46" i="42"/>
  <c r="U46" i="42"/>
  <c r="T46" i="42"/>
  <c r="R46" i="42"/>
  <c r="P46" i="42"/>
  <c r="O46" i="42"/>
  <c r="M46" i="42"/>
  <c r="K46" i="42"/>
  <c r="J46" i="42"/>
  <c r="K41" i="42"/>
  <c r="N41" i="42" s="1"/>
  <c r="J41" i="42"/>
  <c r="V40" i="42"/>
  <c r="S40" i="42"/>
  <c r="Q40" i="42"/>
  <c r="N40" i="42"/>
  <c r="W39" i="42"/>
  <c r="U39" i="42"/>
  <c r="T39" i="42"/>
  <c r="R39" i="42"/>
  <c r="P39" i="42"/>
  <c r="O39" i="42"/>
  <c r="N39" i="42"/>
  <c r="L39" i="42"/>
  <c r="W38" i="42"/>
  <c r="U38" i="42"/>
  <c r="T38" i="42"/>
  <c r="S38" i="42"/>
  <c r="Q38" i="42"/>
  <c r="M38" i="42"/>
  <c r="M41" i="42" s="1"/>
  <c r="W37" i="42"/>
  <c r="U37" i="42"/>
  <c r="S37" i="42"/>
  <c r="Q37" i="42"/>
  <c r="N37" i="42"/>
  <c r="W36" i="42"/>
  <c r="U36" i="42"/>
  <c r="T36" i="42"/>
  <c r="S36" i="42"/>
  <c r="Q36" i="42"/>
  <c r="N36" i="42"/>
  <c r="W35" i="42"/>
  <c r="U35" i="42"/>
  <c r="T35" i="42"/>
  <c r="S35" i="42"/>
  <c r="Q35" i="42"/>
  <c r="N35" i="42"/>
  <c r="L35" i="42"/>
  <c r="W34" i="42"/>
  <c r="U34" i="42"/>
  <c r="T34" i="42"/>
  <c r="R34" i="42"/>
  <c r="P34" i="42"/>
  <c r="O34" i="42"/>
  <c r="N34" i="42"/>
  <c r="L34" i="42"/>
  <c r="W33" i="42"/>
  <c r="U33" i="42"/>
  <c r="T33" i="42"/>
  <c r="R33" i="42"/>
  <c r="P33" i="42"/>
  <c r="O33" i="42"/>
  <c r="N33" i="42"/>
  <c r="L33" i="42"/>
  <c r="W31" i="42"/>
  <c r="U31" i="42"/>
  <c r="T31" i="42"/>
  <c r="R31" i="42"/>
  <c r="P31" i="42"/>
  <c r="O31" i="42"/>
  <c r="M31" i="42"/>
  <c r="K31" i="42"/>
  <c r="J31" i="42"/>
  <c r="W30" i="42"/>
  <c r="U30" i="42"/>
  <c r="T30" i="42"/>
  <c r="R30" i="42"/>
  <c r="P30" i="42"/>
  <c r="O30" i="42"/>
  <c r="M30" i="42"/>
  <c r="K30" i="42"/>
  <c r="J30" i="42"/>
  <c r="W29" i="42"/>
  <c r="U29" i="42"/>
  <c r="T29" i="42"/>
  <c r="R29" i="42"/>
  <c r="P29" i="42"/>
  <c r="O29" i="42"/>
  <c r="M29" i="42"/>
  <c r="K29" i="42"/>
  <c r="J29" i="42"/>
  <c r="W28" i="42"/>
  <c r="U28" i="42"/>
  <c r="T28" i="42"/>
  <c r="R28" i="42"/>
  <c r="P28" i="42"/>
  <c r="O28" i="42"/>
  <c r="M28" i="42"/>
  <c r="K28" i="42"/>
  <c r="J28" i="42"/>
  <c r="AD27" i="42"/>
  <c r="AG27" i="42" s="1"/>
  <c r="AC27" i="42"/>
  <c r="AB27" i="42"/>
  <c r="AA27" i="42"/>
  <c r="Z27" i="42"/>
  <c r="Y27" i="42"/>
  <c r="AE27" i="42" s="1"/>
  <c r="AG26" i="42"/>
  <c r="AD26" i="42"/>
  <c r="AC26" i="42"/>
  <c r="AB26" i="42"/>
  <c r="AA26" i="42"/>
  <c r="Z26" i="42"/>
  <c r="Y26" i="42"/>
  <c r="AD25" i="42"/>
  <c r="AC25" i="42"/>
  <c r="AB25" i="42"/>
  <c r="AA25" i="42"/>
  <c r="AG25" i="42" s="1"/>
  <c r="Z25" i="42"/>
  <c r="AF25" i="42" s="1"/>
  <c r="Y25" i="42"/>
  <c r="AE25" i="42" s="1"/>
  <c r="AD24" i="42"/>
  <c r="AC24" i="42"/>
  <c r="AB24" i="42"/>
  <c r="AA24" i="42"/>
  <c r="AG24" i="42" s="1"/>
  <c r="Z24" i="42"/>
  <c r="AF24" i="42" s="1"/>
  <c r="Y24" i="42"/>
  <c r="AE24" i="42" s="1"/>
  <c r="AD23" i="42"/>
  <c r="AC23" i="42"/>
  <c r="AB23" i="42"/>
  <c r="AA23" i="42"/>
  <c r="AG23" i="42" s="1"/>
  <c r="Z23" i="42"/>
  <c r="Y23" i="42"/>
  <c r="W23" i="42"/>
  <c r="U23" i="42"/>
  <c r="T23" i="42"/>
  <c r="R23" i="42"/>
  <c r="P23" i="42"/>
  <c r="O23" i="42"/>
  <c r="M23" i="42"/>
  <c r="K23" i="42"/>
  <c r="J23" i="42"/>
  <c r="AD22" i="42"/>
  <c r="AG22" i="42" s="1"/>
  <c r="AC22" i="42"/>
  <c r="AB22" i="42"/>
  <c r="AA22" i="42"/>
  <c r="Z22" i="42"/>
  <c r="AF22" i="42" s="1"/>
  <c r="Y22" i="42"/>
  <c r="AE22" i="42" s="1"/>
  <c r="W22" i="42"/>
  <c r="U22" i="42"/>
  <c r="T22" i="42"/>
  <c r="R22" i="42"/>
  <c r="P22" i="42"/>
  <c r="O22" i="42"/>
  <c r="M22" i="42"/>
  <c r="K22" i="42"/>
  <c r="J22" i="42"/>
  <c r="AG21" i="42"/>
  <c r="AD21" i="42"/>
  <c r="AC21" i="42"/>
  <c r="AF21" i="42" s="1"/>
  <c r="AB21" i="42"/>
  <c r="AA21" i="42"/>
  <c r="Z21" i="42"/>
  <c r="Y21" i="42"/>
  <c r="W21" i="42"/>
  <c r="U21" i="42"/>
  <c r="T21" i="42"/>
  <c r="R21" i="42"/>
  <c r="P21" i="42"/>
  <c r="O21" i="42"/>
  <c r="M21" i="42"/>
  <c r="K21" i="42"/>
  <c r="J21" i="42"/>
  <c r="AD20" i="42"/>
  <c r="AC20" i="42"/>
  <c r="AB20" i="42"/>
  <c r="AA20" i="42"/>
  <c r="AG20" i="42" s="1"/>
  <c r="Z20" i="42"/>
  <c r="AF20" i="42" s="1"/>
  <c r="Y20" i="42"/>
  <c r="AE20" i="42" s="1"/>
  <c r="W20" i="42"/>
  <c r="U20" i="42"/>
  <c r="T20" i="42"/>
  <c r="R20" i="42"/>
  <c r="P20" i="42"/>
  <c r="O20" i="42"/>
  <c r="M20" i="42"/>
  <c r="K20" i="42"/>
  <c r="J20" i="42"/>
  <c r="AD19" i="42"/>
  <c r="AC19" i="42"/>
  <c r="AB19" i="42"/>
  <c r="AA19" i="42"/>
  <c r="AG19" i="42" s="1"/>
  <c r="Z19" i="42"/>
  <c r="AF19" i="42" s="1"/>
  <c r="Y19" i="42"/>
  <c r="AE19" i="42" s="1"/>
  <c r="W19" i="42"/>
  <c r="U19" i="42"/>
  <c r="T19" i="42"/>
  <c r="R19" i="42"/>
  <c r="P19" i="42"/>
  <c r="O19" i="42"/>
  <c r="M19" i="42"/>
  <c r="K19" i="42"/>
  <c r="J19" i="42"/>
  <c r="AD18" i="42"/>
  <c r="AC18" i="42"/>
  <c r="AB18" i="42"/>
  <c r="AE18" i="42" s="1"/>
  <c r="AA18" i="42"/>
  <c r="AG18" i="42" s="1"/>
  <c r="Z18" i="42"/>
  <c r="Y18" i="42"/>
  <c r="W18" i="42"/>
  <c r="U18" i="42"/>
  <c r="T18" i="42"/>
  <c r="R18" i="42"/>
  <c r="P18" i="42"/>
  <c r="O18" i="42"/>
  <c r="M18" i="42"/>
  <c r="K18" i="42"/>
  <c r="J18" i="42"/>
  <c r="AD17" i="42"/>
  <c r="AG17" i="42" s="1"/>
  <c r="AC17" i="42"/>
  <c r="AB17" i="42"/>
  <c r="AA17" i="42"/>
  <c r="Z17" i="42"/>
  <c r="AF17" i="42" s="1"/>
  <c r="Y17" i="42"/>
  <c r="AE17" i="42" s="1"/>
  <c r="W17" i="42"/>
  <c r="U17" i="42"/>
  <c r="T17" i="42"/>
  <c r="R17" i="42"/>
  <c r="P17" i="42"/>
  <c r="O17" i="42"/>
  <c r="M17" i="42"/>
  <c r="K17" i="42"/>
  <c r="J17" i="42"/>
  <c r="AD16" i="42"/>
  <c r="AC16" i="42"/>
  <c r="AF16" i="42" s="1"/>
  <c r="AB16" i="42"/>
  <c r="AA16" i="42"/>
  <c r="AG16" i="42" s="1"/>
  <c r="Z16" i="42"/>
  <c r="Y16" i="42"/>
  <c r="AE16" i="42" s="1"/>
  <c r="W16" i="42"/>
  <c r="U16" i="42"/>
  <c r="T16" i="42"/>
  <c r="R16" i="42"/>
  <c r="P16" i="42"/>
  <c r="O16" i="42"/>
  <c r="M16" i="42"/>
  <c r="K16" i="42"/>
  <c r="J16" i="42"/>
  <c r="AD15" i="42"/>
  <c r="AC15" i="42"/>
  <c r="AB15" i="42"/>
  <c r="AA15" i="42"/>
  <c r="AG15" i="42" s="1"/>
  <c r="Z15" i="42"/>
  <c r="Y15" i="42"/>
  <c r="W15" i="42"/>
  <c r="U15" i="42"/>
  <c r="T15" i="42"/>
  <c r="R15" i="42"/>
  <c r="P15" i="42"/>
  <c r="O15" i="42"/>
  <c r="M15" i="42"/>
  <c r="K15" i="42"/>
  <c r="J15" i="42"/>
  <c r="AD14" i="42"/>
  <c r="AC14" i="42"/>
  <c r="AB14" i="42"/>
  <c r="AA14" i="42"/>
  <c r="AG14" i="42" s="1"/>
  <c r="Z14" i="42"/>
  <c r="AF14" i="42" s="1"/>
  <c r="Y14" i="42"/>
  <c r="AE14" i="42" s="1"/>
  <c r="W14" i="42"/>
  <c r="U14" i="42"/>
  <c r="T14" i="42"/>
  <c r="R14" i="42"/>
  <c r="P14" i="42"/>
  <c r="O14" i="42"/>
  <c r="M14" i="42"/>
  <c r="K14" i="42"/>
  <c r="J14" i="42"/>
  <c r="AD13" i="42"/>
  <c r="AC13" i="42"/>
  <c r="AB13" i="42"/>
  <c r="AA13" i="42"/>
  <c r="AG13" i="42" s="1"/>
  <c r="Z13" i="42"/>
  <c r="AF13" i="42" s="1"/>
  <c r="Y13" i="42"/>
  <c r="W13" i="42"/>
  <c r="U13" i="42"/>
  <c r="T13" i="42"/>
  <c r="R13" i="42"/>
  <c r="P13" i="42"/>
  <c r="O13" i="42"/>
  <c r="M13" i="42"/>
  <c r="K13" i="42"/>
  <c r="J13" i="42"/>
  <c r="AF12" i="42"/>
  <c r="AD12" i="42"/>
  <c r="AG12" i="42" s="1"/>
  <c r="AC12" i="42"/>
  <c r="AB12" i="42"/>
  <c r="AA12" i="42"/>
  <c r="Z12" i="42"/>
  <c r="Y12" i="42"/>
  <c r="AE12" i="42" s="1"/>
  <c r="W12" i="42"/>
  <c r="U12" i="42"/>
  <c r="T12" i="42"/>
  <c r="R12" i="42"/>
  <c r="P12" i="42"/>
  <c r="O12" i="42"/>
  <c r="M12" i="42"/>
  <c r="K12" i="42"/>
  <c r="J12" i="42"/>
  <c r="AE11" i="42"/>
  <c r="AD11" i="42"/>
  <c r="AC11" i="42"/>
  <c r="AB11" i="42"/>
  <c r="AA11" i="42"/>
  <c r="AG11" i="42" s="1"/>
  <c r="Z11" i="42"/>
  <c r="Y11" i="42"/>
  <c r="W11" i="42"/>
  <c r="U11" i="42"/>
  <c r="T11" i="42"/>
  <c r="R11" i="42"/>
  <c r="P11" i="42"/>
  <c r="O11" i="42"/>
  <c r="M11" i="42"/>
  <c r="K11" i="42"/>
  <c r="J11" i="42"/>
  <c r="AD10" i="42"/>
  <c r="AC10" i="42"/>
  <c r="AB10" i="42"/>
  <c r="AA10" i="42"/>
  <c r="AG10" i="42" s="1"/>
  <c r="Z10" i="42"/>
  <c r="AF10" i="42" s="1"/>
  <c r="Y10" i="42"/>
  <c r="W10" i="42"/>
  <c r="U10" i="42"/>
  <c r="T10" i="42"/>
  <c r="R10" i="42"/>
  <c r="P10" i="42"/>
  <c r="O10" i="42"/>
  <c r="M10" i="42"/>
  <c r="K10" i="42"/>
  <c r="J10" i="42"/>
  <c r="AD9" i="42"/>
  <c r="AC9" i="42"/>
  <c r="AB9" i="42"/>
  <c r="AA9" i="42"/>
  <c r="AG9" i="42" s="1"/>
  <c r="Z9" i="42"/>
  <c r="Y9" i="42"/>
  <c r="W9" i="42"/>
  <c r="U9" i="42"/>
  <c r="T9" i="42"/>
  <c r="R9" i="42"/>
  <c r="P9" i="42"/>
  <c r="O9" i="42"/>
  <c r="M9" i="42"/>
  <c r="K9" i="42"/>
  <c r="J9" i="42"/>
  <c r="AD8" i="42"/>
  <c r="AC8" i="42"/>
  <c r="AB8" i="42"/>
  <c r="AA8" i="42"/>
  <c r="AG8" i="42" s="1"/>
  <c r="Z8" i="42"/>
  <c r="AF8" i="42" s="1"/>
  <c r="Y8" i="42"/>
  <c r="W8" i="42"/>
  <c r="U8" i="42"/>
  <c r="T8" i="42"/>
  <c r="R8" i="42"/>
  <c r="P8" i="42"/>
  <c r="O8" i="42"/>
  <c r="M8" i="42"/>
  <c r="K8" i="42"/>
  <c r="J8" i="42"/>
  <c r="AD7" i="42"/>
  <c r="AG7" i="42" s="1"/>
  <c r="AC7" i="42"/>
  <c r="AB7" i="42"/>
  <c r="AA7" i="42"/>
  <c r="Z7" i="42"/>
  <c r="AF7" i="42" s="1"/>
  <c r="Y7" i="42"/>
  <c r="AE7" i="42" s="1"/>
  <c r="W7" i="42"/>
  <c r="U7" i="42"/>
  <c r="T7" i="42"/>
  <c r="R7" i="42"/>
  <c r="P7" i="42"/>
  <c r="O7" i="42"/>
  <c r="M7" i="42"/>
  <c r="K7" i="42"/>
  <c r="J7" i="42"/>
  <c r="L30" i="43" l="1"/>
  <c r="R19" i="43"/>
  <c r="G20" i="43"/>
  <c r="I20" i="43" s="1"/>
  <c r="N11" i="42"/>
  <c r="J14" i="43"/>
  <c r="R15" i="43"/>
  <c r="R18" i="43"/>
  <c r="I10" i="43"/>
  <c r="J20" i="43"/>
  <c r="R24" i="43"/>
  <c r="I39" i="43"/>
  <c r="R10" i="43"/>
  <c r="U18" i="43"/>
  <c r="AA24" i="43"/>
  <c r="R22" i="43"/>
  <c r="M38" i="43"/>
  <c r="O38" i="43" s="1"/>
  <c r="R32" i="43"/>
  <c r="I13" i="43"/>
  <c r="U25" i="43"/>
  <c r="AE9" i="42"/>
  <c r="AF23" i="42"/>
  <c r="AE26" i="42"/>
  <c r="AF9" i="42"/>
  <c r="AF26" i="42"/>
  <c r="AF18" i="42"/>
  <c r="AE23" i="42"/>
  <c r="AE8" i="42"/>
  <c r="AF27" i="42"/>
  <c r="AE21" i="42"/>
  <c r="AE13" i="42"/>
  <c r="AE15" i="42"/>
  <c r="AF11" i="42"/>
  <c r="AF15" i="42"/>
  <c r="AE10" i="42"/>
  <c r="V37" i="43"/>
  <c r="Q19" i="42"/>
  <c r="N13" i="42"/>
  <c r="L28" i="42"/>
  <c r="N30" i="42"/>
  <c r="G12" i="43"/>
  <c r="G11" i="43" s="1"/>
  <c r="L25" i="43"/>
  <c r="I36" i="43"/>
  <c r="M15" i="43"/>
  <c r="S9" i="42"/>
  <c r="Y20" i="43"/>
  <c r="AA20" i="43" s="1"/>
  <c r="AA21" i="43"/>
  <c r="V23" i="43"/>
  <c r="X23" i="43" s="1"/>
  <c r="M25" i="43"/>
  <c r="O25" i="43" s="1"/>
  <c r="I27" i="43"/>
  <c r="U19" i="43"/>
  <c r="L8" i="42"/>
  <c r="K24" i="42"/>
  <c r="V9" i="42"/>
  <c r="V14" i="42"/>
  <c r="V19" i="42"/>
  <c r="Q30" i="42"/>
  <c r="V15" i="43"/>
  <c r="AB15" i="43" s="1"/>
  <c r="AA19" i="43"/>
  <c r="U29" i="43"/>
  <c r="I38" i="43"/>
  <c r="R39" i="43"/>
  <c r="R23" i="43"/>
  <c r="Q28" i="42"/>
  <c r="V36" i="42"/>
  <c r="G14" i="43"/>
  <c r="I14" i="43" s="1"/>
  <c r="M18" i="43"/>
  <c r="V39" i="43"/>
  <c r="U23" i="43"/>
  <c r="S13" i="42"/>
  <c r="O24" i="42"/>
  <c r="S28" i="42"/>
  <c r="X36" i="42"/>
  <c r="M22" i="43"/>
  <c r="O22" i="43" s="1"/>
  <c r="V25" i="43"/>
  <c r="X25" i="43" s="1"/>
  <c r="R36" i="43"/>
  <c r="L38" i="43"/>
  <c r="S14" i="42"/>
  <c r="Q17" i="42"/>
  <c r="X23" i="42"/>
  <c r="V30" i="42"/>
  <c r="M13" i="43"/>
  <c r="O13" i="43" s="1"/>
  <c r="S16" i="43"/>
  <c r="U16" i="43" s="1"/>
  <c r="M24" i="43"/>
  <c r="O24" i="43" s="1"/>
  <c r="L21" i="42"/>
  <c r="V28" i="42"/>
  <c r="S12" i="43"/>
  <c r="U12" i="43" s="1"/>
  <c r="L13" i="43"/>
  <c r="V22" i="43"/>
  <c r="AA26" i="43"/>
  <c r="N21" i="42"/>
  <c r="S34" i="42"/>
  <c r="Y16" i="43"/>
  <c r="AA16" i="43" s="1"/>
  <c r="V36" i="43"/>
  <c r="V38" i="43"/>
  <c r="T26" i="42"/>
  <c r="N23" i="42"/>
  <c r="V12" i="42"/>
  <c r="O26" i="42"/>
  <c r="V22" i="42"/>
  <c r="X28" i="42"/>
  <c r="L31" i="42"/>
  <c r="R41" i="42"/>
  <c r="V37" i="42"/>
  <c r="V13" i="43"/>
  <c r="AA18" i="43"/>
  <c r="I35" i="43"/>
  <c r="R30" i="43"/>
  <c r="Q9" i="42"/>
  <c r="O41" i="42"/>
  <c r="N18" i="42"/>
  <c r="T24" i="42"/>
  <c r="X17" i="42"/>
  <c r="Q21" i="42"/>
  <c r="X22" i="42"/>
  <c r="J32" i="42"/>
  <c r="N31" i="42"/>
  <c r="AA8" i="43"/>
  <c r="G16" i="43"/>
  <c r="L24" i="43"/>
  <c r="Y31" i="43"/>
  <c r="AA31" i="43" s="1"/>
  <c r="M40" i="43"/>
  <c r="O40" i="43" s="1"/>
  <c r="U26" i="43"/>
  <c r="I18" i="43"/>
  <c r="Q31" i="42"/>
  <c r="T41" i="42"/>
  <c r="M19" i="43"/>
  <c r="I21" i="43"/>
  <c r="AA22" i="43"/>
  <c r="L28" i="43"/>
  <c r="Q14" i="42"/>
  <c r="L39" i="43"/>
  <c r="M36" i="43"/>
  <c r="N16" i="42"/>
  <c r="O25" i="42"/>
  <c r="G17" i="43"/>
  <c r="I26" i="43"/>
  <c r="M37" i="43"/>
  <c r="U38" i="43"/>
  <c r="T25" i="42"/>
  <c r="X10" i="42"/>
  <c r="S19" i="42"/>
  <c r="L16" i="42"/>
  <c r="X12" i="42"/>
  <c r="N20" i="42"/>
  <c r="V16" i="42"/>
  <c r="M26" i="42"/>
  <c r="X21" i="42"/>
  <c r="O32" i="42"/>
  <c r="S31" i="42"/>
  <c r="J12" i="43"/>
  <c r="J11" i="43" s="1"/>
  <c r="U13" i="43"/>
  <c r="J17" i="43"/>
  <c r="L17" i="43" s="1"/>
  <c r="L21" i="43"/>
  <c r="R35" i="43"/>
  <c r="Y30" i="43"/>
  <c r="AA30" i="43" s="1"/>
  <c r="U26" i="42"/>
  <c r="X26" i="42" s="1"/>
  <c r="V26" i="43"/>
  <c r="L30" i="42"/>
  <c r="AA10" i="43"/>
  <c r="M39" i="43"/>
  <c r="O39" i="43" s="1"/>
  <c r="J24" i="42"/>
  <c r="L24" i="42" s="1"/>
  <c r="X9" i="42"/>
  <c r="X8" i="42"/>
  <c r="Q12" i="42"/>
  <c r="Q10" i="42"/>
  <c r="V11" i="42"/>
  <c r="Q15" i="42"/>
  <c r="J26" i="42"/>
  <c r="Q20" i="42"/>
  <c r="S29" i="42"/>
  <c r="P17" i="43"/>
  <c r="R17" i="43" s="1"/>
  <c r="M21" i="43"/>
  <c r="O21" i="43" s="1"/>
  <c r="V24" i="43"/>
  <c r="M26" i="43"/>
  <c r="O26" i="43" s="1"/>
  <c r="I25" i="43"/>
  <c r="U21" i="43"/>
  <c r="X14" i="42"/>
  <c r="V17" i="42"/>
  <c r="P25" i="42"/>
  <c r="N15" i="42"/>
  <c r="N9" i="42"/>
  <c r="K26" i="42"/>
  <c r="V31" i="42"/>
  <c r="X38" i="42"/>
  <c r="V19" i="43"/>
  <c r="X19" i="43" s="1"/>
  <c r="I23" i="43"/>
  <c r="U24" i="43"/>
  <c r="L31" i="43"/>
  <c r="U35" i="43"/>
  <c r="L37" i="43"/>
  <c r="U40" i="43"/>
  <c r="U32" i="42"/>
  <c r="N12" i="42"/>
  <c r="Q7" i="42"/>
  <c r="L11" i="42"/>
  <c r="U24" i="42"/>
  <c r="U27" i="42" s="1"/>
  <c r="X7" i="42"/>
  <c r="S10" i="42"/>
  <c r="N14" i="42"/>
  <c r="T32" i="42"/>
  <c r="S17" i="43"/>
  <c r="V21" i="43"/>
  <c r="M23" i="43"/>
  <c r="O23" i="43" s="1"/>
  <c r="Y28" i="43"/>
  <c r="AA28" i="43" s="1"/>
  <c r="V35" i="43"/>
  <c r="X35" i="43" s="1"/>
  <c r="Y32" i="43"/>
  <c r="AA32" i="43" s="1"/>
  <c r="X15" i="42"/>
  <c r="R32" i="42"/>
  <c r="M32" i="42"/>
  <c r="W41" i="42"/>
  <c r="W32" i="42"/>
  <c r="S8" i="42"/>
  <c r="X29" i="42"/>
  <c r="M24" i="42"/>
  <c r="N24" i="42" s="1"/>
  <c r="S18" i="42"/>
  <c r="X35" i="42"/>
  <c r="X13" i="42"/>
  <c r="W26" i="42"/>
  <c r="N22" i="42"/>
  <c r="S23" i="42"/>
  <c r="M25" i="42"/>
  <c r="X18" i="42"/>
  <c r="S22" i="42"/>
  <c r="X33" i="42"/>
  <c r="N10" i="42"/>
  <c r="S16" i="42"/>
  <c r="X39" i="42"/>
  <c r="W14" i="43"/>
  <c r="W17" i="43"/>
  <c r="AC22" i="43"/>
  <c r="AC19" i="43"/>
  <c r="P14" i="43"/>
  <c r="L23" i="43"/>
  <c r="L10" i="43"/>
  <c r="Q29" i="43"/>
  <c r="R29" i="43" s="1"/>
  <c r="W37" i="43"/>
  <c r="L36" i="43"/>
  <c r="U37" i="43"/>
  <c r="I19" i="43"/>
  <c r="R21" i="43"/>
  <c r="J41" i="43"/>
  <c r="J42" i="43" s="1"/>
  <c r="I40" i="43"/>
  <c r="Q14" i="43"/>
  <c r="AC13" i="43"/>
  <c r="N17" i="43"/>
  <c r="N14" i="43"/>
  <c r="Y12" i="43"/>
  <c r="Y11" i="43" s="1"/>
  <c r="Z17" i="43"/>
  <c r="W38" i="43"/>
  <c r="L20" i="43"/>
  <c r="AA23" i="43"/>
  <c r="K41" i="43"/>
  <c r="K27" i="43"/>
  <c r="L27" i="43" s="1"/>
  <c r="Y29" i="43"/>
  <c r="AA29" i="43" s="1"/>
  <c r="L14" i="43"/>
  <c r="N30" i="43"/>
  <c r="O30" i="43" s="1"/>
  <c r="AC38" i="43"/>
  <c r="N37" i="43"/>
  <c r="I37" i="43"/>
  <c r="Q16" i="43"/>
  <c r="W10" i="43"/>
  <c r="Q11" i="43"/>
  <c r="P41" i="43"/>
  <c r="T31" i="43"/>
  <c r="U31" i="43" s="1"/>
  <c r="L15" i="43"/>
  <c r="T20" i="43"/>
  <c r="AC23" i="43"/>
  <c r="L26" i="43"/>
  <c r="H29" i="43"/>
  <c r="I29" i="43" s="1"/>
  <c r="H32" i="43"/>
  <c r="I32" i="43" s="1"/>
  <c r="L35" i="43"/>
  <c r="T28" i="43"/>
  <c r="U28" i="43" s="1"/>
  <c r="T41" i="43"/>
  <c r="L40" i="43"/>
  <c r="K32" i="43"/>
  <c r="L32" i="43" s="1"/>
  <c r="N10" i="43"/>
  <c r="N12" i="43" s="1"/>
  <c r="H11" i="43"/>
  <c r="I11" i="43" s="1"/>
  <c r="W31" i="43"/>
  <c r="X31" i="43" s="1"/>
  <c r="U17" i="43"/>
  <c r="V10" i="43"/>
  <c r="Z41" i="43"/>
  <c r="Z42" i="43" s="1"/>
  <c r="S9" i="43"/>
  <c r="L19" i="43"/>
  <c r="M35" i="43"/>
  <c r="AB35" i="43" s="1"/>
  <c r="U36" i="43"/>
  <c r="AC39" i="43"/>
  <c r="R8" i="43"/>
  <c r="S20" i="43"/>
  <c r="V18" i="43"/>
  <c r="T14" i="43"/>
  <c r="U8" i="43"/>
  <c r="Y41" i="43"/>
  <c r="Y42" i="43" s="1"/>
  <c r="Y27" i="43"/>
  <c r="AA27" i="43" s="1"/>
  <c r="L22" i="43"/>
  <c r="S14" i="43"/>
  <c r="U39" i="43"/>
  <c r="H12" i="43"/>
  <c r="I12" i="43" s="1"/>
  <c r="Y17" i="43"/>
  <c r="R37" i="43"/>
  <c r="I15" i="43"/>
  <c r="M8" i="43"/>
  <c r="O8" i="43" s="1"/>
  <c r="G9" i="43"/>
  <c r="T9" i="43"/>
  <c r="U9" i="43" s="1"/>
  <c r="Y14" i="43"/>
  <c r="N15" i="43"/>
  <c r="N35" i="43"/>
  <c r="V40" i="43"/>
  <c r="Q20" i="43"/>
  <c r="W18" i="43"/>
  <c r="AC18" i="43" s="1"/>
  <c r="I22" i="43"/>
  <c r="H16" i="43"/>
  <c r="I16" i="43" s="1"/>
  <c r="W22" i="43"/>
  <c r="Q28" i="43"/>
  <c r="R28" i="43" s="1"/>
  <c r="R13" i="43"/>
  <c r="Q41" i="43"/>
  <c r="K12" i="43"/>
  <c r="L12" i="43" s="1"/>
  <c r="AC8" i="43"/>
  <c r="Z14" i="43"/>
  <c r="N20" i="43"/>
  <c r="O18" i="43"/>
  <c r="W21" i="43"/>
  <c r="X21" i="43" s="1"/>
  <c r="W26" i="43"/>
  <c r="X26" i="43" s="1"/>
  <c r="W36" i="43"/>
  <c r="W32" i="43"/>
  <c r="X32" i="43" s="1"/>
  <c r="Q31" i="43"/>
  <c r="R31" i="43" s="1"/>
  <c r="R25" i="43"/>
  <c r="G41" i="43"/>
  <c r="H41" i="43"/>
  <c r="AA15" i="43"/>
  <c r="T30" i="43"/>
  <c r="U30" i="43" s="1"/>
  <c r="W24" i="43"/>
  <c r="Z12" i="43"/>
  <c r="J9" i="43"/>
  <c r="K11" i="43"/>
  <c r="L18" i="43"/>
  <c r="I24" i="43"/>
  <c r="AC25" i="43"/>
  <c r="R26" i="43"/>
  <c r="N32" i="43"/>
  <c r="O32" i="43" s="1"/>
  <c r="R40" i="43"/>
  <c r="P12" i="43"/>
  <c r="P9" i="43" s="1"/>
  <c r="V8" i="43"/>
  <c r="X8" i="43" s="1"/>
  <c r="Q12" i="43"/>
  <c r="Q9" i="43"/>
  <c r="M10" i="43"/>
  <c r="R38" i="43"/>
  <c r="N36" i="43"/>
  <c r="H28" i="43"/>
  <c r="I28" i="43" s="1"/>
  <c r="J16" i="43"/>
  <c r="L16" i="43" s="1"/>
  <c r="T11" i="43"/>
  <c r="U22" i="43"/>
  <c r="K9" i="43"/>
  <c r="S41" i="43"/>
  <c r="S42" i="43" s="1"/>
  <c r="H17" i="43"/>
  <c r="K29" i="43"/>
  <c r="L29" i="43" s="1"/>
  <c r="I8" i="43"/>
  <c r="U10" i="43"/>
  <c r="AA13" i="43"/>
  <c r="AA25" i="43"/>
  <c r="T27" i="43"/>
  <c r="U27" i="43" s="1"/>
  <c r="H30" i="43"/>
  <c r="I30" i="43" s="1"/>
  <c r="T32" i="43"/>
  <c r="U32" i="43" s="1"/>
  <c r="L8" i="43"/>
  <c r="H9" i="43"/>
  <c r="P16" i="43"/>
  <c r="P20" i="43"/>
  <c r="U15" i="43"/>
  <c r="H31" i="43"/>
  <c r="I31" i="43" s="1"/>
  <c r="L17" i="42"/>
  <c r="J25" i="42"/>
  <c r="R24" i="42"/>
  <c r="P41" i="42"/>
  <c r="Q39" i="42"/>
  <c r="S39" i="42"/>
  <c r="Q25" i="42"/>
  <c r="L29" i="42"/>
  <c r="S15" i="42"/>
  <c r="R25" i="42"/>
  <c r="S25" i="42" s="1"/>
  <c r="L26" i="42"/>
  <c r="N26" i="42"/>
  <c r="R26" i="42"/>
  <c r="S20" i="42"/>
  <c r="U41" i="42"/>
  <c r="V34" i="42"/>
  <c r="X34" i="42"/>
  <c r="W24" i="42"/>
  <c r="L7" i="42"/>
  <c r="L22" i="42"/>
  <c r="P26" i="42"/>
  <c r="U25" i="42"/>
  <c r="N7" i="42"/>
  <c r="V15" i="42"/>
  <c r="N17" i="42"/>
  <c r="V20" i="42"/>
  <c r="N29" i="42"/>
  <c r="S30" i="42"/>
  <c r="Q33" i="42"/>
  <c r="S21" i="42"/>
  <c r="W25" i="42"/>
  <c r="L13" i="42"/>
  <c r="L18" i="42"/>
  <c r="X20" i="42"/>
  <c r="L23" i="42"/>
  <c r="K32" i="42"/>
  <c r="Q22" i="42"/>
  <c r="X37" i="42"/>
  <c r="V21" i="42"/>
  <c r="S7" i="42"/>
  <c r="N28" i="42"/>
  <c r="X30" i="42"/>
  <c r="V33" i="42"/>
  <c r="L9" i="42"/>
  <c r="L14" i="42"/>
  <c r="X16" i="42"/>
  <c r="V35" i="42"/>
  <c r="Q8" i="42"/>
  <c r="Q13" i="42"/>
  <c r="Q18" i="42"/>
  <c r="Q23" i="42"/>
  <c r="P32" i="42"/>
  <c r="X19" i="42"/>
  <c r="Q11" i="42"/>
  <c r="Q16" i="42"/>
  <c r="N38" i="42"/>
  <c r="L19" i="42"/>
  <c r="V7" i="42"/>
  <c r="N19" i="42"/>
  <c r="V29" i="42"/>
  <c r="Q29" i="42"/>
  <c r="S12" i="42"/>
  <c r="S17" i="42"/>
  <c r="K25" i="42"/>
  <c r="X31" i="42"/>
  <c r="L10" i="42"/>
  <c r="L15" i="42"/>
  <c r="L20" i="42"/>
  <c r="P24" i="42"/>
  <c r="V38" i="42"/>
  <c r="S11" i="42"/>
  <c r="V39" i="42"/>
  <c r="X11" i="42"/>
  <c r="L41" i="42"/>
  <c r="V8" i="42"/>
  <c r="V13" i="42"/>
  <c r="V18" i="42"/>
  <c r="V23" i="42"/>
  <c r="Q34" i="42"/>
  <c r="L12" i="42"/>
  <c r="N8" i="42"/>
  <c r="V10" i="42"/>
  <c r="S33" i="42"/>
  <c r="P19" i="41"/>
  <c r="P18" i="41"/>
  <c r="R27" i="42" l="1"/>
  <c r="V24" i="42"/>
  <c r="X24" i="42"/>
  <c r="M27" i="42"/>
  <c r="M47" i="42" s="1"/>
  <c r="AB19" i="43"/>
  <c r="AD19" i="43" s="1"/>
  <c r="AB39" i="43"/>
  <c r="V32" i="42"/>
  <c r="V26" i="42"/>
  <c r="AB37" i="43"/>
  <c r="J27" i="42"/>
  <c r="J47" i="42" s="1"/>
  <c r="O27" i="42"/>
  <c r="O43" i="42" s="1"/>
  <c r="O47" i="42" s="1"/>
  <c r="V14" i="43"/>
  <c r="AB38" i="43"/>
  <c r="AB21" i="43"/>
  <c r="O19" i="43"/>
  <c r="V17" i="43"/>
  <c r="X17" i="43" s="1"/>
  <c r="X13" i="43"/>
  <c r="X39" i="43"/>
  <c r="M17" i="43"/>
  <c r="O17" i="43" s="1"/>
  <c r="AB13" i="43"/>
  <c r="AD13" i="43" s="1"/>
  <c r="M20" i="43"/>
  <c r="O20" i="43" s="1"/>
  <c r="AB40" i="43"/>
  <c r="AD40" i="43" s="1"/>
  <c r="V20" i="43"/>
  <c r="I17" i="43"/>
  <c r="S11" i="43"/>
  <c r="U11" i="43" s="1"/>
  <c r="AB27" i="43"/>
  <c r="X40" i="43"/>
  <c r="AB25" i="43"/>
  <c r="AD25" i="43" s="1"/>
  <c r="R43" i="42"/>
  <c r="R47" i="42" s="1"/>
  <c r="T27" i="42"/>
  <c r="T43" i="42" s="1"/>
  <c r="AB22" i="43"/>
  <c r="AD22" i="43" s="1"/>
  <c r="L9" i="43"/>
  <c r="L11" i="43"/>
  <c r="AB23" i="43"/>
  <c r="X22" i="43"/>
  <c r="R16" i="43"/>
  <c r="AB26" i="43"/>
  <c r="X15" i="43"/>
  <c r="AB31" i="43"/>
  <c r="R20" i="43"/>
  <c r="U14" i="43"/>
  <c r="X14" i="43"/>
  <c r="X32" i="42"/>
  <c r="AB24" i="43"/>
  <c r="AB30" i="43" s="1"/>
  <c r="AB36" i="43"/>
  <c r="AC20" i="43"/>
  <c r="N9" i="43"/>
  <c r="I9" i="43"/>
  <c r="N16" i="43"/>
  <c r="AC15" i="43"/>
  <c r="AC17" i="43" s="1"/>
  <c r="O15" i="43"/>
  <c r="U41" i="43"/>
  <c r="T42" i="43"/>
  <c r="AA12" i="43"/>
  <c r="Z11" i="43"/>
  <c r="AA11" i="43" s="1"/>
  <c r="O36" i="43"/>
  <c r="N28" i="43"/>
  <c r="O28" i="43" s="1"/>
  <c r="AC36" i="43"/>
  <c r="X24" i="43"/>
  <c r="AC24" i="43"/>
  <c r="Y9" i="43"/>
  <c r="AC14" i="43"/>
  <c r="L41" i="43"/>
  <c r="K42" i="43"/>
  <c r="X18" i="43"/>
  <c r="W20" i="43"/>
  <c r="X36" i="43"/>
  <c r="W28" i="43"/>
  <c r="X28" i="43" s="1"/>
  <c r="N11" i="43"/>
  <c r="AC10" i="43"/>
  <c r="AC12" i="43" s="1"/>
  <c r="O10" i="43"/>
  <c r="AD39" i="43"/>
  <c r="AC31" i="43"/>
  <c r="AB10" i="43"/>
  <c r="H42" i="43"/>
  <c r="N41" i="43"/>
  <c r="I41" i="43"/>
  <c r="V16" i="43"/>
  <c r="U20" i="43"/>
  <c r="AC26" i="43"/>
  <c r="X10" i="43"/>
  <c r="N29" i="43"/>
  <c r="O29" i="43" s="1"/>
  <c r="O37" i="43"/>
  <c r="AC37" i="43"/>
  <c r="G42" i="43"/>
  <c r="M41" i="43"/>
  <c r="W29" i="43"/>
  <c r="X29" i="43" s="1"/>
  <c r="X37" i="43"/>
  <c r="W16" i="43"/>
  <c r="P11" i="43"/>
  <c r="R11" i="43" s="1"/>
  <c r="R9" i="43"/>
  <c r="W27" i="43"/>
  <c r="X27" i="43" s="1"/>
  <c r="R12" i="43"/>
  <c r="V41" i="43"/>
  <c r="V42" i="43" s="1"/>
  <c r="P42" i="43"/>
  <c r="X38" i="43"/>
  <c r="W30" i="43"/>
  <c r="X30" i="43" s="1"/>
  <c r="W12" i="43"/>
  <c r="W11" i="43" s="1"/>
  <c r="O35" i="43"/>
  <c r="AC35" i="43"/>
  <c r="N27" i="43"/>
  <c r="O27" i="43" s="1"/>
  <c r="AB18" i="43"/>
  <c r="AB20" i="43" s="1"/>
  <c r="AD38" i="43"/>
  <c r="R14" i="43"/>
  <c r="AA14" i="43"/>
  <c r="M12" i="43"/>
  <c r="M9" i="43" s="1"/>
  <c r="AB8" i="43"/>
  <c r="Z9" i="43"/>
  <c r="W41" i="43"/>
  <c r="R41" i="43"/>
  <c r="Q42" i="43"/>
  <c r="V12" i="43"/>
  <c r="V11" i="43" s="1"/>
  <c r="M14" i="43"/>
  <c r="O14" i="43" s="1"/>
  <c r="AC21" i="43"/>
  <c r="AD21" i="43" s="1"/>
  <c r="AA17" i="43"/>
  <c r="M16" i="43"/>
  <c r="L32" i="42"/>
  <c r="N32" i="42"/>
  <c r="U43" i="42"/>
  <c r="S32" i="42"/>
  <c r="Q32" i="42"/>
  <c r="N25" i="42"/>
  <c r="L25" i="42"/>
  <c r="S41" i="42"/>
  <c r="Q41" i="42"/>
  <c r="X25" i="42"/>
  <c r="V25" i="42"/>
  <c r="S26" i="42"/>
  <c r="Q26" i="42"/>
  <c r="K27" i="42"/>
  <c r="W27" i="42"/>
  <c r="W43" i="42" s="1"/>
  <c r="W47" i="42" s="1"/>
  <c r="S24" i="42"/>
  <c r="Q24" i="42"/>
  <c r="P27" i="42"/>
  <c r="V41" i="42"/>
  <c r="X41" i="42"/>
  <c r="Y40" i="41"/>
  <c r="Y39" i="41"/>
  <c r="Y38" i="41"/>
  <c r="Y37" i="41"/>
  <c r="Y36" i="41"/>
  <c r="Y35" i="41"/>
  <c r="Y19" i="41"/>
  <c r="Y18" i="41"/>
  <c r="AB29" i="43" l="1"/>
  <c r="AD31" i="43"/>
  <c r="AB17" i="43"/>
  <c r="AD17" i="43" s="1"/>
  <c r="X20" i="43"/>
  <c r="AD23" i="43"/>
  <c r="AB32" i="43"/>
  <c r="X11" i="43"/>
  <c r="AD24" i="43"/>
  <c r="T44" i="42"/>
  <c r="T47" i="42"/>
  <c r="X16" i="43"/>
  <c r="AA9" i="43"/>
  <c r="V27" i="42"/>
  <c r="AB28" i="43"/>
  <c r="AC9" i="43"/>
  <c r="AB12" i="43"/>
  <c r="AB11" i="43"/>
  <c r="AC30" i="43"/>
  <c r="AD30" i="43" s="1"/>
  <c r="O16" i="43"/>
  <c r="AB14" i="43"/>
  <c r="AD14" i="43" s="1"/>
  <c r="AD35" i="43"/>
  <c r="AC27" i="43"/>
  <c r="AD27" i="43" s="1"/>
  <c r="M42" i="43"/>
  <c r="AB41" i="43"/>
  <c r="AB42" i="43" s="1"/>
  <c r="V9" i="43"/>
  <c r="AD37" i="43"/>
  <c r="AC29" i="43"/>
  <c r="AD29" i="43" s="1"/>
  <c r="M11" i="43"/>
  <c r="O11" i="43" s="1"/>
  <c r="X12" i="43"/>
  <c r="W9" i="43"/>
  <c r="AD26" i="43"/>
  <c r="AC32" i="43"/>
  <c r="AD32" i="43" s="1"/>
  <c r="O9" i="43"/>
  <c r="O41" i="43"/>
  <c r="N42" i="43"/>
  <c r="AC41" i="43"/>
  <c r="X41" i="43"/>
  <c r="W42" i="43"/>
  <c r="O12" i="43"/>
  <c r="AD18" i="43"/>
  <c r="AC28" i="43"/>
  <c r="AD36" i="43"/>
  <c r="AC11" i="43"/>
  <c r="AD10" i="43"/>
  <c r="AD15" i="43"/>
  <c r="AC16" i="43"/>
  <c r="AB16" i="43"/>
  <c r="AD8" i="43"/>
  <c r="AD20" i="43"/>
  <c r="N27" i="42"/>
  <c r="L27" i="42"/>
  <c r="G27" i="42"/>
  <c r="K47" i="42"/>
  <c r="S27" i="42"/>
  <c r="P43" i="42"/>
  <c r="U44" i="42" s="1"/>
  <c r="Q27" i="42"/>
  <c r="X27" i="42"/>
  <c r="G44" i="42"/>
  <c r="X43" i="42"/>
  <c r="V43" i="42"/>
  <c r="U47" i="42"/>
  <c r="Y26" i="41"/>
  <c r="Y25" i="41"/>
  <c r="Y24" i="41"/>
  <c r="Y23" i="41"/>
  <c r="Y22" i="41"/>
  <c r="Y21" i="41"/>
  <c r="Y15" i="41"/>
  <c r="Y13" i="41"/>
  <c r="Y10" i="41"/>
  <c r="Y8" i="41"/>
  <c r="AD28" i="43" l="1"/>
  <c r="AD11" i="43"/>
  <c r="AB9" i="43"/>
  <c r="AD9" i="43" s="1"/>
  <c r="X9" i="43"/>
  <c r="AC42" i="43"/>
  <c r="AD41" i="43"/>
  <c r="AD16" i="43"/>
  <c r="AD12" i="43"/>
  <c r="G43" i="42"/>
  <c r="S43" i="42"/>
  <c r="Q43" i="42"/>
  <c r="P47" i="42"/>
  <c r="S19" i="41"/>
  <c r="S18" i="41" l="1"/>
  <c r="S40" i="41" l="1"/>
  <c r="P40" i="41"/>
  <c r="S39" i="41"/>
  <c r="P39" i="41"/>
  <c r="S38" i="41"/>
  <c r="P38" i="41"/>
  <c r="S37" i="41"/>
  <c r="P37" i="41"/>
  <c r="S36" i="41"/>
  <c r="P36" i="41"/>
  <c r="S35" i="41"/>
  <c r="P35" i="41"/>
  <c r="V32" i="41"/>
  <c r="S32" i="41"/>
  <c r="P32" i="41"/>
  <c r="V31" i="41"/>
  <c r="S31" i="41"/>
  <c r="P31" i="41"/>
  <c r="V30" i="41"/>
  <c r="S30" i="41"/>
  <c r="P30" i="41"/>
  <c r="V29" i="41"/>
  <c r="S29" i="41"/>
  <c r="P29" i="41"/>
  <c r="V28" i="41"/>
  <c r="S28" i="41"/>
  <c r="P28" i="41"/>
  <c r="V27" i="41"/>
  <c r="S27" i="41"/>
  <c r="P27" i="41"/>
  <c r="S26" i="41"/>
  <c r="P26" i="41"/>
  <c r="S25" i="41"/>
  <c r="P25" i="41"/>
  <c r="S24" i="41"/>
  <c r="P24" i="41"/>
  <c r="S23" i="41"/>
  <c r="P23" i="41"/>
  <c r="S22" i="41"/>
  <c r="P22" i="41"/>
  <c r="S21" i="41"/>
  <c r="P21" i="41"/>
  <c r="S15" i="41"/>
  <c r="P15" i="41"/>
  <c r="S13" i="41"/>
  <c r="P13" i="41"/>
  <c r="S10" i="41"/>
  <c r="P10" i="41"/>
  <c r="S8" i="41"/>
  <c r="P8" i="41"/>
  <c r="J40" i="41"/>
  <c r="J39" i="41"/>
  <c r="J38" i="41"/>
  <c r="J37" i="41"/>
  <c r="J36" i="41"/>
  <c r="J35" i="41"/>
  <c r="J32" i="41"/>
  <c r="J31" i="41"/>
  <c r="J30" i="41"/>
  <c r="J29" i="41"/>
  <c r="J28" i="41"/>
  <c r="J27" i="41"/>
  <c r="J19" i="41"/>
  <c r="J18" i="41"/>
  <c r="J15" i="41"/>
  <c r="J13" i="41"/>
  <c r="G40" i="41"/>
  <c r="G39" i="41"/>
  <c r="G38" i="41"/>
  <c r="G37" i="41"/>
  <c r="G36" i="41"/>
  <c r="G35" i="41"/>
  <c r="G32" i="41"/>
  <c r="G31" i="41"/>
  <c r="G30" i="41"/>
  <c r="G29" i="41"/>
  <c r="G28" i="41"/>
  <c r="G27" i="41"/>
  <c r="G19" i="41"/>
  <c r="G18" i="41"/>
  <c r="G15" i="41"/>
  <c r="G13" i="41"/>
  <c r="M32" i="41" l="1"/>
  <c r="M31" i="41"/>
  <c r="M30" i="41"/>
  <c r="M29" i="41"/>
  <c r="M28" i="41"/>
  <c r="M27" i="41"/>
  <c r="J26" i="41"/>
  <c r="G26" i="41"/>
  <c r="J25" i="41"/>
  <c r="G25" i="41"/>
  <c r="J24" i="41"/>
  <c r="G24" i="41"/>
  <c r="J23" i="41"/>
  <c r="G23" i="41"/>
  <c r="J22" i="41"/>
  <c r="G22" i="41"/>
  <c r="J21" i="41"/>
  <c r="G21" i="41"/>
  <c r="J10" i="41"/>
  <c r="G10" i="41"/>
  <c r="J8" i="41"/>
  <c r="G8" i="41"/>
  <c r="Z24" i="41" l="1"/>
  <c r="Z23" i="41"/>
  <c r="V40" i="41"/>
  <c r="M39" i="41"/>
  <c r="M38" i="41"/>
  <c r="Y29" i="41"/>
  <c r="M37" i="41"/>
  <c r="Y28" i="41"/>
  <c r="M36" i="41"/>
  <c r="V35" i="41"/>
  <c r="Z32" i="41"/>
  <c r="Y30" i="41"/>
  <c r="AA26" i="41"/>
  <c r="M26" i="41"/>
  <c r="Y31" i="41"/>
  <c r="M25" i="41"/>
  <c r="AA24" i="41"/>
  <c r="V24" i="41"/>
  <c r="M24" i="41"/>
  <c r="V23" i="41"/>
  <c r="M23" i="41"/>
  <c r="V22" i="41"/>
  <c r="M22" i="41"/>
  <c r="M21" i="41"/>
  <c r="V19" i="41"/>
  <c r="S20" i="41"/>
  <c r="P20" i="41"/>
  <c r="J20" i="41"/>
  <c r="J17" i="41"/>
  <c r="V15" i="41"/>
  <c r="J14" i="41"/>
  <c r="Y14" i="41"/>
  <c r="S17" i="41"/>
  <c r="V13" i="41"/>
  <c r="G14" i="41"/>
  <c r="G12" i="41"/>
  <c r="G9" i="41" s="1"/>
  <c r="S16" i="41"/>
  <c r="M8" i="41"/>
  <c r="G11" i="41" l="1"/>
  <c r="AB22" i="41"/>
  <c r="V26" i="41"/>
  <c r="AB26" i="41" s="1"/>
  <c r="P14" i="41"/>
  <c r="Y20" i="41"/>
  <c r="Y32" i="41"/>
  <c r="AA32" i="41" s="1"/>
  <c r="V36" i="41"/>
  <c r="AB36" i="41" s="1"/>
  <c r="AB28" i="41" s="1"/>
  <c r="V39" i="41"/>
  <c r="V25" i="41"/>
  <c r="AB25" i="41" s="1"/>
  <c r="V21" i="41"/>
  <c r="AB21" i="41" s="1"/>
  <c r="V17" i="41"/>
  <c r="AB24" i="41"/>
  <c r="S41" i="41"/>
  <c r="S42" i="41" s="1"/>
  <c r="V37" i="41"/>
  <c r="AB37" i="41" s="1"/>
  <c r="M40" i="41"/>
  <c r="AB40" i="41" s="1"/>
  <c r="J41" i="41"/>
  <c r="J42" i="41" s="1"/>
  <c r="Y17" i="41"/>
  <c r="Y16" i="41"/>
  <c r="M19" i="41"/>
  <c r="AB19" i="41" s="1"/>
  <c r="G20" i="41"/>
  <c r="AB23" i="41"/>
  <c r="M35" i="41"/>
  <c r="AB35" i="41" s="1"/>
  <c r="S12" i="41"/>
  <c r="S11" i="41" s="1"/>
  <c r="M15" i="41"/>
  <c r="G16" i="41"/>
  <c r="M18" i="41"/>
  <c r="Y41" i="41"/>
  <c r="Y42" i="41" s="1"/>
  <c r="Y27" i="41"/>
  <c r="G41" i="41"/>
  <c r="P41" i="41"/>
  <c r="V38" i="41"/>
  <c r="AB38" i="41" s="1"/>
  <c r="J16" i="41"/>
  <c r="M10" i="41"/>
  <c r="S14" i="41"/>
  <c r="P12" i="41"/>
  <c r="P9" i="41" s="1"/>
  <c r="V8" i="41"/>
  <c r="AB8" i="41" s="1"/>
  <c r="P16" i="41"/>
  <c r="V10" i="41"/>
  <c r="P17" i="41"/>
  <c r="AA23" i="41"/>
  <c r="Y12" i="41"/>
  <c r="Y11" i="41" s="1"/>
  <c r="G17" i="41"/>
  <c r="V18" i="41"/>
  <c r="V20" i="41" s="1"/>
  <c r="J12" i="41"/>
  <c r="J9" i="41" s="1"/>
  <c r="M13" i="41"/>
  <c r="S9" i="41" l="1"/>
  <c r="Y9" i="41"/>
  <c r="AB32" i="41"/>
  <c r="V14" i="41"/>
  <c r="AB39" i="41"/>
  <c r="AB31" i="41" s="1"/>
  <c r="AB27" i="41"/>
  <c r="M17" i="41"/>
  <c r="AB13" i="41"/>
  <c r="M14" i="41"/>
  <c r="AB10" i="41"/>
  <c r="AB12" i="41" s="1"/>
  <c r="J11" i="41"/>
  <c r="AB30" i="41"/>
  <c r="AB18" i="41"/>
  <c r="AB20" i="41" s="1"/>
  <c r="M20" i="41"/>
  <c r="AB29" i="41"/>
  <c r="M16" i="41"/>
  <c r="AB15" i="41"/>
  <c r="P11" i="41"/>
  <c r="M41" i="41"/>
  <c r="G42" i="41"/>
  <c r="V16" i="41"/>
  <c r="V41" i="41"/>
  <c r="V42" i="41" s="1"/>
  <c r="P42" i="41"/>
  <c r="M12" i="41"/>
  <c r="M9" i="41" s="1"/>
  <c r="V12" i="41"/>
  <c r="V11" i="41" s="1"/>
  <c r="AB16" i="41" l="1"/>
  <c r="AB11" i="41"/>
  <c r="M11" i="41"/>
  <c r="V9" i="41"/>
  <c r="AB9" i="41"/>
  <c r="AB17" i="41"/>
  <c r="AB14" i="41"/>
  <c r="M42" i="41"/>
  <c r="AB41" i="41"/>
  <c r="AB42" i="41" s="1"/>
  <c r="AE38" i="29" l="1"/>
  <c r="AE39" i="29"/>
  <c r="AE37" i="29"/>
  <c r="N36" i="29"/>
  <c r="I36" i="29"/>
  <c r="I25" i="29" l="1"/>
  <c r="N25" i="29" s="1"/>
  <c r="I24" i="29"/>
  <c r="N24" i="29" s="1"/>
  <c r="I16" i="29"/>
  <c r="N16" i="29" s="1"/>
  <c r="I15" i="29"/>
  <c r="N15" i="29" s="1"/>
  <c r="I13" i="29"/>
  <c r="N13" i="29" s="1"/>
  <c r="I12" i="29"/>
  <c r="N12" i="29" s="1"/>
  <c r="I10" i="29"/>
  <c r="N10" i="29" s="1"/>
  <c r="L36" i="29"/>
  <c r="K36" i="29"/>
  <c r="G36" i="29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 s="1"/>
  <c r="F16" i="29"/>
  <c r="K16" i="29" s="1"/>
  <c r="F15" i="29"/>
  <c r="K15" i="29" s="1"/>
  <c r="F13" i="29"/>
  <c r="K13" i="29" s="1"/>
  <c r="F12" i="29"/>
  <c r="K12" i="29" s="1"/>
  <c r="F10" i="29"/>
  <c r="K10" i="29" s="1"/>
  <c r="F25" i="29" l="1"/>
  <c r="K25" i="29" s="1"/>
  <c r="F24" i="29"/>
  <c r="K24" i="29" s="1"/>
  <c r="F36" i="29" l="1"/>
  <c r="T39" i="2" l="1"/>
  <c r="T38" i="2"/>
  <c r="T36" i="2"/>
  <c r="T35" i="2"/>
  <c r="T34" i="2"/>
  <c r="T33" i="2"/>
  <c r="T31" i="2"/>
  <c r="T30" i="2"/>
  <c r="T29" i="2"/>
  <c r="J46" i="2"/>
  <c r="O39" i="2"/>
  <c r="O34" i="2"/>
  <c r="O33" i="2"/>
  <c r="J28" i="2"/>
  <c r="T46" i="2"/>
  <c r="O46" i="2"/>
  <c r="O31" i="2"/>
  <c r="J31" i="2"/>
  <c r="O30" i="2"/>
  <c r="J30" i="2"/>
  <c r="O29" i="2"/>
  <c r="J29" i="2"/>
  <c r="T28" i="2"/>
  <c r="O28" i="2"/>
  <c r="T23" i="2"/>
  <c r="O23" i="2"/>
  <c r="J23" i="2"/>
  <c r="T22" i="2"/>
  <c r="O22" i="2"/>
  <c r="J22" i="2"/>
  <c r="T21" i="2"/>
  <c r="O21" i="2"/>
  <c r="J21" i="2"/>
  <c r="T20" i="2"/>
  <c r="O20" i="2"/>
  <c r="J20" i="2"/>
  <c r="T19" i="2"/>
  <c r="O19" i="2"/>
  <c r="J19" i="2"/>
  <c r="T18" i="2"/>
  <c r="O18" i="2"/>
  <c r="J18" i="2"/>
  <c r="T17" i="2"/>
  <c r="O17" i="2"/>
  <c r="J17" i="2"/>
  <c r="T16" i="2"/>
  <c r="O16" i="2"/>
  <c r="J16" i="2"/>
  <c r="T15" i="2"/>
  <c r="O15" i="2"/>
  <c r="J15" i="2"/>
  <c r="T14" i="2"/>
  <c r="O14" i="2"/>
  <c r="J14" i="2"/>
  <c r="T13" i="2"/>
  <c r="O13" i="2"/>
  <c r="J13" i="2"/>
  <c r="T12" i="2"/>
  <c r="O12" i="2"/>
  <c r="J12" i="2"/>
  <c r="T11" i="2"/>
  <c r="O11" i="2"/>
  <c r="J11" i="2"/>
  <c r="T10" i="2"/>
  <c r="O10" i="2"/>
  <c r="J10" i="2"/>
  <c r="T9" i="2"/>
  <c r="O9" i="2"/>
  <c r="J9" i="2"/>
  <c r="T8" i="2"/>
  <c r="O8" i="2"/>
  <c r="J8" i="2"/>
  <c r="T7" i="2"/>
  <c r="O7" i="2"/>
  <c r="J7" i="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V28" i="1"/>
  <c r="V27" i="1"/>
  <c r="V24" i="1" l="1"/>
  <c r="V23" i="1" l="1"/>
  <c r="T24" i="1" l="1"/>
  <c r="S24" i="1"/>
  <c r="T23" i="1"/>
  <c r="S23" i="1"/>
  <c r="V20" i="1" l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E8" i="1" l="1"/>
  <c r="J8" i="1" s="1"/>
  <c r="E11" i="1"/>
  <c r="J11" i="1" s="1"/>
  <c r="E16" i="1" l="1"/>
  <c r="J16" i="1" s="1"/>
  <c r="J21" i="1" l="1"/>
  <c r="E9" i="1"/>
  <c r="J9" i="1" s="1"/>
  <c r="E12" i="1" l="1"/>
  <c r="J12" i="1" s="1"/>
  <c r="E26" i="1" l="1"/>
  <c r="J26" i="1" s="1"/>
  <c r="E17" i="1" l="1"/>
  <c r="J17" i="1" s="1"/>
  <c r="J22" i="1" l="1"/>
  <c r="E27" i="1"/>
  <c r="J27" i="1" s="1"/>
  <c r="E10" i="1" l="1"/>
  <c r="J10" i="1" s="1"/>
  <c r="E7" i="1" l="1"/>
  <c r="J7" i="1" s="1"/>
  <c r="E25" i="1" l="1"/>
  <c r="J25" i="1" s="1"/>
  <c r="E15" i="1" l="1"/>
  <c r="J15" i="1" s="1"/>
  <c r="J20" i="1" l="1"/>
  <c r="E38" i="1"/>
  <c r="J38" i="1" s="1"/>
  <c r="E28" i="1"/>
  <c r="J28" i="1" s="1"/>
  <c r="E13" i="1"/>
  <c r="J13" i="1" s="1"/>
  <c r="E18" i="1" l="1"/>
  <c r="J18" i="1" s="1"/>
  <c r="AD39" i="29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J23" i="1" l="1"/>
  <c r="J24" i="1" s="1"/>
  <c r="AC37" i="29"/>
  <c r="AB37" i="29" l="1"/>
  <c r="AA37" i="29" l="1"/>
  <c r="Z37" i="29" l="1"/>
  <c r="G11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J11" i="29" l="1"/>
  <c r="N11" i="29"/>
  <c r="F11" i="29"/>
  <c r="J32" i="2"/>
  <c r="O32" i="2"/>
  <c r="T32" i="2"/>
  <c r="AF20" i="41" l="1"/>
  <c r="AF20" i="43"/>
  <c r="AF17" i="41"/>
  <c r="AF18" i="41" s="1"/>
  <c r="AF17" i="43"/>
  <c r="AF12" i="41"/>
  <c r="AF13" i="41" s="1"/>
  <c r="AF12" i="43"/>
  <c r="AF22" i="41"/>
  <c r="AF21" i="41"/>
  <c r="S33" i="1"/>
  <c r="AF13" i="43" l="1"/>
  <c r="AF22" i="43"/>
  <c r="AF21" i="43"/>
  <c r="AF18" i="43"/>
  <c r="S32" i="1"/>
  <c r="O41" i="2" l="1"/>
  <c r="T41" i="2"/>
  <c r="V29" i="1" l="1"/>
  <c r="W24" i="1" l="1"/>
  <c r="S34" i="1" l="1"/>
  <c r="G18" i="29" l="1"/>
  <c r="G19" i="29" l="1"/>
  <c r="I20" i="29"/>
  <c r="I18" i="29"/>
  <c r="I19" i="29" l="1"/>
  <c r="I21" i="29"/>
  <c r="I22" i="29"/>
  <c r="I26" i="29"/>
  <c r="I17" i="29"/>
  <c r="I14" i="29"/>
  <c r="J18" i="29"/>
  <c r="J15" i="29"/>
  <c r="J12" i="29"/>
  <c r="J10" i="29"/>
  <c r="I27" i="29" l="1"/>
  <c r="I23" i="29"/>
  <c r="F18" i="29"/>
  <c r="F20" i="29"/>
  <c r="H10" i="29"/>
  <c r="H11" i="29"/>
  <c r="F14" i="29"/>
  <c r="H12" i="29"/>
  <c r="F26" i="29"/>
  <c r="J19" i="29"/>
  <c r="H15" i="29"/>
  <c r="F17" i="29"/>
  <c r="I37" i="29" l="1"/>
  <c r="I28" i="29"/>
  <c r="F22" i="29"/>
  <c r="F19" i="29"/>
  <c r="H18" i="29"/>
  <c r="F21" i="29"/>
  <c r="H19" i="29" l="1"/>
  <c r="F23" i="29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O25" i="2" l="1"/>
  <c r="O24" i="2"/>
  <c r="O26" i="2"/>
  <c r="J26" i="2"/>
  <c r="T25" i="2"/>
  <c r="J25" i="2"/>
  <c r="T24" i="2"/>
  <c r="T26" i="2"/>
  <c r="J24" i="2"/>
  <c r="T27" i="2" l="1"/>
  <c r="J27" i="2"/>
  <c r="O27" i="2"/>
  <c r="E21" i="1" l="1"/>
  <c r="E32" i="1" l="1"/>
  <c r="E23" i="1"/>
  <c r="O43" i="2" l="1"/>
  <c r="O47" i="2" l="1"/>
  <c r="J47" i="2"/>
  <c r="E14" i="1"/>
  <c r="E22" i="1" l="1"/>
  <c r="E33" i="1" l="1"/>
  <c r="S36" i="1"/>
  <c r="S35" i="1" s="1"/>
  <c r="E34" i="1" l="1"/>
  <c r="E29" i="1"/>
  <c r="E19" i="1" l="1"/>
  <c r="E20" i="1"/>
  <c r="T43" i="2" l="1"/>
  <c r="T44" i="2" s="1"/>
  <c r="E30" i="1"/>
  <c r="E24" i="1"/>
  <c r="E35" i="1" l="1"/>
  <c r="E31" i="1"/>
  <c r="E40" i="1" l="1"/>
  <c r="E36" i="1"/>
  <c r="E39" i="1"/>
  <c r="T47" i="2"/>
  <c r="V12" i="1" l="1"/>
  <c r="G17" i="29" l="1"/>
  <c r="H16" i="29"/>
  <c r="J16" i="29"/>
  <c r="G20" i="29"/>
  <c r="J13" i="29"/>
  <c r="G14" i="29"/>
  <c r="H13" i="29"/>
  <c r="G22" i="29" l="1"/>
  <c r="G21" i="29"/>
  <c r="J20" i="29"/>
  <c r="H20" i="29"/>
  <c r="J14" i="29"/>
  <c r="H14" i="29"/>
  <c r="J17" i="29"/>
  <c r="H17" i="29"/>
  <c r="J21" i="29" l="1"/>
  <c r="H21" i="29"/>
  <c r="J22" i="29"/>
  <c r="G23" i="29"/>
  <c r="H22" i="29"/>
  <c r="J23" i="29" l="1"/>
  <c r="H23" i="29"/>
  <c r="W23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U23" i="1" l="1"/>
  <c r="U24" i="1"/>
  <c r="J14" i="1" l="1"/>
  <c r="J30" i="1" l="1"/>
  <c r="J19" i="1"/>
  <c r="J32" i="1"/>
  <c r="J29" i="1"/>
  <c r="J33" i="1"/>
  <c r="J31" i="1" l="1"/>
  <c r="J34" i="1"/>
  <c r="J35" i="1" s="1"/>
  <c r="J36" i="1" l="1"/>
  <c r="J39" i="1"/>
  <c r="J40" i="1"/>
  <c r="N17" i="29" l="1"/>
  <c r="K11" i="29"/>
  <c r="O15" i="29"/>
  <c r="M15" i="29"/>
  <c r="K14" i="29"/>
  <c r="L18" i="29"/>
  <c r="L19" i="29" s="1"/>
  <c r="O12" i="29"/>
  <c r="M12" i="29"/>
  <c r="O13" i="29"/>
  <c r="L20" i="29"/>
  <c r="M13" i="29"/>
  <c r="O10" i="29"/>
  <c r="M10" i="29"/>
  <c r="M16" i="29"/>
  <c r="O16" i="29"/>
  <c r="L11" i="29"/>
  <c r="K26" i="29"/>
  <c r="N18" i="29"/>
  <c r="N19" i="29" s="1"/>
  <c r="L17" i="29"/>
  <c r="L14" i="29"/>
  <c r="K18" i="29"/>
  <c r="K19" i="29" s="1"/>
  <c r="K17" i="29"/>
  <c r="K20" i="29"/>
  <c r="K21" i="29" s="1"/>
  <c r="N14" i="29"/>
  <c r="N20" i="29"/>
  <c r="N21" i="29" s="1"/>
  <c r="N26" i="29"/>
  <c r="O20" i="29" l="1"/>
  <c r="M14" i="29"/>
  <c r="O11" i="29"/>
  <c r="O19" i="29"/>
  <c r="O18" i="29"/>
  <c r="K22" i="29"/>
  <c r="K27" i="29" s="1"/>
  <c r="K37" i="29" s="1"/>
  <c r="N22" i="29"/>
  <c r="N23" i="29" s="1"/>
  <c r="O17" i="29"/>
  <c r="M19" i="29"/>
  <c r="M20" i="29"/>
  <c r="O14" i="29"/>
  <c r="L21" i="29"/>
  <c r="M18" i="29"/>
  <c r="M17" i="29"/>
  <c r="M11" i="29"/>
  <c r="L22" i="29"/>
  <c r="K23" i="29" l="1"/>
  <c r="N27" i="29"/>
  <c r="N28" i="29" s="1"/>
  <c r="K38" i="29"/>
  <c r="M22" i="29"/>
  <c r="O22" i="29"/>
  <c r="L23" i="29"/>
  <c r="M21" i="29"/>
  <c r="O21" i="29"/>
  <c r="K28" i="29"/>
  <c r="N37" i="29" l="1"/>
  <c r="N38" i="29"/>
  <c r="M23" i="29"/>
  <c r="O23" i="29"/>
  <c r="H24" i="29" l="1"/>
  <c r="J24" i="29"/>
  <c r="O24" i="29" l="1"/>
  <c r="M24" i="29"/>
  <c r="J25" i="29" l="1"/>
  <c r="H25" i="29"/>
  <c r="G26" i="29"/>
  <c r="J26" i="29" l="1"/>
  <c r="H26" i="29"/>
  <c r="G27" i="29"/>
  <c r="O25" i="29"/>
  <c r="M25" i="29"/>
  <c r="L26" i="29"/>
  <c r="O26" i="29" l="1"/>
  <c r="M26" i="29"/>
  <c r="L27" i="29"/>
  <c r="H27" i="29"/>
  <c r="J27" i="29"/>
  <c r="G37" i="29"/>
  <c r="G28" i="29"/>
  <c r="L28" i="29" l="1"/>
  <c r="M27" i="29"/>
  <c r="L38" i="29"/>
  <c r="L37" i="29"/>
  <c r="O27" i="29"/>
  <c r="H28" i="29"/>
  <c r="J28" i="29"/>
  <c r="M28" i="29" l="1"/>
  <c r="O28" i="29"/>
  <c r="R21" i="2" l="1"/>
  <c r="R23" i="2"/>
  <c r="R18" i="2"/>
  <c r="R22" i="2"/>
  <c r="R20" i="2"/>
  <c r="R19" i="2"/>
  <c r="R31" i="2"/>
  <c r="R26" i="2" l="1"/>
  <c r="W18" i="2" l="1"/>
  <c r="W19" i="2"/>
  <c r="W38" i="2" l="1"/>
  <c r="W22" i="2"/>
  <c r="W21" i="2"/>
  <c r="W20" i="2"/>
  <c r="W23" i="2"/>
  <c r="W36" i="2" l="1"/>
  <c r="W37" i="2"/>
  <c r="W26" i="2"/>
  <c r="W35" i="2" l="1"/>
  <c r="V34" i="1" l="1"/>
  <c r="R10" i="2" l="1"/>
  <c r="R17" i="2" l="1"/>
  <c r="R9" i="2"/>
  <c r="R15" i="2"/>
  <c r="R7" i="2"/>
  <c r="R29" i="2"/>
  <c r="R30" i="2"/>
  <c r="R14" i="2"/>
  <c r="R12" i="2"/>
  <c r="R16" i="2"/>
  <c r="R11" i="2"/>
  <c r="R8" i="2"/>
  <c r="R13" i="2"/>
  <c r="R28" i="2" l="1"/>
  <c r="H11" i="1"/>
  <c r="R24" i="2"/>
  <c r="R25" i="2"/>
  <c r="R32" i="2"/>
  <c r="R33" i="2"/>
  <c r="H12" i="1"/>
  <c r="H10" i="1"/>
  <c r="M10" i="1" l="1"/>
  <c r="R27" i="2"/>
  <c r="M12" i="1"/>
  <c r="M11" i="1"/>
  <c r="R34" i="2"/>
  <c r="R39" i="2" l="1"/>
  <c r="R46" i="2"/>
  <c r="H13" i="1"/>
  <c r="M13" i="1" l="1"/>
  <c r="H14" i="1"/>
  <c r="R41" i="2"/>
  <c r="R43" i="2" l="1"/>
  <c r="M14" i="1"/>
  <c r="R47" i="2" l="1"/>
  <c r="H16" i="1" l="1"/>
  <c r="H21" i="1" l="1"/>
  <c r="M16" i="1"/>
  <c r="H15" i="1"/>
  <c r="H17" i="1"/>
  <c r="M15" i="1" l="1"/>
  <c r="H20" i="1"/>
  <c r="M21" i="1"/>
  <c r="H22" i="1"/>
  <c r="M17" i="1"/>
  <c r="M22" i="1" l="1"/>
  <c r="M20" i="1"/>
  <c r="H18" i="1"/>
  <c r="M18" i="1" l="1"/>
  <c r="H23" i="1"/>
  <c r="H19" i="1"/>
  <c r="H24" i="1" l="1"/>
  <c r="M23" i="1"/>
  <c r="M19" i="1"/>
  <c r="M24" i="1" l="1"/>
  <c r="W10" i="2" l="1"/>
  <c r="W30" i="2" l="1"/>
  <c r="W7" i="2" l="1"/>
  <c r="W8" i="2" l="1"/>
  <c r="W9" i="2" l="1"/>
  <c r="W24" i="2" l="1"/>
  <c r="W17" i="2" l="1"/>
  <c r="W16" i="2" l="1"/>
  <c r="W12" i="2" l="1"/>
  <c r="W11" i="2"/>
  <c r="W14" i="2" l="1"/>
  <c r="W15" i="2" l="1"/>
  <c r="W13" i="2" l="1"/>
  <c r="W25" i="2" l="1"/>
  <c r="W27" i="2" l="1"/>
  <c r="W33" i="2" l="1"/>
  <c r="V32" i="1" l="1"/>
  <c r="W34" i="2" l="1"/>
  <c r="W29" i="2"/>
  <c r="V33" i="1" l="1"/>
  <c r="H27" i="1" l="1"/>
  <c r="H33" i="1" l="1"/>
  <c r="M27" i="1"/>
  <c r="W31" i="2"/>
  <c r="W32" i="2" l="1"/>
  <c r="M33" i="1"/>
  <c r="H26" i="1" l="1"/>
  <c r="H32" i="1" l="1"/>
  <c r="M26" i="1"/>
  <c r="W28" i="2"/>
  <c r="M32" i="1" l="1"/>
  <c r="H25" i="1" l="1"/>
  <c r="M25" i="1" l="1"/>
  <c r="H30" i="1"/>
  <c r="H31" i="1" l="1"/>
  <c r="M30" i="1"/>
  <c r="H28" i="1"/>
  <c r="M31" i="1" l="1"/>
  <c r="M28" i="1"/>
  <c r="H34" i="1"/>
  <c r="H29" i="1"/>
  <c r="M34" i="1" l="1"/>
  <c r="M29" i="1"/>
  <c r="H35" i="1"/>
  <c r="H36" i="1" l="1"/>
  <c r="M35" i="1"/>
  <c r="H38" i="1" l="1"/>
  <c r="W39" i="2"/>
  <c r="W46" i="2"/>
  <c r="M36" i="1"/>
  <c r="W41" i="2" l="1"/>
  <c r="M38" i="1"/>
  <c r="H40" i="1"/>
  <c r="H39" i="1"/>
  <c r="M39" i="1" l="1"/>
  <c r="M40" i="1"/>
  <c r="V36" i="1"/>
  <c r="W43" i="2"/>
  <c r="W47" i="2" l="1"/>
  <c r="V35" i="1"/>
  <c r="T40" i="41" l="1"/>
  <c r="T39" i="41"/>
  <c r="T38" i="41"/>
  <c r="T37" i="41"/>
  <c r="T36" i="41"/>
  <c r="T35" i="41"/>
  <c r="Q40" i="41"/>
  <c r="Q39" i="41"/>
  <c r="Q38" i="41"/>
  <c r="Q37" i="41"/>
  <c r="Q36" i="41"/>
  <c r="Q35" i="41"/>
  <c r="W35" i="41" l="1"/>
  <c r="R35" i="41"/>
  <c r="Q41" i="41"/>
  <c r="R36" i="41"/>
  <c r="W36" i="41"/>
  <c r="W37" i="41"/>
  <c r="R37" i="41"/>
  <c r="W38" i="41"/>
  <c r="R38" i="41"/>
  <c r="W39" i="41"/>
  <c r="R39" i="41"/>
  <c r="W40" i="41"/>
  <c r="R40" i="41"/>
  <c r="U35" i="41"/>
  <c r="T41" i="41"/>
  <c r="U41" i="41" s="1"/>
  <c r="U36" i="41"/>
  <c r="U37" i="41"/>
  <c r="U38" i="41"/>
  <c r="U39" i="41"/>
  <c r="U40" i="41"/>
  <c r="X40" i="41" l="1"/>
  <c r="X37" i="41"/>
  <c r="X36" i="41"/>
  <c r="W41" i="41"/>
  <c r="R41" i="41"/>
  <c r="X39" i="41"/>
  <c r="X38" i="41"/>
  <c r="X35" i="41"/>
  <c r="X41" i="41" l="1"/>
  <c r="H40" i="41" l="1"/>
  <c r="K40" i="41"/>
  <c r="H39" i="41"/>
  <c r="K39" i="41"/>
  <c r="H38" i="41"/>
  <c r="K38" i="41"/>
  <c r="H37" i="41"/>
  <c r="K37" i="41"/>
  <c r="H36" i="41"/>
  <c r="K36" i="41"/>
  <c r="H35" i="41"/>
  <c r="K35" i="41"/>
  <c r="N35" i="41" l="1"/>
  <c r="H41" i="41"/>
  <c r="I35" i="41"/>
  <c r="L35" i="41"/>
  <c r="K41" i="41"/>
  <c r="L41" i="41" s="1"/>
  <c r="L36" i="41"/>
  <c r="N36" i="41"/>
  <c r="I36" i="41"/>
  <c r="L37" i="41"/>
  <c r="N37" i="41"/>
  <c r="I37" i="41"/>
  <c r="L38" i="41"/>
  <c r="I38" i="41"/>
  <c r="N38" i="41"/>
  <c r="L39" i="41"/>
  <c r="N39" i="41"/>
  <c r="I39" i="41"/>
  <c r="L40" i="41"/>
  <c r="N40" i="41"/>
  <c r="I40" i="41"/>
  <c r="O37" i="41" l="1"/>
  <c r="O40" i="41"/>
  <c r="AC40" i="41"/>
  <c r="O36" i="41"/>
  <c r="O39" i="41"/>
  <c r="N41" i="41"/>
  <c r="I41" i="41"/>
  <c r="O38" i="41"/>
  <c r="O35" i="41"/>
  <c r="O41" i="41" l="1"/>
  <c r="AD40" i="41"/>
  <c r="Z39" i="41" l="1"/>
  <c r="Z38" i="41"/>
  <c r="Z37" i="41"/>
  <c r="Z36" i="41"/>
  <c r="Z25" i="41"/>
  <c r="AC36" i="41" l="1"/>
  <c r="Z29" i="41"/>
  <c r="AA29" i="41" s="1"/>
  <c r="AC37" i="41"/>
  <c r="Z30" i="41"/>
  <c r="AA30" i="41" s="1"/>
  <c r="AC38" i="41"/>
  <c r="AA25" i="41"/>
  <c r="Z31" i="41"/>
  <c r="AA31" i="41" s="1"/>
  <c r="AC39" i="41"/>
  <c r="AD37" i="41" l="1"/>
  <c r="AD39" i="41"/>
  <c r="AD36" i="41"/>
  <c r="AD38" i="41"/>
  <c r="Z18" i="41" l="1"/>
  <c r="AA18" i="41" s="1"/>
  <c r="Z22" i="41"/>
  <c r="K13" i="41"/>
  <c r="H13" i="41"/>
  <c r="K15" i="41"/>
  <c r="H15" i="41"/>
  <c r="T15" i="41" l="1"/>
  <c r="U15" i="41" s="1"/>
  <c r="T13" i="41"/>
  <c r="U13" i="41" s="1"/>
  <c r="Q13" i="41"/>
  <c r="W13" i="41" s="1"/>
  <c r="Q15" i="41"/>
  <c r="Q17" i="41" s="1"/>
  <c r="R17" i="41" s="1"/>
  <c r="Z21" i="41"/>
  <c r="AA22" i="41"/>
  <c r="Z28" i="41"/>
  <c r="AA28" i="41" s="1"/>
  <c r="Z35" i="41"/>
  <c r="L15" i="41"/>
  <c r="N15" i="41"/>
  <c r="I15" i="41"/>
  <c r="H17" i="41"/>
  <c r="I17" i="41" s="1"/>
  <c r="N13" i="41"/>
  <c r="H42" i="41"/>
  <c r="I13" i="41"/>
  <c r="L13" i="41"/>
  <c r="K17" i="41"/>
  <c r="L17" i="41" s="1"/>
  <c r="K42" i="41"/>
  <c r="Q42" i="41"/>
  <c r="T17" i="41"/>
  <c r="U17" i="41" s="1"/>
  <c r="T42" i="41" l="1"/>
  <c r="R15" i="41"/>
  <c r="W15" i="41"/>
  <c r="R13" i="41"/>
  <c r="AA21" i="41"/>
  <c r="Z27" i="41"/>
  <c r="AA27" i="41" s="1"/>
  <c r="Z41" i="41"/>
  <c r="AC41" i="41" s="1"/>
  <c r="AD41" i="41" s="1"/>
  <c r="AC35" i="41"/>
  <c r="N42" i="41"/>
  <c r="O13" i="41"/>
  <c r="N17" i="41"/>
  <c r="O17" i="41" s="1"/>
  <c r="O15" i="41"/>
  <c r="X15" i="41"/>
  <c r="X13" i="41"/>
  <c r="W17" i="41"/>
  <c r="X17" i="41" s="1"/>
  <c r="W42" i="41"/>
  <c r="AD35" i="41" l="1"/>
  <c r="S28" i="1" l="1"/>
  <c r="S27" i="1" l="1"/>
  <c r="S29" i="1" l="1"/>
  <c r="Z8" i="41" l="1"/>
  <c r="Z15" i="41"/>
  <c r="Z13" i="41"/>
  <c r="AA15" i="41" l="1"/>
  <c r="AC15" i="41"/>
  <c r="Z10" i="41"/>
  <c r="Z14" i="41"/>
  <c r="AA14" i="41" s="1"/>
  <c r="Z42" i="41"/>
  <c r="AA13" i="41"/>
  <c r="Z17" i="41"/>
  <c r="AA17" i="41" s="1"/>
  <c r="AC13" i="41"/>
  <c r="Z12" i="41"/>
  <c r="AA8" i="41"/>
  <c r="Z9" i="41" l="1"/>
  <c r="AA9" i="41" s="1"/>
  <c r="AA12" i="41"/>
  <c r="AD13" i="41"/>
  <c r="AC17" i="41"/>
  <c r="AD17" i="41" s="1"/>
  <c r="AC42" i="41"/>
  <c r="AA10" i="41"/>
  <c r="Z11" i="41"/>
  <c r="AA11" i="41" s="1"/>
  <c r="AD15" i="41"/>
  <c r="Z16" i="41"/>
  <c r="AA16" i="41" s="1"/>
  <c r="Z19" i="41" l="1"/>
  <c r="Z20" i="41" l="1"/>
  <c r="AA20" i="41" s="1"/>
  <c r="AA19" i="41"/>
  <c r="T10" i="41" l="1"/>
  <c r="Q10" i="41"/>
  <c r="W10" i="41" l="1"/>
  <c r="R10" i="41"/>
  <c r="Q16" i="41"/>
  <c r="R16" i="41" s="1"/>
  <c r="U10" i="41"/>
  <c r="T16" i="41"/>
  <c r="U16" i="41" s="1"/>
  <c r="Q23" i="41"/>
  <c r="Q26" i="41"/>
  <c r="Q21" i="41"/>
  <c r="Q22" i="41"/>
  <c r="Q24" i="41"/>
  <c r="Q25" i="41"/>
  <c r="T21" i="41"/>
  <c r="T26" i="41" l="1"/>
  <c r="R23" i="41"/>
  <c r="Q29" i="41"/>
  <c r="R29" i="41" s="1"/>
  <c r="T23" i="41"/>
  <c r="T22" i="41"/>
  <c r="W22" i="41" s="1"/>
  <c r="R24" i="41"/>
  <c r="Q30" i="41"/>
  <c r="R30" i="41" s="1"/>
  <c r="R25" i="41"/>
  <c r="Q31" i="41"/>
  <c r="R31" i="41" s="1"/>
  <c r="R21" i="41"/>
  <c r="W21" i="41"/>
  <c r="Q27" i="41"/>
  <c r="R27" i="41" s="1"/>
  <c r="T24" i="41"/>
  <c r="W24" i="41" s="1"/>
  <c r="T25" i="41"/>
  <c r="W25" i="41" s="1"/>
  <c r="R26" i="41"/>
  <c r="W26" i="41"/>
  <c r="Q32" i="41"/>
  <c r="R32" i="41" s="1"/>
  <c r="U21" i="41"/>
  <c r="T27" i="41"/>
  <c r="U27" i="41" s="1"/>
  <c r="R22" i="41"/>
  <c r="Q28" i="41"/>
  <c r="R28" i="41" s="1"/>
  <c r="X10" i="41"/>
  <c r="W16" i="41"/>
  <c r="X16" i="41" s="1"/>
  <c r="T8" i="41"/>
  <c r="Q8" i="41"/>
  <c r="U22" i="41" l="1"/>
  <c r="T28" i="41"/>
  <c r="U28" i="41" s="1"/>
  <c r="X24" i="41"/>
  <c r="W30" i="41"/>
  <c r="X30" i="41" s="1"/>
  <c r="U23" i="41"/>
  <c r="T29" i="41"/>
  <c r="U29" i="41" s="1"/>
  <c r="T12" i="41"/>
  <c r="U8" i="41"/>
  <c r="T9" i="41"/>
  <c r="U9" i="41" s="1"/>
  <c r="T14" i="41"/>
  <c r="U14" i="41" s="1"/>
  <c r="X21" i="41"/>
  <c r="W27" i="41"/>
  <c r="X27" i="41" s="1"/>
  <c r="X26" i="41"/>
  <c r="W32" i="41"/>
  <c r="X32" i="41" s="1"/>
  <c r="W23" i="41"/>
  <c r="U25" i="41"/>
  <c r="T31" i="41"/>
  <c r="U31" i="41" s="1"/>
  <c r="U26" i="41"/>
  <c r="T32" i="41"/>
  <c r="U32" i="41" s="1"/>
  <c r="X25" i="41"/>
  <c r="W31" i="41"/>
  <c r="X31" i="41" s="1"/>
  <c r="X22" i="41"/>
  <c r="W28" i="41"/>
  <c r="X28" i="41" s="1"/>
  <c r="U24" i="41"/>
  <c r="T30" i="41"/>
  <c r="U30" i="41" s="1"/>
  <c r="Q12" i="41"/>
  <c r="W8" i="41"/>
  <c r="R8" i="41"/>
  <c r="Q14" i="41"/>
  <c r="R14" i="41" s="1"/>
  <c r="X8" i="41" l="1"/>
  <c r="W12" i="41"/>
  <c r="W14" i="41"/>
  <c r="X14" i="41" s="1"/>
  <c r="U12" i="41"/>
  <c r="T11" i="41"/>
  <c r="U11" i="41" s="1"/>
  <c r="R12" i="41"/>
  <c r="Q11" i="41"/>
  <c r="R11" i="41" s="1"/>
  <c r="Q9" i="41"/>
  <c r="R9" i="41" s="1"/>
  <c r="X23" i="41"/>
  <c r="W29" i="41"/>
  <c r="X29" i="41" s="1"/>
  <c r="T19" i="41"/>
  <c r="Q18" i="41"/>
  <c r="X12" i="41" l="1"/>
  <c r="W11" i="41"/>
  <c r="X11" i="41" s="1"/>
  <c r="W9" i="41"/>
  <c r="X9" i="41" s="1"/>
  <c r="R18" i="41"/>
  <c r="U19" i="41"/>
  <c r="T18" i="41"/>
  <c r="Q19" i="41"/>
  <c r="R19" i="41" s="1"/>
  <c r="W19" i="41" l="1"/>
  <c r="Q20" i="41"/>
  <c r="R20" i="41" s="1"/>
  <c r="W18" i="41"/>
  <c r="T20" i="41"/>
  <c r="U20" i="41" s="1"/>
  <c r="U18" i="41"/>
  <c r="X19" i="41"/>
  <c r="W20" i="41" l="1"/>
  <c r="X20" i="41" s="1"/>
  <c r="X18" i="41"/>
  <c r="H23" i="41" l="1"/>
  <c r="K10" i="41"/>
  <c r="K21" i="41"/>
  <c r="H24" i="41"/>
  <c r="H22" i="41"/>
  <c r="H21" i="41"/>
  <c r="H26" i="41"/>
  <c r="H25" i="41"/>
  <c r="I25" i="41" l="1"/>
  <c r="H31" i="41"/>
  <c r="I31" i="41" s="1"/>
  <c r="H10" i="41"/>
  <c r="K22" i="41"/>
  <c r="I26" i="41"/>
  <c r="H32" i="41"/>
  <c r="I32" i="41" s="1"/>
  <c r="K26" i="41"/>
  <c r="N22" i="41"/>
  <c r="I22" i="41"/>
  <c r="H28" i="41"/>
  <c r="I28" i="41" s="1"/>
  <c r="K25" i="41"/>
  <c r="L21" i="41"/>
  <c r="K27" i="41"/>
  <c r="L27" i="41" s="1"/>
  <c r="I21" i="41"/>
  <c r="N21" i="41"/>
  <c r="H27" i="41"/>
  <c r="I27" i="41" s="1"/>
  <c r="K24" i="41"/>
  <c r="N24" i="41" s="1"/>
  <c r="I23" i="41"/>
  <c r="H29" i="41"/>
  <c r="I29" i="41" s="1"/>
  <c r="I24" i="41"/>
  <c r="H30" i="41"/>
  <c r="I30" i="41" s="1"/>
  <c r="L10" i="41"/>
  <c r="K16" i="41"/>
  <c r="L16" i="41" s="1"/>
  <c r="K23" i="41"/>
  <c r="N23" i="41" s="1"/>
  <c r="K8" i="41"/>
  <c r="T28" i="1"/>
  <c r="AC23" i="41" l="1"/>
  <c r="O23" i="41"/>
  <c r="N29" i="41"/>
  <c r="O29" i="41" s="1"/>
  <c r="H8" i="41"/>
  <c r="L25" i="41"/>
  <c r="K31" i="41"/>
  <c r="L31" i="41" s="1"/>
  <c r="L26" i="41"/>
  <c r="K32" i="41"/>
  <c r="L32" i="41" s="1"/>
  <c r="O24" i="41"/>
  <c r="AC24" i="41"/>
  <c r="N30" i="41"/>
  <c r="O30" i="41" s="1"/>
  <c r="N26" i="41"/>
  <c r="O22" i="41"/>
  <c r="N28" i="41"/>
  <c r="O28" i="41" s="1"/>
  <c r="AC22" i="41"/>
  <c r="L22" i="41"/>
  <c r="K28" i="41"/>
  <c r="L28" i="41" s="1"/>
  <c r="L8" i="41"/>
  <c r="K12" i="41"/>
  <c r="K14" i="41"/>
  <c r="L14" i="41" s="1"/>
  <c r="I10" i="41"/>
  <c r="N10" i="41"/>
  <c r="H16" i="41"/>
  <c r="I16" i="41" s="1"/>
  <c r="L24" i="41"/>
  <c r="K30" i="41"/>
  <c r="L30" i="41" s="1"/>
  <c r="L23" i="41"/>
  <c r="K29" i="41"/>
  <c r="L29" i="41" s="1"/>
  <c r="N25" i="41"/>
  <c r="W28" i="1"/>
  <c r="U28" i="1"/>
  <c r="O21" i="41"/>
  <c r="N27" i="41"/>
  <c r="O27" i="41" s="1"/>
  <c r="AC21" i="41"/>
  <c r="T27" i="1"/>
  <c r="T29" i="1" s="1"/>
  <c r="AD22" i="41" l="1"/>
  <c r="AC28" i="41"/>
  <c r="AD28" i="41" s="1"/>
  <c r="L12" i="41"/>
  <c r="K11" i="41"/>
  <c r="L11" i="41" s="1"/>
  <c r="O25" i="41"/>
  <c r="N31" i="41"/>
  <c r="O31" i="41" s="1"/>
  <c r="AC25" i="41"/>
  <c r="AD24" i="41"/>
  <c r="AC30" i="41"/>
  <c r="AD30" i="41" s="1"/>
  <c r="W27" i="1"/>
  <c r="U27" i="1"/>
  <c r="AD21" i="41"/>
  <c r="AC27" i="41"/>
  <c r="AD27" i="41" s="1"/>
  <c r="W29" i="1"/>
  <c r="U29" i="1"/>
  <c r="H12" i="41"/>
  <c r="I8" i="41"/>
  <c r="N8" i="41"/>
  <c r="H14" i="41"/>
  <c r="I14" i="41" s="1"/>
  <c r="AC26" i="41"/>
  <c r="O26" i="41"/>
  <c r="N32" i="41"/>
  <c r="O32" i="41" s="1"/>
  <c r="O10" i="41"/>
  <c r="N16" i="41"/>
  <c r="O16" i="41" s="1"/>
  <c r="AC10" i="41"/>
  <c r="K9" i="41"/>
  <c r="L9" i="41" s="1"/>
  <c r="AD23" i="41"/>
  <c r="AC29" i="41"/>
  <c r="AD29" i="41" s="1"/>
  <c r="H18" i="41"/>
  <c r="O8" i="41" l="1"/>
  <c r="N12" i="41"/>
  <c r="N14" i="41"/>
  <c r="O14" i="41" s="1"/>
  <c r="AC8" i="41"/>
  <c r="I12" i="41"/>
  <c r="H11" i="41"/>
  <c r="I11" i="41" s="1"/>
  <c r="H9" i="41"/>
  <c r="I9" i="41" s="1"/>
  <c r="AC12" i="41"/>
  <c r="AD12" i="41" s="1"/>
  <c r="AC16" i="41"/>
  <c r="AD16" i="41" s="1"/>
  <c r="AD10" i="41"/>
  <c r="AC11" i="41"/>
  <c r="AD11" i="41" s="1"/>
  <c r="AD25" i="41"/>
  <c r="AC31" i="41"/>
  <c r="AD31" i="41" s="1"/>
  <c r="AD26" i="41"/>
  <c r="AC32" i="41"/>
  <c r="AD32" i="41" s="1"/>
  <c r="I18" i="41"/>
  <c r="K19" i="41"/>
  <c r="N9" i="41" l="1"/>
  <c r="O9" i="41" s="1"/>
  <c r="O12" i="41"/>
  <c r="N11" i="41"/>
  <c r="O11" i="41" s="1"/>
  <c r="H19" i="41"/>
  <c r="AD8" i="41"/>
  <c r="AC14" i="41"/>
  <c r="AD14" i="41" s="1"/>
  <c r="AC9" i="41"/>
  <c r="AD9" i="41" s="1"/>
  <c r="K18" i="41"/>
  <c r="L19" i="41"/>
  <c r="N19" i="41"/>
  <c r="I19" i="41" l="1"/>
  <c r="H20" i="41"/>
  <c r="I20" i="41" s="1"/>
  <c r="O19" i="41"/>
  <c r="AC19" i="41"/>
  <c r="AD19" i="41" s="1"/>
  <c r="K20" i="41"/>
  <c r="L20" i="41" s="1"/>
  <c r="L18" i="41"/>
  <c r="N18" i="41"/>
  <c r="N20" i="41" l="1"/>
  <c r="O20" i="41" s="1"/>
  <c r="O18" i="41"/>
  <c r="AC18" i="41"/>
  <c r="AD18" i="41" l="1"/>
  <c r="AC20" i="41"/>
  <c r="AD20" i="41" s="1"/>
  <c r="M23" i="2" l="1"/>
  <c r="M19" i="2"/>
  <c r="M20" i="2"/>
  <c r="M18" i="2"/>
  <c r="M21" i="2"/>
  <c r="M22" i="2"/>
  <c r="M31" i="2"/>
  <c r="M26" i="2" l="1"/>
  <c r="M28" i="2" l="1"/>
  <c r="H8" i="1"/>
  <c r="M8" i="1" l="1"/>
  <c r="M10" i="2" l="1"/>
  <c r="M9" i="2" l="1"/>
  <c r="M30" i="2"/>
  <c r="M12" i="2"/>
  <c r="M8" i="2"/>
  <c r="M14" i="2"/>
  <c r="M15" i="2"/>
  <c r="M11" i="2"/>
  <c r="M7" i="2"/>
  <c r="M13" i="2"/>
  <c r="M29" i="2"/>
  <c r="M17" i="2"/>
  <c r="M16" i="2"/>
  <c r="M24" i="2" l="1"/>
  <c r="M25" i="2"/>
  <c r="M32" i="2"/>
  <c r="H9" i="1"/>
  <c r="M9" i="1" l="1"/>
  <c r="M27" i="2"/>
  <c r="M46" i="2"/>
  <c r="H7" i="1"/>
  <c r="M47" i="2" l="1"/>
  <c r="M7" i="1"/>
  <c r="P21" i="2" l="1"/>
  <c r="P23" i="2"/>
  <c r="P18" i="2"/>
  <c r="P22" i="2"/>
  <c r="P20" i="2"/>
  <c r="P19" i="2"/>
  <c r="P31" i="2"/>
  <c r="S19" i="2" l="1"/>
  <c r="Q19" i="2"/>
  <c r="P26" i="2"/>
  <c r="Q23" i="2"/>
  <c r="S23" i="2"/>
  <c r="Q21" i="2"/>
  <c r="S21" i="2"/>
  <c r="Q31" i="2"/>
  <c r="S31" i="2"/>
  <c r="S22" i="2"/>
  <c r="Q22" i="2"/>
  <c r="S20" i="2"/>
  <c r="Q20" i="2"/>
  <c r="S18" i="2"/>
  <c r="Q18" i="2"/>
  <c r="Q26" i="2" l="1"/>
  <c r="S26" i="2"/>
  <c r="U38" i="2"/>
  <c r="U18" i="2"/>
  <c r="U36" i="2"/>
  <c r="U37" i="2"/>
  <c r="U19" i="2"/>
  <c r="V36" i="2" l="1"/>
  <c r="X36" i="2"/>
  <c r="V18" i="2"/>
  <c r="X18" i="2"/>
  <c r="V37" i="2"/>
  <c r="X37" i="2"/>
  <c r="V19" i="2"/>
  <c r="X19" i="2"/>
  <c r="V38" i="2"/>
  <c r="X38" i="2"/>
  <c r="U22" i="2"/>
  <c r="U21" i="2"/>
  <c r="U20" i="2"/>
  <c r="U23" i="2"/>
  <c r="X23" i="2" l="1"/>
  <c r="V23" i="2"/>
  <c r="V22" i="2"/>
  <c r="X22" i="2"/>
  <c r="X21" i="2"/>
  <c r="V21" i="2"/>
  <c r="X20" i="2"/>
  <c r="V20" i="2"/>
  <c r="U26" i="2"/>
  <c r="V26" i="2" l="1"/>
  <c r="X26" i="2"/>
  <c r="P10" i="2" l="1"/>
  <c r="Q10" i="2" l="1"/>
  <c r="S10" i="2"/>
  <c r="P17" i="2" l="1"/>
  <c r="P9" i="2"/>
  <c r="P15" i="2"/>
  <c r="P7" i="2"/>
  <c r="P29" i="2"/>
  <c r="P30" i="2"/>
  <c r="P14" i="2"/>
  <c r="P12" i="2"/>
  <c r="P16" i="2"/>
  <c r="P11" i="2"/>
  <c r="P8" i="2"/>
  <c r="P13" i="2"/>
  <c r="Q17" i="2" l="1"/>
  <c r="S17" i="2"/>
  <c r="Q9" i="2"/>
  <c r="S9" i="2"/>
  <c r="Q7" i="2"/>
  <c r="P24" i="2"/>
  <c r="S7" i="2"/>
  <c r="Q13" i="2"/>
  <c r="S13" i="2"/>
  <c r="Q30" i="2"/>
  <c r="S30" i="2"/>
  <c r="S14" i="2"/>
  <c r="Q14" i="2"/>
  <c r="Q12" i="2"/>
  <c r="S12" i="2"/>
  <c r="S8" i="2"/>
  <c r="Q8" i="2"/>
  <c r="P28" i="2"/>
  <c r="F11" i="1"/>
  <c r="S15" i="2"/>
  <c r="Q15" i="2"/>
  <c r="P25" i="2"/>
  <c r="Q11" i="2"/>
  <c r="S11" i="2"/>
  <c r="Q16" i="2"/>
  <c r="S16" i="2"/>
  <c r="Q29" i="2"/>
  <c r="S29" i="2"/>
  <c r="P32" i="2"/>
  <c r="AG17" i="43" s="1"/>
  <c r="P33" i="2"/>
  <c r="F12" i="1"/>
  <c r="F10" i="1"/>
  <c r="AG18" i="43" l="1"/>
  <c r="K11" i="1"/>
  <c r="I11" i="1"/>
  <c r="G11" i="1"/>
  <c r="Q28" i="2"/>
  <c r="S28" i="2"/>
  <c r="S24" i="2"/>
  <c r="P27" i="2"/>
  <c r="Q24" i="2"/>
  <c r="Q33" i="2"/>
  <c r="S33" i="2"/>
  <c r="G12" i="1"/>
  <c r="K12" i="1"/>
  <c r="I12" i="1"/>
  <c r="Q25" i="2"/>
  <c r="S25" i="2"/>
  <c r="K10" i="1"/>
  <c r="G10" i="1"/>
  <c r="I10" i="1"/>
  <c r="Q32" i="2"/>
  <c r="S32" i="2"/>
  <c r="AG17" i="41"/>
  <c r="AG18" i="41" s="1"/>
  <c r="P34" i="2"/>
  <c r="L12" i="1" l="1"/>
  <c r="N12" i="1"/>
  <c r="S27" i="2"/>
  <c r="Q27" i="2"/>
  <c r="N10" i="1"/>
  <c r="L10" i="1"/>
  <c r="S34" i="2"/>
  <c r="Q34" i="2"/>
  <c r="L11" i="1"/>
  <c r="N11" i="1"/>
  <c r="P46" i="2" l="1"/>
  <c r="F13" i="1"/>
  <c r="P39" i="2"/>
  <c r="K13" i="1" l="1"/>
  <c r="G13" i="1"/>
  <c r="I13" i="1"/>
  <c r="F14" i="1"/>
  <c r="S39" i="2"/>
  <c r="Q39" i="2"/>
  <c r="P41" i="2"/>
  <c r="Q41" i="2" l="1"/>
  <c r="S41" i="2"/>
  <c r="P43" i="2"/>
  <c r="G43" i="2" s="1"/>
  <c r="I14" i="1"/>
  <c r="G14" i="1"/>
  <c r="N13" i="1"/>
  <c r="L13" i="1"/>
  <c r="K14" i="1"/>
  <c r="L14" i="1" l="1"/>
  <c r="N14" i="1"/>
  <c r="Q43" i="2"/>
  <c r="S43" i="2"/>
  <c r="P47" i="2"/>
  <c r="F16" i="1" l="1"/>
  <c r="K16" i="1" l="1"/>
  <c r="I16" i="1"/>
  <c r="G16" i="1"/>
  <c r="F21" i="1"/>
  <c r="F15" i="1"/>
  <c r="F17" i="1"/>
  <c r="G15" i="1" l="1"/>
  <c r="I15" i="1"/>
  <c r="K15" i="1"/>
  <c r="F20" i="1"/>
  <c r="G21" i="1"/>
  <c r="I21" i="1"/>
  <c r="K17" i="1"/>
  <c r="I17" i="1"/>
  <c r="G17" i="1"/>
  <c r="F22" i="1"/>
  <c r="L16" i="1"/>
  <c r="N16" i="1"/>
  <c r="K21" i="1"/>
  <c r="L21" i="1" l="1"/>
  <c r="N21" i="1"/>
  <c r="L17" i="1"/>
  <c r="N17" i="1"/>
  <c r="K22" i="1"/>
  <c r="I22" i="1"/>
  <c r="G22" i="1"/>
  <c r="G20" i="1"/>
  <c r="I20" i="1"/>
  <c r="L15" i="1"/>
  <c r="N15" i="1"/>
  <c r="K20" i="1"/>
  <c r="F18" i="1"/>
  <c r="K18" i="1" l="1"/>
  <c r="G18" i="1"/>
  <c r="I18" i="1"/>
  <c r="F23" i="1"/>
  <c r="F19" i="1"/>
  <c r="N22" i="1"/>
  <c r="L22" i="1"/>
  <c r="N20" i="1"/>
  <c r="L20" i="1"/>
  <c r="G19" i="1" l="1"/>
  <c r="I19" i="1"/>
  <c r="G23" i="1"/>
  <c r="I23" i="1"/>
  <c r="F24" i="1"/>
  <c r="N18" i="1"/>
  <c r="L18" i="1"/>
  <c r="K23" i="1"/>
  <c r="K19" i="1"/>
  <c r="L23" i="1" l="1"/>
  <c r="N23" i="1"/>
  <c r="K24" i="1"/>
  <c r="I24" i="1"/>
  <c r="G24" i="1"/>
  <c r="L19" i="1"/>
  <c r="N19" i="1"/>
  <c r="L24" i="1" l="1"/>
  <c r="N24" i="1"/>
  <c r="U10" i="2" l="1"/>
  <c r="V10" i="2" l="1"/>
  <c r="X10" i="2"/>
  <c r="U7" i="2" l="1"/>
  <c r="V7" i="2" l="1"/>
  <c r="X7" i="2"/>
  <c r="U8" i="2" l="1"/>
  <c r="V8" i="2" l="1"/>
  <c r="X8" i="2"/>
  <c r="U9" i="2" l="1"/>
  <c r="V9" i="2" l="1"/>
  <c r="X9" i="2"/>
  <c r="U24" i="2"/>
  <c r="V24" i="2" l="1"/>
  <c r="X24" i="2"/>
  <c r="U17" i="2" l="1"/>
  <c r="V17" i="2" l="1"/>
  <c r="X17" i="2"/>
  <c r="U16" i="2" l="1"/>
  <c r="V16" i="2" l="1"/>
  <c r="X16" i="2"/>
  <c r="U12" i="2" l="1"/>
  <c r="U11" i="2"/>
  <c r="V11" i="2" l="1"/>
  <c r="X11" i="2"/>
  <c r="V12" i="2"/>
  <c r="X12" i="2"/>
  <c r="U14" i="2"/>
  <c r="V14" i="2" l="1"/>
  <c r="X14" i="2"/>
  <c r="U15" i="2" l="1"/>
  <c r="V15" i="2" l="1"/>
  <c r="X15" i="2"/>
  <c r="U13" i="2"/>
  <c r="V13" i="2" l="1"/>
  <c r="X13" i="2"/>
  <c r="U25" i="2"/>
  <c r="V25" i="2" l="1"/>
  <c r="X25" i="2"/>
  <c r="U27" i="2"/>
  <c r="V27" i="2" l="1"/>
  <c r="X27" i="2"/>
  <c r="U33" i="2" l="1"/>
  <c r="V33" i="2" l="1"/>
  <c r="T32" i="1"/>
  <c r="X33" i="2"/>
  <c r="U32" i="1" l="1"/>
  <c r="W32" i="1"/>
  <c r="U34" i="2" l="1"/>
  <c r="V34" i="2" l="1"/>
  <c r="T33" i="1"/>
  <c r="X34" i="2"/>
  <c r="U33" i="1" l="1"/>
  <c r="W33" i="1"/>
  <c r="U31" i="2" l="1"/>
  <c r="V31" i="2" l="1"/>
  <c r="X31" i="2"/>
  <c r="F26" i="1"/>
  <c r="K26" i="1" l="1"/>
  <c r="G26" i="1"/>
  <c r="I26" i="1"/>
  <c r="F32" i="1"/>
  <c r="U28" i="2"/>
  <c r="V28" i="2" l="1"/>
  <c r="X28" i="2"/>
  <c r="G32" i="1"/>
  <c r="I32" i="1"/>
  <c r="L26" i="1"/>
  <c r="N26" i="1"/>
  <c r="K32" i="1"/>
  <c r="L32" i="1" l="1"/>
  <c r="N32" i="1"/>
  <c r="F25" i="1" l="1"/>
  <c r="K25" i="1" l="1"/>
  <c r="I25" i="1"/>
  <c r="G25" i="1"/>
  <c r="F30" i="1"/>
  <c r="F31" i="1" l="1"/>
  <c r="G30" i="1"/>
  <c r="I30" i="1"/>
  <c r="L25" i="1"/>
  <c r="N25" i="1"/>
  <c r="K30" i="1"/>
  <c r="K31" i="1" l="1"/>
  <c r="L30" i="1"/>
  <c r="N30" i="1"/>
  <c r="G31" i="1"/>
  <c r="I31" i="1"/>
  <c r="L31" i="1" l="1"/>
  <c r="N31" i="1"/>
  <c r="U30" i="2" l="1"/>
  <c r="F27" i="1"/>
  <c r="K27" i="1" l="1"/>
  <c r="G27" i="1"/>
  <c r="I27" i="1"/>
  <c r="F33" i="1"/>
  <c r="V30" i="2"/>
  <c r="X30" i="2"/>
  <c r="U29" i="2"/>
  <c r="U32" i="2" l="1"/>
  <c r="AG20" i="43" s="1"/>
  <c r="X29" i="2"/>
  <c r="V29" i="2"/>
  <c r="G33" i="1"/>
  <c r="I33" i="1"/>
  <c r="N27" i="1"/>
  <c r="L27" i="1"/>
  <c r="K33" i="1"/>
  <c r="AG22" i="43" l="1"/>
  <c r="AG21" i="43"/>
  <c r="N33" i="1"/>
  <c r="L33" i="1"/>
  <c r="AG20" i="41"/>
  <c r="X32" i="2"/>
  <c r="V32" i="2"/>
  <c r="AG22" i="41" l="1"/>
  <c r="AG21" i="41"/>
  <c r="U35" i="2"/>
  <c r="V35" i="2" l="1"/>
  <c r="T34" i="1"/>
  <c r="X35" i="2"/>
  <c r="F28" i="1"/>
  <c r="K28" i="1" l="1"/>
  <c r="G28" i="1"/>
  <c r="I28" i="1"/>
  <c r="F34" i="1"/>
  <c r="F29" i="1"/>
  <c r="U34" i="1"/>
  <c r="W34" i="1"/>
  <c r="I29" i="1" l="1"/>
  <c r="G29" i="1"/>
  <c r="U46" i="2"/>
  <c r="U39" i="2"/>
  <c r="F38" i="1"/>
  <c r="K38" i="1" s="1"/>
  <c r="G34" i="1"/>
  <c r="I34" i="1"/>
  <c r="F35" i="1"/>
  <c r="L28" i="1"/>
  <c r="N28" i="1"/>
  <c r="K34" i="1"/>
  <c r="K29" i="1"/>
  <c r="N34" i="1" l="1"/>
  <c r="L34" i="1"/>
  <c r="K35" i="1"/>
  <c r="F40" i="1"/>
  <c r="I35" i="1"/>
  <c r="F36" i="1"/>
  <c r="F39" i="1"/>
  <c r="G35" i="1"/>
  <c r="L29" i="1"/>
  <c r="N29" i="1"/>
  <c r="V39" i="2"/>
  <c r="X39" i="2"/>
  <c r="U41" i="2"/>
  <c r="V41" i="2" l="1"/>
  <c r="X41" i="2"/>
  <c r="T36" i="1"/>
  <c r="U43" i="2"/>
  <c r="G44" i="2" s="1"/>
  <c r="I36" i="1"/>
  <c r="G36" i="1"/>
  <c r="K39" i="1"/>
  <c r="L35" i="1"/>
  <c r="N35" i="1"/>
  <c r="K36" i="1"/>
  <c r="K40" i="1"/>
  <c r="U44" i="2" l="1"/>
  <c r="V43" i="2"/>
  <c r="X43" i="2"/>
  <c r="U47" i="2"/>
  <c r="L36" i="1"/>
  <c r="N36" i="1"/>
  <c r="U36" i="1"/>
  <c r="W36" i="1"/>
  <c r="T35" i="1"/>
  <c r="U35" i="1" l="1"/>
  <c r="W35" i="1"/>
  <c r="K19" i="2" l="1"/>
  <c r="K23" i="2"/>
  <c r="K20" i="2"/>
  <c r="K21" i="2"/>
  <c r="K22" i="2"/>
  <c r="K18" i="2"/>
  <c r="K31" i="2"/>
  <c r="N20" i="2" l="1"/>
  <c r="L20" i="2"/>
  <c r="L23" i="2"/>
  <c r="N23" i="2"/>
  <c r="L22" i="2"/>
  <c r="N22" i="2"/>
  <c r="L19" i="2"/>
  <c r="N19" i="2"/>
  <c r="K26" i="2"/>
  <c r="N31" i="2"/>
  <c r="L31" i="2"/>
  <c r="L18" i="2"/>
  <c r="N18" i="2"/>
  <c r="L21" i="2"/>
  <c r="N21" i="2"/>
  <c r="L26" i="2" l="1"/>
  <c r="N26" i="2"/>
  <c r="K28" i="2" l="1"/>
  <c r="F8" i="1"/>
  <c r="K8" i="1" l="1"/>
  <c r="G8" i="1"/>
  <c r="I8" i="1"/>
  <c r="L28" i="2"/>
  <c r="N28" i="2"/>
  <c r="L8" i="1" l="1"/>
  <c r="N8" i="1"/>
  <c r="K10" i="2" l="1"/>
  <c r="L10" i="2" l="1"/>
  <c r="N10" i="2"/>
  <c r="K9" i="2" l="1"/>
  <c r="K30" i="2"/>
  <c r="K12" i="2"/>
  <c r="K8" i="2"/>
  <c r="K14" i="2"/>
  <c r="K15" i="2"/>
  <c r="K11" i="2"/>
  <c r="K7" i="2"/>
  <c r="K13" i="2"/>
  <c r="K29" i="2"/>
  <c r="K17" i="2"/>
  <c r="K16" i="2"/>
  <c r="L7" i="2" l="1"/>
  <c r="N7" i="2"/>
  <c r="K24" i="2"/>
  <c r="N29" i="2"/>
  <c r="L29" i="2"/>
  <c r="K32" i="2"/>
  <c r="AG12" i="43" s="1"/>
  <c r="K25" i="2"/>
  <c r="N11" i="2"/>
  <c r="L11" i="2"/>
  <c r="L13" i="2"/>
  <c r="N13" i="2"/>
  <c r="L14" i="2"/>
  <c r="N14" i="2"/>
  <c r="L8" i="2"/>
  <c r="N8" i="2"/>
  <c r="N12" i="2"/>
  <c r="L12" i="2"/>
  <c r="N30" i="2"/>
  <c r="L30" i="2"/>
  <c r="L17" i="2"/>
  <c r="N17" i="2"/>
  <c r="L15" i="2"/>
  <c r="N15" i="2"/>
  <c r="N16" i="2"/>
  <c r="L16" i="2"/>
  <c r="L9" i="2"/>
  <c r="N9" i="2"/>
  <c r="F9" i="1"/>
  <c r="F7" i="1"/>
  <c r="AG13" i="43" l="1"/>
  <c r="G7" i="1"/>
  <c r="K7" i="1"/>
  <c r="I7" i="1"/>
  <c r="L25" i="2"/>
  <c r="N25" i="2"/>
  <c r="L32" i="2"/>
  <c r="AG12" i="41"/>
  <c r="AG13" i="41" s="1"/>
  <c r="N32" i="2"/>
  <c r="L24" i="2"/>
  <c r="N24" i="2"/>
  <c r="K27" i="2"/>
  <c r="K9" i="1"/>
  <c r="I9" i="1"/>
  <c r="G9" i="1"/>
  <c r="K46" i="2"/>
  <c r="K47" i="2" s="1"/>
  <c r="N7" i="1" l="1"/>
  <c r="L7" i="1"/>
  <c r="L9" i="1"/>
  <c r="N9" i="1"/>
  <c r="N27" i="2"/>
  <c r="L27" i="2"/>
</calcChain>
</file>

<file path=xl/sharedStrings.xml><?xml version="1.0" encoding="utf-8"?>
<sst xmlns="http://schemas.openxmlformats.org/spreadsheetml/2006/main" count="743" uniqueCount="219">
  <si>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</si>
  <si>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</si>
  <si>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</si>
  <si>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</si>
  <si>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</si>
  <si>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</si>
  <si>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</si>
  <si>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</si>
  <si>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</si>
  <si>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</si>
  <si>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</si>
  <si>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</si>
  <si>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</si>
  <si>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</si>
  <si>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</si>
  <si>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</si>
  <si>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</si>
  <si>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</si>
  <si>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</si>
  <si>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</si>
  <si>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</si>
  <si>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</si>
  <si>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</si>
  <si>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</si>
  <si>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</si>
  <si>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</si>
  <si>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</si>
  <si>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</si>
  <si>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</si>
  <si>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</si>
  <si>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</si>
  <si>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</si>
  <si>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</si>
  <si>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</si>
  <si>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</si>
  <si>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</si>
  <si>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</si>
  <si>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</si>
  <si>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</si>
  <si>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</si>
  <si>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</si>
  <si>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</si>
  <si>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</si>
  <si>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</si>
  <si>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</si>
  <si>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</si>
  <si>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</si>
  <si>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</si>
  <si>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</si>
  <si>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</si>
  <si>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</si>
  <si>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</si>
  <si>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</si>
  <si>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</si>
  <si>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</si>
  <si>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</si>
  <si>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</si>
  <si>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</si>
  <si>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</si>
  <si>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</si>
  <si>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</si>
  <si>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</si>
  <si>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</si>
  <si>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</si>
  <si>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</si>
  <si>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</si>
  <si>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</si>
  <si>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</si>
  <si>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</si>
  <si>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</si>
  <si>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</si>
  <si>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</si>
  <si>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</si>
  <si>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</si>
  <si>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</si>
  <si>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</si>
  <si>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</si>
  <si>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</si>
  <si>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</si>
  <si>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</si>
  <si>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</si>
  <si>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</si>
  <si>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</si>
  <si>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</si>
  <si>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</si>
  <si>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</si>
  <si>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</si>
  <si>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</si>
  <si>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</si>
  <si>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</si>
  <si>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</si>
  <si>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</si>
  <si>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</si>
  <si>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</si>
  <si>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</si>
  <si>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</si>
  <si>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</si>
  <si>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</si>
  <si>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</si>
  <si>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</si>
  <si>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</si>
  <si>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</si>
  <si>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</si>
  <si>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</si>
  <si>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</si>
  <si>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</si>
  <si>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</si>
  <si>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</si>
  <si>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</si>
  <si>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</si>
  <si>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</si>
  <si>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</si>
  <si>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</si>
  <si>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</si>
  <si>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</si>
  <si>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</si>
  <si>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</si>
  <si>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</si>
  <si>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</si>
  <si>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</si>
  <si>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</si>
  <si>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</si>
  <si>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</si>
  <si>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</si>
  <si>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</si>
  <si>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</si>
  <si>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</si>
  <si>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</si>
  <si>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</si>
  <si>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</si>
  <si>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</si>
  <si>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</si>
  <si>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</si>
  <si>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</si>
  <si>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</si>
  <si>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</si>
  <si>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</si>
  <si>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</si>
  <si>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</si>
  <si>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</si>
  <si>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</si>
  <si>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</si>
  <si>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</si>
  <si>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</si>
  <si>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</si>
  <si>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</si>
  <si>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</si>
  <si>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</si>
  <si>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</si>
  <si>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</si>
  <si>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</si>
  <si>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</si>
  <si>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</si>
  <si>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</si>
  <si>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</si>
  <si>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</si>
  <si>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</si>
  <si>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</si>
  <si>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</si>
  <si>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</si>
  <si>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</si>
  <si>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</si>
  <si>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</si>
  <si>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</si>
  <si>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</si>
  <si>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</si>
  <si>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</si>
  <si>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</si>
  <si>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</si>
  <si>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</si>
  <si>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</si>
  <si>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</si>
  <si>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</si>
  <si>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</si>
  <si>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</si>
  <si>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</si>
  <si>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</si>
  <si>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</si>
  <si>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</si>
  <si>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</si>
  <si>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</si>
  <si>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</si>
  <si>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5월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</si>
  <si>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</si>
  <si>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</si>
  <si>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</si>
  <si>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</si>
  <si>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</si>
  <si>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</si>
  <si>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</si>
  <si>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</si>
  <si>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</si>
  <si>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</si>
  <si>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</si>
  <si>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2024년 1월 마감 손익</t>
    <phoneticPr fontId="1" type="noConversion"/>
  </si>
  <si>
    <t>□ 건재사업본부 손익실적(2024-01)</t>
    <phoneticPr fontId="1" type="noConversion"/>
  </si>
  <si>
    <t>1월</t>
    <phoneticPr fontId="1" type="noConversion"/>
  </si>
  <si>
    <t>1월 누계</t>
    <phoneticPr fontId="1" type="noConversion"/>
  </si>
  <si>
    <t>1월 주요지표</t>
    <phoneticPr fontId="1" type="noConversion"/>
  </si>
  <si>
    <t>□ 레미콘 영업이익 차이분석(2024-01)</t>
    <phoneticPr fontId="1" type="noConversion"/>
  </si>
  <si>
    <t>□ 레미콘 단위당 공헌이익(2024-01)</t>
    <phoneticPr fontId="1" type="noConversion"/>
  </si>
  <si>
    <t>□ 2024년 레미콘 원재료단가(2024-01)</t>
    <phoneticPr fontId="1" type="noConversion"/>
  </si>
  <si>
    <t>□ 레미콘 원재료 원단위(2024-01)</t>
    <phoneticPr fontId="1" type="noConversion"/>
  </si>
  <si>
    <t>□ 사업장별 손익실적(2024-01)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</si>
  <si>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</si>
  <si>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</si>
  <si>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</si>
  <si>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</si>
  <si>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</si>
  <si>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</si>
  <si>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</si>
  <si>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</si>
  <si>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</si>
  <si>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</si>
  <si>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□ 건자재 손익실적(2024-01)</t>
    <phoneticPr fontId="1" type="noConversion"/>
  </si>
  <si>
    <t>□ 2023년 골재사업소 손익(2024-01)</t>
    <phoneticPr fontId="1" type="noConversion"/>
  </si>
  <si>
    <t>부산모래장</t>
  </si>
  <si>
    <t>서부산CR</t>
  </si>
  <si>
    <t>부산CR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</si>
</sst>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</fills>
  <borders count="1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749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176" fontId="15" fillId="0" borderId="29" xfId="0" applyNumberFormat="1" applyFont="1" applyBorder="1">
      <alignment vertical="center"/>
    </xf>
    <xf numFmtId="176" fontId="15" fillId="0" borderId="30" xfId="0" applyNumberFormat="1" applyFont="1" applyBorder="1">
      <alignment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15" fillId="0" borderId="13" xfId="0" applyNumberFormat="1" applyFont="1" applyBorder="1">
      <alignment vertical="center"/>
    </xf>
    <xf numFmtId="176" fontId="15" fillId="0" borderId="14" xfId="0" applyNumberFormat="1" applyFont="1" applyBorder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15" fillId="0" borderId="39" xfId="0" applyNumberFormat="1" applyFont="1" applyBorder="1">
      <alignment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15" fillId="0" borderId="20" xfId="0" applyNumberFormat="1" applyFont="1" applyBorder="1">
      <alignment vertical="center"/>
    </xf>
    <xf numFmtId="176" fontId="15" fillId="0" borderId="21" xfId="0" applyNumberFormat="1" applyFont="1" applyBorder="1">
      <alignment vertical="center"/>
    </xf>
    <xf numFmtId="176" fontId="7" fillId="0" borderId="12" xfId="0" applyNumberFormat="1" applyFont="1" applyBorder="1" applyAlignment="1">
      <alignment horizontal="center" vertical="center"/>
    </xf>
    <xf numFmtId="176" fontId="15" fillId="0" borderId="46" xfId="0" applyNumberFormat="1" applyFont="1" applyBorder="1">
      <alignment vertical="center"/>
    </xf>
    <xf numFmtId="176" fontId="7" fillId="0" borderId="13" xfId="0" applyNumberFormat="1" applyFont="1" applyBorder="1">
      <alignment vertical="center"/>
    </xf>
    <xf numFmtId="176" fontId="15" fillId="0" borderId="49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15" fillId="0" borderId="25" xfId="0" applyNumberFormat="1" applyFont="1" applyBorder="1">
      <alignment vertical="center"/>
    </xf>
    <xf numFmtId="176" fontId="15" fillId="0" borderId="26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15" fillId="0" borderId="47" xfId="0" applyNumberFormat="1" applyFont="1" applyBorder="1">
      <alignment vertical="center"/>
    </xf>
    <xf numFmtId="176" fontId="7" fillId="0" borderId="16" xfId="0" applyNumberFormat="1" applyFont="1" applyBorder="1">
      <alignment vertical="center"/>
    </xf>
    <xf numFmtId="176" fontId="15" fillId="0" borderId="16" xfId="0" applyNumberFormat="1" applyFont="1" applyBorder="1">
      <alignment vertical="center"/>
    </xf>
    <xf numFmtId="176" fontId="15" fillId="0" borderId="17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15" fillId="9" borderId="39" xfId="0" applyNumberFormat="1" applyFont="1" applyFill="1" applyBorder="1">
      <alignment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15" fillId="9" borderId="46" xfId="0" applyNumberFormat="1" applyFont="1" applyFill="1" applyBorder="1">
      <alignment vertical="center"/>
    </xf>
    <xf numFmtId="176" fontId="15" fillId="9" borderId="49" xfId="0" applyNumberFormat="1" applyFont="1" applyFill="1" applyBorder="1">
      <alignment vertical="center"/>
    </xf>
    <xf numFmtId="176" fontId="7" fillId="9" borderId="6" xfId="0" applyNumberFormat="1" applyFont="1" applyFill="1" applyBorder="1" applyAlignment="1">
      <alignment horizontal="centerContinuous" vertical="center"/>
    </xf>
    <xf numFmtId="176" fontId="15" fillId="9" borderId="47" xfId="0" applyNumberFormat="1" applyFont="1" applyFill="1" applyBorder="1">
      <alignment vertical="center"/>
    </xf>
    <xf numFmtId="176" fontId="15" fillId="9" borderId="29" xfId="0" applyNumberFormat="1" applyFont="1" applyFill="1" applyBorder="1">
      <alignment vertical="center"/>
    </xf>
    <xf numFmtId="176" fontId="15" fillId="9" borderId="30" xfId="0" applyNumberFormat="1" applyFont="1" applyFill="1" applyBorder="1">
      <alignment vertical="center"/>
    </xf>
    <xf numFmtId="176" fontId="15" fillId="9" borderId="13" xfId="0" applyNumberFormat="1" applyFont="1" applyFill="1" applyBorder="1">
      <alignment vertical="center"/>
    </xf>
    <xf numFmtId="176" fontId="15" fillId="9" borderId="14" xfId="0" applyNumberFormat="1" applyFont="1" applyFill="1" applyBorder="1">
      <alignment vertical="center"/>
    </xf>
    <xf numFmtId="176" fontId="15" fillId="9" borderId="25" xfId="0" applyNumberFormat="1" applyFont="1" applyFill="1" applyBorder="1">
      <alignment vertical="center"/>
    </xf>
    <xf numFmtId="176" fontId="15" fillId="9" borderId="26" xfId="0" applyNumberFormat="1" applyFont="1" applyFill="1" applyBorder="1">
      <alignment vertical="center"/>
    </xf>
    <xf numFmtId="176" fontId="15" fillId="9" borderId="16" xfId="0" applyNumberFormat="1" applyFont="1" applyFill="1" applyBorder="1">
      <alignment vertical="center"/>
    </xf>
    <xf numFmtId="176" fontId="15" fillId="9" borderId="17" xfId="0" applyNumberFormat="1" applyFont="1" applyFill="1" applyBorder="1">
      <alignment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6" fontId="15" fillId="0" borderId="18" xfId="0" applyNumberFormat="1" applyFont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6" fontId="15" fillId="0" borderId="53" xfId="0" applyNumberFormat="1" applyFont="1" applyBorder="1">
      <alignment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6" fontId="15" fillId="0" borderId="77" xfId="0" applyNumberFormat="1" applyFont="1" applyBorder="1">
      <alignment vertical="center"/>
    </xf>
    <xf numFmtId="176" fontId="15" fillId="0" borderId="78" xfId="0" applyNumberFormat="1" applyFont="1" applyBorder="1">
      <alignment vertical="center"/>
    </xf>
    <xf numFmtId="176" fontId="15" fillId="0" borderId="82" xfId="0" applyNumberFormat="1" applyFont="1" applyBorder="1">
      <alignment vertical="center"/>
    </xf>
    <xf numFmtId="176" fontId="15" fillId="0" borderId="79" xfId="0" applyNumberFormat="1" applyFont="1" applyBorder="1">
      <alignment vertical="center"/>
    </xf>
    <xf numFmtId="176" fontId="14" fillId="7" borderId="82" xfId="0" applyNumberFormat="1" applyFont="1" applyFill="1" applyBorder="1">
      <alignment vertical="center"/>
    </xf>
    <xf numFmtId="177" fontId="15" fillId="0" borderId="78" xfId="0" applyNumberFormat="1" applyFont="1" applyBorder="1">
      <alignment vertical="center"/>
    </xf>
    <xf numFmtId="176" fontId="14" fillId="5" borderId="78" xfId="0" applyNumberFormat="1" applyFont="1" applyFill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  <xf numFmtId="14" fontId="0" fillId="0" borderId="0" xfId="0" applyNumberFormat="1" applyFont="1">
      <alignment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FFFFCC"/>
      <color rgb="FF00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건자재!$T$37:$AE$37</c:f>
              <c:strCache>
                <c:ptCount val="12"/>
                <c:pt idx="0">
                  <c:v>2월</c:v>
                </c:pt>
                <c:pt idx="1">
                  <c:v>3월</c:v>
                </c:pt>
                <c:pt idx="2">
                  <c:v>4월</c:v>
                </c:pt>
                <c:pt idx="3">
                  <c:v>5월</c:v>
                </c:pt>
                <c:pt idx="4">
                  <c:v>6월</c:v>
                </c:pt>
                <c:pt idx="5">
                  <c:v>7월</c:v>
                </c:pt>
                <c:pt idx="6">
                  <c:v>8월</c:v>
                </c:pt>
                <c:pt idx="7">
                  <c:v>9월</c:v>
                </c:pt>
                <c:pt idx="8">
                  <c:v>10월</c:v>
                </c:pt>
                <c:pt idx="9">
                  <c:v>11월</c:v>
                </c:pt>
                <c:pt idx="10">
                  <c:v>12월</c:v>
                </c:pt>
                <c:pt idx="11">
                  <c:v>1월</c:v>
                </c:pt>
              </c:strCache>
            </c:strRef>
          </c:cat>
          <c:val>
            <c:numRef>
              <c:f>건자재!$T$38:$AE$38</c:f>
              <c:numCache>
                <c:formatCode>#,##0_);[Red]\(#,##0\)</c:formatCode>
                <c:ptCount val="12"/>
                <c:pt idx="0">
                  <c:v>1027486.9738044508</c:v>
                </c:pt>
                <c:pt idx="1">
                  <c:v>1030973.3939193247</c:v>
                </c:pt>
                <c:pt idx="2">
                  <c:v>1048311.1321207784</c:v>
                </c:pt>
                <c:pt idx="3">
                  <c:v>1064717.6492676102</c:v>
                </c:pt>
                <c:pt idx="4">
                  <c:v>1043902.0889611768</c:v>
                </c:pt>
                <c:pt idx="5">
                  <c:v>1025254.3120930659</c:v>
                </c:pt>
                <c:pt idx="6">
                  <c:v>957693.63511625899</c:v>
                </c:pt>
                <c:pt idx="7">
                  <c:v>1007624.1816933632</c:v>
                </c:pt>
                <c:pt idx="8">
                  <c:v>964243.14311560732</c:v>
                </c:pt>
                <c:pt idx="9">
                  <c:v>985246.58044154115</c:v>
                </c:pt>
                <c:pt idx="10">
                  <c:v>951341.4287927025</c:v>
                </c:pt>
                <c:pt idx="11">
                  <c:v>920730.85338998202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건자재!$T$37:$AE$37</c:f>
              <c:strCache>
                <c:ptCount val="12"/>
                <c:pt idx="0">
                  <c:v>2월</c:v>
                </c:pt>
                <c:pt idx="1">
                  <c:v>3월</c:v>
                </c:pt>
                <c:pt idx="2">
                  <c:v>4월</c:v>
                </c:pt>
                <c:pt idx="3">
                  <c:v>5월</c:v>
                </c:pt>
                <c:pt idx="4">
                  <c:v>6월</c:v>
                </c:pt>
                <c:pt idx="5">
                  <c:v>7월</c:v>
                </c:pt>
                <c:pt idx="6">
                  <c:v>8월</c:v>
                </c:pt>
                <c:pt idx="7">
                  <c:v>9월</c:v>
                </c:pt>
                <c:pt idx="8">
                  <c:v>10월</c:v>
                </c:pt>
                <c:pt idx="9">
                  <c:v>11월</c:v>
                </c:pt>
                <c:pt idx="10">
                  <c:v>12월</c:v>
                </c:pt>
                <c:pt idx="11">
                  <c:v>1월</c:v>
                </c:pt>
              </c:strCache>
            </c:strRef>
          </c:cat>
          <c:val>
            <c:numRef>
              <c:f>건자재!$T$39:$AE$39</c:f>
              <c:numCache>
                <c:formatCode>0.0%</c:formatCode>
                <c:ptCount val="12"/>
                <c:pt idx="0">
                  <c:v>2.0328430506478493E-2</c:v>
                </c:pt>
                <c:pt idx="1">
                  <c:v>1.815970186077798E-2</c:v>
                </c:pt>
                <c:pt idx="2">
                  <c:v>2.0783119934692784E-2</c:v>
                </c:pt>
                <c:pt idx="3">
                  <c:v>1.8530156032889104E-2</c:v>
                </c:pt>
                <c:pt idx="4">
                  <c:v>2.338088905753952E-2</c:v>
                </c:pt>
                <c:pt idx="5">
                  <c:v>2.4066421287530761E-2</c:v>
                </c:pt>
                <c:pt idx="6">
                  <c:v>2.751551238666371E-2</c:v>
                </c:pt>
                <c:pt idx="7">
                  <c:v>1.6738202604907604E-2</c:v>
                </c:pt>
                <c:pt idx="8">
                  <c:v>1.8118540365804674E-2</c:v>
                </c:pt>
                <c:pt idx="9">
                  <c:v>1.7419708473984639E-2</c:v>
                </c:pt>
                <c:pt idx="10">
                  <c:v>2.0746012557623313E-2</c:v>
                </c:pt>
                <c:pt idx="11">
                  <c:v>1.9263299607757241E-2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1/01_&#47112;&#48120;&#53080;/&#47112;&#48120;&#53080;&#50896;&#44032;&#49552;&#51061;(2024-01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1/01_&#47112;&#48120;&#53080;/&#47112;&#48120;&#53080;&#50896;&#44032;&#49552;&#51061;(2024-01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1/02_&#44148;&#51088;&#51116;/&#44148;&#51088;&#51116;&#50689;&#50629;&#49552;&#51061;(2024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1/03_&#44264;&#51116;/&#44264;&#51116;&#50896;&#44032;&#49552;&#51061;(2024-01)&#44228;&#54925;&#45824;&#48708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1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1/03_&#44264;&#51116;/&#44264;&#51116;&#49892;&#51201;(2024-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37000</v>
          </cell>
          <cell r="G7">
            <v>28000</v>
          </cell>
          <cell r="H7">
            <v>20000</v>
          </cell>
          <cell r="I7">
            <v>8000</v>
          </cell>
          <cell r="J7">
            <v>18000</v>
          </cell>
          <cell r="K7">
            <v>21000</v>
          </cell>
          <cell r="L7">
            <v>10000</v>
          </cell>
          <cell r="M7">
            <v>18000</v>
          </cell>
          <cell r="N7">
            <v>11000</v>
          </cell>
          <cell r="O7">
            <v>14000</v>
          </cell>
          <cell r="P7">
            <v>13500</v>
          </cell>
          <cell r="Q7">
            <v>5000</v>
          </cell>
          <cell r="R7">
            <v>15500</v>
          </cell>
          <cell r="S7">
            <v>10000</v>
          </cell>
          <cell r="T7">
            <v>4000</v>
          </cell>
          <cell r="U7">
            <v>4000</v>
          </cell>
          <cell r="V7">
            <v>4000</v>
          </cell>
          <cell r="W7">
            <v>0</v>
          </cell>
          <cell r="X7">
            <v>0</v>
          </cell>
          <cell r="Y7">
            <v>0</v>
          </cell>
          <cell r="Z7">
            <v>241000</v>
          </cell>
          <cell r="AA7">
            <v>6900</v>
          </cell>
          <cell r="AB7">
            <v>12371.800000000001</v>
          </cell>
          <cell r="AC7">
            <v>39670.29996559782</v>
          </cell>
          <cell r="AD7">
            <v>24586.870682990953</v>
          </cell>
          <cell r="AE7">
            <v>76628.970648588773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34387607.552625962</v>
          </cell>
          <cell r="F8">
            <v>3581751.8500000006</v>
          </cell>
          <cell r="G8">
            <v>2739751.5299999993</v>
          </cell>
          <cell r="H8">
            <v>1918619.6873302513</v>
          </cell>
          <cell r="I8">
            <v>742216.5</v>
          </cell>
          <cell r="J8">
            <v>1936794.2300000004</v>
          </cell>
          <cell r="K8">
            <v>2165135.3199999998</v>
          </cell>
          <cell r="L8">
            <v>1009996</v>
          </cell>
          <cell r="M8">
            <v>1872000</v>
          </cell>
          <cell r="N8">
            <v>1059088.6639999999</v>
          </cell>
          <cell r="O8">
            <v>1394204</v>
          </cell>
          <cell r="P8">
            <v>1320299.9999999998</v>
          </cell>
          <cell r="Q8">
            <v>490013.66</v>
          </cell>
          <cell r="R8">
            <v>1565499.4</v>
          </cell>
          <cell r="S8">
            <v>1006589.0930000001</v>
          </cell>
          <cell r="T8">
            <v>434233.96499999997</v>
          </cell>
          <cell r="U8">
            <v>431600</v>
          </cell>
          <cell r="V8">
            <v>506800</v>
          </cell>
          <cell r="W8">
            <v>0</v>
          </cell>
          <cell r="X8">
            <v>0</v>
          </cell>
          <cell r="Y8">
            <v>0</v>
          </cell>
          <cell r="Z8">
            <v>24174593.899330251</v>
          </cell>
          <cell r="AA8">
            <v>8447943.157894738</v>
          </cell>
          <cell r="AB8">
            <v>192913</v>
          </cell>
          <cell r="AC8">
            <v>709406.85182383005</v>
          </cell>
          <cell r="AD8">
            <v>697843.14324381144</v>
          </cell>
          <cell r="AE8">
            <v>1600162.9950676416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96804.104054054071</v>
          </cell>
          <cell r="G9">
            <v>97848.2689285714</v>
          </cell>
          <cell r="H9">
            <v>95930.984366512566</v>
          </cell>
          <cell r="I9">
            <v>92777.0625</v>
          </cell>
          <cell r="J9">
            <v>107599.67944444448</v>
          </cell>
          <cell r="K9">
            <v>103101.68190476191</v>
          </cell>
          <cell r="L9">
            <v>100999.6</v>
          </cell>
          <cell r="M9">
            <v>104000</v>
          </cell>
          <cell r="N9">
            <v>96280.787636363631</v>
          </cell>
          <cell r="O9">
            <v>99586</v>
          </cell>
          <cell r="P9">
            <v>97799.999999999985</v>
          </cell>
          <cell r="Q9">
            <v>98002.731999999989</v>
          </cell>
          <cell r="R9">
            <v>100999.96129032258</v>
          </cell>
          <cell r="S9">
            <v>100658.9093</v>
          </cell>
          <cell r="T9">
            <v>108558.49124999999</v>
          </cell>
          <cell r="U9">
            <v>107900</v>
          </cell>
          <cell r="V9">
            <v>126700</v>
          </cell>
          <cell r="W9">
            <v>0</v>
          </cell>
          <cell r="X9">
            <v>0</v>
          </cell>
          <cell r="Y9">
            <v>0</v>
          </cell>
          <cell r="Z9">
            <v>100309.51825448238</v>
          </cell>
          <cell r="AA9">
            <v>1224339.5881006867</v>
          </cell>
          <cell r="AB9">
            <v>15592.961412243973</v>
          </cell>
          <cell r="AC9">
            <v>17882.568380854929</v>
          </cell>
          <cell r="AD9">
            <v>28382.755668315898</v>
          </cell>
          <cell r="AE9">
            <v>20881.958631622449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30592330.928964745</v>
          </cell>
          <cell r="F10">
            <v>3159280.3710635277</v>
          </cell>
          <cell r="G10">
            <v>2518677.8640540391</v>
          </cell>
          <cell r="H10">
            <v>1710393.4774185906</v>
          </cell>
          <cell r="I10">
            <v>703746.68358290126</v>
          </cell>
          <cell r="J10">
            <v>1591070.8828166719</v>
          </cell>
          <cell r="K10">
            <v>1776014.1509263148</v>
          </cell>
          <cell r="L10">
            <v>887456.49842588115</v>
          </cell>
          <cell r="M10">
            <v>1557143.0159858118</v>
          </cell>
          <cell r="N10">
            <v>893185.5279555826</v>
          </cell>
          <cell r="O10">
            <v>1140753.946427848</v>
          </cell>
          <cell r="P10">
            <v>1103015.0077230516</v>
          </cell>
          <cell r="Q10">
            <v>501963.23957498308</v>
          </cell>
          <cell r="R10">
            <v>1356291.8657716666</v>
          </cell>
          <cell r="S10">
            <v>848769.35815382027</v>
          </cell>
          <cell r="T10">
            <v>355711.35914062802</v>
          </cell>
          <cell r="U10">
            <v>382327.61456988729</v>
          </cell>
          <cell r="V10">
            <v>438475.54129112116</v>
          </cell>
          <cell r="W10">
            <v>0</v>
          </cell>
          <cell r="X10">
            <v>0</v>
          </cell>
          <cell r="Y10">
            <v>0</v>
          </cell>
          <cell r="Z10">
            <v>20924276.404882323</v>
          </cell>
          <cell r="AA10">
            <v>8231946.9948631572</v>
          </cell>
          <cell r="AB10">
            <v>110673.73000000001</v>
          </cell>
          <cell r="AC10">
            <v>692742.81975918473</v>
          </cell>
          <cell r="AD10">
            <v>630844.89446008182</v>
          </cell>
          <cell r="AE10">
            <v>1434261.4442192665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D11" t="str">
            <v xml:space="preserve"> - 단  위  당</v>
          </cell>
          <cell r="F11">
            <v>85385.955974689932</v>
          </cell>
          <cell r="G11">
            <v>89952.780859072838</v>
          </cell>
          <cell r="H11">
            <v>85519.673870929517</v>
          </cell>
          <cell r="I11">
            <v>87968.335447862657</v>
          </cell>
          <cell r="J11">
            <v>88392.82682314844</v>
          </cell>
          <cell r="K11">
            <v>84572.102425062607</v>
          </cell>
          <cell r="L11">
            <v>88745.649842588115</v>
          </cell>
          <cell r="M11">
            <v>86507.945332545103</v>
          </cell>
          <cell r="N11">
            <v>81198.68435959841</v>
          </cell>
          <cell r="O11">
            <v>81482.424744846285</v>
          </cell>
          <cell r="P11">
            <v>81704.815386892704</v>
          </cell>
          <cell r="Q11">
            <v>100392.64791499662</v>
          </cell>
          <cell r="R11">
            <v>87502.701017526881</v>
          </cell>
          <cell r="S11">
            <v>84876.935815382021</v>
          </cell>
          <cell r="T11">
            <v>88927.839785157004</v>
          </cell>
          <cell r="U11">
            <v>95581.903642471822</v>
          </cell>
          <cell r="V11">
            <v>109618.88532278029</v>
          </cell>
          <cell r="W11">
            <v>0</v>
          </cell>
          <cell r="X11">
            <v>0</v>
          </cell>
          <cell r="Y11">
            <v>0</v>
          </cell>
          <cell r="Z11">
            <v>86822.72367171089</v>
          </cell>
          <cell r="AA11">
            <v>1193035.7963569793</v>
          </cell>
          <cell r="AB11">
            <v>8945.6449344476951</v>
          </cell>
          <cell r="AC11">
            <v>17462.505208176721</v>
          </cell>
          <cell r="AD11">
            <v>25657.795275935481</v>
          </cell>
          <cell r="AE11">
            <v>18716.960858010436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3795276.6236612163</v>
          </cell>
          <cell r="F12">
            <v>422471.47893647291</v>
          </cell>
          <cell r="G12">
            <v>221073.66594596021</v>
          </cell>
          <cell r="H12">
            <v>208226.20991166076</v>
          </cell>
          <cell r="I12">
            <v>38469.816417098744</v>
          </cell>
          <cell r="J12">
            <v>345723.34718332859</v>
          </cell>
          <cell r="K12">
            <v>389121.16907368507</v>
          </cell>
          <cell r="L12">
            <v>122539.50157411885</v>
          </cell>
          <cell r="M12">
            <v>314856.98401418817</v>
          </cell>
          <cell r="N12">
            <v>165903.13604441728</v>
          </cell>
          <cell r="O12">
            <v>253450.05357215204</v>
          </cell>
          <cell r="P12">
            <v>217284.99227694818</v>
          </cell>
          <cell r="Q12">
            <v>-11949.579574983101</v>
          </cell>
          <cell r="R12">
            <v>209207.53422833327</v>
          </cell>
          <cell r="S12">
            <v>157819.73484617984</v>
          </cell>
          <cell r="T12">
            <v>78522.60585937195</v>
          </cell>
          <cell r="U12">
            <v>49272.385430112714</v>
          </cell>
          <cell r="V12">
            <v>68324.458708878839</v>
          </cell>
          <cell r="W12">
            <v>0</v>
          </cell>
          <cell r="X12">
            <v>0</v>
          </cell>
          <cell r="Y12">
            <v>0</v>
          </cell>
          <cell r="Z12">
            <v>3250317.4944479279</v>
          </cell>
          <cell r="AA12">
            <v>215996.16303158086</v>
          </cell>
          <cell r="AB12">
            <v>82239.26999999999</v>
          </cell>
          <cell r="AC12">
            <v>16664.032064645318</v>
          </cell>
          <cell r="AD12">
            <v>66998.248783729621</v>
          </cell>
          <cell r="AE12">
            <v>165901.55084837507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1770</v>
          </cell>
          <cell r="AU12">
            <v>1770</v>
          </cell>
        </row>
        <row r="13">
          <cell r="D13" t="str">
            <v>판 관 비</v>
          </cell>
          <cell r="E13">
            <v>755459.11199999996</v>
          </cell>
          <cell r="F13">
            <v>65714.55</v>
          </cell>
          <cell r="G13">
            <v>61718.03</v>
          </cell>
          <cell r="H13">
            <v>47286.469999999994</v>
          </cell>
          <cell r="I13">
            <v>33036.42</v>
          </cell>
          <cell r="J13">
            <v>54568.41</v>
          </cell>
          <cell r="K13">
            <v>49037.75</v>
          </cell>
          <cell r="L13">
            <v>35408.400000000001</v>
          </cell>
          <cell r="M13">
            <v>46783.770000000004</v>
          </cell>
          <cell r="N13">
            <v>34542.17</v>
          </cell>
          <cell r="O13">
            <v>39039.979999999996</v>
          </cell>
          <cell r="P13">
            <v>34737.050000000003</v>
          </cell>
          <cell r="Q13">
            <v>26144.989999999998</v>
          </cell>
          <cell r="R13">
            <v>39971.959999999992</v>
          </cell>
          <cell r="S13">
            <v>25058.940000000002</v>
          </cell>
          <cell r="T13">
            <v>10551.279999999999</v>
          </cell>
          <cell r="U13">
            <v>9614.17</v>
          </cell>
          <cell r="V13">
            <v>15465.18</v>
          </cell>
          <cell r="W13">
            <v>0</v>
          </cell>
          <cell r="X13">
            <v>0</v>
          </cell>
          <cell r="Y13">
            <v>0</v>
          </cell>
          <cell r="Z13">
            <v>628679.52</v>
          </cell>
          <cell r="AA13">
            <v>116337.58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0</v>
          </cell>
          <cell r="AS13">
            <v>0</v>
          </cell>
          <cell r="AT13">
            <v>0</v>
          </cell>
          <cell r="AU13">
            <v>10442.011999999999</v>
          </cell>
        </row>
        <row r="14">
          <cell r="D14" t="str">
            <v xml:space="preserve"> - 노   무   비</v>
          </cell>
          <cell r="E14">
            <v>527290.01</v>
          </cell>
          <cell r="F14">
            <v>47281.5</v>
          </cell>
          <cell r="G14">
            <v>45408.65</v>
          </cell>
          <cell r="H14">
            <v>33985.369999999995</v>
          </cell>
          <cell r="I14">
            <v>23295.969999999998</v>
          </cell>
          <cell r="J14">
            <v>40364</v>
          </cell>
          <cell r="K14">
            <v>32813.11</v>
          </cell>
          <cell r="L14">
            <v>24758.170000000002</v>
          </cell>
          <cell r="M14">
            <v>32742.140000000003</v>
          </cell>
          <cell r="N14">
            <v>24968.21</v>
          </cell>
          <cell r="O14">
            <v>28650.69</v>
          </cell>
          <cell r="P14">
            <v>25026.79</v>
          </cell>
          <cell r="Q14">
            <v>17945.18</v>
          </cell>
          <cell r="R14">
            <v>27716.159999999996</v>
          </cell>
          <cell r="S14">
            <v>17329.97</v>
          </cell>
          <cell r="T14">
            <v>6576.62</v>
          </cell>
          <cell r="U14">
            <v>5656.8899999999994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445072.94999999995</v>
          </cell>
          <cell r="AA14">
            <v>82217.06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D15" t="str">
            <v xml:space="preserve"> - 경        비</v>
          </cell>
          <cell r="E15">
            <v>228169.10200000001</v>
          </cell>
          <cell r="F15">
            <v>18433.05</v>
          </cell>
          <cell r="G15">
            <v>16309.380000000001</v>
          </cell>
          <cell r="H15">
            <v>13301.1</v>
          </cell>
          <cell r="I15">
            <v>9740.4500000000007</v>
          </cell>
          <cell r="J15">
            <v>14204.41</v>
          </cell>
          <cell r="K15">
            <v>16224.64</v>
          </cell>
          <cell r="L15">
            <v>10650.23</v>
          </cell>
          <cell r="M15">
            <v>14041.630000000001</v>
          </cell>
          <cell r="N15">
            <v>9573.9599999999991</v>
          </cell>
          <cell r="O15">
            <v>10389.289999999999</v>
          </cell>
          <cell r="P15">
            <v>9710.26</v>
          </cell>
          <cell r="Q15">
            <v>8199.81</v>
          </cell>
          <cell r="R15">
            <v>12255.8</v>
          </cell>
          <cell r="S15">
            <v>7728.9699999999993</v>
          </cell>
          <cell r="T15">
            <v>3974.66</v>
          </cell>
          <cell r="U15">
            <v>3957.28</v>
          </cell>
          <cell r="V15">
            <v>4911.6499999999996</v>
          </cell>
          <cell r="W15">
            <v>0</v>
          </cell>
          <cell r="X15">
            <v>0</v>
          </cell>
          <cell r="Y15">
            <v>0</v>
          </cell>
          <cell r="Z15">
            <v>183606.57</v>
          </cell>
          <cell r="AA15">
            <v>34120.520000000004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0</v>
          </cell>
          <cell r="AS15">
            <v>0</v>
          </cell>
          <cell r="AT15">
            <v>0</v>
          </cell>
          <cell r="AU15">
            <v>10442.011999999999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3039817.5116612166</v>
          </cell>
          <cell r="F17">
            <v>356756.92893647292</v>
          </cell>
          <cell r="G17">
            <v>159355.63594596021</v>
          </cell>
          <cell r="H17">
            <v>160939.73991166076</v>
          </cell>
          <cell r="I17">
            <v>5433.3964170987456</v>
          </cell>
          <cell r="J17">
            <v>291154.93718332855</v>
          </cell>
          <cell r="K17">
            <v>340083.41907368507</v>
          </cell>
          <cell r="L17">
            <v>87131.10157411886</v>
          </cell>
          <cell r="M17">
            <v>268073.21401418815</v>
          </cell>
          <cell r="N17">
            <v>131360.96604441729</v>
          </cell>
          <cell r="O17">
            <v>214410.07357215206</v>
          </cell>
          <cell r="P17">
            <v>182547.94227694819</v>
          </cell>
          <cell r="Q17">
            <v>-38094.569574983099</v>
          </cell>
          <cell r="R17">
            <v>169235.57422833328</v>
          </cell>
          <cell r="S17">
            <v>132760.79484617984</v>
          </cell>
          <cell r="T17">
            <v>67971.325859371951</v>
          </cell>
          <cell r="U17">
            <v>39658.215430112716</v>
          </cell>
          <cell r="V17">
            <v>52859.278708878839</v>
          </cell>
          <cell r="W17">
            <v>0</v>
          </cell>
          <cell r="X17">
            <v>0</v>
          </cell>
          <cell r="Y17">
            <v>0</v>
          </cell>
          <cell r="Z17">
            <v>2621637.9744479279</v>
          </cell>
          <cell r="AA17">
            <v>99658.583031580856</v>
          </cell>
          <cell r="AB17">
            <v>82239.26999999999</v>
          </cell>
          <cell r="AC17">
            <v>16664.032064645318</v>
          </cell>
          <cell r="AD17">
            <v>66998.248783729621</v>
          </cell>
          <cell r="AE17">
            <v>165901.55084837507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0</v>
          </cell>
          <cell r="AS17">
            <v>0</v>
          </cell>
          <cell r="AT17">
            <v>1770</v>
          </cell>
          <cell r="AU17">
            <v>-8672.0119999999988</v>
          </cell>
        </row>
        <row r="18">
          <cell r="D18" t="str">
            <v>감가상각비</v>
          </cell>
          <cell r="E18">
            <v>539507.40566750546</v>
          </cell>
          <cell r="F18">
            <v>29863.993999999995</v>
          </cell>
          <cell r="G18">
            <v>34120.923906133343</v>
          </cell>
          <cell r="H18">
            <v>18973.436444444444</v>
          </cell>
          <cell r="I18">
            <v>18518.989999999998</v>
          </cell>
          <cell r="J18">
            <v>45789.826000000001</v>
          </cell>
          <cell r="K18">
            <v>26241.000111111112</v>
          </cell>
          <cell r="L18">
            <v>12618.000444444444</v>
          </cell>
          <cell r="M18">
            <v>23701.83</v>
          </cell>
          <cell r="N18">
            <v>10625.898111111112</v>
          </cell>
          <cell r="O18">
            <v>31970.714111111109</v>
          </cell>
          <cell r="P18">
            <v>14284.142141342973</v>
          </cell>
          <cell r="Q18">
            <v>12189.649888888889</v>
          </cell>
          <cell r="R18">
            <v>33750.769</v>
          </cell>
          <cell r="S18">
            <v>23191.996000000003</v>
          </cell>
          <cell r="T18">
            <v>9875.5362222222211</v>
          </cell>
          <cell r="U18">
            <v>5301.2150000000001</v>
          </cell>
          <cell r="V18">
            <v>9880.4838422363155</v>
          </cell>
          <cell r="W18">
            <v>0</v>
          </cell>
          <cell r="X18">
            <v>0</v>
          </cell>
          <cell r="Y18">
            <v>0</v>
          </cell>
          <cell r="Z18">
            <v>360898.40522304585</v>
          </cell>
          <cell r="AA18">
            <v>4908.0999999999995</v>
          </cell>
          <cell r="AB18">
            <v>12255.822555555556</v>
          </cell>
          <cell r="AC18">
            <v>56509.437444444455</v>
          </cell>
          <cell r="AD18">
            <v>34759.776999999995</v>
          </cell>
          <cell r="AE18">
            <v>103525.037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</row>
        <row r="19">
          <cell r="D19" t="str">
            <v xml:space="preserve"> - 제        조</v>
          </cell>
          <cell r="E19">
            <v>466151.42522304587</v>
          </cell>
          <cell r="F19">
            <v>27536.371999999996</v>
          </cell>
          <cell r="G19">
            <v>31511.041906133345</v>
          </cell>
          <cell r="H19">
            <v>16907.842444444443</v>
          </cell>
          <cell r="I19">
            <v>17327.001999999997</v>
          </cell>
          <cell r="J19">
            <v>42687.523999999998</v>
          </cell>
          <cell r="K19">
            <v>24676.598111111114</v>
          </cell>
          <cell r="L19">
            <v>11424.401444444444</v>
          </cell>
          <cell r="M19">
            <v>21844.178</v>
          </cell>
          <cell r="N19">
            <v>9138.6461111111112</v>
          </cell>
          <cell r="O19">
            <v>30751.948111111109</v>
          </cell>
          <cell r="P19">
            <v>13078.754141342972</v>
          </cell>
          <cell r="Q19">
            <v>11087.494888888888</v>
          </cell>
          <cell r="R19">
            <v>32162.567999999999</v>
          </cell>
          <cell r="S19">
            <v>22348.838000000003</v>
          </cell>
          <cell r="T19">
            <v>9432.6672222222205</v>
          </cell>
          <cell r="U19">
            <v>4930.8150000000005</v>
          </cell>
          <cell r="V19">
            <v>9055.1138422363147</v>
          </cell>
          <cell r="W19">
            <v>0</v>
          </cell>
          <cell r="X19">
            <v>0</v>
          </cell>
          <cell r="Y19">
            <v>0</v>
          </cell>
          <cell r="Z19">
            <v>335901.80522304587</v>
          </cell>
          <cell r="AA19">
            <v>0</v>
          </cell>
          <cell r="AB19">
            <v>12255.822555555556</v>
          </cell>
          <cell r="AC19">
            <v>56509.437444444455</v>
          </cell>
          <cell r="AD19">
            <v>34389.376999999993</v>
          </cell>
          <cell r="AE19">
            <v>103154.637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</row>
        <row r="21">
          <cell r="D21" t="str">
            <v>영업이익 I</v>
          </cell>
          <cell r="E21">
            <v>2500310.1059937114</v>
          </cell>
          <cell r="F21">
            <v>326892.93493647291</v>
          </cell>
          <cell r="G21">
            <v>125234.71203982687</v>
          </cell>
          <cell r="H21">
            <v>141966.30346721632</v>
          </cell>
          <cell r="I21">
            <v>-13085.593582901252</v>
          </cell>
          <cell r="J21">
            <v>245365.11118332855</v>
          </cell>
          <cell r="K21">
            <v>313842.41896257398</v>
          </cell>
          <cell r="L21">
            <v>74513.101129674411</v>
          </cell>
          <cell r="M21">
            <v>244371.38401418814</v>
          </cell>
          <cell r="N21">
            <v>120735.06793330619</v>
          </cell>
          <cell r="O21">
            <v>182439.35946104096</v>
          </cell>
          <cell r="P21">
            <v>168263.80013560521</v>
          </cell>
          <cell r="Q21">
            <v>-50284.219463871988</v>
          </cell>
          <cell r="R21">
            <v>135484.80522833328</v>
          </cell>
          <cell r="S21">
            <v>109568.79884617984</v>
          </cell>
          <cell r="T21">
            <v>58095.789637149734</v>
          </cell>
          <cell r="U21">
            <v>34357.000430112719</v>
          </cell>
          <cell r="V21">
            <v>42978.794866642522</v>
          </cell>
          <cell r="W21">
            <v>0</v>
          </cell>
          <cell r="X21">
            <v>0</v>
          </cell>
          <cell r="Y21">
            <v>0</v>
          </cell>
          <cell r="Z21">
            <v>2260739.5692248819</v>
          </cell>
          <cell r="AA21">
            <v>94750.48303158085</v>
          </cell>
          <cell r="AB21">
            <v>69983.447444444435</v>
          </cell>
          <cell r="AC21">
            <v>-39845.405379799136</v>
          </cell>
          <cell r="AD21">
            <v>32238.471783729627</v>
          </cell>
          <cell r="AE21">
            <v>62376.513848375078</v>
          </cell>
          <cell r="AF21">
            <v>8969.7469999999994</v>
          </cell>
          <cell r="AG21">
            <v>43596.712999999996</v>
          </cell>
          <cell r="AH21">
            <v>19599.499</v>
          </cell>
          <cell r="AI21">
            <v>58284.484333333334</v>
          </cell>
          <cell r="AJ21">
            <v>3745.9890000000005</v>
          </cell>
          <cell r="AK21">
            <v>0</v>
          </cell>
          <cell r="AL21">
            <v>134196.43233333333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-27752.631000000001</v>
          </cell>
          <cell r="AR21">
            <v>0</v>
          </cell>
          <cell r="AS21">
            <v>0</v>
          </cell>
          <cell r="AT21">
            <v>-15985.408000000003</v>
          </cell>
          <cell r="AU21">
            <v>-51752.892444459649</v>
          </cell>
        </row>
        <row r="22">
          <cell r="D22" t="str">
            <v>공    통    비</v>
          </cell>
          <cell r="E22">
            <v>1496646.4746539104</v>
          </cell>
          <cell r="F22">
            <v>218008.72641673818</v>
          </cell>
          <cell r="G22">
            <v>166759.10748914938</v>
          </cell>
          <cell r="H22">
            <v>116779.67989684947</v>
          </cell>
          <cell r="I22">
            <v>45176.12628314519</v>
          </cell>
          <cell r="J22">
            <v>117545.10179263831</v>
          </cell>
          <cell r="K22">
            <v>131403.24751186214</v>
          </cell>
          <cell r="L22">
            <v>61297.209993318436</v>
          </cell>
          <cell r="M22">
            <v>113612.70451317837</v>
          </cell>
          <cell r="N22">
            <v>64276.670639043186</v>
          </cell>
          <cell r="O22">
            <v>84615.003783702632</v>
          </cell>
          <cell r="P22">
            <v>80129.729577323393</v>
          </cell>
          <cell r="Q22">
            <v>29739.197201389448</v>
          </cell>
          <cell r="R22">
            <v>92052.47553889142</v>
          </cell>
          <cell r="S22">
            <v>59188.152905773975</v>
          </cell>
          <cell r="T22">
            <v>25533.265257922383</v>
          </cell>
          <cell r="U22">
            <v>25378.386246960901</v>
          </cell>
          <cell r="V22">
            <v>29800.199606023598</v>
          </cell>
          <cell r="W22">
            <v>0</v>
          </cell>
          <cell r="X22">
            <v>0</v>
          </cell>
          <cell r="Y22">
            <v>0</v>
          </cell>
          <cell r="Z22">
            <v>1461294.9846539102</v>
          </cell>
          <cell r="AA22">
            <v>0</v>
          </cell>
          <cell r="AB22">
            <v>4261.9170743176173</v>
          </cell>
          <cell r="AC22">
            <v>15672.521677781639</v>
          </cell>
          <cell r="AD22">
            <v>15417.051247900738</v>
          </cell>
          <cell r="AE22">
            <v>35351.489999999991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289933.08333333331</v>
          </cell>
          <cell r="F23">
            <v>39219.873136270246</v>
          </cell>
          <cell r="G23">
            <v>30000.04241821004</v>
          </cell>
          <cell r="H23">
            <v>21008.71972295985</v>
          </cell>
          <cell r="I23">
            <v>8127.2065147803369</v>
          </cell>
          <cell r="J23">
            <v>20866.93034926293</v>
          </cell>
          <cell r="K23">
            <v>23327.066561515461</v>
          </cell>
          <cell r="L23">
            <v>10881.649613874653</v>
          </cell>
          <cell r="M23">
            <v>20168.840349044302</v>
          </cell>
          <cell r="N23">
            <v>11410.571677189435</v>
          </cell>
          <cell r="O23">
            <v>15021.088616452436</v>
          </cell>
          <cell r="P23">
            <v>14224.850380792301</v>
          </cell>
          <cell r="Q23">
            <v>5279.3842293754678</v>
          </cell>
          <cell r="R23">
            <v>13908.077417826584</v>
          </cell>
          <cell r="S23">
            <v>8942.6537202019008</v>
          </cell>
          <cell r="T23">
            <v>3857.7846805114068</v>
          </cell>
          <cell r="U23">
            <v>3834.3842313411005</v>
          </cell>
          <cell r="V23">
            <v>4502.4697137249068</v>
          </cell>
          <cell r="W23">
            <v>0</v>
          </cell>
          <cell r="X23">
            <v>0</v>
          </cell>
          <cell r="Y23">
            <v>0</v>
          </cell>
          <cell r="Z23">
            <v>254581.59333333332</v>
          </cell>
          <cell r="AA23">
            <v>0</v>
          </cell>
          <cell r="AB23">
            <v>4261.9170743176173</v>
          </cell>
          <cell r="AC23">
            <v>15672.521677781639</v>
          </cell>
          <cell r="AD23">
            <v>15417.051247900738</v>
          </cell>
          <cell r="AE23">
            <v>35351.489999999991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550698.58133333339</v>
          </cell>
          <cell r="F24">
            <v>81592.504539970323</v>
          </cell>
          <cell r="G24">
            <v>62411.690846175065</v>
          </cell>
          <cell r="H24">
            <v>43706.26221606334</v>
          </cell>
          <cell r="I24">
            <v>16907.732774924338</v>
          </cell>
          <cell r="J24">
            <v>44120.2792997129</v>
          </cell>
          <cell r="K24">
            <v>49321.901914212758</v>
          </cell>
          <cell r="L24">
            <v>23007.764542747947</v>
          </cell>
          <cell r="M24">
            <v>42644.263169383004</v>
          </cell>
          <cell r="N24">
            <v>24126.098134255477</v>
          </cell>
          <cell r="O24">
            <v>31760.043957161572</v>
          </cell>
          <cell r="P24">
            <v>30076.50676417541</v>
          </cell>
          <cell r="Q24">
            <v>11162.538180359275</v>
          </cell>
          <cell r="R24">
            <v>35662.162609567946</v>
          </cell>
          <cell r="S24">
            <v>22930.155013527001</v>
          </cell>
          <cell r="T24">
            <v>9891.8736541370981</v>
          </cell>
          <cell r="U24">
            <v>9831.8717862744161</v>
          </cell>
          <cell r="V24">
            <v>11544.931930685527</v>
          </cell>
          <cell r="W24">
            <v>0</v>
          </cell>
          <cell r="X24">
            <v>0</v>
          </cell>
          <cell r="Y24">
            <v>0</v>
          </cell>
          <cell r="Z24">
            <v>550698.58133333339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656014.80998724361</v>
          </cell>
          <cell r="F25">
            <v>97196.348740497589</v>
          </cell>
          <cell r="G25">
            <v>74347.37422476428</v>
          </cell>
          <cell r="H25">
            <v>52064.697957826284</v>
          </cell>
          <cell r="I25">
            <v>20141.186993440519</v>
          </cell>
          <cell r="J25">
            <v>52557.892143662473</v>
          </cell>
          <cell r="K25">
            <v>58754.279036133899</v>
          </cell>
          <cell r="L25">
            <v>27407.795836695834</v>
          </cell>
          <cell r="M25">
            <v>50799.600994751061</v>
          </cell>
          <cell r="N25">
            <v>28740.000827598276</v>
          </cell>
          <cell r="O25">
            <v>37833.871210088626</v>
          </cell>
          <cell r="P25">
            <v>35828.372432355674</v>
          </cell>
          <cell r="Q25">
            <v>13297.274791654705</v>
          </cell>
          <cell r="R25">
            <v>42482.235511496896</v>
          </cell>
          <cell r="S25">
            <v>27315.344172045072</v>
          </cell>
          <cell r="T25">
            <v>11783.606923273877</v>
          </cell>
          <cell r="U25">
            <v>11712.130229345385</v>
          </cell>
          <cell r="V25">
            <v>13752.797961613162</v>
          </cell>
          <cell r="W25">
            <v>0</v>
          </cell>
          <cell r="X25">
            <v>0</v>
          </cell>
          <cell r="Y25">
            <v>0</v>
          </cell>
          <cell r="Z25">
            <v>656014.80998724361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1003663.631339801</v>
          </cell>
          <cell r="F26">
            <v>108884.20851973473</v>
          </cell>
          <cell r="G26">
            <v>-41524.395449322503</v>
          </cell>
          <cell r="H26">
            <v>25186.62357036685</v>
          </cell>
          <cell r="I26">
            <v>-58261.719866046442</v>
          </cell>
          <cell r="J26">
            <v>127820.00939069025</v>
          </cell>
          <cell r="K26">
            <v>182439.17145071184</v>
          </cell>
          <cell r="L26">
            <v>13215.891136355975</v>
          </cell>
          <cell r="M26">
            <v>130758.67950100977</v>
          </cell>
          <cell r="N26">
            <v>56458.397294262999</v>
          </cell>
          <cell r="O26">
            <v>97824.355677338332</v>
          </cell>
          <cell r="P26">
            <v>88134.070558281819</v>
          </cell>
          <cell r="Q26">
            <v>-80023.416665261437</v>
          </cell>
          <cell r="R26">
            <v>43432.32968944186</v>
          </cell>
          <cell r="S26">
            <v>50380.645940405862</v>
          </cell>
          <cell r="T26">
            <v>32562.52437922735</v>
          </cell>
          <cell r="U26">
            <v>8978.614183151818</v>
          </cell>
          <cell r="V26">
            <v>13178.595260618924</v>
          </cell>
          <cell r="W26">
            <v>0</v>
          </cell>
          <cell r="X26">
            <v>0</v>
          </cell>
          <cell r="Y26">
            <v>0</v>
          </cell>
          <cell r="Z26">
            <v>799444.58457097178</v>
          </cell>
          <cell r="AA26">
            <v>94750.48303158085</v>
          </cell>
          <cell r="AB26">
            <v>65721.530370126813</v>
          </cell>
          <cell r="AC26">
            <v>-55517.927057580775</v>
          </cell>
          <cell r="AD26">
            <v>16821.420535828889</v>
          </cell>
          <cell r="AE26">
            <v>27025.023848375087</v>
          </cell>
          <cell r="AF26">
            <v>8969.7469999999994</v>
          </cell>
          <cell r="AG26">
            <v>43596.712999999996</v>
          </cell>
          <cell r="AH26">
            <v>19599.499</v>
          </cell>
          <cell r="AI26">
            <v>58284.484333333334</v>
          </cell>
          <cell r="AJ26">
            <v>3745.9890000000005</v>
          </cell>
          <cell r="AK26">
            <v>0</v>
          </cell>
          <cell r="AL26">
            <v>134196.43233333333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-27752.631000000001</v>
          </cell>
          <cell r="AR26">
            <v>0</v>
          </cell>
          <cell r="AS26">
            <v>0</v>
          </cell>
          <cell r="AT26">
            <v>-15985.408000000003</v>
          </cell>
          <cell r="AU26">
            <v>-51752.892444459649</v>
          </cell>
        </row>
        <row r="27">
          <cell r="E27">
            <v>1032497.6063397975</v>
          </cell>
          <cell r="F27">
            <v>108884.20851973473</v>
          </cell>
          <cell r="G27">
            <v>-41524.395449322517</v>
          </cell>
          <cell r="H27">
            <v>25186.62357036685</v>
          </cell>
          <cell r="I27">
            <v>-58261.719866046435</v>
          </cell>
          <cell r="J27">
            <v>127820.00939069028</v>
          </cell>
          <cell r="K27">
            <v>182439.17145071184</v>
          </cell>
          <cell r="L27">
            <v>13215.891136355975</v>
          </cell>
          <cell r="M27">
            <v>130758.6795010098</v>
          </cell>
          <cell r="N27">
            <v>56458.39729426297</v>
          </cell>
          <cell r="O27">
            <v>97824.355677338302</v>
          </cell>
          <cell r="P27">
            <v>88134.070558281819</v>
          </cell>
          <cell r="Q27">
            <v>-80023.416665261437</v>
          </cell>
          <cell r="R27">
            <v>43432.32968944186</v>
          </cell>
          <cell r="S27">
            <v>50380.645940405848</v>
          </cell>
          <cell r="T27">
            <v>32562.52437922735</v>
          </cell>
          <cell r="U27">
            <v>8978.6141831518107</v>
          </cell>
          <cell r="V27">
            <v>13178.595260618924</v>
          </cell>
          <cell r="W27">
            <v>0</v>
          </cell>
          <cell r="X27">
            <v>0</v>
          </cell>
          <cell r="Y27">
            <v>0</v>
          </cell>
          <cell r="Z27">
            <v>799444.58457096806</v>
          </cell>
          <cell r="AA27">
            <v>94750.48303158085</v>
          </cell>
          <cell r="AB27">
            <v>65721.530370126813</v>
          </cell>
          <cell r="AC27">
            <v>-55517.927057580775</v>
          </cell>
          <cell r="AD27">
            <v>16821.420535828889</v>
          </cell>
          <cell r="AE27">
            <v>27025.023848374927</v>
          </cell>
          <cell r="AF27">
            <v>8969.7469999999994</v>
          </cell>
          <cell r="AG27">
            <v>43596.712999999996</v>
          </cell>
          <cell r="AH27">
            <v>19599.499</v>
          </cell>
          <cell r="AI27">
            <v>58284.484333333334</v>
          </cell>
          <cell r="AJ27">
            <v>3745.9890000000005</v>
          </cell>
          <cell r="AK27">
            <v>0</v>
          </cell>
          <cell r="AL27">
            <v>134196.43233333333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1770</v>
          </cell>
          <cell r="AU27">
            <v>-22918.917444459643</v>
          </cell>
        </row>
        <row r="28">
          <cell r="E28">
            <v>-28833.974999996484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3.7252902984619141E-9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-9997.2229999999981</v>
          </cell>
          <cell r="AR28">
            <v>0</v>
          </cell>
          <cell r="AS28">
            <v>0</v>
          </cell>
          <cell r="AT28">
            <v>-17755.408000000003</v>
          </cell>
          <cell r="AU28">
            <v>-28833.975000000006</v>
          </cell>
        </row>
        <row r="30">
          <cell r="E30">
            <v>324528.97064858879</v>
          </cell>
          <cell r="F30">
            <v>37000</v>
          </cell>
          <cell r="G30">
            <v>28000</v>
          </cell>
          <cell r="H30">
            <v>20000</v>
          </cell>
          <cell r="I30">
            <v>8000</v>
          </cell>
          <cell r="J30">
            <v>18000</v>
          </cell>
          <cell r="K30">
            <v>21000</v>
          </cell>
          <cell r="L30">
            <v>10000</v>
          </cell>
          <cell r="M30">
            <v>18000</v>
          </cell>
          <cell r="N30">
            <v>11000</v>
          </cell>
          <cell r="O30">
            <v>14000</v>
          </cell>
          <cell r="P30">
            <v>13500</v>
          </cell>
          <cell r="Q30">
            <v>5000</v>
          </cell>
          <cell r="R30">
            <v>15500</v>
          </cell>
          <cell r="S30">
            <v>10000</v>
          </cell>
          <cell r="T30">
            <v>4000</v>
          </cell>
          <cell r="U30">
            <v>4000</v>
          </cell>
          <cell r="V30">
            <v>4000</v>
          </cell>
          <cell r="W30">
            <v>0</v>
          </cell>
          <cell r="X30">
            <v>0</v>
          </cell>
          <cell r="Y30">
            <v>0</v>
          </cell>
          <cell r="Z30">
            <v>241000</v>
          </cell>
          <cell r="AA30">
            <v>6900</v>
          </cell>
          <cell r="AB30">
            <v>12371.800000000001</v>
          </cell>
          <cell r="AC30">
            <v>39670.29996559782</v>
          </cell>
          <cell r="AD30">
            <v>24586.870682990953</v>
          </cell>
          <cell r="AE30">
            <v>76628.970648588773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34387607.552625962</v>
          </cell>
          <cell r="F31">
            <v>3581751.8500000006</v>
          </cell>
          <cell r="G31">
            <v>2739751.5299999993</v>
          </cell>
          <cell r="H31">
            <v>1918619.6873302513</v>
          </cell>
          <cell r="I31">
            <v>742216.5</v>
          </cell>
          <cell r="J31">
            <v>1936794.2300000004</v>
          </cell>
          <cell r="K31">
            <v>2165135.3199999998</v>
          </cell>
          <cell r="L31">
            <v>1009996</v>
          </cell>
          <cell r="M31">
            <v>1872000</v>
          </cell>
          <cell r="N31">
            <v>1059088.6639999999</v>
          </cell>
          <cell r="O31">
            <v>1394204</v>
          </cell>
          <cell r="P31">
            <v>1320299.9999999998</v>
          </cell>
          <cell r="Q31">
            <v>490013.66</v>
          </cell>
          <cell r="R31">
            <v>1565499.4</v>
          </cell>
          <cell r="S31">
            <v>1006589.0930000001</v>
          </cell>
          <cell r="T31">
            <v>434233.96499999997</v>
          </cell>
          <cell r="U31">
            <v>431600</v>
          </cell>
          <cell r="V31">
            <v>506800</v>
          </cell>
          <cell r="W31">
            <v>0</v>
          </cell>
          <cell r="X31">
            <v>0</v>
          </cell>
          <cell r="Y31">
            <v>0</v>
          </cell>
          <cell r="Z31">
            <v>24174593.899330251</v>
          </cell>
          <cell r="AA31">
            <v>8447943.157894738</v>
          </cell>
          <cell r="AB31">
            <v>192913</v>
          </cell>
          <cell r="AC31">
            <v>709406.85182383005</v>
          </cell>
          <cell r="AD31">
            <v>697843.14324381144</v>
          </cell>
          <cell r="AE31">
            <v>1600162.9950676416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31058482.35418779</v>
          </cell>
          <cell r="F32">
            <v>3186816.7430635276</v>
          </cell>
          <cell r="G32">
            <v>2550188.9059601724</v>
          </cell>
          <cell r="H32">
            <v>1727301.3198630351</v>
          </cell>
          <cell r="I32">
            <v>721073.68558290123</v>
          </cell>
          <cell r="J32">
            <v>1633758.4068166718</v>
          </cell>
          <cell r="K32">
            <v>1800690.749037426</v>
          </cell>
          <cell r="L32">
            <v>898880.89987032558</v>
          </cell>
          <cell r="M32">
            <v>1578987.1939858119</v>
          </cell>
          <cell r="N32">
            <v>902324.17406669375</v>
          </cell>
          <cell r="O32">
            <v>1171505.894538959</v>
          </cell>
          <cell r="P32">
            <v>1116093.7618643946</v>
          </cell>
          <cell r="Q32">
            <v>513050.73446387198</v>
          </cell>
          <cell r="R32">
            <v>1388454.4337716666</v>
          </cell>
          <cell r="S32">
            <v>871118.19615382026</v>
          </cell>
          <cell r="T32">
            <v>365144.02636285021</v>
          </cell>
          <cell r="U32">
            <v>387258.42956988729</v>
          </cell>
          <cell r="V32">
            <v>447530.6551333575</v>
          </cell>
          <cell r="W32">
            <v>0</v>
          </cell>
          <cell r="X32">
            <v>0</v>
          </cell>
          <cell r="Y32">
            <v>0</v>
          </cell>
          <cell r="Z32">
            <v>21260178.210105367</v>
          </cell>
          <cell r="AA32">
            <v>8231946.9948631572</v>
          </cell>
          <cell r="AB32">
            <v>122929.55255555557</v>
          </cell>
          <cell r="AC32">
            <v>749252.25720362924</v>
          </cell>
          <cell r="AD32">
            <v>665234.2714600818</v>
          </cell>
          <cell r="AE32">
            <v>1537416.0812192666</v>
          </cell>
          <cell r="AF32">
            <v>3530.2530000000002</v>
          </cell>
          <cell r="AG32">
            <v>6403.2870000000003</v>
          </cell>
          <cell r="AH32">
            <v>8740.5010000000002</v>
          </cell>
          <cell r="AI32">
            <v>8763.0159999999996</v>
          </cell>
          <cell r="AJ32">
            <v>1504.011</v>
          </cell>
          <cell r="AK32">
            <v>0</v>
          </cell>
          <cell r="AL32">
            <v>28941.067999999999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D33" t="str">
            <v>매출이익</v>
          </cell>
          <cell r="E33">
            <v>3329125.1984381732</v>
          </cell>
          <cell r="F33">
            <v>394935.10693647293</v>
          </cell>
          <cell r="G33">
            <v>189562.62403982691</v>
          </cell>
          <cell r="H33">
            <v>191318.36746721622</v>
          </cell>
          <cell r="I33">
            <v>21142.814417098765</v>
          </cell>
          <cell r="J33">
            <v>303035.82318332861</v>
          </cell>
          <cell r="K33">
            <v>364444.57096257387</v>
          </cell>
          <cell r="L33">
            <v>111115.10012967442</v>
          </cell>
          <cell r="M33">
            <v>293012.8060141881</v>
          </cell>
          <cell r="N33">
            <v>156764.48993330612</v>
          </cell>
          <cell r="O33">
            <v>222698.10546104098</v>
          </cell>
          <cell r="P33">
            <v>204206.23813560512</v>
          </cell>
          <cell r="Q33">
            <v>-23037.074463872006</v>
          </cell>
          <cell r="R33">
            <v>177044.9662283333</v>
          </cell>
          <cell r="S33">
            <v>135470.89684617985</v>
          </cell>
          <cell r="T33">
            <v>69089.938637149753</v>
          </cell>
          <cell r="U33">
            <v>44341.570430112712</v>
          </cell>
          <cell r="V33">
            <v>59269.344866642496</v>
          </cell>
          <cell r="W33">
            <v>0</v>
          </cell>
          <cell r="X33">
            <v>0</v>
          </cell>
          <cell r="Y33">
            <v>0</v>
          </cell>
          <cell r="Z33">
            <v>2914415.6892248839</v>
          </cell>
          <cell r="AA33">
            <v>215996.16303158086</v>
          </cell>
          <cell r="AB33">
            <v>69983.447444444435</v>
          </cell>
          <cell r="AC33">
            <v>-39845.405379799195</v>
          </cell>
          <cell r="AD33">
            <v>32608.871783729643</v>
          </cell>
          <cell r="AE33">
            <v>62746.91384837497</v>
          </cell>
          <cell r="AF33">
            <v>8969.7469999999994</v>
          </cell>
          <cell r="AG33">
            <v>43596.713000000003</v>
          </cell>
          <cell r="AH33">
            <v>19599.499</v>
          </cell>
          <cell r="AI33">
            <v>58284.484333333327</v>
          </cell>
          <cell r="AJ33">
            <v>3745.989</v>
          </cell>
          <cell r="AK33">
            <v>0</v>
          </cell>
          <cell r="AL33">
            <v>134196.43233333333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1770</v>
          </cell>
          <cell r="AU33">
            <v>1770</v>
          </cell>
        </row>
        <row r="34">
          <cell r="D34" t="str">
            <v>판관비</v>
          </cell>
          <cell r="E34">
            <v>2325461.5670983703</v>
          </cell>
          <cell r="F34">
            <v>286050.89841673814</v>
          </cell>
          <cell r="G34">
            <v>231087.01948914939</v>
          </cell>
          <cell r="H34">
            <v>166131.74389684948</v>
          </cell>
          <cell r="I34">
            <v>79404.534283145185</v>
          </cell>
          <cell r="J34">
            <v>175215.81379263831</v>
          </cell>
          <cell r="K34">
            <v>182005.39951186214</v>
          </cell>
          <cell r="L34">
            <v>97899.208993318447</v>
          </cell>
          <cell r="M34">
            <v>162254.12651317837</v>
          </cell>
          <cell r="N34">
            <v>100306.09263904319</v>
          </cell>
          <cell r="O34">
            <v>124873.74978370263</v>
          </cell>
          <cell r="P34">
            <v>116072.1675773234</v>
          </cell>
          <cell r="Q34">
            <v>56986.342201389445</v>
          </cell>
          <cell r="R34">
            <v>133612.63653889141</v>
          </cell>
          <cell r="S34">
            <v>85090.250905773981</v>
          </cell>
          <cell r="T34">
            <v>36527.414257922377</v>
          </cell>
          <cell r="U34">
            <v>35362.956246960901</v>
          </cell>
          <cell r="V34">
            <v>46090.749606023601</v>
          </cell>
          <cell r="W34">
            <v>0</v>
          </cell>
          <cell r="X34">
            <v>0</v>
          </cell>
          <cell r="Y34">
            <v>0</v>
          </cell>
          <cell r="Z34">
            <v>2114971.1046539103</v>
          </cell>
          <cell r="AA34">
            <v>121245.68000000001</v>
          </cell>
          <cell r="AB34">
            <v>4261.9170743176173</v>
          </cell>
          <cell r="AC34">
            <v>15672.521677781639</v>
          </cell>
          <cell r="AD34">
            <v>15787.451247900737</v>
          </cell>
          <cell r="AE34">
            <v>35721.889999999992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27752.631000000001</v>
          </cell>
          <cell r="AR34">
            <v>0</v>
          </cell>
          <cell r="AS34">
            <v>0</v>
          </cell>
          <cell r="AT34">
            <v>17755.408000000003</v>
          </cell>
          <cell r="AU34">
            <v>53522.892444459649</v>
          </cell>
        </row>
        <row r="35">
          <cell r="D35" t="str">
            <v>영업이익</v>
          </cell>
          <cell r="E35">
            <v>1003663.6313398032</v>
          </cell>
          <cell r="F35">
            <v>108884.20851973479</v>
          </cell>
          <cell r="G35">
            <v>-41524.395449322474</v>
          </cell>
          <cell r="H35">
            <v>25186.623570366733</v>
          </cell>
          <cell r="I35">
            <v>-58261.71986604642</v>
          </cell>
          <cell r="J35">
            <v>127820.00939069031</v>
          </cell>
          <cell r="K35">
            <v>182439.17145071173</v>
          </cell>
          <cell r="L35">
            <v>13215.891136355975</v>
          </cell>
          <cell r="M35">
            <v>130758.67950100973</v>
          </cell>
          <cell r="N35">
            <v>56458.397294262933</v>
          </cell>
          <cell r="O35">
            <v>97824.355677338346</v>
          </cell>
          <cell r="P35">
            <v>88134.070558281717</v>
          </cell>
          <cell r="Q35">
            <v>-80023.416665261451</v>
          </cell>
          <cell r="R35">
            <v>43432.329689441889</v>
          </cell>
          <cell r="S35">
            <v>50380.64594040587</v>
          </cell>
          <cell r="T35">
            <v>32562.524379227376</v>
          </cell>
          <cell r="U35">
            <v>8978.6141831518107</v>
          </cell>
          <cell r="V35">
            <v>13178.595260618895</v>
          </cell>
          <cell r="W35">
            <v>0</v>
          </cell>
          <cell r="X35">
            <v>0</v>
          </cell>
          <cell r="Y35">
            <v>0</v>
          </cell>
          <cell r="Z35">
            <v>799444.58457097365</v>
          </cell>
          <cell r="AA35">
            <v>94750.48303158085</v>
          </cell>
          <cell r="AB35">
            <v>65721.530370126813</v>
          </cell>
          <cell r="AC35">
            <v>-55517.927057580833</v>
          </cell>
          <cell r="AD35">
            <v>16821.420535828904</v>
          </cell>
          <cell r="AE35">
            <v>27025.023848374978</v>
          </cell>
          <cell r="AF35">
            <v>8969.7469999999994</v>
          </cell>
          <cell r="AG35">
            <v>43596.713000000003</v>
          </cell>
          <cell r="AH35">
            <v>19599.499</v>
          </cell>
          <cell r="AI35">
            <v>58284.484333333327</v>
          </cell>
          <cell r="AJ35">
            <v>3745.989</v>
          </cell>
          <cell r="AK35">
            <v>0</v>
          </cell>
          <cell r="AL35">
            <v>134196.43233333333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-27752.631000000001</v>
          </cell>
          <cell r="AR35">
            <v>0</v>
          </cell>
          <cell r="AS35">
            <v>0</v>
          </cell>
          <cell r="AT35">
            <v>-15985.408000000003</v>
          </cell>
          <cell r="AU35">
            <v>-51752.892444459649</v>
          </cell>
        </row>
      </sheetData>
      <sheetData sheetId="4">
        <row r="6">
          <cell r="D6" t="str">
            <v>구분</v>
          </cell>
        </row>
      </sheetData>
      <sheetData sheetId="5">
        <row r="6">
          <cell r="D6" t="str">
            <v>구분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</row>
      </sheetData>
      <sheetData sheetId="8">
        <row r="6">
          <cell r="D6" t="str">
            <v>구분</v>
          </cell>
        </row>
      </sheetData>
      <sheetData sheetId="9">
        <row r="6">
          <cell r="D6" t="str">
            <v>구분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J6" t="str">
            <v>기타 계</v>
          </cell>
        </row>
        <row r="7">
          <cell r="G7">
            <v>45761</v>
          </cell>
          <cell r="H7">
            <v>28340</v>
          </cell>
          <cell r="I7">
            <v>22882</v>
          </cell>
          <cell r="J7">
            <v>5281</v>
          </cell>
          <cell r="K7">
            <v>23815</v>
          </cell>
          <cell r="L7">
            <v>23910</v>
          </cell>
          <cell r="M7">
            <v>12339</v>
          </cell>
          <cell r="N7">
            <v>21517.5</v>
          </cell>
          <cell r="O7">
            <v>13864</v>
          </cell>
          <cell r="P7">
            <v>17315</v>
          </cell>
          <cell r="Q7">
            <v>14754.5</v>
          </cell>
          <cell r="R7">
            <v>5383</v>
          </cell>
          <cell r="S7">
            <v>22999</v>
          </cell>
          <cell r="T7">
            <v>3533</v>
          </cell>
          <cell r="U7">
            <v>7363</v>
          </cell>
          <cell r="V7">
            <v>6567</v>
          </cell>
          <cell r="W7">
            <v>3261.5</v>
          </cell>
          <cell r="Z7">
            <v>278885.5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278885.5</v>
          </cell>
          <cell r="AJ7">
            <v>27205</v>
          </cell>
          <cell r="AK7">
            <v>27872</v>
          </cell>
          <cell r="AL7">
            <v>29440</v>
          </cell>
          <cell r="AN7">
            <v>84517</v>
          </cell>
          <cell r="AO7">
            <v>6425.0929999999998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J7">
            <v>0</v>
          </cell>
        </row>
        <row r="8">
          <cell r="F8">
            <v>37167598.560999997</v>
          </cell>
          <cell r="G8">
            <v>4371198.9000000004</v>
          </cell>
          <cell r="H8">
            <v>2766811.3280000002</v>
          </cell>
          <cell r="I8">
            <v>2301326.9279999998</v>
          </cell>
          <cell r="J8">
            <v>486843.60000000003</v>
          </cell>
          <cell r="K8">
            <v>2518160.8659999999</v>
          </cell>
          <cell r="L8">
            <v>2338486.2999999998</v>
          </cell>
          <cell r="M8">
            <v>1225710.2</v>
          </cell>
          <cell r="N8">
            <v>2218105.65</v>
          </cell>
          <cell r="O8">
            <v>1311915.8999999999</v>
          </cell>
          <cell r="P8">
            <v>1843671.1</v>
          </cell>
          <cell r="Q8">
            <v>1474535.9</v>
          </cell>
          <cell r="R8">
            <v>560607.6</v>
          </cell>
          <cell r="S8">
            <v>2225276.8960000002</v>
          </cell>
          <cell r="T8">
            <v>412275.1</v>
          </cell>
          <cell r="U8">
            <v>752761.58</v>
          </cell>
          <cell r="V8">
            <v>648208.73600000003</v>
          </cell>
          <cell r="W8">
            <v>419749.299</v>
          </cell>
          <cell r="Z8">
            <v>27875645.882999998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27966485.882999998</v>
          </cell>
          <cell r="AJ8">
            <v>780046</v>
          </cell>
          <cell r="AK8">
            <v>373312</v>
          </cell>
          <cell r="AL8">
            <v>566162</v>
          </cell>
          <cell r="AN8">
            <v>1719520</v>
          </cell>
          <cell r="AO8">
            <v>7407957.1670000004</v>
          </cell>
          <cell r="AP8">
            <v>0</v>
          </cell>
          <cell r="AS8">
            <v>7407957.1670000004</v>
          </cell>
          <cell r="AT8">
            <v>5250</v>
          </cell>
          <cell r="AU8">
            <v>5450</v>
          </cell>
          <cell r="AV8">
            <v>61233.110999999997</v>
          </cell>
          <cell r="BA8">
            <v>71933.111000000004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J8">
            <v>1702.4</v>
          </cell>
        </row>
        <row r="9">
          <cell r="G9">
            <v>95522.364021765272</v>
          </cell>
          <cell r="H9">
            <v>97629.192942836991</v>
          </cell>
          <cell r="I9">
            <v>100573.67922384407</v>
          </cell>
          <cell r="J9">
            <v>92187.767468282531</v>
          </cell>
          <cell r="K9">
            <v>105738.43653159773</v>
          </cell>
          <cell r="L9">
            <v>97803.693015474695</v>
          </cell>
          <cell r="M9">
            <v>99336.267120512188</v>
          </cell>
          <cell r="N9">
            <v>103083.79923318229</v>
          </cell>
          <cell r="O9">
            <v>94627.517311021351</v>
          </cell>
          <cell r="P9">
            <v>106478.26162287036</v>
          </cell>
          <cell r="Q9">
            <v>99938.046019858346</v>
          </cell>
          <cell r="R9">
            <v>104144.08322496749</v>
          </cell>
          <cell r="S9">
            <v>96755.376146789</v>
          </cell>
          <cell r="T9">
            <v>116692.64081517122</v>
          </cell>
          <cell r="U9">
            <v>102235.71641993751</v>
          </cell>
          <cell r="V9">
            <v>98706.979747220961</v>
          </cell>
          <cell r="W9">
            <v>128698.23670090448</v>
          </cell>
          <cell r="Z9">
            <v>99953.729695520189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100279.45476907189</v>
          </cell>
          <cell r="AJ9">
            <v>28672.891012681492</v>
          </cell>
          <cell r="AK9">
            <v>13393.800229621125</v>
          </cell>
          <cell r="AL9">
            <v>19231.046195652172</v>
          </cell>
          <cell r="AO9">
            <v>1152972.7533904957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J9">
            <v>0</v>
          </cell>
        </row>
        <row r="10">
          <cell r="F10">
            <v>33095521.091929998</v>
          </cell>
          <cell r="G10">
            <v>3929493.1175700002</v>
          </cell>
          <cell r="H10">
            <v>2566191.2771799997</v>
          </cell>
          <cell r="I10">
            <v>2111991.5149599998</v>
          </cell>
          <cell r="J10">
            <v>506819.64681000001</v>
          </cell>
          <cell r="K10">
            <v>2081560.86472</v>
          </cell>
          <cell r="L10">
            <v>2041689.16655</v>
          </cell>
          <cell r="M10">
            <v>1091048.5890599999</v>
          </cell>
          <cell r="N10">
            <v>1888554.8102799999</v>
          </cell>
          <cell r="O10">
            <v>1122340.36072</v>
          </cell>
          <cell r="P10">
            <v>1466731.18408</v>
          </cell>
          <cell r="Q10">
            <v>1220036.0720599999</v>
          </cell>
          <cell r="R10">
            <v>523986.50939999998</v>
          </cell>
          <cell r="S10">
            <v>2068342.7444800001</v>
          </cell>
          <cell r="T10">
            <v>344212.77402999997</v>
          </cell>
          <cell r="U10">
            <v>575900.15553999995</v>
          </cell>
          <cell r="V10">
            <v>574289.30720000004</v>
          </cell>
          <cell r="W10">
            <v>358926.31423000002</v>
          </cell>
          <cell r="Z10">
            <v>24472114.408869997</v>
          </cell>
          <cell r="AA10">
            <v>514.80200000000002</v>
          </cell>
          <cell r="AB10">
            <v>0</v>
          </cell>
          <cell r="AC10">
            <v>3471.1860000000001</v>
          </cell>
          <cell r="AD10">
            <v>8744.4220000000005</v>
          </cell>
          <cell r="AH10">
            <v>12730.41</v>
          </cell>
          <cell r="AI10">
            <v>24484844.818869997</v>
          </cell>
          <cell r="AJ10">
            <v>669691.45448000007</v>
          </cell>
          <cell r="AK10">
            <v>298652.29549000005</v>
          </cell>
          <cell r="AL10">
            <v>431501.24608999997</v>
          </cell>
          <cell r="AN10">
            <v>1399844.99606</v>
          </cell>
          <cell r="AO10">
            <v>7210524.96</v>
          </cell>
          <cell r="AP10">
            <v>0</v>
          </cell>
          <cell r="AS10">
            <v>7210524.96</v>
          </cell>
          <cell r="AT10">
            <v>126.027</v>
          </cell>
          <cell r="AU10">
            <v>180.29</v>
          </cell>
          <cell r="AV10">
            <v>0</v>
          </cell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J10">
            <v>0</v>
          </cell>
        </row>
        <row r="11">
          <cell r="G11">
            <v>85869.913628854265</v>
          </cell>
          <cell r="H11">
            <v>90550.150923782625</v>
          </cell>
          <cell r="I11">
            <v>92299.25334149113</v>
          </cell>
          <cell r="J11">
            <v>95970.393260746074</v>
          </cell>
          <cell r="K11">
            <v>87405.453064035275</v>
          </cell>
          <cell r="L11">
            <v>85390.59667712255</v>
          </cell>
          <cell r="M11">
            <v>88422.77243374665</v>
          </cell>
          <cell r="N11">
            <v>87768.319288021376</v>
          </cell>
          <cell r="O11">
            <v>80953.574777841888</v>
          </cell>
          <cell r="P11">
            <v>84708.702516892867</v>
          </cell>
          <cell r="Q11">
            <v>82689.082792368426</v>
          </cell>
          <cell r="R11">
            <v>97340.982611926433</v>
          </cell>
          <cell r="S11">
            <v>89931.855492847521</v>
          </cell>
          <cell r="T11">
            <v>97427.900942541746</v>
          </cell>
          <cell r="U11">
            <v>78215.422455520835</v>
          </cell>
          <cell r="V11">
            <v>87450.785320542112</v>
          </cell>
          <cell r="W11">
            <v>110049.46013490726</v>
          </cell>
          <cell r="Z11">
            <v>87749.683683339565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87795.33112646587</v>
          </cell>
          <cell r="AJ11">
            <v>24616.484266862713</v>
          </cell>
          <cell r="AK11">
            <v>10715.136893297935</v>
          </cell>
          <cell r="AL11">
            <v>14656.971674252716</v>
          </cell>
          <cell r="AO11">
            <v>1122244.4500025136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J11">
            <v>0</v>
          </cell>
        </row>
        <row r="12">
          <cell r="F12">
            <v>4072077.4690699987</v>
          </cell>
          <cell r="G12">
            <v>441705.78243000014</v>
          </cell>
          <cell r="H12">
            <v>200620.05082000047</v>
          </cell>
          <cell r="I12">
            <v>189335.41304000001</v>
          </cell>
          <cell r="J12">
            <v>-19976.046809999971</v>
          </cell>
          <cell r="K12">
            <v>436600.00127999997</v>
          </cell>
          <cell r="L12">
            <v>296797.13344999985</v>
          </cell>
          <cell r="M12">
            <v>134661.61094000004</v>
          </cell>
          <cell r="N12">
            <v>329550.83972000005</v>
          </cell>
          <cell r="O12">
            <v>189575.53927999991</v>
          </cell>
          <cell r="P12">
            <v>376939.91592000006</v>
          </cell>
          <cell r="Q12">
            <v>254499.82793999999</v>
          </cell>
          <cell r="R12">
            <v>36621.090599999996</v>
          </cell>
          <cell r="S12">
            <v>156934.15152000007</v>
          </cell>
          <cell r="T12">
            <v>68062.325970000005</v>
          </cell>
          <cell r="U12">
            <v>176861.42446000001</v>
          </cell>
          <cell r="V12">
            <v>73919.428799999994</v>
          </cell>
          <cell r="W12">
            <v>60822.984769999981</v>
          </cell>
          <cell r="Z12">
            <v>3403531.47413</v>
          </cell>
          <cell r="AA12">
            <v>49485.197999999997</v>
          </cell>
          <cell r="AB12">
            <v>0</v>
          </cell>
          <cell r="AC12">
            <v>9028.8140000000003</v>
          </cell>
          <cell r="AD12">
            <v>19595.578000000001</v>
          </cell>
          <cell r="AH12">
            <v>78109.59</v>
          </cell>
          <cell r="AI12">
            <v>3481641.0641300008</v>
          </cell>
          <cell r="AJ12">
            <v>110354.54551999993</v>
          </cell>
          <cell r="AK12">
            <v>74659.704509999952</v>
          </cell>
          <cell r="AL12">
            <v>134660.75391000003</v>
          </cell>
          <cell r="AN12">
            <v>319675.00393999997</v>
          </cell>
          <cell r="AO12">
            <v>197432.2070000004</v>
          </cell>
          <cell r="AP12">
            <v>0</v>
          </cell>
          <cell r="AS12">
            <v>197432.2070000004</v>
          </cell>
          <cell r="AT12">
            <v>5123.973</v>
          </cell>
          <cell r="AU12">
            <v>5269.71</v>
          </cell>
          <cell r="AV12">
            <v>61233.110999999997</v>
          </cell>
          <cell r="BA12">
            <v>71626.793999999994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J12">
            <v>1702.4</v>
          </cell>
        </row>
        <row r="13">
          <cell r="F13">
            <v>779774.28500000003</v>
          </cell>
          <cell r="G13">
            <v>74949.414999999994</v>
          </cell>
          <cell r="H13">
            <v>64227.001999999993</v>
          </cell>
          <cell r="I13">
            <v>53955.483999999997</v>
          </cell>
          <cell r="J13">
            <v>32002.914000000001</v>
          </cell>
          <cell r="K13">
            <v>50868.063000000002</v>
          </cell>
          <cell r="L13">
            <v>55730.876999999993</v>
          </cell>
          <cell r="M13">
            <v>35324.804000000004</v>
          </cell>
          <cell r="N13">
            <v>42990.394999999997</v>
          </cell>
          <cell r="O13">
            <v>25878.082000000002</v>
          </cell>
          <cell r="P13">
            <v>44004.65</v>
          </cell>
          <cell r="Q13">
            <v>34406.395000000004</v>
          </cell>
          <cell r="R13">
            <v>27913.018</v>
          </cell>
          <cell r="S13">
            <v>45086.323000000004</v>
          </cell>
          <cell r="T13">
            <v>9006.1829999999991</v>
          </cell>
          <cell r="U13">
            <v>9298.2060000000001</v>
          </cell>
          <cell r="V13">
            <v>28603.253000000004</v>
          </cell>
          <cell r="W13">
            <v>15215.937999999998</v>
          </cell>
          <cell r="Z13">
            <v>649461.00200000009</v>
          </cell>
          <cell r="AA13">
            <v>0</v>
          </cell>
          <cell r="AB13">
            <v>286.74700000000001</v>
          </cell>
          <cell r="AC13">
            <v>0</v>
          </cell>
          <cell r="AD13">
            <v>0</v>
          </cell>
          <cell r="AH13">
            <v>286.74700000000001</v>
          </cell>
          <cell r="AI13">
            <v>649747.74900000007</v>
          </cell>
          <cell r="AJ13">
            <v>460</v>
          </cell>
          <cell r="AK13">
            <v>0</v>
          </cell>
          <cell r="AL13">
            <v>0</v>
          </cell>
          <cell r="AN13">
            <v>460</v>
          </cell>
          <cell r="AO13">
            <v>117475.18999999999</v>
          </cell>
          <cell r="AP13">
            <v>0</v>
          </cell>
          <cell r="AS13">
            <v>117475.18999999999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12091.346000000001</v>
          </cell>
          <cell r="BJ13">
            <v>12091.346000000001</v>
          </cell>
        </row>
        <row r="14">
          <cell r="F14">
            <v>518720.10200000001</v>
          </cell>
          <cell r="G14">
            <v>45156.135999999999</v>
          </cell>
          <cell r="H14">
            <v>40823.350999999995</v>
          </cell>
          <cell r="I14">
            <v>34490.095999999998</v>
          </cell>
          <cell r="J14">
            <v>23210.024000000001</v>
          </cell>
          <cell r="K14">
            <v>30020.842000000001</v>
          </cell>
          <cell r="L14">
            <v>33662.964999999997</v>
          </cell>
          <cell r="M14">
            <v>25158.98</v>
          </cell>
          <cell r="N14">
            <v>31375.461999999996</v>
          </cell>
          <cell r="O14">
            <v>17444.563000000002</v>
          </cell>
          <cell r="P14">
            <v>31156.613000000001</v>
          </cell>
          <cell r="Q14">
            <v>26117.877</v>
          </cell>
          <cell r="R14">
            <v>18107.707999999999</v>
          </cell>
          <cell r="S14">
            <v>29291.161</v>
          </cell>
          <cell r="T14">
            <v>7177.6719999999996</v>
          </cell>
          <cell r="U14">
            <v>6835.2350000000006</v>
          </cell>
          <cell r="V14">
            <v>19939.023000000001</v>
          </cell>
          <cell r="W14">
            <v>10360.079</v>
          </cell>
          <cell r="Z14">
            <v>430327.78700000001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430327.78700000001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88392.314999999988</v>
          </cell>
          <cell r="AP14">
            <v>0</v>
          </cell>
          <cell r="AS14">
            <v>88392.314999999988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J14">
            <v>0</v>
          </cell>
        </row>
        <row r="15">
          <cell r="F15">
            <v>261054.18300000002</v>
          </cell>
          <cell r="G15">
            <v>29793.278999999999</v>
          </cell>
          <cell r="H15">
            <v>23403.651000000002</v>
          </cell>
          <cell r="I15">
            <v>19465.387999999999</v>
          </cell>
          <cell r="J15">
            <v>8792.89</v>
          </cell>
          <cell r="K15">
            <v>20847.221000000001</v>
          </cell>
          <cell r="L15">
            <v>22067.912</v>
          </cell>
          <cell r="M15">
            <v>10165.824000000001</v>
          </cell>
          <cell r="N15">
            <v>11614.932999999999</v>
          </cell>
          <cell r="O15">
            <v>8433.5190000000002</v>
          </cell>
          <cell r="P15">
            <v>12848.037</v>
          </cell>
          <cell r="Q15">
            <v>8288.518</v>
          </cell>
          <cell r="R15">
            <v>9805.3100000000013</v>
          </cell>
          <cell r="S15">
            <v>15795.162</v>
          </cell>
          <cell r="T15">
            <v>1828.511</v>
          </cell>
          <cell r="U15">
            <v>2462.971</v>
          </cell>
          <cell r="V15">
            <v>8664.2300000000014</v>
          </cell>
          <cell r="W15">
            <v>4855.8589999999995</v>
          </cell>
          <cell r="Z15">
            <v>219133.21500000003</v>
          </cell>
          <cell r="AA15">
            <v>0</v>
          </cell>
          <cell r="AB15">
            <v>286.74700000000001</v>
          </cell>
          <cell r="AC15">
            <v>0</v>
          </cell>
          <cell r="AD15">
            <v>0</v>
          </cell>
          <cell r="AH15">
            <v>286.74700000000001</v>
          </cell>
          <cell r="AI15">
            <v>219419.96200000003</v>
          </cell>
          <cell r="AJ15">
            <v>460</v>
          </cell>
          <cell r="AK15">
            <v>0</v>
          </cell>
          <cell r="AL15">
            <v>0</v>
          </cell>
          <cell r="AN15">
            <v>460</v>
          </cell>
          <cell r="AO15">
            <v>29082.875</v>
          </cell>
          <cell r="AP15">
            <v>0</v>
          </cell>
          <cell r="AS15">
            <v>29082.875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12091.346000000001</v>
          </cell>
          <cell r="BJ15">
            <v>12091.346000000001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J16">
            <v>0</v>
          </cell>
        </row>
        <row r="17">
          <cell r="F17">
            <v>3292303.1840699986</v>
          </cell>
          <cell r="G17">
            <v>366756.36743000016</v>
          </cell>
          <cell r="H17">
            <v>136393.04882000049</v>
          </cell>
          <cell r="I17">
            <v>135379.92904000002</v>
          </cell>
          <cell r="J17">
            <v>-51978.960809999975</v>
          </cell>
          <cell r="K17">
            <v>385731.93827999994</v>
          </cell>
          <cell r="L17">
            <v>241066.25644999987</v>
          </cell>
          <cell r="M17">
            <v>99336.806940000039</v>
          </cell>
          <cell r="N17">
            <v>286560.44472000003</v>
          </cell>
          <cell r="O17">
            <v>163697.45727999992</v>
          </cell>
          <cell r="P17">
            <v>332935.26592000003</v>
          </cell>
          <cell r="Q17">
            <v>220093.43293999997</v>
          </cell>
          <cell r="R17">
            <v>8708.0725999999959</v>
          </cell>
          <cell r="S17">
            <v>111847.82852000007</v>
          </cell>
          <cell r="T17">
            <v>59056.142970000008</v>
          </cell>
          <cell r="U17">
            <v>167563.21846</v>
          </cell>
          <cell r="V17">
            <v>45316.17579999999</v>
          </cell>
          <cell r="W17">
            <v>45607.046769999986</v>
          </cell>
          <cell r="Z17">
            <v>2754070.4721299997</v>
          </cell>
          <cell r="AA17">
            <v>49485.197999999997</v>
          </cell>
          <cell r="AB17">
            <v>-286.74700000000001</v>
          </cell>
          <cell r="AC17">
            <v>9028.8140000000003</v>
          </cell>
          <cell r="AD17">
            <v>19595.578000000001</v>
          </cell>
          <cell r="AH17">
            <v>77822.842999999993</v>
          </cell>
          <cell r="AI17">
            <v>2831893.3151300009</v>
          </cell>
          <cell r="AJ17">
            <v>109894.54551999993</v>
          </cell>
          <cell r="AK17">
            <v>74659.704509999952</v>
          </cell>
          <cell r="AL17">
            <v>134660.75391000003</v>
          </cell>
          <cell r="AN17">
            <v>319215.00393999997</v>
          </cell>
          <cell r="AO17">
            <v>79957.017000000415</v>
          </cell>
          <cell r="AP17">
            <v>0</v>
          </cell>
          <cell r="AS17">
            <v>79957.017000000415</v>
          </cell>
          <cell r="AT17">
            <v>5123.973</v>
          </cell>
          <cell r="AU17">
            <v>5269.71</v>
          </cell>
          <cell r="AV17">
            <v>61233.110999999997</v>
          </cell>
          <cell r="BA17">
            <v>71626.793999999994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-12091.346000000001</v>
          </cell>
          <cell r="BJ17">
            <v>-10388.946000000002</v>
          </cell>
        </row>
        <row r="18">
          <cell r="F18">
            <v>586223.92807000002</v>
          </cell>
          <cell r="G18">
            <v>29529.973429999998</v>
          </cell>
          <cell r="H18">
            <v>33468.426820000001</v>
          </cell>
          <cell r="I18">
            <v>19103.618039999998</v>
          </cell>
          <cell r="J18">
            <v>18372.601190000001</v>
          </cell>
          <cell r="K18">
            <v>86920.787280000004</v>
          </cell>
          <cell r="L18">
            <v>42977.854450000006</v>
          </cell>
          <cell r="M18">
            <v>16897.637940000001</v>
          </cell>
          <cell r="N18">
            <v>29594.603719999999</v>
          </cell>
          <cell r="O18">
            <v>11436.90828</v>
          </cell>
          <cell r="P18">
            <v>33035.038920000006</v>
          </cell>
          <cell r="Q18">
            <v>14635.751939999998</v>
          </cell>
          <cell r="R18">
            <v>11395.9076</v>
          </cell>
          <cell r="S18">
            <v>35263.870520000004</v>
          </cell>
          <cell r="T18">
            <v>5631.6089699999993</v>
          </cell>
          <cell r="U18">
            <v>10233.581460000001</v>
          </cell>
          <cell r="V18">
            <v>20751.461800000001</v>
          </cell>
          <cell r="W18">
            <v>10231.54977</v>
          </cell>
          <cell r="Z18">
            <v>429481.18212999997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435507.44513000007</v>
          </cell>
          <cell r="AJ18">
            <v>33537.969519999999</v>
          </cell>
          <cell r="AK18">
            <v>11127.91851</v>
          </cell>
          <cell r="AL18">
            <v>48763.811909999997</v>
          </cell>
          <cell r="AN18">
            <v>93429.699939999991</v>
          </cell>
          <cell r="AO18">
            <v>4689.8059999999996</v>
          </cell>
          <cell r="AP18">
            <v>855.83600000000001</v>
          </cell>
          <cell r="AS18">
            <v>5545.6419999999998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17960.7</v>
          </cell>
          <cell r="BD18">
            <v>0</v>
          </cell>
          <cell r="BE18">
            <v>0</v>
          </cell>
          <cell r="BF18">
            <v>23977.940999999999</v>
          </cell>
          <cell r="BJ18">
            <v>41938.641000000003</v>
          </cell>
        </row>
        <row r="19">
          <cell r="F19">
            <v>516322.56007000001</v>
          </cell>
          <cell r="G19">
            <v>27202.351429999999</v>
          </cell>
          <cell r="H19">
            <v>31523.291819999999</v>
          </cell>
          <cell r="I19">
            <v>17332.371039999998</v>
          </cell>
          <cell r="J19">
            <v>17180.61319</v>
          </cell>
          <cell r="K19">
            <v>85044.721279999998</v>
          </cell>
          <cell r="L19">
            <v>41413.452450000004</v>
          </cell>
          <cell r="M19">
            <v>15704.03894</v>
          </cell>
          <cell r="N19">
            <v>28031.298719999999</v>
          </cell>
          <cell r="O19">
            <v>10686.87228</v>
          </cell>
          <cell r="P19">
            <v>31816.272920000003</v>
          </cell>
          <cell r="Q19">
            <v>13430.363939999999</v>
          </cell>
          <cell r="R19">
            <v>10293.7526</v>
          </cell>
          <cell r="S19">
            <v>33675.669520000003</v>
          </cell>
          <cell r="T19">
            <v>5261.2089699999997</v>
          </cell>
          <cell r="U19">
            <v>9790.7124600000006</v>
          </cell>
          <cell r="V19">
            <v>19624.5978</v>
          </cell>
          <cell r="W19">
            <v>9406.1797699999988</v>
          </cell>
          <cell r="Z19">
            <v>407417.76913000003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413090.36013000004</v>
          </cell>
          <cell r="AJ19">
            <v>33537.969519999999</v>
          </cell>
          <cell r="AK19">
            <v>11127.91851</v>
          </cell>
          <cell r="AL19">
            <v>48763.811909999997</v>
          </cell>
          <cell r="AN19">
            <v>93429.699939999991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J19">
            <v>0</v>
          </cell>
        </row>
        <row r="20">
          <cell r="F20">
            <v>69901.368000000002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4689.8059999999996</v>
          </cell>
          <cell r="AP20">
            <v>855.83600000000001</v>
          </cell>
          <cell r="AS20">
            <v>5545.6419999999998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17960.7</v>
          </cell>
          <cell r="BD20">
            <v>0</v>
          </cell>
          <cell r="BE20">
            <v>0</v>
          </cell>
          <cell r="BF20">
            <v>23977.940999999999</v>
          </cell>
          <cell r="BJ20">
            <v>41938.641000000003</v>
          </cell>
        </row>
        <row r="21">
          <cell r="F21">
            <v>2706079.2559999987</v>
          </cell>
          <cell r="G21">
            <v>337226.39400000015</v>
          </cell>
          <cell r="H21">
            <v>102924.6220000005</v>
          </cell>
          <cell r="I21">
            <v>116276.31100000002</v>
          </cell>
          <cell r="J21">
            <v>-70351.561999999976</v>
          </cell>
          <cell r="K21">
            <v>298811.15099999995</v>
          </cell>
          <cell r="L21">
            <v>198088.40199999986</v>
          </cell>
          <cell r="M21">
            <v>82439.169000000038</v>
          </cell>
          <cell r="N21">
            <v>256965.84100000001</v>
          </cell>
          <cell r="O21">
            <v>152260.54899999991</v>
          </cell>
          <cell r="P21">
            <v>299900.22700000001</v>
          </cell>
          <cell r="Q21">
            <v>205457.68099999998</v>
          </cell>
          <cell r="R21">
            <v>-2687.8350000000046</v>
          </cell>
          <cell r="S21">
            <v>76583.958000000071</v>
          </cell>
          <cell r="T21">
            <v>53424.534000000007</v>
          </cell>
          <cell r="U21">
            <v>157329.63699999999</v>
          </cell>
          <cell r="V21">
            <v>24564.713999999989</v>
          </cell>
          <cell r="W21">
            <v>35375.496999999988</v>
          </cell>
          <cell r="Z21">
            <v>2324589.2899999996</v>
          </cell>
          <cell r="AA21">
            <v>43812.606999999996</v>
          </cell>
          <cell r="AB21">
            <v>-640.4190000000001</v>
          </cell>
          <cell r="AC21">
            <v>9028.8140000000003</v>
          </cell>
          <cell r="AD21">
            <v>19595.578000000001</v>
          </cell>
          <cell r="AH21">
            <v>71796.579999999987</v>
          </cell>
          <cell r="AI21">
            <v>2396385.870000001</v>
          </cell>
          <cell r="AJ21">
            <v>76356.575999999928</v>
          </cell>
          <cell r="AK21">
            <v>63531.785999999949</v>
          </cell>
          <cell r="AL21">
            <v>85896.942000000039</v>
          </cell>
          <cell r="AN21">
            <v>225785.30399999997</v>
          </cell>
          <cell r="AO21">
            <v>75267.211000000418</v>
          </cell>
          <cell r="AP21">
            <v>-855.83600000000001</v>
          </cell>
          <cell r="AS21">
            <v>74411.375000000407</v>
          </cell>
          <cell r="AT21">
            <v>3811.0810000000001</v>
          </cell>
          <cell r="AU21">
            <v>-3219.8980000000001</v>
          </cell>
          <cell r="AV21">
            <v>61233.110999999997</v>
          </cell>
          <cell r="BA21">
            <v>61824.293999999994</v>
          </cell>
          <cell r="BB21">
            <v>0</v>
          </cell>
          <cell r="BC21">
            <v>-16258.300000000001</v>
          </cell>
          <cell r="BD21">
            <v>0</v>
          </cell>
          <cell r="BE21">
            <v>0</v>
          </cell>
          <cell r="BF21">
            <v>-36069.286999999997</v>
          </cell>
          <cell r="BJ21">
            <v>-52327.587000000007</v>
          </cell>
        </row>
        <row r="22">
          <cell r="F22">
            <v>1591010.7190021616</v>
          </cell>
          <cell r="G22">
            <v>243766.41711840965</v>
          </cell>
          <cell r="H22">
            <v>154295.35459234967</v>
          </cell>
          <cell r="I22">
            <v>128336.92373428174</v>
          </cell>
          <cell r="J22">
            <v>27149.558458442185</v>
          </cell>
          <cell r="K22">
            <v>141117.25234098447</v>
          </cell>
          <cell r="L22">
            <v>131048.32409584238</v>
          </cell>
          <cell r="M22">
            <v>68688.564708367019</v>
          </cell>
          <cell r="N22">
            <v>124302.21554003507</v>
          </cell>
          <cell r="O22">
            <v>73519.515615588054</v>
          </cell>
          <cell r="P22">
            <v>103318.97511605616</v>
          </cell>
          <cell r="Q22">
            <v>82632.70925049021</v>
          </cell>
          <cell r="R22">
            <v>31416.342467087525</v>
          </cell>
          <cell r="S22">
            <v>119646.01589100763</v>
          </cell>
          <cell r="T22">
            <v>22166.712490806691</v>
          </cell>
          <cell r="U22">
            <v>40473.58066976488</v>
          </cell>
          <cell r="V22">
            <v>34852.108907235044</v>
          </cell>
          <cell r="W22">
            <v>22568.576247148212</v>
          </cell>
          <cell r="Z22">
            <v>1549299.1472438965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1549299.1472438965</v>
          </cell>
          <cell r="AJ22">
            <v>18922.108903683256</v>
          </cell>
          <cell r="AK22">
            <v>9055.6843045817841</v>
          </cell>
          <cell r="AL22">
            <v>13733.778550000001</v>
          </cell>
          <cell r="AN22">
            <v>41711.57175826504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J22">
            <v>0</v>
          </cell>
        </row>
        <row r="23">
          <cell r="F23">
            <v>254146.0870021616</v>
          </cell>
          <cell r="G23">
            <v>34131.769247843375</v>
          </cell>
          <cell r="H23">
            <v>21604.17953061232</v>
          </cell>
          <cell r="I23">
            <v>17969.52311420655</v>
          </cell>
          <cell r="J23">
            <v>3801.4361265943221</v>
          </cell>
          <cell r="K23">
            <v>20350.895443944137</v>
          </cell>
          <cell r="L23">
            <v>18898.82843902308</v>
          </cell>
          <cell r="M23">
            <v>9905.7611694200059</v>
          </cell>
          <cell r="N23">
            <v>17925.954126384135</v>
          </cell>
          <cell r="O23">
            <v>10602.445488146137</v>
          </cell>
          <cell r="P23">
            <v>14899.905044081277</v>
          </cell>
          <cell r="Q23">
            <v>11916.683455139544</v>
          </cell>
          <cell r="R23">
            <v>4530.6345622005456</v>
          </cell>
          <cell r="S23">
            <v>12925.834728016676</v>
          </cell>
          <cell r="T23">
            <v>2394.7580701779534</v>
          </cell>
          <cell r="U23">
            <v>4372.5218152270345</v>
          </cell>
          <cell r="V23">
            <v>3765.2118735665836</v>
          </cell>
          <cell r="W23">
            <v>2438.1730093129295</v>
          </cell>
          <cell r="Z23">
            <v>212434.51524389655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212434.51524389655</v>
          </cell>
          <cell r="AJ23">
            <v>18922.108903683256</v>
          </cell>
          <cell r="AK23">
            <v>9055.6843045817841</v>
          </cell>
          <cell r="AL23">
            <v>13733.778550000001</v>
          </cell>
          <cell r="AN23">
            <v>41711.57175826504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J23">
            <v>0</v>
          </cell>
        </row>
        <row r="24">
          <cell r="F24">
            <v>574476.52099999995</v>
          </cell>
          <cell r="G24">
            <v>90084.052122446272</v>
          </cell>
          <cell r="H24">
            <v>57019.957587500023</v>
          </cell>
          <cell r="I24">
            <v>47427.001075778346</v>
          </cell>
          <cell r="J24">
            <v>10033.138560196696</v>
          </cell>
          <cell r="K24">
            <v>51895.63318783055</v>
          </cell>
          <cell r="L24">
            <v>48192.801690361535</v>
          </cell>
          <cell r="M24">
            <v>25260.104623428142</v>
          </cell>
          <cell r="N24">
            <v>45711.931568177446</v>
          </cell>
          <cell r="O24">
            <v>27036.678728086699</v>
          </cell>
          <cell r="P24">
            <v>37995.380047576378</v>
          </cell>
          <cell r="Q24">
            <v>30388.040423422095</v>
          </cell>
          <cell r="R24">
            <v>11553.307322309105</v>
          </cell>
          <cell r="S24">
            <v>45859.720518812232</v>
          </cell>
          <cell r="T24">
            <v>8496.3902231002885</v>
          </cell>
          <cell r="U24">
            <v>15513.321393015312</v>
          </cell>
          <cell r="V24">
            <v>13358.639333490179</v>
          </cell>
          <cell r="W24">
            <v>8650.4225944685968</v>
          </cell>
          <cell r="Z24">
            <v>574476.52099999995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574476.52099999995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J24">
            <v>0</v>
          </cell>
        </row>
        <row r="25">
          <cell r="F25">
            <v>762388.11100000015</v>
          </cell>
          <cell r="G25">
            <v>119550.59574812</v>
          </cell>
          <cell r="H25">
            <v>75671.217474237346</v>
          </cell>
          <cell r="I25">
            <v>62940.399544296837</v>
          </cell>
          <cell r="J25">
            <v>13314.983771651167</v>
          </cell>
          <cell r="K25">
            <v>68870.723709209778</v>
          </cell>
          <cell r="L25">
            <v>63956.693966457766</v>
          </cell>
          <cell r="M25">
            <v>33522.698915518871</v>
          </cell>
          <cell r="N25">
            <v>60664.32984547349</v>
          </cell>
          <cell r="O25">
            <v>35880.39139935522</v>
          </cell>
          <cell r="P25">
            <v>50423.690024398507</v>
          </cell>
          <cell r="Q25">
            <v>40327.985371928575</v>
          </cell>
          <cell r="R25">
            <v>15332.400582577871</v>
          </cell>
          <cell r="S25">
            <v>60860.460644178718</v>
          </cell>
          <cell r="T25">
            <v>11275.564197528449</v>
          </cell>
          <cell r="U25">
            <v>20587.737461522534</v>
          </cell>
          <cell r="V25">
            <v>17728.257700178281</v>
          </cell>
          <cell r="W25">
            <v>11479.980643366685</v>
          </cell>
          <cell r="Z25">
            <v>762388.11100000015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762388.11100000015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J25">
            <v>0</v>
          </cell>
        </row>
        <row r="26">
          <cell r="F26">
            <v>1115068.536997837</v>
          </cell>
          <cell r="G26">
            <v>93459.976881590497</v>
          </cell>
          <cell r="H26">
            <v>-51370.732592349174</v>
          </cell>
          <cell r="I26">
            <v>-12060.61273428172</v>
          </cell>
          <cell r="J26">
            <v>-97501.120458442165</v>
          </cell>
          <cell r="K26">
            <v>157693.89865901548</v>
          </cell>
          <cell r="L26">
            <v>67040.077904157471</v>
          </cell>
          <cell r="M26">
            <v>13750.604291633019</v>
          </cell>
          <cell r="N26">
            <v>132663.62545996494</v>
          </cell>
          <cell r="O26">
            <v>78741.033384411858</v>
          </cell>
          <cell r="P26">
            <v>196581.25188394386</v>
          </cell>
          <cell r="Q26">
            <v>122824.97174950977</v>
          </cell>
          <cell r="R26">
            <v>-34104.177467087531</v>
          </cell>
          <cell r="S26">
            <v>-43062.057891007556</v>
          </cell>
          <cell r="T26">
            <v>31257.821509193316</v>
          </cell>
          <cell r="U26">
            <v>116856.05633023511</v>
          </cell>
          <cell r="V26">
            <v>-10287.394907235055</v>
          </cell>
          <cell r="W26">
            <v>12806.920752851776</v>
          </cell>
          <cell r="Z26">
            <v>775290.14275610307</v>
          </cell>
          <cell r="AA26">
            <v>43812.606999999996</v>
          </cell>
          <cell r="AB26">
            <v>-640.4190000000001</v>
          </cell>
          <cell r="AC26">
            <v>9028.8140000000003</v>
          </cell>
          <cell r="AD26">
            <v>19595.578000000001</v>
          </cell>
          <cell r="AH26">
            <v>71796.579999999987</v>
          </cell>
          <cell r="AI26">
            <v>847086.72275610454</v>
          </cell>
          <cell r="AJ26">
            <v>57434.467096316672</v>
          </cell>
          <cell r="AK26">
            <v>54476.101695418169</v>
          </cell>
          <cell r="AL26">
            <v>72163.163450000036</v>
          </cell>
          <cell r="AN26">
            <v>184073.73224173492</v>
          </cell>
          <cell r="AO26">
            <v>75267.211000000418</v>
          </cell>
          <cell r="AP26">
            <v>-855.83600000000001</v>
          </cell>
          <cell r="AS26">
            <v>74411.375000000407</v>
          </cell>
          <cell r="AT26">
            <v>3811.0810000000001</v>
          </cell>
          <cell r="AU26">
            <v>-3219.8980000000001</v>
          </cell>
          <cell r="AV26">
            <v>61233.110999999997</v>
          </cell>
          <cell r="BA26">
            <v>61824.293999999994</v>
          </cell>
          <cell r="BB26">
            <v>0</v>
          </cell>
          <cell r="BC26">
            <v>-16258.300000000001</v>
          </cell>
          <cell r="BD26">
            <v>0</v>
          </cell>
          <cell r="BE26">
            <v>0</v>
          </cell>
          <cell r="BF26">
            <v>-36069.286999999997</v>
          </cell>
          <cell r="BJ26">
            <v>-52327.587000000007</v>
          </cell>
        </row>
        <row r="27">
          <cell r="F27">
            <v>1115068.5369978393</v>
          </cell>
          <cell r="G27">
            <v>93459.976881590526</v>
          </cell>
          <cell r="H27">
            <v>-51370.732592349232</v>
          </cell>
          <cell r="I27">
            <v>-12060.612734281709</v>
          </cell>
          <cell r="J27">
            <v>-97501.120458442165</v>
          </cell>
          <cell r="K27">
            <v>157693.89865901548</v>
          </cell>
          <cell r="L27">
            <v>67040.077904157457</v>
          </cell>
          <cell r="M27">
            <v>13750.604291633026</v>
          </cell>
          <cell r="N27">
            <v>132663.625459965</v>
          </cell>
          <cell r="O27">
            <v>78741.033384411872</v>
          </cell>
          <cell r="P27">
            <v>196581.25188394386</v>
          </cell>
          <cell r="Q27">
            <v>122824.97174950976</v>
          </cell>
          <cell r="R27">
            <v>-34104.177467087524</v>
          </cell>
          <cell r="S27">
            <v>-43062.057891007549</v>
          </cell>
          <cell r="T27">
            <v>31257.821509193323</v>
          </cell>
          <cell r="U27">
            <v>116856.05633023517</v>
          </cell>
          <cell r="V27">
            <v>-10287.394907235057</v>
          </cell>
          <cell r="W27">
            <v>12806.920752851775</v>
          </cell>
          <cell r="Z27">
            <v>775290.14275610412</v>
          </cell>
          <cell r="AA27">
            <v>43812.606999999996</v>
          </cell>
          <cell r="AB27">
            <v>-640.4190000000001</v>
          </cell>
          <cell r="AC27">
            <v>9028.8140000000003</v>
          </cell>
          <cell r="AD27">
            <v>19595.578000000001</v>
          </cell>
          <cell r="AH27">
            <v>71796.579999999987</v>
          </cell>
          <cell r="AI27">
            <v>847086.72275610408</v>
          </cell>
          <cell r="AJ27">
            <v>57434.467096316672</v>
          </cell>
          <cell r="AK27">
            <v>54476.101695418169</v>
          </cell>
          <cell r="AL27">
            <v>72163.163450000022</v>
          </cell>
          <cell r="AN27">
            <v>184073.73224173486</v>
          </cell>
          <cell r="AO27">
            <v>75267.211000000418</v>
          </cell>
          <cell r="AP27">
            <v>-855.83600000000001</v>
          </cell>
          <cell r="AS27">
            <v>74411.375000000422</v>
          </cell>
          <cell r="AT27">
            <v>3811.0810000000001</v>
          </cell>
          <cell r="AU27">
            <v>-3219.8980000000001</v>
          </cell>
          <cell r="AV27">
            <v>61233.110999999997</v>
          </cell>
          <cell r="BA27">
            <v>61824.293999999994</v>
          </cell>
          <cell r="BB27">
            <v>0</v>
          </cell>
          <cell r="BC27">
            <v>-16258.300000000001</v>
          </cell>
          <cell r="BD27">
            <v>0</v>
          </cell>
          <cell r="BE27">
            <v>0</v>
          </cell>
          <cell r="BF27">
            <v>-36069.286999999997</v>
          </cell>
          <cell r="BJ27">
            <v>-52327.587</v>
          </cell>
        </row>
        <row r="28">
          <cell r="F28">
            <v>-2.3283064365386963E-9</v>
          </cell>
          <cell r="G28">
            <v>0</v>
          </cell>
          <cell r="H28">
            <v>5.8207660913467407E-11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-1.0477378964424133E-9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J28">
            <v>0</v>
          </cell>
        </row>
        <row r="31">
          <cell r="G31">
            <v>45761</v>
          </cell>
          <cell r="H31">
            <v>28340</v>
          </cell>
          <cell r="I31">
            <v>22882</v>
          </cell>
          <cell r="J31">
            <v>5281</v>
          </cell>
          <cell r="K31">
            <v>23815</v>
          </cell>
          <cell r="L31">
            <v>23910</v>
          </cell>
          <cell r="M31">
            <v>12339</v>
          </cell>
          <cell r="N31">
            <v>21517.5</v>
          </cell>
          <cell r="O31">
            <v>13864</v>
          </cell>
          <cell r="P31">
            <v>17315</v>
          </cell>
          <cell r="Q31">
            <v>14754.5</v>
          </cell>
          <cell r="R31">
            <v>5383</v>
          </cell>
          <cell r="S31">
            <v>22999</v>
          </cell>
          <cell r="T31">
            <v>3533</v>
          </cell>
          <cell r="U31">
            <v>7363</v>
          </cell>
          <cell r="V31">
            <v>6567</v>
          </cell>
          <cell r="W31">
            <v>3261.5</v>
          </cell>
          <cell r="X31">
            <v>0</v>
          </cell>
          <cell r="Y31">
            <v>0</v>
          </cell>
          <cell r="Z31">
            <v>278885.5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278885.5</v>
          </cell>
          <cell r="AJ31">
            <v>27205</v>
          </cell>
          <cell r="AK31">
            <v>27872</v>
          </cell>
          <cell r="AL31">
            <v>29440</v>
          </cell>
          <cell r="AN31">
            <v>84517</v>
          </cell>
          <cell r="AO31">
            <v>6425.0929999999998</v>
          </cell>
          <cell r="AP31">
            <v>0</v>
          </cell>
          <cell r="AS31">
            <v>6425.0929999999998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J31">
            <v>0</v>
          </cell>
        </row>
        <row r="32">
          <cell r="F32">
            <v>37167598.560999997</v>
          </cell>
          <cell r="G32">
            <v>4371198.9000000004</v>
          </cell>
          <cell r="H32">
            <v>2766811.3280000002</v>
          </cell>
          <cell r="I32">
            <v>2301326.9279999998</v>
          </cell>
          <cell r="J32">
            <v>486843.60000000003</v>
          </cell>
          <cell r="K32">
            <v>2518160.8659999999</v>
          </cell>
          <cell r="L32">
            <v>2338486.2999999998</v>
          </cell>
          <cell r="M32">
            <v>1225710.2</v>
          </cell>
          <cell r="N32">
            <v>2218105.65</v>
          </cell>
          <cell r="O32">
            <v>1311915.8999999999</v>
          </cell>
          <cell r="P32">
            <v>1843671.1</v>
          </cell>
          <cell r="Q32">
            <v>1474535.9</v>
          </cell>
          <cell r="R32">
            <v>560607.6</v>
          </cell>
          <cell r="S32">
            <v>2225276.8960000002</v>
          </cell>
          <cell r="T32">
            <v>412275.1</v>
          </cell>
          <cell r="U32">
            <v>752761.58</v>
          </cell>
          <cell r="V32">
            <v>648208.73600000003</v>
          </cell>
          <cell r="W32">
            <v>419749.299</v>
          </cell>
          <cell r="X32">
            <v>0</v>
          </cell>
          <cell r="Y32">
            <v>0</v>
          </cell>
          <cell r="Z32">
            <v>27875645.882999998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27966485.882999998</v>
          </cell>
          <cell r="AJ32">
            <v>780046</v>
          </cell>
          <cell r="AK32">
            <v>373312</v>
          </cell>
          <cell r="AL32">
            <v>566162</v>
          </cell>
          <cell r="AN32">
            <v>1719520</v>
          </cell>
          <cell r="AO32">
            <v>7407957.1670000004</v>
          </cell>
          <cell r="AP32">
            <v>0</v>
          </cell>
          <cell r="AS32">
            <v>7407957.1670000004</v>
          </cell>
          <cell r="AT32">
            <v>5250</v>
          </cell>
          <cell r="AU32">
            <v>5450</v>
          </cell>
          <cell r="AV32">
            <v>61233.110999999997</v>
          </cell>
          <cell r="BA32">
            <v>71933.111000000004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J32">
            <v>1702.4</v>
          </cell>
        </row>
        <row r="33">
          <cell r="F33">
            <v>33611843.651999995</v>
          </cell>
          <cell r="G33">
            <v>3956695.469</v>
          </cell>
          <cell r="H33">
            <v>2597714.5689999997</v>
          </cell>
          <cell r="I33">
            <v>2129323.8859999999</v>
          </cell>
          <cell r="J33">
            <v>524000.26</v>
          </cell>
          <cell r="K33">
            <v>2166605.5860000001</v>
          </cell>
          <cell r="L33">
            <v>2083102.6189999999</v>
          </cell>
          <cell r="M33">
            <v>1106752.628</v>
          </cell>
          <cell r="N33">
            <v>1916586.1089999999</v>
          </cell>
          <cell r="O33">
            <v>1133027.233</v>
          </cell>
          <cell r="P33">
            <v>1498547.4569999999</v>
          </cell>
          <cell r="Q33">
            <v>1233466.436</v>
          </cell>
          <cell r="R33">
            <v>534280.26199999999</v>
          </cell>
          <cell r="S33">
            <v>2102018.4140000003</v>
          </cell>
          <cell r="T33">
            <v>349473.98299999995</v>
          </cell>
          <cell r="U33">
            <v>585690.8679999999</v>
          </cell>
          <cell r="V33">
            <v>593913.90500000003</v>
          </cell>
          <cell r="W33">
            <v>368332.49400000001</v>
          </cell>
          <cell r="X33">
            <v>0</v>
          </cell>
          <cell r="Y33">
            <v>0</v>
          </cell>
          <cell r="Z33">
            <v>24879532.177999996</v>
          </cell>
          <cell r="AA33">
            <v>6187.393</v>
          </cell>
          <cell r="AB33">
            <v>0</v>
          </cell>
          <cell r="AC33">
            <v>3471.1860000000001</v>
          </cell>
          <cell r="AD33">
            <v>8744.4220000000005</v>
          </cell>
          <cell r="AH33">
            <v>18403.001</v>
          </cell>
          <cell r="AI33">
            <v>24897935.178999994</v>
          </cell>
          <cell r="AJ33">
            <v>703229.42400000012</v>
          </cell>
          <cell r="AK33">
            <v>309780.21400000004</v>
          </cell>
          <cell r="AL33">
            <v>480265.05799999996</v>
          </cell>
          <cell r="AN33">
            <v>1493274.696</v>
          </cell>
          <cell r="AO33">
            <v>7210524.96</v>
          </cell>
          <cell r="AP33">
            <v>0</v>
          </cell>
          <cell r="AS33">
            <v>7210524.96</v>
          </cell>
          <cell r="AT33">
            <v>1438.9190000000001</v>
          </cell>
          <cell r="AU33">
            <v>8669.898000000001</v>
          </cell>
          <cell r="AV33">
            <v>0</v>
          </cell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J33">
            <v>0</v>
          </cell>
        </row>
        <row r="34">
          <cell r="F34">
            <v>3555754.9090000018</v>
          </cell>
          <cell r="G34">
            <v>414503.43100000033</v>
          </cell>
          <cell r="H34">
            <v>169096.75900000054</v>
          </cell>
          <cell r="I34">
            <v>172003.0419999999</v>
          </cell>
          <cell r="J34">
            <v>-37156.659999999974</v>
          </cell>
          <cell r="K34">
            <v>351555.2799999998</v>
          </cell>
          <cell r="L34">
            <v>255383.68099999987</v>
          </cell>
          <cell r="M34">
            <v>118957.57199999993</v>
          </cell>
          <cell r="N34">
            <v>301519.54099999997</v>
          </cell>
          <cell r="O34">
            <v>178888.6669999999</v>
          </cell>
          <cell r="P34">
            <v>345123.64300000016</v>
          </cell>
          <cell r="Q34">
            <v>241069.46399999992</v>
          </cell>
          <cell r="R34">
            <v>26327.337999999989</v>
          </cell>
          <cell r="S34">
            <v>123258.48199999984</v>
          </cell>
          <cell r="T34">
            <v>62801.117000000027</v>
          </cell>
          <cell r="U34">
            <v>167070.71200000006</v>
          </cell>
          <cell r="V34">
            <v>54294.831000000006</v>
          </cell>
          <cell r="W34">
            <v>51416.804999999993</v>
          </cell>
          <cell r="X34">
            <v>0</v>
          </cell>
          <cell r="Y34">
            <v>0</v>
          </cell>
          <cell r="Z34">
            <v>2996113.7050000019</v>
          </cell>
          <cell r="AA34">
            <v>43812.607000000004</v>
          </cell>
          <cell r="AB34">
            <v>0</v>
          </cell>
          <cell r="AC34">
            <v>9028.8140000000003</v>
          </cell>
          <cell r="AD34">
            <v>19595.578000000001</v>
          </cell>
          <cell r="AH34">
            <v>72436.998999999996</v>
          </cell>
          <cell r="AI34">
            <v>3068550.7040000036</v>
          </cell>
          <cell r="AJ34">
            <v>76816.575999999885</v>
          </cell>
          <cell r="AK34">
            <v>63531.785999999964</v>
          </cell>
          <cell r="AL34">
            <v>85896.942000000039</v>
          </cell>
          <cell r="AN34">
            <v>226245.304</v>
          </cell>
          <cell r="AO34">
            <v>197432.2070000004</v>
          </cell>
          <cell r="AP34">
            <v>0</v>
          </cell>
          <cell r="AS34">
            <v>197432.2070000004</v>
          </cell>
          <cell r="AT34">
            <v>3811.0810000000001</v>
          </cell>
          <cell r="AU34">
            <v>-3219.898000000001</v>
          </cell>
          <cell r="AV34">
            <v>61233.110999999997</v>
          </cell>
          <cell r="BA34">
            <v>61824.294000000002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J34">
            <v>1702.4</v>
          </cell>
        </row>
        <row r="35">
          <cell r="F35">
            <v>2440686.372002162</v>
          </cell>
          <cell r="G35">
            <v>321043.4541184096</v>
          </cell>
          <cell r="H35">
            <v>220467.49159234966</v>
          </cell>
          <cell r="I35">
            <v>184063.65473428174</v>
          </cell>
          <cell r="J35">
            <v>60344.460458442183</v>
          </cell>
          <cell r="K35">
            <v>193861.38134098446</v>
          </cell>
          <cell r="L35">
            <v>188343.60309584238</v>
          </cell>
          <cell r="M35">
            <v>105206.96770836702</v>
          </cell>
          <cell r="N35">
            <v>168855.91554003506</v>
          </cell>
          <cell r="O35">
            <v>100147.63361558804</v>
          </cell>
          <cell r="P35">
            <v>148542.39111605615</v>
          </cell>
          <cell r="Q35">
            <v>118244.49225049022</v>
          </cell>
          <cell r="R35">
            <v>60431.51546708752</v>
          </cell>
          <cell r="S35">
            <v>166320.53989100765</v>
          </cell>
          <cell r="T35">
            <v>31543.295490806689</v>
          </cell>
          <cell r="U35">
            <v>50214.655669764878</v>
          </cell>
          <cell r="V35">
            <v>64582.22590723505</v>
          </cell>
          <cell r="W35">
            <v>38609.884247148213</v>
          </cell>
          <cell r="X35">
            <v>0</v>
          </cell>
          <cell r="Y35">
            <v>0</v>
          </cell>
          <cell r="Z35">
            <v>2220823.5622438965</v>
          </cell>
          <cell r="AA35">
            <v>0</v>
          </cell>
          <cell r="AB35">
            <v>640.4190000000001</v>
          </cell>
          <cell r="AC35">
            <v>0</v>
          </cell>
          <cell r="AD35">
            <v>0</v>
          </cell>
          <cell r="AH35">
            <v>640.4190000000001</v>
          </cell>
          <cell r="AI35">
            <v>2221463.9812438968</v>
          </cell>
          <cell r="AJ35">
            <v>19382.108903683256</v>
          </cell>
          <cell r="AK35">
            <v>9055.6843045817841</v>
          </cell>
          <cell r="AL35">
            <v>13733.778550000001</v>
          </cell>
          <cell r="AN35">
            <v>42171.57175826504</v>
          </cell>
          <cell r="AO35">
            <v>122164.99599999998</v>
          </cell>
          <cell r="AP35">
            <v>855.83600000000001</v>
          </cell>
          <cell r="AS35">
            <v>123020.83199999998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17960.7</v>
          </cell>
          <cell r="BD35">
            <v>0</v>
          </cell>
          <cell r="BE35">
            <v>0</v>
          </cell>
          <cell r="BF35">
            <v>36069.286999999997</v>
          </cell>
          <cell r="BJ35">
            <v>54029.986999999994</v>
          </cell>
        </row>
        <row r="36">
          <cell r="F36">
            <v>1115068.5369978398</v>
          </cell>
          <cell r="G36">
            <v>93459.97688159073</v>
          </cell>
          <cell r="H36">
            <v>-51370.732592349115</v>
          </cell>
          <cell r="I36">
            <v>-12060.612734281836</v>
          </cell>
          <cell r="J36">
            <v>-97501.120458442165</v>
          </cell>
          <cell r="K36">
            <v>157693.89865901534</v>
          </cell>
          <cell r="L36">
            <v>67040.077904157486</v>
          </cell>
          <cell r="M36">
            <v>13750.604291632902</v>
          </cell>
          <cell r="N36">
            <v>132663.62545996491</v>
          </cell>
          <cell r="O36">
            <v>78741.033384411858</v>
          </cell>
          <cell r="P36">
            <v>196581.251883944</v>
          </cell>
          <cell r="Q36">
            <v>122824.9717495097</v>
          </cell>
          <cell r="R36">
            <v>-34104.177467087531</v>
          </cell>
          <cell r="S36">
            <v>-43062.057891007804</v>
          </cell>
          <cell r="T36">
            <v>31257.821509193338</v>
          </cell>
          <cell r="U36">
            <v>116856.05633023518</v>
          </cell>
          <cell r="V36">
            <v>-10287.394907235044</v>
          </cell>
          <cell r="W36">
            <v>12806.92075285178</v>
          </cell>
          <cell r="X36">
            <v>0</v>
          </cell>
          <cell r="Y36">
            <v>0</v>
          </cell>
          <cell r="Z36">
            <v>775290.1427561054</v>
          </cell>
          <cell r="AA36">
            <v>43812.607000000004</v>
          </cell>
          <cell r="AB36">
            <v>-640.4190000000001</v>
          </cell>
          <cell r="AC36">
            <v>9028.8140000000003</v>
          </cell>
          <cell r="AD36">
            <v>19595.578000000001</v>
          </cell>
          <cell r="AH36">
            <v>71796.58</v>
          </cell>
          <cell r="AI36">
            <v>847086.72275610687</v>
          </cell>
          <cell r="AJ36">
            <v>57434.467096316628</v>
          </cell>
          <cell r="AK36">
            <v>54476.101695418183</v>
          </cell>
          <cell r="AL36">
            <v>72163.163450000036</v>
          </cell>
          <cell r="AN36">
            <v>184073.73224173498</v>
          </cell>
          <cell r="AO36">
            <v>75267.211000000418</v>
          </cell>
          <cell r="AP36">
            <v>-855.83600000000001</v>
          </cell>
          <cell r="AS36">
            <v>74411.375000000422</v>
          </cell>
          <cell r="AT36">
            <v>3811.0810000000001</v>
          </cell>
          <cell r="AU36">
            <v>-3219.898000000001</v>
          </cell>
          <cell r="AV36">
            <v>61233.110999999997</v>
          </cell>
          <cell r="BA36">
            <v>61824.294000000002</v>
          </cell>
          <cell r="BB36">
            <v>0</v>
          </cell>
          <cell r="BC36">
            <v>-16258.300000000001</v>
          </cell>
          <cell r="BD36">
            <v>0</v>
          </cell>
          <cell r="BE36">
            <v>0</v>
          </cell>
          <cell r="BF36">
            <v>-36069.286999999997</v>
          </cell>
          <cell r="BJ36">
            <v>-52327.586999999992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-17960</v>
          </cell>
          <cell r="AK38">
            <v>-12976</v>
          </cell>
          <cell r="AL38">
            <v>-24800</v>
          </cell>
          <cell r="AN38">
            <v>-55736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-1215354</v>
          </cell>
          <cell r="Z39">
            <v>0</v>
          </cell>
          <cell r="AH39">
            <v>0</v>
          </cell>
          <cell r="AI39">
            <v>0</v>
          </cell>
          <cell r="AJ39">
            <v>-518456</v>
          </cell>
          <cell r="AK39">
            <v>-203632</v>
          </cell>
          <cell r="AL39">
            <v>-493266</v>
          </cell>
          <cell r="AN39">
            <v>-1215354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-1215354</v>
          </cell>
          <cell r="K40">
            <v>-104771.19</v>
          </cell>
          <cell r="L40">
            <v>-79020.570000000007</v>
          </cell>
          <cell r="M40">
            <v>-5517.8819999999996</v>
          </cell>
          <cell r="N40">
            <v>-7048.5249999999996</v>
          </cell>
          <cell r="O40">
            <v>-2779.9569999999999</v>
          </cell>
          <cell r="P40">
            <v>-1099.306</v>
          </cell>
          <cell r="Z40">
            <v>-200237.43000000002</v>
          </cell>
          <cell r="AH40">
            <v>0</v>
          </cell>
          <cell r="AI40">
            <v>-200237.43000000002</v>
          </cell>
          <cell r="AJ40">
            <v>-465129.28399999999</v>
          </cell>
          <cell r="AK40">
            <v>-145554.12700000001</v>
          </cell>
          <cell r="AL40">
            <v>-404433.15899999999</v>
          </cell>
          <cell r="AN40">
            <v>-1015116.57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104771.19</v>
          </cell>
          <cell r="L41">
            <v>79020.570000000007</v>
          </cell>
          <cell r="M41">
            <v>5517.8819999999996</v>
          </cell>
          <cell r="N41">
            <v>7048.5249999999996</v>
          </cell>
          <cell r="O41">
            <v>2779.9569999999999</v>
          </cell>
          <cell r="P41">
            <v>1099.306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200237.43000000002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200237.43000000002</v>
          </cell>
          <cell r="AJ41">
            <v>-53326.716000000015</v>
          </cell>
          <cell r="AK41">
            <v>-58077.872999999992</v>
          </cell>
          <cell r="AL41">
            <v>-88832.841000000015</v>
          </cell>
          <cell r="AN41">
            <v>-200237.43000000005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104771.19</v>
          </cell>
          <cell r="L43">
            <v>79020.570000000007</v>
          </cell>
          <cell r="M43">
            <v>5517.8819999999996</v>
          </cell>
          <cell r="N43">
            <v>7048.5249999999996</v>
          </cell>
          <cell r="O43">
            <v>2779.9569999999999</v>
          </cell>
          <cell r="P43">
            <v>1099.306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200237.43000000002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200237.43000000002</v>
          </cell>
          <cell r="AJ43">
            <v>-53326.716000000015</v>
          </cell>
          <cell r="AK43">
            <v>-58077.872999999992</v>
          </cell>
          <cell r="AL43">
            <v>-88832.841000000015</v>
          </cell>
          <cell r="AN43">
            <v>-200237.43000000005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J43">
            <v>0</v>
          </cell>
        </row>
        <row r="45">
          <cell r="G45">
            <v>45761</v>
          </cell>
          <cell r="H45">
            <v>28340</v>
          </cell>
          <cell r="I45">
            <v>22882</v>
          </cell>
          <cell r="J45">
            <v>5281</v>
          </cell>
          <cell r="K45">
            <v>23815</v>
          </cell>
          <cell r="L45">
            <v>23910</v>
          </cell>
          <cell r="M45">
            <v>12339</v>
          </cell>
          <cell r="N45">
            <v>21517.5</v>
          </cell>
          <cell r="O45">
            <v>13864</v>
          </cell>
          <cell r="P45">
            <v>17315</v>
          </cell>
          <cell r="Q45">
            <v>14754.5</v>
          </cell>
          <cell r="R45">
            <v>5383</v>
          </cell>
          <cell r="S45">
            <v>22999</v>
          </cell>
          <cell r="T45">
            <v>3533</v>
          </cell>
          <cell r="U45">
            <v>7363</v>
          </cell>
          <cell r="V45">
            <v>6567</v>
          </cell>
          <cell r="W45">
            <v>3261.5</v>
          </cell>
          <cell r="X45">
            <v>0</v>
          </cell>
          <cell r="Y45">
            <v>0</v>
          </cell>
          <cell r="Z45">
            <v>278885.5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278885.5</v>
          </cell>
          <cell r="AJ45">
            <v>9245</v>
          </cell>
          <cell r="AK45">
            <v>14896</v>
          </cell>
          <cell r="AL45">
            <v>4640</v>
          </cell>
          <cell r="AN45">
            <v>28781</v>
          </cell>
          <cell r="AO45">
            <v>6425.0929999999998</v>
          </cell>
          <cell r="AP45">
            <v>0</v>
          </cell>
          <cell r="AS45">
            <v>6425.0929999999998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J45">
            <v>0</v>
          </cell>
        </row>
        <row r="46">
          <cell r="F46">
            <v>35952244.560999997</v>
          </cell>
          <cell r="G46">
            <v>4371198.9000000004</v>
          </cell>
          <cell r="H46">
            <v>2766811.3280000002</v>
          </cell>
          <cell r="I46">
            <v>2301326.9279999998</v>
          </cell>
          <cell r="J46">
            <v>486843.60000000003</v>
          </cell>
          <cell r="K46">
            <v>2518160.8659999999</v>
          </cell>
          <cell r="L46">
            <v>2338486.2999999998</v>
          </cell>
          <cell r="M46">
            <v>1225710.2</v>
          </cell>
          <cell r="N46">
            <v>2218105.65</v>
          </cell>
          <cell r="O46">
            <v>1311915.8999999999</v>
          </cell>
          <cell r="P46">
            <v>1843671.1</v>
          </cell>
          <cell r="Q46">
            <v>1474535.9</v>
          </cell>
          <cell r="R46">
            <v>560607.6</v>
          </cell>
          <cell r="S46">
            <v>2225276.8960000002</v>
          </cell>
          <cell r="T46">
            <v>412275.1</v>
          </cell>
          <cell r="U46">
            <v>752761.58</v>
          </cell>
          <cell r="V46">
            <v>648208.73600000003</v>
          </cell>
          <cell r="W46">
            <v>419749.299</v>
          </cell>
          <cell r="X46">
            <v>0</v>
          </cell>
          <cell r="Y46">
            <v>0</v>
          </cell>
          <cell r="Z46">
            <v>27875645.882999998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27966485.882999998</v>
          </cell>
          <cell r="AJ46">
            <v>261590</v>
          </cell>
          <cell r="AK46">
            <v>169680</v>
          </cell>
          <cell r="AL46">
            <v>72896</v>
          </cell>
          <cell r="AN46">
            <v>504166</v>
          </cell>
          <cell r="AO46">
            <v>7407957.1670000004</v>
          </cell>
          <cell r="AP46">
            <v>0</v>
          </cell>
          <cell r="AS46">
            <v>7407957.1670000004</v>
          </cell>
          <cell r="AT46">
            <v>5250</v>
          </cell>
          <cell r="AU46">
            <v>5450</v>
          </cell>
          <cell r="AV46">
            <v>61233.110999999997</v>
          </cell>
          <cell r="BA46">
            <v>71933.111000000004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J46">
            <v>1702.4</v>
          </cell>
        </row>
        <row r="47">
          <cell r="F47">
            <v>32396489.652000003</v>
          </cell>
          <cell r="G47">
            <v>3956695.469</v>
          </cell>
          <cell r="H47">
            <v>2597714.5689999997</v>
          </cell>
          <cell r="I47">
            <v>2129323.8859999999</v>
          </cell>
          <cell r="J47">
            <v>524000.26</v>
          </cell>
          <cell r="K47">
            <v>2061834.3960000002</v>
          </cell>
          <cell r="L47">
            <v>2004082.0489999999</v>
          </cell>
          <cell r="M47">
            <v>1101234.746</v>
          </cell>
          <cell r="N47">
            <v>1909537.584</v>
          </cell>
          <cell r="O47">
            <v>1130247.2760000001</v>
          </cell>
          <cell r="P47">
            <v>1497448.1509999998</v>
          </cell>
          <cell r="Q47">
            <v>1233466.436</v>
          </cell>
          <cell r="R47">
            <v>534280.26199999999</v>
          </cell>
          <cell r="S47">
            <v>2102018.4140000003</v>
          </cell>
          <cell r="T47">
            <v>349473.98299999995</v>
          </cell>
          <cell r="U47">
            <v>585690.8679999999</v>
          </cell>
          <cell r="V47">
            <v>593913.90500000003</v>
          </cell>
          <cell r="W47">
            <v>368332.49400000001</v>
          </cell>
          <cell r="X47">
            <v>0</v>
          </cell>
          <cell r="Y47">
            <v>0</v>
          </cell>
          <cell r="Z47">
            <v>24679294.748</v>
          </cell>
          <cell r="AA47">
            <v>6187.393</v>
          </cell>
          <cell r="AB47">
            <v>0</v>
          </cell>
          <cell r="AC47">
            <v>3471.1860000000001</v>
          </cell>
          <cell r="AD47">
            <v>8744.4220000000005</v>
          </cell>
          <cell r="AH47">
            <v>18403.001</v>
          </cell>
          <cell r="AI47">
            <v>24697697.748999998</v>
          </cell>
          <cell r="AJ47">
            <v>238100.14000000013</v>
          </cell>
          <cell r="AK47">
            <v>164226.08700000003</v>
          </cell>
          <cell r="AL47">
            <v>75831.898999999976</v>
          </cell>
          <cell r="AN47">
            <v>478158.12600000016</v>
          </cell>
          <cell r="AO47">
            <v>7210524.96</v>
          </cell>
          <cell r="AP47">
            <v>0</v>
          </cell>
          <cell r="AS47">
            <v>7210524.96</v>
          </cell>
          <cell r="AT47">
            <v>1438.9190000000001</v>
          </cell>
          <cell r="AU47">
            <v>8669.898000000001</v>
          </cell>
          <cell r="AV47">
            <v>0</v>
          </cell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J47">
            <v>0</v>
          </cell>
        </row>
        <row r="48">
          <cell r="F48">
            <v>3555754.9089999944</v>
          </cell>
          <cell r="G48">
            <v>414503.43100000033</v>
          </cell>
          <cell r="H48">
            <v>169096.75900000054</v>
          </cell>
          <cell r="I48">
            <v>172003.0419999999</v>
          </cell>
          <cell r="J48">
            <v>-37156.659999999974</v>
          </cell>
          <cell r="K48">
            <v>456326.46999999974</v>
          </cell>
          <cell r="L48">
            <v>334404.25099999993</v>
          </cell>
          <cell r="M48">
            <v>124475.45399999991</v>
          </cell>
          <cell r="N48">
            <v>308568.06599999988</v>
          </cell>
          <cell r="O48">
            <v>181668.62399999984</v>
          </cell>
          <cell r="P48">
            <v>346222.94900000026</v>
          </cell>
          <cell r="Q48">
            <v>241069.46399999992</v>
          </cell>
          <cell r="R48">
            <v>26327.337999999989</v>
          </cell>
          <cell r="S48">
            <v>123258.48199999984</v>
          </cell>
          <cell r="T48">
            <v>62801.117000000027</v>
          </cell>
          <cell r="U48">
            <v>167070.71200000006</v>
          </cell>
          <cell r="V48">
            <v>54294.831000000006</v>
          </cell>
          <cell r="W48">
            <v>51416.804999999993</v>
          </cell>
          <cell r="X48">
            <v>0</v>
          </cell>
          <cell r="Y48">
            <v>0</v>
          </cell>
          <cell r="Z48">
            <v>3196351.1349999979</v>
          </cell>
          <cell r="AA48">
            <v>43812.607000000004</v>
          </cell>
          <cell r="AB48">
            <v>0</v>
          </cell>
          <cell r="AC48">
            <v>9028.8140000000003</v>
          </cell>
          <cell r="AD48">
            <v>19595.578000000001</v>
          </cell>
          <cell r="AH48">
            <v>72436.998999999996</v>
          </cell>
          <cell r="AI48">
            <v>3268788.1339999996</v>
          </cell>
          <cell r="AJ48">
            <v>23489.85999999987</v>
          </cell>
          <cell r="AK48">
            <v>5453.9129999999714</v>
          </cell>
          <cell r="AL48">
            <v>-2935.8989999999758</v>
          </cell>
          <cell r="AN48">
            <v>26007.873999999836</v>
          </cell>
          <cell r="AO48">
            <v>197432.2070000004</v>
          </cell>
          <cell r="AP48">
            <v>0</v>
          </cell>
          <cell r="AS48">
            <v>197432.2070000004</v>
          </cell>
          <cell r="AT48">
            <v>3811.0810000000001</v>
          </cell>
          <cell r="AU48">
            <v>-3219.898000000001</v>
          </cell>
          <cell r="AV48">
            <v>61233.110999999997</v>
          </cell>
          <cell r="BA48">
            <v>61824.294000000002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J48">
            <v>1702.4</v>
          </cell>
        </row>
        <row r="49">
          <cell r="F49">
            <v>2440686.372002162</v>
          </cell>
          <cell r="G49">
            <v>321043.4541184096</v>
          </cell>
          <cell r="H49">
            <v>220467.49159234966</v>
          </cell>
          <cell r="I49">
            <v>184063.65473428174</v>
          </cell>
          <cell r="J49">
            <v>60344.460458442183</v>
          </cell>
          <cell r="K49">
            <v>193861.38134098446</v>
          </cell>
          <cell r="L49">
            <v>188343.60309584238</v>
          </cell>
          <cell r="M49">
            <v>105206.96770836702</v>
          </cell>
          <cell r="N49">
            <v>168855.91554003506</v>
          </cell>
          <cell r="O49">
            <v>100147.63361558804</v>
          </cell>
          <cell r="P49">
            <v>148542.39111605615</v>
          </cell>
          <cell r="Q49">
            <v>118244.49225049022</v>
          </cell>
          <cell r="R49">
            <v>60431.51546708752</v>
          </cell>
          <cell r="S49">
            <v>166320.53989100765</v>
          </cell>
          <cell r="T49">
            <v>31543.295490806689</v>
          </cell>
          <cell r="U49">
            <v>50214.655669764878</v>
          </cell>
          <cell r="V49">
            <v>64582.22590723505</v>
          </cell>
          <cell r="W49">
            <v>38609.884247148213</v>
          </cell>
          <cell r="X49">
            <v>0</v>
          </cell>
          <cell r="Y49">
            <v>0</v>
          </cell>
          <cell r="Z49">
            <v>2220823.5622438965</v>
          </cell>
          <cell r="AA49">
            <v>0</v>
          </cell>
          <cell r="AB49">
            <v>640.4190000000001</v>
          </cell>
          <cell r="AC49">
            <v>0</v>
          </cell>
          <cell r="AD49">
            <v>0</v>
          </cell>
          <cell r="AH49">
            <v>640.4190000000001</v>
          </cell>
          <cell r="AI49">
            <v>2221463.9812438968</v>
          </cell>
          <cell r="AJ49">
            <v>19382.108903683256</v>
          </cell>
          <cell r="AK49">
            <v>9055.6843045817841</v>
          </cell>
          <cell r="AL49">
            <v>13733.778550000001</v>
          </cell>
          <cell r="AN49">
            <v>42171.57175826504</v>
          </cell>
          <cell r="AO49">
            <v>122164.99599999998</v>
          </cell>
          <cell r="AP49">
            <v>855.83600000000001</v>
          </cell>
          <cell r="AS49">
            <v>123020.83199999998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17960.7</v>
          </cell>
          <cell r="BD49">
            <v>0</v>
          </cell>
          <cell r="BE49">
            <v>0</v>
          </cell>
          <cell r="BF49">
            <v>36069.286999999997</v>
          </cell>
          <cell r="BJ49">
            <v>54029.986999999994</v>
          </cell>
        </row>
        <row r="50">
          <cell r="F50">
            <v>1115068.5369978324</v>
          </cell>
          <cell r="G50">
            <v>93459.97688159073</v>
          </cell>
          <cell r="H50">
            <v>-51370.732592349115</v>
          </cell>
          <cell r="I50">
            <v>-12060.612734281836</v>
          </cell>
          <cell r="J50">
            <v>-97501.120458442165</v>
          </cell>
          <cell r="K50">
            <v>262465.08865901525</v>
          </cell>
          <cell r="L50">
            <v>146060.64790415755</v>
          </cell>
          <cell r="M50">
            <v>19268.486291632886</v>
          </cell>
          <cell r="N50">
            <v>139712.15045996482</v>
          </cell>
          <cell r="O50">
            <v>81520.990384411794</v>
          </cell>
          <cell r="P50">
            <v>197680.5578839441</v>
          </cell>
          <cell r="Q50">
            <v>122824.9717495097</v>
          </cell>
          <cell r="R50">
            <v>-34104.177467087531</v>
          </cell>
          <cell r="S50">
            <v>-43062.057891007804</v>
          </cell>
          <cell r="T50">
            <v>31257.821509193338</v>
          </cell>
          <cell r="U50">
            <v>116856.05633023518</v>
          </cell>
          <cell r="V50">
            <v>-10287.394907235044</v>
          </cell>
          <cell r="W50">
            <v>12806.92075285178</v>
          </cell>
          <cell r="X50">
            <v>0</v>
          </cell>
          <cell r="Y50">
            <v>0</v>
          </cell>
          <cell r="Z50">
            <v>975527.57275610138</v>
          </cell>
          <cell r="AA50">
            <v>43812.607000000004</v>
          </cell>
          <cell r="AB50">
            <v>-640.4190000000001</v>
          </cell>
          <cell r="AC50">
            <v>9028.8140000000003</v>
          </cell>
          <cell r="AD50">
            <v>19595.578000000001</v>
          </cell>
          <cell r="AH50">
            <v>71796.58</v>
          </cell>
          <cell r="AI50">
            <v>1047324.1527561028</v>
          </cell>
          <cell r="AJ50">
            <v>4107.7510963166133</v>
          </cell>
          <cell r="AK50">
            <v>-3601.7713045818127</v>
          </cell>
          <cell r="AL50">
            <v>-16669.677549999979</v>
          </cell>
          <cell r="AN50">
            <v>-16163.697758265203</v>
          </cell>
          <cell r="AO50">
            <v>75267.211000000418</v>
          </cell>
          <cell r="AP50">
            <v>-855.83600000000001</v>
          </cell>
          <cell r="AS50">
            <v>74411.375000000422</v>
          </cell>
          <cell r="AT50">
            <v>3811.0810000000001</v>
          </cell>
          <cell r="AU50">
            <v>-3219.898000000001</v>
          </cell>
          <cell r="AV50">
            <v>61233.110999999997</v>
          </cell>
          <cell r="BA50">
            <v>61824.294000000002</v>
          </cell>
          <cell r="BB50">
            <v>0</v>
          </cell>
          <cell r="BC50">
            <v>-16258.300000000001</v>
          </cell>
          <cell r="BD50">
            <v>0</v>
          </cell>
          <cell r="BE50">
            <v>0</v>
          </cell>
          <cell r="BF50">
            <v>-36069.286999999997</v>
          </cell>
          <cell r="BJ50">
            <v>-52327.586999999992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5">
        <row r="6">
          <cell r="F6" t="str">
            <v>합계</v>
          </cell>
        </row>
      </sheetData>
      <sheetData sheetId="6"/>
      <sheetData sheetId="7">
        <row r="6">
          <cell r="F6" t="str">
            <v>합계</v>
          </cell>
        </row>
      </sheetData>
      <sheetData sheetId="8" refreshError="1"/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/>
          <cell r="BH6"/>
          <cell r="BI6"/>
          <cell r="BJ6" t="str">
            <v>기타 계</v>
          </cell>
          <cell r="BK6"/>
        </row>
        <row r="7">
          <cell r="F7"/>
          <cell r="G7">
            <v>39266</v>
          </cell>
          <cell r="H7">
            <v>24957</v>
          </cell>
          <cell r="I7">
            <v>20905</v>
          </cell>
          <cell r="J7">
            <v>8248</v>
          </cell>
          <cell r="K7">
            <v>24118</v>
          </cell>
          <cell r="L7">
            <v>20168</v>
          </cell>
          <cell r="M7">
            <v>11598</v>
          </cell>
          <cell r="N7">
            <v>18264</v>
          </cell>
          <cell r="O7">
            <v>12092</v>
          </cell>
          <cell r="P7">
            <v>18165</v>
          </cell>
          <cell r="Q7">
            <v>19599.5</v>
          </cell>
          <cell r="R7">
            <v>8130.5</v>
          </cell>
          <cell r="S7">
            <v>20146</v>
          </cell>
          <cell r="T7">
            <v>1813</v>
          </cell>
          <cell r="U7">
            <v>6520</v>
          </cell>
          <cell r="V7">
            <v>8263</v>
          </cell>
          <cell r="W7">
            <v>6328</v>
          </cell>
          <cell r="X7"/>
          <cell r="Y7"/>
          <cell r="Z7">
            <v>268581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268581</v>
          </cell>
          <cell r="AJ7">
            <v>32145</v>
          </cell>
          <cell r="AK7">
            <v>33740</v>
          </cell>
          <cell r="AL7">
            <v>0</v>
          </cell>
          <cell r="AM7"/>
          <cell r="AN7">
            <v>65885</v>
          </cell>
          <cell r="AO7">
            <v>6946.7870000000003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/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35074439.877999999</v>
          </cell>
          <cell r="G8">
            <v>3529829.804</v>
          </cell>
          <cell r="H8">
            <v>2220166.7179999999</v>
          </cell>
          <cell r="I8">
            <v>1836631.7389999998</v>
          </cell>
          <cell r="J8">
            <v>695819.49199999997</v>
          </cell>
          <cell r="K8">
            <v>2452056.5</v>
          </cell>
          <cell r="L8">
            <v>1845033.9</v>
          </cell>
          <cell r="M8">
            <v>1096688.1000000001</v>
          </cell>
          <cell r="N8">
            <v>1770795.1</v>
          </cell>
          <cell r="O8">
            <v>1104913.3999999999</v>
          </cell>
          <cell r="P8">
            <v>1684708.7</v>
          </cell>
          <cell r="Q8">
            <v>1726742.35</v>
          </cell>
          <cell r="R8">
            <v>780759.85</v>
          </cell>
          <cell r="S8">
            <v>1851200.0999999999</v>
          </cell>
          <cell r="T8">
            <v>154212.70000000001</v>
          </cell>
          <cell r="U8">
            <v>582534.35</v>
          </cell>
          <cell r="V8">
            <v>717628.55</v>
          </cell>
          <cell r="W8">
            <v>738134.21499999997</v>
          </cell>
          <cell r="X8"/>
          <cell r="Y8"/>
          <cell r="Z8">
            <v>24787855.568000004</v>
          </cell>
          <cell r="AA8">
            <v>50000</v>
          </cell>
          <cell r="AB8">
            <v>0</v>
          </cell>
          <cell r="AC8">
            <v>0</v>
          </cell>
          <cell r="AD8">
            <v>28340</v>
          </cell>
          <cell r="AE8">
            <v>0</v>
          </cell>
          <cell r="AF8"/>
          <cell r="AG8"/>
          <cell r="AH8">
            <v>78340</v>
          </cell>
          <cell r="AI8">
            <v>24866195.568000004</v>
          </cell>
          <cell r="AJ8">
            <v>905482</v>
          </cell>
          <cell r="AK8">
            <v>393346</v>
          </cell>
          <cell r="AL8">
            <v>0</v>
          </cell>
          <cell r="AM8"/>
          <cell r="AN8">
            <v>1298828</v>
          </cell>
          <cell r="AO8">
            <v>8813634.2919999994</v>
          </cell>
          <cell r="AP8">
            <v>0</v>
          </cell>
          <cell r="AQ8"/>
          <cell r="AR8"/>
          <cell r="AS8">
            <v>8813634.2919999994</v>
          </cell>
          <cell r="AT8">
            <v>5000</v>
          </cell>
          <cell r="AU8">
            <v>8498</v>
          </cell>
          <cell r="AV8">
            <v>0</v>
          </cell>
          <cell r="AW8">
            <v>80617.918000000005</v>
          </cell>
          <cell r="AX8">
            <v>0</v>
          </cell>
          <cell r="AY8"/>
          <cell r="AZ8"/>
          <cell r="BA8">
            <v>94115.918000000005</v>
          </cell>
          <cell r="BB8">
            <v>0</v>
          </cell>
          <cell r="BC8">
            <v>1666.1</v>
          </cell>
          <cell r="BD8">
            <v>0</v>
          </cell>
          <cell r="BE8">
            <v>0</v>
          </cell>
          <cell r="BF8">
            <v>0</v>
          </cell>
          <cell r="BG8"/>
          <cell r="BH8"/>
          <cell r="BI8"/>
          <cell r="BJ8">
            <v>1666.1</v>
          </cell>
          <cell r="BK8"/>
          <cell r="BL8"/>
          <cell r="BM8"/>
          <cell r="BN8"/>
          <cell r="BO8"/>
        </row>
        <row r="9">
          <cell r="F9"/>
          <cell r="G9">
            <v>89895.324300921915</v>
          </cell>
          <cell r="H9">
            <v>88959.679368513825</v>
          </cell>
          <cell r="I9">
            <v>87856.098493183439</v>
          </cell>
          <cell r="J9">
            <v>84362.208050436471</v>
          </cell>
          <cell r="K9">
            <v>101669.14752467036</v>
          </cell>
          <cell r="L9">
            <v>91483.235819119393</v>
          </cell>
          <cell r="M9">
            <v>94558.380755302656</v>
          </cell>
          <cell r="N9">
            <v>96955.491677617174</v>
          </cell>
          <cell r="O9">
            <v>91375.570625206732</v>
          </cell>
          <cell r="P9">
            <v>92744.767409854103</v>
          </cell>
          <cell r="Q9">
            <v>88101.346973137071</v>
          </cell>
          <cell r="R9">
            <v>96028.516081421796</v>
          </cell>
          <cell r="S9">
            <v>91889.213739700179</v>
          </cell>
          <cell r="T9">
            <v>85059.40430226145</v>
          </cell>
          <cell r="U9">
            <v>89345.759202453992</v>
          </cell>
          <cell r="V9">
            <v>86848.426721529715</v>
          </cell>
          <cell r="W9">
            <v>116645.73561946902</v>
          </cell>
          <cell r="X9"/>
          <cell r="Y9"/>
          <cell r="Z9">
            <v>92291.917775270791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92583.598869614754</v>
          </cell>
          <cell r="AJ9">
            <v>28168.673199564473</v>
          </cell>
          <cell r="AK9">
            <v>11658.150563129815</v>
          </cell>
          <cell r="AL9">
            <v>0</v>
          </cell>
          <cell r="AM9"/>
          <cell r="AN9"/>
          <cell r="AO9">
            <v>1268735.3580871271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/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31051399.386709999</v>
          </cell>
          <cell r="G10">
            <v>3028567.2747499999</v>
          </cell>
          <cell r="H10">
            <v>2087822.1187700001</v>
          </cell>
          <cell r="I10">
            <v>1765805.69227</v>
          </cell>
          <cell r="J10">
            <v>665028.83227000001</v>
          </cell>
          <cell r="K10">
            <v>1922234.64705</v>
          </cell>
          <cell r="L10">
            <v>1570155.7703900002</v>
          </cell>
          <cell r="M10">
            <v>949294.62004999991</v>
          </cell>
          <cell r="N10">
            <v>1465000.9449700001</v>
          </cell>
          <cell r="O10">
            <v>916864.85355</v>
          </cell>
          <cell r="P10">
            <v>1317706.1087500001</v>
          </cell>
          <cell r="Q10">
            <v>1420986.26932</v>
          </cell>
          <cell r="R10">
            <v>698388.01911999995</v>
          </cell>
          <cell r="S10">
            <v>1529293.7706400002</v>
          </cell>
          <cell r="T10">
            <v>188288.73455000002</v>
          </cell>
          <cell r="U10">
            <v>474029.75819000002</v>
          </cell>
          <cell r="V10">
            <v>642246.45020000008</v>
          </cell>
          <cell r="W10">
            <v>544187.71716999984</v>
          </cell>
          <cell r="X10"/>
          <cell r="Y10"/>
          <cell r="Z10">
            <v>21185901.582010001</v>
          </cell>
          <cell r="AA10">
            <v>329.089</v>
          </cell>
          <cell r="AB10">
            <v>0</v>
          </cell>
          <cell r="AC10">
            <v>0</v>
          </cell>
          <cell r="AD10">
            <v>8386.0210000000006</v>
          </cell>
          <cell r="AE10">
            <v>0</v>
          </cell>
          <cell r="AF10"/>
          <cell r="AG10"/>
          <cell r="AH10">
            <v>8715.11</v>
          </cell>
          <cell r="AI10">
            <v>21194616.69201</v>
          </cell>
          <cell r="AJ10">
            <v>848845.04072000005</v>
          </cell>
          <cell r="AK10">
            <v>363819.81098000001</v>
          </cell>
          <cell r="AL10">
            <v>0</v>
          </cell>
          <cell r="AM10"/>
          <cell r="AN10">
            <v>1212664.8517</v>
          </cell>
          <cell r="AO10">
            <v>8643854.6140000001</v>
          </cell>
          <cell r="AP10">
            <v>0</v>
          </cell>
          <cell r="AQ10"/>
          <cell r="AR10"/>
          <cell r="AS10">
            <v>8643854.6140000001</v>
          </cell>
          <cell r="AT10">
            <v>98.394999999999996</v>
          </cell>
          <cell r="AU10">
            <v>164.834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263.22899999999998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/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77129.5083469159</v>
          </cell>
          <cell r="H11">
            <v>83656.774402772775</v>
          </cell>
          <cell r="I11">
            <v>84468.102954795497</v>
          </cell>
          <cell r="J11">
            <v>80629.101875606211</v>
          </cell>
          <cell r="K11">
            <v>79701.245835060952</v>
          </cell>
          <cell r="L11">
            <v>77853.816461225724</v>
          </cell>
          <cell r="M11">
            <v>81849.855151750293</v>
          </cell>
          <cell r="N11">
            <v>80212.491511717046</v>
          </cell>
          <cell r="O11">
            <v>75824.086466258683</v>
          </cell>
          <cell r="P11">
            <v>72540.936347371331</v>
          </cell>
          <cell r="Q11">
            <v>72501.148974208525</v>
          </cell>
          <cell r="R11">
            <v>85897.302640673995</v>
          </cell>
          <cell r="S11">
            <v>75910.541578477118</v>
          </cell>
          <cell r="T11">
            <v>103854.79015444017</v>
          </cell>
          <cell r="U11">
            <v>72703.950642638039</v>
          </cell>
          <cell r="V11">
            <v>77725.577901488577</v>
          </cell>
          <cell r="W11">
            <v>85996.794748735745</v>
          </cell>
          <cell r="X11"/>
          <cell r="Y11"/>
          <cell r="Z11">
            <v>78880.864923468151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78913.313644710535</v>
          </cell>
          <cell r="AJ11">
            <v>26406.751927827034</v>
          </cell>
          <cell r="AK11">
            <v>10783.041226437463</v>
          </cell>
          <cell r="AL11">
            <v>0</v>
          </cell>
          <cell r="AM11"/>
          <cell r="AN11"/>
          <cell r="AO11">
            <v>1244295.3287613394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/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4023040.4912899993</v>
          </cell>
          <cell r="G12">
            <v>501262.52925000014</v>
          </cell>
          <cell r="H12">
            <v>132344.59922999982</v>
          </cell>
          <cell r="I12">
            <v>70826.046729999827</v>
          </cell>
          <cell r="J12">
            <v>30790.659729999956</v>
          </cell>
          <cell r="K12">
            <v>529821.85294999997</v>
          </cell>
          <cell r="L12">
            <v>274878.12960999971</v>
          </cell>
          <cell r="M12">
            <v>147393.47995000018</v>
          </cell>
          <cell r="N12">
            <v>305794.15503000002</v>
          </cell>
          <cell r="O12">
            <v>188048.54644999991</v>
          </cell>
          <cell r="P12">
            <v>367002.59124999982</v>
          </cell>
          <cell r="Q12">
            <v>305756.08068000013</v>
          </cell>
          <cell r="R12">
            <v>82371.830880000023</v>
          </cell>
          <cell r="S12">
            <v>321906.32935999963</v>
          </cell>
          <cell r="T12">
            <v>-34076.034550000011</v>
          </cell>
          <cell r="U12">
            <v>108504.59180999995</v>
          </cell>
          <cell r="V12">
            <v>75382.099799999967</v>
          </cell>
          <cell r="W12">
            <v>193946.49783000012</v>
          </cell>
          <cell r="X12"/>
          <cell r="Y12"/>
          <cell r="Z12">
            <v>3601953.9859899995</v>
          </cell>
          <cell r="AA12">
            <v>49670.911</v>
          </cell>
          <cell r="AB12">
            <v>0</v>
          </cell>
          <cell r="AC12">
            <v>0</v>
          </cell>
          <cell r="AD12">
            <v>19953.978999999999</v>
          </cell>
          <cell r="AE12">
            <v>0</v>
          </cell>
          <cell r="AF12"/>
          <cell r="AG12"/>
          <cell r="AH12">
            <v>69624.89</v>
          </cell>
          <cell r="AI12">
            <v>3671578.8759900033</v>
          </cell>
          <cell r="AJ12">
            <v>56636.959279999952</v>
          </cell>
          <cell r="AK12">
            <v>29526.189019999991</v>
          </cell>
          <cell r="AL12">
            <v>0</v>
          </cell>
          <cell r="AM12"/>
          <cell r="AN12">
            <v>86163.148300000001</v>
          </cell>
          <cell r="AO12">
            <v>169779.67799999937</v>
          </cell>
          <cell r="AP12">
            <v>0</v>
          </cell>
          <cell r="AQ12"/>
          <cell r="AR12"/>
          <cell r="AS12">
            <v>169779.67799999937</v>
          </cell>
          <cell r="AT12">
            <v>4901.6049999999996</v>
          </cell>
          <cell r="AU12">
            <v>8333.1659999999993</v>
          </cell>
          <cell r="AV12">
            <v>0</v>
          </cell>
          <cell r="AW12">
            <v>80617.918000000005</v>
          </cell>
          <cell r="AX12">
            <v>0</v>
          </cell>
          <cell r="AY12"/>
          <cell r="AZ12"/>
          <cell r="BA12">
            <v>93852.688999999998</v>
          </cell>
          <cell r="BB12">
            <v>0</v>
          </cell>
          <cell r="BC12">
            <v>1666.1</v>
          </cell>
          <cell r="BD12">
            <v>0</v>
          </cell>
          <cell r="BE12">
            <v>0</v>
          </cell>
          <cell r="BF12">
            <v>0</v>
          </cell>
          <cell r="BG12"/>
          <cell r="BH12"/>
          <cell r="BI12"/>
          <cell r="BJ12">
            <v>1666.1</v>
          </cell>
          <cell r="BK12"/>
          <cell r="BL12"/>
          <cell r="BM12"/>
          <cell r="BN12"/>
          <cell r="BO12"/>
        </row>
        <row r="13">
          <cell r="F13">
            <v>848082.63900000008</v>
          </cell>
          <cell r="G13">
            <v>78082.537000000011</v>
          </cell>
          <cell r="H13">
            <v>70817.948000000004</v>
          </cell>
          <cell r="I13">
            <v>52183.898999999998</v>
          </cell>
          <cell r="J13">
            <v>30568.368999999999</v>
          </cell>
          <cell r="K13">
            <v>65637.986000000004</v>
          </cell>
          <cell r="L13">
            <v>53441.634999999995</v>
          </cell>
          <cell r="M13">
            <v>44048.449000000001</v>
          </cell>
          <cell r="N13">
            <v>43730.553</v>
          </cell>
          <cell r="O13">
            <v>38741.875</v>
          </cell>
          <cell r="P13">
            <v>43329.038999999997</v>
          </cell>
          <cell r="Q13">
            <v>40825.591</v>
          </cell>
          <cell r="R13">
            <v>32668.570999999996</v>
          </cell>
          <cell r="S13">
            <v>47003.967000000004</v>
          </cell>
          <cell r="T13">
            <v>9385.6840000000011</v>
          </cell>
          <cell r="U13">
            <v>12425.826000000001</v>
          </cell>
          <cell r="V13">
            <v>37521.108</v>
          </cell>
          <cell r="W13">
            <v>9269.25</v>
          </cell>
          <cell r="X13"/>
          <cell r="Y13"/>
          <cell r="Z13">
            <v>709682.28700000013</v>
          </cell>
          <cell r="AA13">
            <v>0</v>
          </cell>
          <cell r="AB13">
            <v>365.28700000000003</v>
          </cell>
          <cell r="AC13">
            <v>80.150000000000006</v>
          </cell>
          <cell r="AD13">
            <v>0</v>
          </cell>
          <cell r="AE13">
            <v>276.80200000000002</v>
          </cell>
          <cell r="AF13"/>
          <cell r="AG13"/>
          <cell r="AH13">
            <v>722.23900000000003</v>
          </cell>
          <cell r="AI13">
            <v>710404.52600000007</v>
          </cell>
          <cell r="AJ13">
            <v>8543.5450000000001</v>
          </cell>
          <cell r="AK13">
            <v>0</v>
          </cell>
          <cell r="AL13">
            <v>9333.7300000000014</v>
          </cell>
          <cell r="AM13"/>
          <cell r="AN13">
            <v>17877.275000000001</v>
          </cell>
          <cell r="AO13">
            <v>92516.474000000002</v>
          </cell>
          <cell r="AP13">
            <v>0</v>
          </cell>
          <cell r="AQ13"/>
          <cell r="AR13"/>
          <cell r="AS13">
            <v>92516.474000000002</v>
          </cell>
          <cell r="AT13">
            <v>0</v>
          </cell>
          <cell r="AU13">
            <v>0</v>
          </cell>
          <cell r="AV13">
            <v>17195.337</v>
          </cell>
          <cell r="AW13">
            <v>0</v>
          </cell>
          <cell r="AX13">
            <v>8253.1689999999999</v>
          </cell>
          <cell r="AY13"/>
          <cell r="AZ13"/>
          <cell r="BA13">
            <v>25448.506000000001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1835.8579999999999</v>
          </cell>
          <cell r="BG13"/>
          <cell r="BH13"/>
          <cell r="BI13"/>
          <cell r="BJ13">
            <v>1835.8579999999999</v>
          </cell>
          <cell r="BK13"/>
          <cell r="BL13"/>
          <cell r="BM13"/>
          <cell r="BN13"/>
          <cell r="BO13"/>
        </row>
        <row r="14">
          <cell r="F14">
            <v>571359.33900000004</v>
          </cell>
          <cell r="G14">
            <v>50245.734000000004</v>
          </cell>
          <cell r="H14">
            <v>48307.995999999999</v>
          </cell>
          <cell r="I14">
            <v>34894.163</v>
          </cell>
          <cell r="J14">
            <v>20291.021999999997</v>
          </cell>
          <cell r="K14">
            <v>42124.962</v>
          </cell>
          <cell r="L14">
            <v>35512.031999999999</v>
          </cell>
          <cell r="M14">
            <v>28450.46</v>
          </cell>
          <cell r="N14">
            <v>27262.226999999999</v>
          </cell>
          <cell r="O14">
            <v>27281.302</v>
          </cell>
          <cell r="P14">
            <v>27017.973999999998</v>
          </cell>
          <cell r="Q14">
            <v>27071.062999999998</v>
          </cell>
          <cell r="R14">
            <v>19740.663999999997</v>
          </cell>
          <cell r="S14">
            <v>30867.663</v>
          </cell>
          <cell r="T14">
            <v>6383.52</v>
          </cell>
          <cell r="U14">
            <v>7373.6890000000003</v>
          </cell>
          <cell r="V14">
            <v>26330.328999999998</v>
          </cell>
          <cell r="W14">
            <v>5665.509</v>
          </cell>
          <cell r="X14"/>
          <cell r="Y14"/>
          <cell r="Z14">
            <v>464820.30900000007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464820.30900000007</v>
          </cell>
          <cell r="AJ14">
            <v>7310.09</v>
          </cell>
          <cell r="AK14">
            <v>0</v>
          </cell>
          <cell r="AL14">
            <v>7983.3430000000008</v>
          </cell>
          <cell r="AM14"/>
          <cell r="AN14">
            <v>15293.433000000001</v>
          </cell>
          <cell r="AO14">
            <v>91245.596999999994</v>
          </cell>
          <cell r="AP14">
            <v>0</v>
          </cell>
          <cell r="AQ14"/>
          <cell r="AR14"/>
          <cell r="AS14">
            <v>91245.596999999994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/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276603.30000000005</v>
          </cell>
          <cell r="G15">
            <v>27836.803</v>
          </cell>
          <cell r="H15">
            <v>22509.952000000001</v>
          </cell>
          <cell r="I15">
            <v>17289.735999999997</v>
          </cell>
          <cell r="J15">
            <v>10277.347000000002</v>
          </cell>
          <cell r="K15">
            <v>23513.023999999998</v>
          </cell>
          <cell r="L15">
            <v>17929.602999999999</v>
          </cell>
          <cell r="M15">
            <v>15597.989</v>
          </cell>
          <cell r="N15">
            <v>16468.326000000001</v>
          </cell>
          <cell r="O15">
            <v>11460.572999999999</v>
          </cell>
          <cell r="P15">
            <v>16311.065000000001</v>
          </cell>
          <cell r="Q15">
            <v>13754.527999999998</v>
          </cell>
          <cell r="R15">
            <v>12927.907000000001</v>
          </cell>
          <cell r="S15">
            <v>16136.304</v>
          </cell>
          <cell r="T15">
            <v>3002.1639999999998</v>
          </cell>
          <cell r="U15">
            <v>5052.1369999999997</v>
          </cell>
          <cell r="V15">
            <v>11190.779</v>
          </cell>
          <cell r="W15">
            <v>3603.7410000000004</v>
          </cell>
          <cell r="X15"/>
          <cell r="Y15"/>
          <cell r="Z15">
            <v>244861.97800000003</v>
          </cell>
          <cell r="AA15">
            <v>0</v>
          </cell>
          <cell r="AB15">
            <v>365.28700000000003</v>
          </cell>
          <cell r="AC15">
            <v>80.150000000000006</v>
          </cell>
          <cell r="AD15">
            <v>0</v>
          </cell>
          <cell r="AE15">
            <v>276.80200000000002</v>
          </cell>
          <cell r="AF15"/>
          <cell r="AG15"/>
          <cell r="AH15">
            <v>722.23900000000003</v>
          </cell>
          <cell r="AI15">
            <v>245584.21700000003</v>
          </cell>
          <cell r="AJ15">
            <v>1233.4550000000002</v>
          </cell>
          <cell r="AK15">
            <v>0</v>
          </cell>
          <cell r="AL15">
            <v>1350.3869999999999</v>
          </cell>
          <cell r="AM15"/>
          <cell r="AN15">
            <v>2583.8420000000001</v>
          </cell>
          <cell r="AO15">
            <v>1270.8770000000011</v>
          </cell>
          <cell r="AP15">
            <v>0</v>
          </cell>
          <cell r="AQ15"/>
          <cell r="AR15"/>
          <cell r="AS15">
            <v>1270.8770000000011</v>
          </cell>
          <cell r="AT15">
            <v>0</v>
          </cell>
          <cell r="AU15">
            <v>0</v>
          </cell>
          <cell r="AV15">
            <v>17195.337</v>
          </cell>
          <cell r="AW15">
            <v>0</v>
          </cell>
          <cell r="AX15">
            <v>8253.1689999999999</v>
          </cell>
          <cell r="AY15"/>
          <cell r="AZ15"/>
          <cell r="BA15">
            <v>25448.506000000001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1715.8579999999999</v>
          </cell>
          <cell r="BG15"/>
          <cell r="BH15"/>
          <cell r="BI15"/>
          <cell r="BJ15">
            <v>1715.8579999999999</v>
          </cell>
          <cell r="BK15"/>
          <cell r="BL15"/>
          <cell r="BM15"/>
          <cell r="BN15"/>
          <cell r="BO15"/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/>
          <cell r="BH16"/>
          <cell r="BI16"/>
          <cell r="BJ16">
            <v>120</v>
          </cell>
          <cell r="BK16"/>
          <cell r="BL16"/>
          <cell r="BM16"/>
          <cell r="BN16"/>
          <cell r="BO16"/>
        </row>
        <row r="17">
          <cell r="F17">
            <v>3174957.8522899994</v>
          </cell>
          <cell r="G17">
            <v>423179.99225000013</v>
          </cell>
          <cell r="H17">
            <v>61526.651229999814</v>
          </cell>
          <cell r="I17">
            <v>18642.14772999983</v>
          </cell>
          <cell r="J17">
            <v>222.29072999995697</v>
          </cell>
          <cell r="K17">
            <v>464183.86694999994</v>
          </cell>
          <cell r="L17">
            <v>221436.4946099997</v>
          </cell>
          <cell r="M17">
            <v>103345.03095000019</v>
          </cell>
          <cell r="N17">
            <v>262063.60203000001</v>
          </cell>
          <cell r="O17">
            <v>149306.67144999991</v>
          </cell>
          <cell r="P17">
            <v>323673.55224999983</v>
          </cell>
          <cell r="Q17">
            <v>264930.48968000012</v>
          </cell>
          <cell r="R17">
            <v>49703.259880000027</v>
          </cell>
          <cell r="S17">
            <v>274902.36235999962</v>
          </cell>
          <cell r="T17">
            <v>-43461.718550000012</v>
          </cell>
          <cell r="U17">
            <v>96078.765809999953</v>
          </cell>
          <cell r="V17">
            <v>37860.991799999967</v>
          </cell>
          <cell r="W17">
            <v>184677.24783000012</v>
          </cell>
          <cell r="X17"/>
          <cell r="Y17"/>
          <cell r="Z17">
            <v>2892271.6989899995</v>
          </cell>
          <cell r="AA17">
            <v>49670.911</v>
          </cell>
          <cell r="AB17">
            <v>-365.28700000000003</v>
          </cell>
          <cell r="AC17">
            <v>-80.150000000000006</v>
          </cell>
          <cell r="AD17">
            <v>19953.978999999999</v>
          </cell>
          <cell r="AE17">
            <v>-276.80200000000002</v>
          </cell>
          <cell r="AF17"/>
          <cell r="AG17"/>
          <cell r="AH17">
            <v>68902.650999999998</v>
          </cell>
          <cell r="AI17">
            <v>2961174.3499900033</v>
          </cell>
          <cell r="AJ17">
            <v>48093.414279999954</v>
          </cell>
          <cell r="AK17">
            <v>29526.189019999991</v>
          </cell>
          <cell r="AL17">
            <v>-9333.7300000000014</v>
          </cell>
          <cell r="AM17"/>
          <cell r="AN17">
            <v>68285.873300000007</v>
          </cell>
          <cell r="AO17">
            <v>77263.203999999372</v>
          </cell>
          <cell r="AP17">
            <v>0</v>
          </cell>
          <cell r="AQ17"/>
          <cell r="AR17"/>
          <cell r="AS17">
            <v>77263.203999999372</v>
          </cell>
          <cell r="AT17">
            <v>4901.6049999999996</v>
          </cell>
          <cell r="AU17">
            <v>8333.1659999999993</v>
          </cell>
          <cell r="AV17">
            <v>-17195.337</v>
          </cell>
          <cell r="AW17">
            <v>80617.918000000005</v>
          </cell>
          <cell r="AX17">
            <v>-8253.1689999999999</v>
          </cell>
          <cell r="AY17"/>
          <cell r="AZ17"/>
          <cell r="BA17">
            <v>68404.183000000005</v>
          </cell>
          <cell r="BB17">
            <v>0</v>
          </cell>
          <cell r="BC17">
            <v>1666.1</v>
          </cell>
          <cell r="BD17">
            <v>0</v>
          </cell>
          <cell r="BE17">
            <v>0</v>
          </cell>
          <cell r="BF17">
            <v>-1835.8579999999999</v>
          </cell>
          <cell r="BG17"/>
          <cell r="BH17"/>
          <cell r="BI17"/>
          <cell r="BJ17">
            <v>-169.75800000000004</v>
          </cell>
          <cell r="BK17"/>
          <cell r="BL17"/>
          <cell r="BM17"/>
          <cell r="BN17"/>
          <cell r="BO17"/>
        </row>
        <row r="18">
          <cell r="F18">
            <v>466322.73829000001</v>
          </cell>
          <cell r="G18">
            <v>29888.858250000001</v>
          </cell>
          <cell r="H18">
            <v>32232.855230000001</v>
          </cell>
          <cell r="I18">
            <v>17998.381730000001</v>
          </cell>
          <cell r="J18">
            <v>15905.363730000001</v>
          </cell>
          <cell r="K18">
            <v>31148.10095</v>
          </cell>
          <cell r="L18">
            <v>34165.054609999999</v>
          </cell>
          <cell r="M18">
            <v>16011.16295</v>
          </cell>
          <cell r="N18">
            <v>26342.551030000002</v>
          </cell>
          <cell r="O18">
            <v>11030.717449999998</v>
          </cell>
          <cell r="P18">
            <v>31647.94025</v>
          </cell>
          <cell r="Q18">
            <v>13301.203680000001</v>
          </cell>
          <cell r="R18">
            <v>10858.561880000001</v>
          </cell>
          <cell r="S18">
            <v>33121.838360000002</v>
          </cell>
          <cell r="T18">
            <v>5004.3974500000004</v>
          </cell>
          <cell r="U18">
            <v>10018.06781</v>
          </cell>
          <cell r="V18">
            <v>23183.519800000002</v>
          </cell>
          <cell r="W18">
            <v>9003.7898299999997</v>
          </cell>
          <cell r="X18"/>
          <cell r="Y18"/>
          <cell r="Z18">
            <v>350862.36499000003</v>
          </cell>
          <cell r="AA18">
            <v>5569.95</v>
          </cell>
          <cell r="AB18">
            <v>353.67200000000003</v>
          </cell>
          <cell r="AC18">
            <v>3293.828</v>
          </cell>
          <cell r="AD18">
            <v>0</v>
          </cell>
          <cell r="AE18">
            <v>0</v>
          </cell>
          <cell r="AF18"/>
          <cell r="AG18"/>
          <cell r="AH18">
            <v>9217.4499999999989</v>
          </cell>
          <cell r="AI18">
            <v>360079.81498999998</v>
          </cell>
          <cell r="AJ18">
            <v>34095.205280000002</v>
          </cell>
          <cell r="AK18">
            <v>15756.112019999999</v>
          </cell>
          <cell r="AL18">
            <v>0</v>
          </cell>
          <cell r="AM18"/>
          <cell r="AN18">
            <v>49851.317300000002</v>
          </cell>
          <cell r="AO18">
            <v>2864.27</v>
          </cell>
          <cell r="AP18">
            <v>855.83600000000001</v>
          </cell>
          <cell r="AQ18"/>
          <cell r="AR18"/>
          <cell r="AS18">
            <v>3720.1059999999998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17813.96</v>
          </cell>
          <cell r="BD18">
            <v>0</v>
          </cell>
          <cell r="BE18">
            <v>0</v>
          </cell>
          <cell r="BF18">
            <v>6364.9850000000006</v>
          </cell>
          <cell r="BG18"/>
          <cell r="BH18"/>
          <cell r="BI18"/>
          <cell r="BJ18">
            <v>24178.945</v>
          </cell>
          <cell r="BK18"/>
          <cell r="BL18"/>
          <cell r="BM18"/>
          <cell r="BN18"/>
          <cell r="BO18"/>
        </row>
        <row r="19">
          <cell r="F19">
            <v>400101.97328999999</v>
          </cell>
          <cell r="G19">
            <v>28423.731250000001</v>
          </cell>
          <cell r="H19">
            <v>30485.468230000002</v>
          </cell>
          <cell r="I19">
            <v>16583.280730000002</v>
          </cell>
          <cell r="J19">
            <v>15266.186730000001</v>
          </cell>
          <cell r="K19">
            <v>29922.52795</v>
          </cell>
          <cell r="L19">
            <v>33251.14561</v>
          </cell>
          <cell r="M19">
            <v>15019.70595</v>
          </cell>
          <cell r="N19">
            <v>25135.392030000003</v>
          </cell>
          <cell r="O19">
            <v>9823.5584499999986</v>
          </cell>
          <cell r="P19">
            <v>30973.666249999998</v>
          </cell>
          <cell r="Q19">
            <v>12640.30768</v>
          </cell>
          <cell r="R19">
            <v>10404.179880000002</v>
          </cell>
          <cell r="S19">
            <v>32184.130359999999</v>
          </cell>
          <cell r="T19">
            <v>4739.99845</v>
          </cell>
          <cell r="U19">
            <v>9565.3388100000011</v>
          </cell>
          <cell r="V19">
            <v>22250.054800000002</v>
          </cell>
          <cell r="W19">
            <v>8538.96083</v>
          </cell>
          <cell r="X19"/>
          <cell r="Y19"/>
          <cell r="Z19">
            <v>335207.63399</v>
          </cell>
          <cell r="AA19">
            <v>5569.95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5569.95</v>
          </cell>
          <cell r="AI19">
            <v>340777.58399000001</v>
          </cell>
          <cell r="AJ19">
            <v>33765.777280000002</v>
          </cell>
          <cell r="AK19">
            <v>15756.112019999999</v>
          </cell>
          <cell r="AL19">
            <v>0</v>
          </cell>
          <cell r="AM19"/>
          <cell r="AN19">
            <v>49521.889300000003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/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66220.764999999985</v>
          </cell>
          <cell r="G20">
            <v>1465.127</v>
          </cell>
          <cell r="H20">
            <v>1747.3869999999999</v>
          </cell>
          <cell r="I20">
            <v>1415.1010000000001</v>
          </cell>
          <cell r="J20">
            <v>639.17700000000002</v>
          </cell>
          <cell r="K20">
            <v>1225.5730000000001</v>
          </cell>
          <cell r="L20">
            <v>913.90899999999999</v>
          </cell>
          <cell r="M20">
            <v>991.45699999999999</v>
          </cell>
          <cell r="N20">
            <v>1207.1590000000001</v>
          </cell>
          <cell r="O20">
            <v>1207.1590000000001</v>
          </cell>
          <cell r="P20">
            <v>674.274</v>
          </cell>
          <cell r="Q20">
            <v>660.89599999999996</v>
          </cell>
          <cell r="R20">
            <v>454.38200000000001</v>
          </cell>
          <cell r="S20">
            <v>937.70799999999997</v>
          </cell>
          <cell r="T20">
            <v>264.399</v>
          </cell>
          <cell r="U20">
            <v>452.72899999999998</v>
          </cell>
          <cell r="V20">
            <v>933.46500000000003</v>
          </cell>
          <cell r="W20">
            <v>464.82900000000001</v>
          </cell>
          <cell r="X20"/>
          <cell r="Y20"/>
          <cell r="Z20">
            <v>15654.730999999998</v>
          </cell>
          <cell r="AA20">
            <v>0</v>
          </cell>
          <cell r="AB20">
            <v>353.67200000000003</v>
          </cell>
          <cell r="AC20">
            <v>3293.828</v>
          </cell>
          <cell r="AD20">
            <v>0</v>
          </cell>
          <cell r="AE20">
            <v>0</v>
          </cell>
          <cell r="AF20"/>
          <cell r="AG20"/>
          <cell r="AH20">
            <v>3647.5</v>
          </cell>
          <cell r="AI20">
            <v>19302.231</v>
          </cell>
          <cell r="AJ20">
            <v>329.428</v>
          </cell>
          <cell r="AK20">
            <v>0</v>
          </cell>
          <cell r="AL20">
            <v>0</v>
          </cell>
          <cell r="AM20"/>
          <cell r="AN20">
            <v>329.428</v>
          </cell>
          <cell r="AO20">
            <v>2864.27</v>
          </cell>
          <cell r="AP20">
            <v>855.83600000000001</v>
          </cell>
          <cell r="AQ20"/>
          <cell r="AR20"/>
          <cell r="AS20">
            <v>3720.1059999999998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17813.96</v>
          </cell>
          <cell r="BD20">
            <v>0</v>
          </cell>
          <cell r="BE20">
            <v>0</v>
          </cell>
          <cell r="BF20">
            <v>6364.9850000000006</v>
          </cell>
          <cell r="BG20"/>
          <cell r="BH20"/>
          <cell r="BI20"/>
          <cell r="BJ20">
            <v>24178.945</v>
          </cell>
          <cell r="BK20"/>
          <cell r="BL20"/>
          <cell r="BM20"/>
          <cell r="BN20"/>
          <cell r="BO20"/>
        </row>
        <row r="21">
          <cell r="F21">
            <v>2708635.1139999991</v>
          </cell>
          <cell r="G21">
            <v>393291.13400000014</v>
          </cell>
          <cell r="H21">
            <v>29293.795999999813</v>
          </cell>
          <cell r="I21">
            <v>643.76599999982864</v>
          </cell>
          <cell r="J21">
            <v>-15683.073000000044</v>
          </cell>
          <cell r="K21">
            <v>433035.76599999995</v>
          </cell>
          <cell r="L21">
            <v>187271.43999999971</v>
          </cell>
          <cell r="M21">
            <v>87333.868000000191</v>
          </cell>
          <cell r="N21">
            <v>235721.05100000001</v>
          </cell>
          <cell r="O21">
            <v>138275.95399999991</v>
          </cell>
          <cell r="P21">
            <v>292025.61199999985</v>
          </cell>
          <cell r="Q21">
            <v>251629.28600000011</v>
          </cell>
          <cell r="R21">
            <v>38844.698000000026</v>
          </cell>
          <cell r="S21">
            <v>241780.52399999963</v>
          </cell>
          <cell r="T21">
            <v>-48466.116000000009</v>
          </cell>
          <cell r="U21">
            <v>86060.697999999946</v>
          </cell>
          <cell r="V21">
            <v>14677.471999999965</v>
          </cell>
          <cell r="W21">
            <v>175673.45800000013</v>
          </cell>
          <cell r="X21"/>
          <cell r="Y21"/>
          <cell r="Z21">
            <v>2541409.3339999993</v>
          </cell>
          <cell r="AA21">
            <v>44100.961000000003</v>
          </cell>
          <cell r="AB21">
            <v>-718.95900000000006</v>
          </cell>
          <cell r="AC21">
            <v>-3373.9780000000001</v>
          </cell>
          <cell r="AD21">
            <v>19953.978999999999</v>
          </cell>
          <cell r="AE21">
            <v>-276.80200000000002</v>
          </cell>
          <cell r="AF21"/>
          <cell r="AG21"/>
          <cell r="AH21">
            <v>59685.201000000001</v>
          </cell>
          <cell r="AI21">
            <v>2601094.5350000034</v>
          </cell>
          <cell r="AJ21">
            <v>13998.208999999952</v>
          </cell>
          <cell r="AK21">
            <v>13770.076999999992</v>
          </cell>
          <cell r="AL21">
            <v>-9333.7300000000014</v>
          </cell>
          <cell r="AM21"/>
          <cell r="AN21">
            <v>18434.556000000004</v>
          </cell>
          <cell r="AO21">
            <v>74398.933999999368</v>
          </cell>
          <cell r="AP21">
            <v>-855.83600000000001</v>
          </cell>
          <cell r="AQ21"/>
          <cell r="AR21"/>
          <cell r="AS21">
            <v>73543.097999999372</v>
          </cell>
          <cell r="AT21">
            <v>3588.7129999999997</v>
          </cell>
          <cell r="AU21">
            <v>-156.44200000000092</v>
          </cell>
          <cell r="AV21">
            <v>-17627.506999999998</v>
          </cell>
          <cell r="AW21">
            <v>80617.918000000005</v>
          </cell>
          <cell r="AX21">
            <v>-26511.053999999996</v>
          </cell>
          <cell r="AY21"/>
          <cell r="AZ21"/>
          <cell r="BA21">
            <v>39911.628000000004</v>
          </cell>
          <cell r="BB21">
            <v>0</v>
          </cell>
          <cell r="BC21">
            <v>-16147.859999999999</v>
          </cell>
          <cell r="BD21">
            <v>0</v>
          </cell>
          <cell r="BE21">
            <v>0</v>
          </cell>
          <cell r="BF21">
            <v>-8200.8430000000008</v>
          </cell>
          <cell r="BG21"/>
          <cell r="BH21"/>
          <cell r="BI21"/>
          <cell r="BJ21">
            <v>-24348.703000000001</v>
          </cell>
          <cell r="BK21"/>
          <cell r="BL21"/>
          <cell r="BM21"/>
          <cell r="BN21"/>
          <cell r="BO21"/>
        </row>
        <row r="22">
          <cell r="F22">
            <v>1236277.392</v>
          </cell>
          <cell r="G22">
            <v>178353.43728181152</v>
          </cell>
          <cell r="H22">
            <v>112179.44985485151</v>
          </cell>
          <cell r="I22">
            <v>92800.390347523091</v>
          </cell>
          <cell r="J22">
            <v>35158.011863702865</v>
          </cell>
          <cell r="K22">
            <v>122587.72280259361</v>
          </cell>
          <cell r="L22">
            <v>92240.331450188125</v>
          </cell>
          <cell r="M22">
            <v>54827.650506300757</v>
          </cell>
          <cell r="N22">
            <v>88528.848686394878</v>
          </cell>
          <cell r="O22">
            <v>55238.864846740369</v>
          </cell>
          <cell r="P22">
            <v>84225.058891880282</v>
          </cell>
          <cell r="Q22">
            <v>86326.482506948392</v>
          </cell>
          <cell r="R22">
            <v>39033.183805998997</v>
          </cell>
          <cell r="S22">
            <v>89168.853613391082</v>
          </cell>
          <cell r="T22">
            <v>7428.137926108473</v>
          </cell>
          <cell r="U22">
            <v>28059.592358450034</v>
          </cell>
          <cell r="V22">
            <v>34566.827823604872</v>
          </cell>
          <cell r="W22">
            <v>35554.547433511019</v>
          </cell>
          <cell r="X22"/>
          <cell r="Y22"/>
          <cell r="Z22">
            <v>1236277.392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1236277.392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/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181163.77399999998</v>
          </cell>
          <cell r="G23">
            <v>28103.590730717948</v>
          </cell>
          <cell r="H23">
            <v>17676.392421506476</v>
          </cell>
          <cell r="I23">
            <v>14622.786248054123</v>
          </cell>
          <cell r="J23">
            <v>5539.9345893290192</v>
          </cell>
          <cell r="K23">
            <v>18214.103303399312</v>
          </cell>
          <cell r="L23">
            <v>13705.083081435403</v>
          </cell>
          <cell r="M23">
            <v>8146.3010110120686</v>
          </cell>
          <cell r="N23">
            <v>13153.630383538599</v>
          </cell>
          <cell r="O23">
            <v>8207.3993029565845</v>
          </cell>
          <cell r="P23">
            <v>12514.172613043607</v>
          </cell>
          <cell r="Q23">
            <v>12826.402467175814</v>
          </cell>
          <cell r="R23">
            <v>5799.5566427798676</v>
          </cell>
          <cell r="S23">
            <v>10371.13632821825</v>
          </cell>
          <cell r="T23">
            <v>863.95897193535313</v>
          </cell>
          <cell r="U23">
            <v>3263.5819108479986</v>
          </cell>
          <cell r="V23">
            <v>4020.4316783861391</v>
          </cell>
          <cell r="W23">
            <v>4135.3123156634238</v>
          </cell>
          <cell r="X23"/>
          <cell r="Y23"/>
          <cell r="Z23">
            <v>181163.77399999998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181163.77399999998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/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391540.14399999991</v>
          </cell>
          <cell r="G24">
            <v>55755.935238619088</v>
          </cell>
          <cell r="H24">
            <v>35068.963270543427</v>
          </cell>
          <cell r="I24">
            <v>29010.781250935452</v>
          </cell>
          <cell r="J24">
            <v>10990.917037914171</v>
          </cell>
          <cell r="K24">
            <v>38731.811732256254</v>
          </cell>
          <cell r="L24">
            <v>29143.498795574455</v>
          </cell>
          <cell r="M24">
            <v>17322.89489177995</v>
          </cell>
          <cell r="N24">
            <v>27970.849134023578</v>
          </cell>
          <cell r="O24">
            <v>17452.818803011734</v>
          </cell>
          <cell r="P24">
            <v>26611.058999698493</v>
          </cell>
          <cell r="Q24">
            <v>27275.00757438246</v>
          </cell>
          <cell r="R24">
            <v>12332.604700709235</v>
          </cell>
          <cell r="S24">
            <v>29240.897896085979</v>
          </cell>
          <cell r="T24">
            <v>2435.8889214514084</v>
          </cell>
          <cell r="U24">
            <v>9201.5052555976054</v>
          </cell>
          <cell r="V24">
            <v>11335.405155750712</v>
          </cell>
          <cell r="W24">
            <v>11659.305341665968</v>
          </cell>
          <cell r="X24"/>
          <cell r="Y24"/>
          <cell r="Z24">
            <v>391540.14399999991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391540.14399999991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/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663573.47400000005</v>
          </cell>
          <cell r="G25">
            <v>94493.911312474491</v>
          </cell>
          <cell r="H25">
            <v>59434.094162801608</v>
          </cell>
          <cell r="I25">
            <v>49166.822848533513</v>
          </cell>
          <cell r="J25">
            <v>18627.160236459677</v>
          </cell>
          <cell r="K25">
            <v>65641.807766938044</v>
          </cell>
          <cell r="L25">
            <v>49391.749573178262</v>
          </cell>
          <cell r="M25">
            <v>29358.454603508741</v>
          </cell>
          <cell r="N25">
            <v>47404.369168832702</v>
          </cell>
          <cell r="O25">
            <v>29578.646740772048</v>
          </cell>
          <cell r="P25">
            <v>45099.827279138182</v>
          </cell>
          <cell r="Q25">
            <v>46225.07246539012</v>
          </cell>
          <cell r="R25">
            <v>20901.022462509889</v>
          </cell>
          <cell r="S25">
            <v>49556.819389086864</v>
          </cell>
          <cell r="T25">
            <v>4128.2900327217121</v>
          </cell>
          <cell r="U25">
            <v>15594.505192004428</v>
          </cell>
          <cell r="V25">
            <v>19210.99098946802</v>
          </cell>
          <cell r="W25">
            <v>19759.929776181631</v>
          </cell>
          <cell r="X25"/>
          <cell r="Y25"/>
          <cell r="Z25">
            <v>663573.47400000005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663573.47400000005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/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1472357.7219999991</v>
          </cell>
          <cell r="G26">
            <v>214937.69671818861</v>
          </cell>
          <cell r="H26">
            <v>-82885.653854851698</v>
          </cell>
          <cell r="I26">
            <v>-92156.624347523262</v>
          </cell>
          <cell r="J26">
            <v>-50841.084863702912</v>
          </cell>
          <cell r="K26">
            <v>310448.04319740634</v>
          </cell>
          <cell r="L26">
            <v>95031.108549811586</v>
          </cell>
          <cell r="M26">
            <v>32506.217493699434</v>
          </cell>
          <cell r="N26">
            <v>147192.20231360511</v>
          </cell>
          <cell r="O26">
            <v>83037.089153259541</v>
          </cell>
          <cell r="P26">
            <v>207800.55310811958</v>
          </cell>
          <cell r="Q26">
            <v>165302.80349305173</v>
          </cell>
          <cell r="R26">
            <v>-188.48580599897105</v>
          </cell>
          <cell r="S26">
            <v>152611.67038660854</v>
          </cell>
          <cell r="T26">
            <v>-55894.253926108482</v>
          </cell>
          <cell r="U26">
            <v>58001.105641549912</v>
          </cell>
          <cell r="V26">
            <v>-19889.355823604907</v>
          </cell>
          <cell r="W26">
            <v>140118.9105664891</v>
          </cell>
          <cell r="X26"/>
          <cell r="Y26"/>
          <cell r="Z26">
            <v>1305131.9419999993</v>
          </cell>
          <cell r="AA26">
            <v>44100.961000000003</v>
          </cell>
          <cell r="AB26">
            <v>-718.95900000000006</v>
          </cell>
          <cell r="AC26">
            <v>-3373.9780000000001</v>
          </cell>
          <cell r="AD26">
            <v>19953.978999999999</v>
          </cell>
          <cell r="AE26">
            <v>-276.80200000000002</v>
          </cell>
          <cell r="AF26"/>
          <cell r="AG26"/>
          <cell r="AH26">
            <v>59685.201000000001</v>
          </cell>
          <cell r="AI26">
            <v>1364817.1430000034</v>
          </cell>
          <cell r="AJ26">
            <v>13998.208999999952</v>
          </cell>
          <cell r="AK26">
            <v>13770.076999999992</v>
          </cell>
          <cell r="AL26">
            <v>-9333.7300000000014</v>
          </cell>
          <cell r="AM26"/>
          <cell r="AN26">
            <v>18434.556000000004</v>
          </cell>
          <cell r="AO26">
            <v>74398.933999999368</v>
          </cell>
          <cell r="AP26">
            <v>-855.83600000000001</v>
          </cell>
          <cell r="AQ26"/>
          <cell r="AR26"/>
          <cell r="AS26">
            <v>73543.097999999372</v>
          </cell>
          <cell r="AT26">
            <v>3588.7129999999997</v>
          </cell>
          <cell r="AU26">
            <v>-156.44200000000092</v>
          </cell>
          <cell r="AV26">
            <v>-17627.506999999998</v>
          </cell>
          <cell r="AW26">
            <v>80617.918000000005</v>
          </cell>
          <cell r="AX26">
            <v>-26511.053999999996</v>
          </cell>
          <cell r="AY26"/>
          <cell r="AZ26"/>
          <cell r="BA26">
            <v>39911.628000000004</v>
          </cell>
          <cell r="BB26">
            <v>0</v>
          </cell>
          <cell r="BC26">
            <v>-16147.859999999999</v>
          </cell>
          <cell r="BD26">
            <v>0</v>
          </cell>
          <cell r="BE26">
            <v>0</v>
          </cell>
          <cell r="BF26">
            <v>-8200.8430000000008</v>
          </cell>
          <cell r="BG26"/>
          <cell r="BH26"/>
          <cell r="BI26"/>
          <cell r="BJ26">
            <v>-24348.703000000001</v>
          </cell>
          <cell r="BK26"/>
          <cell r="BL26"/>
          <cell r="BM26"/>
          <cell r="BN26"/>
          <cell r="BO26"/>
        </row>
        <row r="27">
          <cell r="F27">
            <v>1472357.7219999987</v>
          </cell>
          <cell r="G27">
            <v>214937.69671818858</v>
          </cell>
          <cell r="H27">
            <v>-82885.653854851698</v>
          </cell>
          <cell r="I27">
            <v>-92156.624347523248</v>
          </cell>
          <cell r="J27">
            <v>-50841.084863702912</v>
          </cell>
          <cell r="K27">
            <v>310448.0431974064</v>
          </cell>
          <cell r="L27">
            <v>95031.108549811572</v>
          </cell>
          <cell r="M27">
            <v>32506.217493699438</v>
          </cell>
          <cell r="N27">
            <v>147192.20231360508</v>
          </cell>
          <cell r="O27">
            <v>83037.089153259541</v>
          </cell>
          <cell r="P27">
            <v>207800.55310811952</v>
          </cell>
          <cell r="Q27">
            <v>165302.8034930517</v>
          </cell>
          <cell r="R27">
            <v>-188.48580599896781</v>
          </cell>
          <cell r="S27">
            <v>152611.67038660849</v>
          </cell>
          <cell r="T27">
            <v>-55894.253926108482</v>
          </cell>
          <cell r="U27">
            <v>58001.105641549926</v>
          </cell>
          <cell r="V27">
            <v>-19889.355823604903</v>
          </cell>
          <cell r="W27">
            <v>140118.91056648912</v>
          </cell>
          <cell r="X27"/>
          <cell r="Y27"/>
          <cell r="Z27">
            <v>1305131.9419999991</v>
          </cell>
          <cell r="AA27">
            <v>44100.961000000003</v>
          </cell>
          <cell r="AB27">
            <v>-718.95900000000006</v>
          </cell>
          <cell r="AC27">
            <v>-3373.9780000000001</v>
          </cell>
          <cell r="AD27">
            <v>19953.978999999999</v>
          </cell>
          <cell r="AE27">
            <v>-276.80200000000002</v>
          </cell>
          <cell r="AF27"/>
          <cell r="AG27"/>
          <cell r="AH27">
            <v>59685.200999999994</v>
          </cell>
          <cell r="AI27">
            <v>1364817.142999999</v>
          </cell>
          <cell r="AJ27">
            <v>13998.208999999952</v>
          </cell>
          <cell r="AK27">
            <v>13770.076999999992</v>
          </cell>
          <cell r="AL27">
            <v>-9333.7300000000014</v>
          </cell>
          <cell r="AM27"/>
          <cell r="AN27">
            <v>18434.555999999939</v>
          </cell>
          <cell r="AO27">
            <v>74398.933999999368</v>
          </cell>
          <cell r="AP27">
            <v>-855.83600000000001</v>
          </cell>
          <cell r="AQ27"/>
          <cell r="AR27"/>
          <cell r="AS27">
            <v>73543.097999999372</v>
          </cell>
          <cell r="AT27">
            <v>3588.7129999999997</v>
          </cell>
          <cell r="AU27">
            <v>-156.44200000000092</v>
          </cell>
          <cell r="AV27">
            <v>-17627.506999999998</v>
          </cell>
          <cell r="AW27">
            <v>80617.918000000005</v>
          </cell>
          <cell r="AX27">
            <v>-26511.053999999996</v>
          </cell>
          <cell r="AY27"/>
          <cell r="AZ27"/>
          <cell r="BA27">
            <v>39911.628000000004</v>
          </cell>
          <cell r="BB27">
            <v>0</v>
          </cell>
          <cell r="BC27">
            <v>-16147.859999999999</v>
          </cell>
          <cell r="BD27">
            <v>0</v>
          </cell>
          <cell r="BE27">
            <v>0</v>
          </cell>
          <cell r="BF27">
            <v>-8200.8430000000008</v>
          </cell>
          <cell r="BG27"/>
          <cell r="BH27"/>
          <cell r="BI27"/>
          <cell r="BJ27">
            <v>-24348.703000000001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-3.2400748750660568E-12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4.4237822294235229E-9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6.5483618527650833E-11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/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39266</v>
          </cell>
          <cell r="H31">
            <v>24957</v>
          </cell>
          <cell r="I31">
            <v>20905</v>
          </cell>
          <cell r="J31">
            <v>8248</v>
          </cell>
          <cell r="K31">
            <v>24118</v>
          </cell>
          <cell r="L31">
            <v>20168</v>
          </cell>
          <cell r="M31">
            <v>11598</v>
          </cell>
          <cell r="N31">
            <v>18264</v>
          </cell>
          <cell r="O31">
            <v>12092</v>
          </cell>
          <cell r="P31">
            <v>18165</v>
          </cell>
          <cell r="Q31">
            <v>19599.5</v>
          </cell>
          <cell r="R31">
            <v>8130.5</v>
          </cell>
          <cell r="S31">
            <v>20146</v>
          </cell>
          <cell r="T31">
            <v>1813</v>
          </cell>
          <cell r="U31">
            <v>6520</v>
          </cell>
          <cell r="V31">
            <v>8263</v>
          </cell>
          <cell r="W31">
            <v>6328</v>
          </cell>
          <cell r="X31">
            <v>0</v>
          </cell>
          <cell r="Y31">
            <v>0</v>
          </cell>
          <cell r="Z31">
            <v>268581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268581</v>
          </cell>
          <cell r="AJ31">
            <v>32145</v>
          </cell>
          <cell r="AK31">
            <v>33740</v>
          </cell>
          <cell r="AL31">
            <v>0</v>
          </cell>
          <cell r="AM31"/>
          <cell r="AN31">
            <v>65885</v>
          </cell>
          <cell r="AO31">
            <v>6946.7870000000003</v>
          </cell>
          <cell r="AP31">
            <v>0</v>
          </cell>
          <cell r="AQ31"/>
          <cell r="AR31"/>
          <cell r="AS31">
            <v>6946.7870000000003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/>
          <cell r="BH31"/>
          <cell r="BI31"/>
          <cell r="BJ31">
            <v>0</v>
          </cell>
        </row>
        <row r="32">
          <cell r="F32">
            <v>35074439.877999999</v>
          </cell>
          <cell r="G32">
            <v>3529829.804</v>
          </cell>
          <cell r="H32">
            <v>2220166.7179999999</v>
          </cell>
          <cell r="I32">
            <v>1836631.7389999998</v>
          </cell>
          <cell r="J32">
            <v>695819.49199999997</v>
          </cell>
          <cell r="K32">
            <v>2452056.5</v>
          </cell>
          <cell r="L32">
            <v>1845033.9</v>
          </cell>
          <cell r="M32">
            <v>1096688.1000000001</v>
          </cell>
          <cell r="N32">
            <v>1770795.1</v>
          </cell>
          <cell r="O32">
            <v>1104913.3999999999</v>
          </cell>
          <cell r="P32">
            <v>1684708.7</v>
          </cell>
          <cell r="Q32">
            <v>1726742.35</v>
          </cell>
          <cell r="R32">
            <v>780759.85</v>
          </cell>
          <cell r="S32">
            <v>1851200.0999999999</v>
          </cell>
          <cell r="T32">
            <v>154212.70000000001</v>
          </cell>
          <cell r="U32">
            <v>582534.35</v>
          </cell>
          <cell r="V32">
            <v>717628.55</v>
          </cell>
          <cell r="W32">
            <v>738134.21499999997</v>
          </cell>
          <cell r="X32">
            <v>0</v>
          </cell>
          <cell r="Y32">
            <v>0</v>
          </cell>
          <cell r="Z32">
            <v>24787855.568000004</v>
          </cell>
          <cell r="AA32">
            <v>50000</v>
          </cell>
          <cell r="AB32">
            <v>0</v>
          </cell>
          <cell r="AC32">
            <v>0</v>
          </cell>
          <cell r="AD32">
            <v>28340</v>
          </cell>
          <cell r="AE32">
            <v>0</v>
          </cell>
          <cell r="AF32"/>
          <cell r="AG32"/>
          <cell r="AH32">
            <v>78340</v>
          </cell>
          <cell r="AI32">
            <v>24866195.568000004</v>
          </cell>
          <cell r="AJ32">
            <v>905482</v>
          </cell>
          <cell r="AK32">
            <v>393346</v>
          </cell>
          <cell r="AL32">
            <v>0</v>
          </cell>
          <cell r="AM32"/>
          <cell r="AN32">
            <v>1298828</v>
          </cell>
          <cell r="AO32">
            <v>8813634.2919999994</v>
          </cell>
          <cell r="AP32">
            <v>0</v>
          </cell>
          <cell r="AQ32"/>
          <cell r="AR32"/>
          <cell r="AS32">
            <v>8813634.2919999994</v>
          </cell>
          <cell r="AT32">
            <v>5000</v>
          </cell>
          <cell r="AU32">
            <v>8498</v>
          </cell>
          <cell r="AV32">
            <v>0</v>
          </cell>
          <cell r="AW32">
            <v>80617.918000000005</v>
          </cell>
          <cell r="AX32">
            <v>0</v>
          </cell>
          <cell r="AY32"/>
          <cell r="AZ32"/>
          <cell r="BA32">
            <v>94115.918000000005</v>
          </cell>
          <cell r="BB32">
            <v>0</v>
          </cell>
          <cell r="BC32">
            <v>1666.1</v>
          </cell>
          <cell r="BD32">
            <v>0</v>
          </cell>
          <cell r="BE32">
            <v>0</v>
          </cell>
          <cell r="BF32">
            <v>0</v>
          </cell>
          <cell r="BG32"/>
          <cell r="BH32"/>
          <cell r="BI32"/>
          <cell r="BJ32">
            <v>1666.1</v>
          </cell>
        </row>
        <row r="33">
          <cell r="F33">
            <v>31451501.359999999</v>
          </cell>
          <cell r="G33">
            <v>3056991.0060000001</v>
          </cell>
          <cell r="H33">
            <v>2118307.5870000003</v>
          </cell>
          <cell r="I33">
            <v>1782388.973</v>
          </cell>
          <cell r="J33">
            <v>680295.01899999997</v>
          </cell>
          <cell r="K33">
            <v>1952157.175</v>
          </cell>
          <cell r="L33">
            <v>1603406.9160000002</v>
          </cell>
          <cell r="M33">
            <v>964314.32599999988</v>
          </cell>
          <cell r="N33">
            <v>1490136.3370000001</v>
          </cell>
          <cell r="O33">
            <v>926688.41200000001</v>
          </cell>
          <cell r="P33">
            <v>1348679.7750000001</v>
          </cell>
          <cell r="Q33">
            <v>1433626.577</v>
          </cell>
          <cell r="R33">
            <v>708792.19899999991</v>
          </cell>
          <cell r="S33">
            <v>1561477.9010000003</v>
          </cell>
          <cell r="T33">
            <v>193028.73300000004</v>
          </cell>
          <cell r="U33">
            <v>483595.09700000001</v>
          </cell>
          <cell r="V33">
            <v>664496.50500000012</v>
          </cell>
          <cell r="W33">
            <v>552726.67799999984</v>
          </cell>
          <cell r="X33">
            <v>0</v>
          </cell>
          <cell r="Y33">
            <v>0</v>
          </cell>
          <cell r="Z33">
            <v>21521109.216000002</v>
          </cell>
          <cell r="AA33">
            <v>5899.0389999999998</v>
          </cell>
          <cell r="AB33">
            <v>0</v>
          </cell>
          <cell r="AC33">
            <v>0</v>
          </cell>
          <cell r="AD33">
            <v>8386.0210000000006</v>
          </cell>
          <cell r="AE33">
            <v>0</v>
          </cell>
          <cell r="AF33"/>
          <cell r="AG33"/>
          <cell r="AH33">
            <v>14285.060000000001</v>
          </cell>
          <cell r="AI33">
            <v>21535394.276000001</v>
          </cell>
          <cell r="AJ33">
            <v>882610.81800000009</v>
          </cell>
          <cell r="AK33">
            <v>379575.92300000001</v>
          </cell>
          <cell r="AL33">
            <v>0</v>
          </cell>
          <cell r="AM33"/>
          <cell r="AN33">
            <v>1262186.7410000002</v>
          </cell>
          <cell r="AO33">
            <v>8643854.6140000001</v>
          </cell>
          <cell r="AP33">
            <v>0</v>
          </cell>
          <cell r="AQ33"/>
          <cell r="AR33"/>
          <cell r="AS33">
            <v>8643854.6140000001</v>
          </cell>
          <cell r="AT33">
            <v>1411.287</v>
          </cell>
          <cell r="AU33">
            <v>8654.4420000000009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10065.729000000001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/>
          <cell r="BH33"/>
          <cell r="BI33"/>
          <cell r="BJ33">
            <v>0</v>
          </cell>
        </row>
        <row r="34">
          <cell r="F34">
            <v>3622938.5179999992</v>
          </cell>
          <cell r="G34">
            <v>472838.79799999995</v>
          </cell>
          <cell r="H34">
            <v>101859.13099999959</v>
          </cell>
          <cell r="I34">
            <v>54242.765999999829</v>
          </cell>
          <cell r="J34">
            <v>15524.472999999998</v>
          </cell>
          <cell r="K34">
            <v>499899.32499999995</v>
          </cell>
          <cell r="L34">
            <v>241626.98399999971</v>
          </cell>
          <cell r="M34">
            <v>132373.77400000021</v>
          </cell>
          <cell r="N34">
            <v>280658.76300000004</v>
          </cell>
          <cell r="O34">
            <v>178224.9879999999</v>
          </cell>
          <cell r="P34">
            <v>336028.92499999981</v>
          </cell>
          <cell r="Q34">
            <v>293115.77300000004</v>
          </cell>
          <cell r="R34">
            <v>71967.651000000071</v>
          </cell>
          <cell r="S34">
            <v>289722.19899999956</v>
          </cell>
          <cell r="T34">
            <v>-38816.033000000025</v>
          </cell>
          <cell r="U34">
            <v>98939.252999999968</v>
          </cell>
          <cell r="V34">
            <v>53132.044999999925</v>
          </cell>
          <cell r="W34">
            <v>185407.53700000013</v>
          </cell>
          <cell r="X34">
            <v>0</v>
          </cell>
          <cell r="Y34">
            <v>0</v>
          </cell>
          <cell r="Z34">
            <v>3266746.3520000018</v>
          </cell>
          <cell r="AA34">
            <v>44100.961000000003</v>
          </cell>
          <cell r="AB34">
            <v>0</v>
          </cell>
          <cell r="AC34">
            <v>0</v>
          </cell>
          <cell r="AD34">
            <v>19953.978999999999</v>
          </cell>
          <cell r="AE34">
            <v>0</v>
          </cell>
          <cell r="AF34"/>
          <cell r="AG34"/>
          <cell r="AH34">
            <v>64054.94</v>
          </cell>
          <cell r="AI34">
            <v>3330801.2920000032</v>
          </cell>
          <cell r="AJ34">
            <v>22871.181999999913</v>
          </cell>
          <cell r="AK34">
            <v>13770.07699999999</v>
          </cell>
          <cell r="AL34">
            <v>0</v>
          </cell>
          <cell r="AM34"/>
          <cell r="AN34">
            <v>36641.258999999845</v>
          </cell>
          <cell r="AO34">
            <v>169779.67799999937</v>
          </cell>
          <cell r="AP34">
            <v>0</v>
          </cell>
          <cell r="AQ34"/>
          <cell r="AR34"/>
          <cell r="AS34">
            <v>169779.67799999937</v>
          </cell>
          <cell r="AT34">
            <v>3588.7129999999997</v>
          </cell>
          <cell r="AU34">
            <v>-156.44200000000092</v>
          </cell>
          <cell r="AV34">
            <v>0</v>
          </cell>
          <cell r="AW34">
            <v>80617.918000000005</v>
          </cell>
          <cell r="AX34">
            <v>0</v>
          </cell>
          <cell r="AY34"/>
          <cell r="AZ34"/>
          <cell r="BA34">
            <v>84050.188999999998</v>
          </cell>
          <cell r="BB34">
            <v>0</v>
          </cell>
          <cell r="BC34">
            <v>1666.1</v>
          </cell>
          <cell r="BD34">
            <v>0</v>
          </cell>
          <cell r="BE34">
            <v>0</v>
          </cell>
          <cell r="BF34">
            <v>0</v>
          </cell>
          <cell r="BG34"/>
          <cell r="BH34"/>
          <cell r="BI34"/>
          <cell r="BJ34">
            <v>1666.1</v>
          </cell>
        </row>
        <row r="35">
          <cell r="F35">
            <v>2150580.7960000001</v>
          </cell>
          <cell r="G35">
            <v>257901.10128181154</v>
          </cell>
          <cell r="H35">
            <v>184744.78485485149</v>
          </cell>
          <cell r="I35">
            <v>146399.39034752309</v>
          </cell>
          <cell r="J35">
            <v>66365.557863702852</v>
          </cell>
          <cell r="K35">
            <v>189451.28180259361</v>
          </cell>
          <cell r="L35">
            <v>146595.87545018815</v>
          </cell>
          <cell r="M35">
            <v>99867.556506300753</v>
          </cell>
          <cell r="N35">
            <v>133466.56068639489</v>
          </cell>
          <cell r="O35">
            <v>95187.898846740369</v>
          </cell>
          <cell r="P35">
            <v>128228.37189188029</v>
          </cell>
          <cell r="Q35">
            <v>127812.96950694839</v>
          </cell>
          <cell r="R35">
            <v>72156.136805998991</v>
          </cell>
          <cell r="S35">
            <v>137110.5286133911</v>
          </cell>
          <cell r="T35">
            <v>17078.220926108475</v>
          </cell>
          <cell r="U35">
            <v>40938.147358450035</v>
          </cell>
          <cell r="V35">
            <v>73021.400823604868</v>
          </cell>
          <cell r="W35">
            <v>45288.626433511017</v>
          </cell>
          <cell r="X35">
            <v>0</v>
          </cell>
          <cell r="Y35">
            <v>0</v>
          </cell>
          <cell r="Z35">
            <v>1961614.4100000001</v>
          </cell>
          <cell r="AA35">
            <v>0</v>
          </cell>
          <cell r="AB35">
            <v>718.95900000000006</v>
          </cell>
          <cell r="AC35">
            <v>3373.9780000000001</v>
          </cell>
          <cell r="AD35">
            <v>0</v>
          </cell>
          <cell r="AE35">
            <v>276.80200000000002</v>
          </cell>
          <cell r="AF35"/>
          <cell r="AG35"/>
          <cell r="AH35">
            <v>4369.7389999999996</v>
          </cell>
          <cell r="AI35">
            <v>1965984.1490000002</v>
          </cell>
          <cell r="AJ35">
            <v>8872.973</v>
          </cell>
          <cell r="AK35">
            <v>0</v>
          </cell>
          <cell r="AL35">
            <v>9333.7300000000014</v>
          </cell>
          <cell r="AM35"/>
          <cell r="AN35">
            <v>18206.703000000001</v>
          </cell>
          <cell r="AO35">
            <v>95380.744000000006</v>
          </cell>
          <cell r="AP35">
            <v>855.83600000000001</v>
          </cell>
          <cell r="AQ35"/>
          <cell r="AR35"/>
          <cell r="AS35">
            <v>96236.58</v>
          </cell>
          <cell r="AT35">
            <v>0</v>
          </cell>
          <cell r="AU35">
            <v>0</v>
          </cell>
          <cell r="AV35">
            <v>17627.506999999998</v>
          </cell>
          <cell r="AW35">
            <v>0</v>
          </cell>
          <cell r="AX35">
            <v>26511.053999999996</v>
          </cell>
          <cell r="AY35"/>
          <cell r="AZ35"/>
          <cell r="BA35">
            <v>44138.560999999994</v>
          </cell>
          <cell r="BB35">
            <v>0</v>
          </cell>
          <cell r="BC35">
            <v>17813.96</v>
          </cell>
          <cell r="BD35">
            <v>0</v>
          </cell>
          <cell r="BE35">
            <v>0</v>
          </cell>
          <cell r="BF35">
            <v>8200.8430000000008</v>
          </cell>
          <cell r="BG35"/>
          <cell r="BH35"/>
          <cell r="BI35"/>
          <cell r="BJ35">
            <v>26014.803</v>
          </cell>
        </row>
        <row r="36">
          <cell r="F36">
            <v>1472357.7219999991</v>
          </cell>
          <cell r="G36">
            <v>214937.69671818841</v>
          </cell>
          <cell r="H36">
            <v>-82885.653854851902</v>
          </cell>
          <cell r="I36">
            <v>-92156.624347523262</v>
          </cell>
          <cell r="J36">
            <v>-50841.084863702854</v>
          </cell>
          <cell r="K36">
            <v>310448.04319740634</v>
          </cell>
          <cell r="L36">
            <v>95031.108549811557</v>
          </cell>
          <cell r="M36">
            <v>32506.217493699456</v>
          </cell>
          <cell r="N36">
            <v>147192.20231360514</v>
          </cell>
          <cell r="O36">
            <v>83037.089153259527</v>
          </cell>
          <cell r="P36">
            <v>207800.55310811952</v>
          </cell>
          <cell r="Q36">
            <v>165302.80349305167</v>
          </cell>
          <cell r="R36">
            <v>-188.48580599892011</v>
          </cell>
          <cell r="S36">
            <v>152611.67038660846</v>
          </cell>
          <cell r="T36">
            <v>-55894.253926108504</v>
          </cell>
          <cell r="U36">
            <v>58001.105641549933</v>
          </cell>
          <cell r="V36">
            <v>-19889.355823604943</v>
          </cell>
          <cell r="W36">
            <v>140118.9105664891</v>
          </cell>
          <cell r="X36">
            <v>0</v>
          </cell>
          <cell r="Y36">
            <v>0</v>
          </cell>
          <cell r="Z36">
            <v>1305131.9420000017</v>
          </cell>
          <cell r="AA36">
            <v>44100.961000000003</v>
          </cell>
          <cell r="AB36">
            <v>-718.95900000000006</v>
          </cell>
          <cell r="AC36">
            <v>-3373.9780000000001</v>
          </cell>
          <cell r="AD36">
            <v>19953.978999999999</v>
          </cell>
          <cell r="AE36">
            <v>-276.80200000000002</v>
          </cell>
          <cell r="AF36"/>
          <cell r="AG36"/>
          <cell r="AH36">
            <v>59685.201000000001</v>
          </cell>
          <cell r="AI36">
            <v>1364817.143000003</v>
          </cell>
          <cell r="AJ36">
            <v>13998.208999999913</v>
          </cell>
          <cell r="AK36">
            <v>13770.07699999999</v>
          </cell>
          <cell r="AL36">
            <v>-9333.7300000000014</v>
          </cell>
          <cell r="AM36"/>
          <cell r="AN36">
            <v>18434.555999999844</v>
          </cell>
          <cell r="AO36">
            <v>74398.933999999368</v>
          </cell>
          <cell r="AP36">
            <v>-855.83600000000001</v>
          </cell>
          <cell r="AQ36"/>
          <cell r="AR36"/>
          <cell r="AS36">
            <v>73543.097999999372</v>
          </cell>
          <cell r="AT36">
            <v>3588.7129999999997</v>
          </cell>
          <cell r="AU36">
            <v>-156.44200000000092</v>
          </cell>
          <cell r="AV36">
            <v>-17627.506999999998</v>
          </cell>
          <cell r="AW36">
            <v>80617.918000000005</v>
          </cell>
          <cell r="AX36">
            <v>-26511.053999999996</v>
          </cell>
          <cell r="AY36"/>
          <cell r="AZ36"/>
          <cell r="BA36">
            <v>39911.628000000004</v>
          </cell>
          <cell r="BB36">
            <v>0</v>
          </cell>
          <cell r="BC36">
            <v>-16147.859999999999</v>
          </cell>
          <cell r="BD36">
            <v>0</v>
          </cell>
          <cell r="BE36">
            <v>0</v>
          </cell>
          <cell r="BF36">
            <v>-8200.8430000000008</v>
          </cell>
          <cell r="BG36"/>
          <cell r="BH36"/>
          <cell r="BI36"/>
          <cell r="BJ36">
            <v>-24348.703000000001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-18034</v>
          </cell>
          <cell r="AK38">
            <v>-24508</v>
          </cell>
          <cell r="AL38"/>
          <cell r="AM38"/>
          <cell r="AN38">
            <v>-42542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-805653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-508435</v>
          </cell>
          <cell r="AK39">
            <v>-297218</v>
          </cell>
          <cell r="AL39"/>
          <cell r="AM39"/>
          <cell r="AN39">
            <v>-805653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-805653.00000000012</v>
          </cell>
          <cell r="G40"/>
          <cell r="H40"/>
          <cell r="I40"/>
          <cell r="J40"/>
          <cell r="K40">
            <v>-4051.799</v>
          </cell>
          <cell r="L40">
            <v>-38754.796000000002</v>
          </cell>
          <cell r="M40">
            <v>6901.4889999999996</v>
          </cell>
          <cell r="N40">
            <v>786.30399999999997</v>
          </cell>
          <cell r="O40">
            <v>-277.12299999999999</v>
          </cell>
          <cell r="P40">
            <v>-137.89699999999999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-35533.822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-35533.822</v>
          </cell>
          <cell r="AJ40">
            <v>-495162.75099999999</v>
          </cell>
          <cell r="AK40">
            <v>-274956.42700000003</v>
          </cell>
          <cell r="AL40"/>
          <cell r="AM40"/>
          <cell r="AN40">
            <v>-770119.17800000007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4051.799</v>
          </cell>
          <cell r="L41">
            <v>38754.796000000002</v>
          </cell>
          <cell r="M41">
            <v>-6901.4889999999996</v>
          </cell>
          <cell r="N41">
            <v>-786.30399999999997</v>
          </cell>
          <cell r="O41">
            <v>277.12299999999999</v>
          </cell>
          <cell r="P41">
            <v>137.89699999999999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35533.822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35533.822</v>
          </cell>
          <cell r="AJ41">
            <v>-13272.249000000011</v>
          </cell>
          <cell r="AK41">
            <v>-22261.572999999975</v>
          </cell>
          <cell r="AL41">
            <v>0</v>
          </cell>
          <cell r="AM41"/>
          <cell r="AN41">
            <v>-35533.821999999927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/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4051.799</v>
          </cell>
          <cell r="L43">
            <v>38754.796000000002</v>
          </cell>
          <cell r="M43">
            <v>-6901.4889999999996</v>
          </cell>
          <cell r="N43">
            <v>-786.30399999999997</v>
          </cell>
          <cell r="O43">
            <v>277.12299999999999</v>
          </cell>
          <cell r="P43">
            <v>137.89699999999999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35533.822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35533.822</v>
          </cell>
          <cell r="AJ43">
            <v>-13272.249000000011</v>
          </cell>
          <cell r="AK43">
            <v>-22261.572999999975</v>
          </cell>
          <cell r="AL43">
            <v>0</v>
          </cell>
          <cell r="AM43"/>
          <cell r="AN43">
            <v>-35533.821999999927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/>
          <cell r="BH43"/>
          <cell r="BI43"/>
          <cell r="BJ43">
            <v>0</v>
          </cell>
        </row>
        <row r="45">
          <cell r="F45"/>
          <cell r="G45">
            <v>39266</v>
          </cell>
          <cell r="H45">
            <v>24957</v>
          </cell>
          <cell r="I45">
            <v>20905</v>
          </cell>
          <cell r="J45">
            <v>8248</v>
          </cell>
          <cell r="K45">
            <v>24118</v>
          </cell>
          <cell r="L45">
            <v>20168</v>
          </cell>
          <cell r="M45">
            <v>11598</v>
          </cell>
          <cell r="N45">
            <v>18264</v>
          </cell>
          <cell r="O45">
            <v>12092</v>
          </cell>
          <cell r="P45">
            <v>18165</v>
          </cell>
          <cell r="Q45">
            <v>19599.5</v>
          </cell>
          <cell r="R45">
            <v>8130.5</v>
          </cell>
          <cell r="S45">
            <v>20146</v>
          </cell>
          <cell r="T45">
            <v>1813</v>
          </cell>
          <cell r="U45">
            <v>6520</v>
          </cell>
          <cell r="V45">
            <v>8263</v>
          </cell>
          <cell r="W45">
            <v>6328</v>
          </cell>
          <cell r="X45">
            <v>0</v>
          </cell>
          <cell r="Y45">
            <v>0</v>
          </cell>
          <cell r="Z45">
            <v>268581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268581</v>
          </cell>
          <cell r="AJ45">
            <v>14111</v>
          </cell>
          <cell r="AK45">
            <v>9232</v>
          </cell>
          <cell r="AL45">
            <v>0</v>
          </cell>
          <cell r="AM45"/>
          <cell r="AN45">
            <v>23343</v>
          </cell>
          <cell r="AO45">
            <v>6946.7870000000003</v>
          </cell>
          <cell r="AP45">
            <v>0</v>
          </cell>
          <cell r="AQ45"/>
          <cell r="AR45"/>
          <cell r="AS45">
            <v>6946.7870000000003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/>
          <cell r="BH45"/>
          <cell r="BI45"/>
          <cell r="BJ45">
            <v>0</v>
          </cell>
        </row>
        <row r="46">
          <cell r="F46">
            <v>34268786.877999999</v>
          </cell>
          <cell r="G46">
            <v>3529829.804</v>
          </cell>
          <cell r="H46">
            <v>2220166.7179999999</v>
          </cell>
          <cell r="I46">
            <v>1836631.7389999998</v>
          </cell>
          <cell r="J46">
            <v>695819.49199999997</v>
          </cell>
          <cell r="K46">
            <v>2452056.5</v>
          </cell>
          <cell r="L46">
            <v>1845033.9</v>
          </cell>
          <cell r="M46">
            <v>1096688.1000000001</v>
          </cell>
          <cell r="N46">
            <v>1770795.1</v>
          </cell>
          <cell r="O46">
            <v>1104913.3999999999</v>
          </cell>
          <cell r="P46">
            <v>1684708.7</v>
          </cell>
          <cell r="Q46">
            <v>1726742.35</v>
          </cell>
          <cell r="R46">
            <v>780759.85</v>
          </cell>
          <cell r="S46">
            <v>1851200.0999999999</v>
          </cell>
          <cell r="T46">
            <v>154212.70000000001</v>
          </cell>
          <cell r="U46">
            <v>582534.35</v>
          </cell>
          <cell r="V46">
            <v>717628.55</v>
          </cell>
          <cell r="W46">
            <v>738134.21499999997</v>
          </cell>
          <cell r="X46">
            <v>0</v>
          </cell>
          <cell r="Y46">
            <v>0</v>
          </cell>
          <cell r="Z46">
            <v>24787855.568000004</v>
          </cell>
          <cell r="AA46">
            <v>50000</v>
          </cell>
          <cell r="AB46">
            <v>0</v>
          </cell>
          <cell r="AC46">
            <v>0</v>
          </cell>
          <cell r="AD46">
            <v>28340</v>
          </cell>
          <cell r="AE46">
            <v>0</v>
          </cell>
          <cell r="AF46"/>
          <cell r="AG46"/>
          <cell r="AH46">
            <v>78340</v>
          </cell>
          <cell r="AI46">
            <v>24866195.568000004</v>
          </cell>
          <cell r="AJ46">
            <v>397047</v>
          </cell>
          <cell r="AK46">
            <v>96128</v>
          </cell>
          <cell r="AL46">
            <v>0</v>
          </cell>
          <cell r="AM46"/>
          <cell r="AN46">
            <v>493175</v>
          </cell>
          <cell r="AO46">
            <v>8813634.2919999994</v>
          </cell>
          <cell r="AP46">
            <v>0</v>
          </cell>
          <cell r="AQ46"/>
          <cell r="AR46"/>
          <cell r="AS46">
            <v>8813634.2919999994</v>
          </cell>
          <cell r="AT46">
            <v>5000</v>
          </cell>
          <cell r="AU46">
            <v>8498</v>
          </cell>
          <cell r="AV46">
            <v>0</v>
          </cell>
          <cell r="AW46">
            <v>80617.918000000005</v>
          </cell>
          <cell r="AX46">
            <v>0</v>
          </cell>
          <cell r="AY46"/>
          <cell r="AZ46"/>
          <cell r="BA46">
            <v>94115.918000000005</v>
          </cell>
          <cell r="BB46">
            <v>0</v>
          </cell>
          <cell r="BC46">
            <v>1666.1</v>
          </cell>
          <cell r="BD46">
            <v>0</v>
          </cell>
          <cell r="BE46">
            <v>0</v>
          </cell>
          <cell r="BF46">
            <v>0</v>
          </cell>
          <cell r="BG46"/>
          <cell r="BH46"/>
          <cell r="BI46"/>
          <cell r="BJ46">
            <v>1666.1</v>
          </cell>
        </row>
        <row r="47">
          <cell r="F47">
            <v>30645848.359999999</v>
          </cell>
          <cell r="G47">
            <v>3056991.0060000001</v>
          </cell>
          <cell r="H47">
            <v>2118307.5870000003</v>
          </cell>
          <cell r="I47">
            <v>1782388.973</v>
          </cell>
          <cell r="J47">
            <v>680295.01899999997</v>
          </cell>
          <cell r="K47">
            <v>1948105.3759999999</v>
          </cell>
          <cell r="L47">
            <v>1564652.12</v>
          </cell>
          <cell r="M47">
            <v>971215.81499999983</v>
          </cell>
          <cell r="N47">
            <v>1490922.6410000001</v>
          </cell>
          <cell r="O47">
            <v>926411.28899999999</v>
          </cell>
          <cell r="P47">
            <v>1348541.878</v>
          </cell>
          <cell r="Q47">
            <v>1433626.577</v>
          </cell>
          <cell r="R47">
            <v>708792.19899999991</v>
          </cell>
          <cell r="S47">
            <v>1561477.9010000003</v>
          </cell>
          <cell r="T47">
            <v>193028.73300000004</v>
          </cell>
          <cell r="U47">
            <v>483595.09700000001</v>
          </cell>
          <cell r="V47">
            <v>664496.50500000012</v>
          </cell>
          <cell r="W47">
            <v>552726.67799999984</v>
          </cell>
          <cell r="X47">
            <v>0</v>
          </cell>
          <cell r="Y47">
            <v>0</v>
          </cell>
          <cell r="Z47">
            <v>21485575.394000001</v>
          </cell>
          <cell r="AA47">
            <v>5899.0389999999998</v>
          </cell>
          <cell r="AB47">
            <v>0</v>
          </cell>
          <cell r="AC47">
            <v>0</v>
          </cell>
          <cell r="AD47">
            <v>8386.0210000000006</v>
          </cell>
          <cell r="AE47">
            <v>0</v>
          </cell>
          <cell r="AF47"/>
          <cell r="AG47"/>
          <cell r="AH47">
            <v>14285.060000000001</v>
          </cell>
          <cell r="AI47">
            <v>21499860.454</v>
          </cell>
          <cell r="AJ47">
            <v>387448.0670000001</v>
          </cell>
          <cell r="AK47">
            <v>104619.49599999998</v>
          </cell>
          <cell r="AL47">
            <v>0</v>
          </cell>
          <cell r="AM47"/>
          <cell r="AN47">
            <v>492067.56300000008</v>
          </cell>
          <cell r="AO47">
            <v>8643854.6140000001</v>
          </cell>
          <cell r="AP47">
            <v>0</v>
          </cell>
          <cell r="AQ47"/>
          <cell r="AR47"/>
          <cell r="AS47">
            <v>8643854.6140000001</v>
          </cell>
          <cell r="AT47">
            <v>1411.287</v>
          </cell>
          <cell r="AU47">
            <v>8654.4420000000009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10065.729000000001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/>
          <cell r="BH47"/>
          <cell r="BI47"/>
          <cell r="BJ47">
            <v>0</v>
          </cell>
        </row>
        <row r="48">
          <cell r="F48">
            <v>3622938.5179999992</v>
          </cell>
          <cell r="G48">
            <v>472838.79799999995</v>
          </cell>
          <cell r="H48">
            <v>101859.13099999959</v>
          </cell>
          <cell r="I48">
            <v>54242.765999999829</v>
          </cell>
          <cell r="J48">
            <v>15524.472999999998</v>
          </cell>
          <cell r="K48">
            <v>503951.12400000007</v>
          </cell>
          <cell r="L48">
            <v>280381.7799999998</v>
          </cell>
          <cell r="M48">
            <v>125472.28500000027</v>
          </cell>
          <cell r="N48">
            <v>279872.45900000003</v>
          </cell>
          <cell r="O48">
            <v>178502.11099999992</v>
          </cell>
          <cell r="P48">
            <v>336166.82199999993</v>
          </cell>
          <cell r="Q48">
            <v>293115.77300000004</v>
          </cell>
          <cell r="R48">
            <v>71967.651000000071</v>
          </cell>
          <cell r="S48">
            <v>289722.19899999956</v>
          </cell>
          <cell r="T48">
            <v>-38816.033000000025</v>
          </cell>
          <cell r="U48">
            <v>98939.252999999968</v>
          </cell>
          <cell r="V48">
            <v>53132.044999999925</v>
          </cell>
          <cell r="W48">
            <v>185407.53700000013</v>
          </cell>
          <cell r="X48">
            <v>0</v>
          </cell>
          <cell r="Y48">
            <v>0</v>
          </cell>
          <cell r="Z48">
            <v>3302280.1740000024</v>
          </cell>
          <cell r="AA48">
            <v>44100.961000000003</v>
          </cell>
          <cell r="AB48">
            <v>0</v>
          </cell>
          <cell r="AC48">
            <v>0</v>
          </cell>
          <cell r="AD48">
            <v>19953.978999999999</v>
          </cell>
          <cell r="AE48">
            <v>0</v>
          </cell>
          <cell r="AF48"/>
          <cell r="AG48"/>
          <cell r="AH48">
            <v>64054.94</v>
          </cell>
          <cell r="AI48">
            <v>3366335.1140000038</v>
          </cell>
          <cell r="AJ48">
            <v>9598.9329999999027</v>
          </cell>
          <cell r="AK48">
            <v>-8491.4959999999846</v>
          </cell>
          <cell r="AL48">
            <v>0</v>
          </cell>
          <cell r="AM48"/>
          <cell r="AN48">
            <v>1107.436999999918</v>
          </cell>
          <cell r="AO48">
            <v>169779.67799999937</v>
          </cell>
          <cell r="AP48">
            <v>0</v>
          </cell>
          <cell r="AQ48"/>
          <cell r="AR48"/>
          <cell r="AS48">
            <v>169779.67799999937</v>
          </cell>
          <cell r="AT48">
            <v>3588.7129999999997</v>
          </cell>
          <cell r="AU48">
            <v>-156.44200000000092</v>
          </cell>
          <cell r="AV48">
            <v>0</v>
          </cell>
          <cell r="AW48">
            <v>80617.918000000005</v>
          </cell>
          <cell r="AX48">
            <v>0</v>
          </cell>
          <cell r="AY48"/>
          <cell r="AZ48"/>
          <cell r="BA48">
            <v>84050.188999999998</v>
          </cell>
          <cell r="BB48">
            <v>0</v>
          </cell>
          <cell r="BC48">
            <v>1666.1</v>
          </cell>
          <cell r="BD48">
            <v>0</v>
          </cell>
          <cell r="BE48">
            <v>0</v>
          </cell>
          <cell r="BF48">
            <v>0</v>
          </cell>
          <cell r="BG48"/>
          <cell r="BH48"/>
          <cell r="BI48"/>
          <cell r="BJ48">
            <v>1666.1</v>
          </cell>
        </row>
        <row r="49">
          <cell r="F49">
            <v>2150580.7960000001</v>
          </cell>
          <cell r="G49">
            <v>257901.10128181154</v>
          </cell>
          <cell r="H49">
            <v>184744.78485485149</v>
          </cell>
          <cell r="I49">
            <v>146399.39034752309</v>
          </cell>
          <cell r="J49">
            <v>66365.557863702852</v>
          </cell>
          <cell r="K49">
            <v>189451.28180259361</v>
          </cell>
          <cell r="L49">
            <v>146595.87545018815</v>
          </cell>
          <cell r="M49">
            <v>99867.556506300753</v>
          </cell>
          <cell r="N49">
            <v>133466.56068639489</v>
          </cell>
          <cell r="O49">
            <v>95187.898846740369</v>
          </cell>
          <cell r="P49">
            <v>128228.37189188029</v>
          </cell>
          <cell r="Q49">
            <v>127812.96950694839</v>
          </cell>
          <cell r="R49">
            <v>72156.136805998991</v>
          </cell>
          <cell r="S49">
            <v>137110.5286133911</v>
          </cell>
          <cell r="T49">
            <v>17078.220926108475</v>
          </cell>
          <cell r="U49">
            <v>40938.147358450035</v>
          </cell>
          <cell r="V49">
            <v>73021.400823604868</v>
          </cell>
          <cell r="W49">
            <v>45288.626433511017</v>
          </cell>
          <cell r="X49">
            <v>0</v>
          </cell>
          <cell r="Y49">
            <v>0</v>
          </cell>
          <cell r="Z49">
            <v>1961614.4100000001</v>
          </cell>
          <cell r="AA49">
            <v>0</v>
          </cell>
          <cell r="AB49">
            <v>718.95900000000006</v>
          </cell>
          <cell r="AC49">
            <v>3373.9780000000001</v>
          </cell>
          <cell r="AD49">
            <v>0</v>
          </cell>
          <cell r="AE49">
            <v>276.80200000000002</v>
          </cell>
          <cell r="AF49"/>
          <cell r="AG49"/>
          <cell r="AH49">
            <v>4369.7389999999996</v>
          </cell>
          <cell r="AI49">
            <v>1965984.1490000002</v>
          </cell>
          <cell r="AJ49">
            <v>8872.973</v>
          </cell>
          <cell r="AK49">
            <v>0</v>
          </cell>
          <cell r="AL49">
            <v>9333.7300000000014</v>
          </cell>
          <cell r="AM49"/>
          <cell r="AN49">
            <v>18206.703000000001</v>
          </cell>
          <cell r="AO49">
            <v>95380.744000000006</v>
          </cell>
          <cell r="AP49">
            <v>855.83600000000001</v>
          </cell>
          <cell r="AQ49"/>
          <cell r="AR49"/>
          <cell r="AS49">
            <v>96236.58</v>
          </cell>
          <cell r="AT49">
            <v>0</v>
          </cell>
          <cell r="AU49">
            <v>0</v>
          </cell>
          <cell r="AV49">
            <v>17627.506999999998</v>
          </cell>
          <cell r="AW49">
            <v>0</v>
          </cell>
          <cell r="AX49">
            <v>26511.053999999996</v>
          </cell>
          <cell r="AY49"/>
          <cell r="AZ49"/>
          <cell r="BA49">
            <v>44138.560999999994</v>
          </cell>
          <cell r="BB49">
            <v>0</v>
          </cell>
          <cell r="BC49">
            <v>17813.96</v>
          </cell>
          <cell r="BD49">
            <v>0</v>
          </cell>
          <cell r="BE49">
            <v>0</v>
          </cell>
          <cell r="BF49">
            <v>8200.8430000000008</v>
          </cell>
          <cell r="BG49"/>
          <cell r="BH49"/>
          <cell r="BI49"/>
          <cell r="BJ49">
            <v>26014.803</v>
          </cell>
        </row>
        <row r="50">
          <cell r="F50">
            <v>1472357.7219999991</v>
          </cell>
          <cell r="G50">
            <v>214937.69671818841</v>
          </cell>
          <cell r="H50">
            <v>-82885.653854851902</v>
          </cell>
          <cell r="I50">
            <v>-92156.624347523262</v>
          </cell>
          <cell r="J50">
            <v>-50841.084863702854</v>
          </cell>
          <cell r="K50">
            <v>314499.84219740645</v>
          </cell>
          <cell r="L50">
            <v>133785.90454981165</v>
          </cell>
          <cell r="M50">
            <v>25604.728493699513</v>
          </cell>
          <cell r="N50">
            <v>146405.89831360514</v>
          </cell>
          <cell r="O50">
            <v>83314.212153259548</v>
          </cell>
          <cell r="P50">
            <v>207938.45010811964</v>
          </cell>
          <cell r="Q50">
            <v>165302.80349305167</v>
          </cell>
          <cell r="R50">
            <v>-188.48580599892011</v>
          </cell>
          <cell r="S50">
            <v>152611.67038660846</v>
          </cell>
          <cell r="T50">
            <v>-55894.253926108504</v>
          </cell>
          <cell r="U50">
            <v>58001.105641549933</v>
          </cell>
          <cell r="V50">
            <v>-19889.355823604943</v>
          </cell>
          <cell r="W50">
            <v>140118.9105664891</v>
          </cell>
          <cell r="X50">
            <v>0</v>
          </cell>
          <cell r="Y50">
            <v>0</v>
          </cell>
          <cell r="Z50">
            <v>1340665.7640000023</v>
          </cell>
          <cell r="AA50">
            <v>44100.961000000003</v>
          </cell>
          <cell r="AB50">
            <v>-718.95900000000006</v>
          </cell>
          <cell r="AC50">
            <v>-3373.9780000000001</v>
          </cell>
          <cell r="AD50">
            <v>19953.978999999999</v>
          </cell>
          <cell r="AE50">
            <v>-276.80200000000002</v>
          </cell>
          <cell r="AF50"/>
          <cell r="AG50"/>
          <cell r="AH50">
            <v>59685.201000000001</v>
          </cell>
          <cell r="AI50">
            <v>1400350.9650000036</v>
          </cell>
          <cell r="AJ50">
            <v>725.95999999990272</v>
          </cell>
          <cell r="AK50">
            <v>-8491.4959999999846</v>
          </cell>
          <cell r="AL50">
            <v>-9333.7300000000014</v>
          </cell>
          <cell r="AM50"/>
          <cell r="AN50">
            <v>-17099.266000000083</v>
          </cell>
          <cell r="AO50">
            <v>74398.933999999368</v>
          </cell>
          <cell r="AP50">
            <v>-855.83600000000001</v>
          </cell>
          <cell r="AQ50"/>
          <cell r="AR50"/>
          <cell r="AS50">
            <v>73543.097999999372</v>
          </cell>
          <cell r="AT50">
            <v>3588.7129999999997</v>
          </cell>
          <cell r="AU50">
            <v>-156.44200000000092</v>
          </cell>
          <cell r="AV50">
            <v>-17627.506999999998</v>
          </cell>
          <cell r="AW50">
            <v>80617.918000000005</v>
          </cell>
          <cell r="AX50">
            <v>-26511.053999999996</v>
          </cell>
          <cell r="AY50"/>
          <cell r="AZ50"/>
          <cell r="BA50">
            <v>39911.628000000004</v>
          </cell>
          <cell r="BB50">
            <v>0</v>
          </cell>
          <cell r="BC50">
            <v>-16147.859999999999</v>
          </cell>
          <cell r="BD50">
            <v>0</v>
          </cell>
          <cell r="BE50">
            <v>0</v>
          </cell>
          <cell r="BF50">
            <v>-8200.8430000000008</v>
          </cell>
          <cell r="BG50"/>
          <cell r="BH50"/>
          <cell r="BI50"/>
          <cell r="BJ50">
            <v>-24348.703000000001</v>
          </cell>
        </row>
        <row r="53">
          <cell r="J53"/>
        </row>
        <row r="54">
          <cell r="J54"/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241000</v>
          </cell>
          <cell r="U5">
            <v>278885.5</v>
          </cell>
        </row>
        <row r="9">
          <cell r="E9">
            <v>274.06256243559346</v>
          </cell>
          <cell r="F9">
            <v>295.71114167576263</v>
          </cell>
          <cell r="G9">
            <v>100355.80814861927</v>
          </cell>
          <cell r="H9">
            <v>100327.44703679108</v>
          </cell>
        </row>
        <row r="10">
          <cell r="E10">
            <v>20.183541333637919</v>
          </cell>
          <cell r="F10">
            <v>28.547058283731502</v>
          </cell>
          <cell r="G10">
            <v>92284.996383734382</v>
          </cell>
          <cell r="H10">
            <v>93078.409987859457</v>
          </cell>
        </row>
        <row r="11">
          <cell r="E11">
            <v>0.5606851768897072</v>
          </cell>
          <cell r="F11">
            <v>9.520334514457568E-2</v>
          </cell>
        </row>
        <row r="12">
          <cell r="E12">
            <v>33.761038337900601</v>
          </cell>
          <cell r="F12">
            <v>28.0169234850155</v>
          </cell>
          <cell r="G12">
            <v>64267.167113685915</v>
          </cell>
          <cell r="H12">
            <v>60657.46882207389</v>
          </cell>
        </row>
        <row r="13">
          <cell r="E13">
            <v>24.631129766966133</v>
          </cell>
          <cell r="F13">
            <v>25.307151483216025</v>
          </cell>
          <cell r="G13">
            <v>39197.403154687425</v>
          </cell>
          <cell r="H13">
            <v>38431.083969387015</v>
          </cell>
        </row>
        <row r="14">
          <cell r="E14">
            <v>0</v>
          </cell>
          <cell r="F14">
            <v>0</v>
          </cell>
        </row>
        <row r="15">
          <cell r="E15">
            <v>353.19895705098776</v>
          </cell>
          <cell r="F15">
            <v>377.6774782728703</v>
          </cell>
        </row>
        <row r="16">
          <cell r="E16">
            <v>828.67194326162587</v>
          </cell>
          <cell r="F16">
            <v>830.35937654921747</v>
          </cell>
          <cell r="G16">
            <v>12717.304253843991</v>
          </cell>
          <cell r="H16">
            <v>12984.326756437496</v>
          </cell>
        </row>
        <row r="17">
          <cell r="E17">
            <v>900.27021060001914</v>
          </cell>
          <cell r="F17">
            <v>885.32035782866694</v>
          </cell>
          <cell r="G17">
            <v>15960.451279243263</v>
          </cell>
          <cell r="H17">
            <v>16073.503195990483</v>
          </cell>
        </row>
        <row r="19">
          <cell r="E19">
            <v>3.1456180876474749</v>
          </cell>
          <cell r="F19">
            <v>3.2159522746947276</v>
          </cell>
        </row>
        <row r="20">
          <cell r="Q20">
            <v>59974.004992094691</v>
          </cell>
          <cell r="R20">
            <v>62585.340287448722</v>
          </cell>
        </row>
        <row r="21">
          <cell r="Q21">
            <v>17215.559949319086</v>
          </cell>
          <cell r="R21">
            <v>17575.007034768783</v>
          </cell>
        </row>
        <row r="22">
          <cell r="Q22">
            <v>324.02489626556019</v>
          </cell>
          <cell r="R22">
            <v>292.93269742608118</v>
          </cell>
        </row>
        <row r="50">
          <cell r="Q50">
            <v>86822.72367171089</v>
          </cell>
          <cell r="R50">
            <v>87977.461421686443</v>
          </cell>
        </row>
        <row r="56">
          <cell r="L56">
            <v>-258436.77900713321</v>
          </cell>
        </row>
        <row r="61">
          <cell r="T61">
            <v>100309.51825448238</v>
          </cell>
          <cell r="U61">
            <v>99953.912734626982</v>
          </cell>
        </row>
        <row r="80">
          <cell r="H80">
            <v>628679.52</v>
          </cell>
          <cell r="I80">
            <v>649461.00199999998</v>
          </cell>
          <cell r="L80">
            <v>-20781.481999999953</v>
          </cell>
        </row>
        <row r="85">
          <cell r="H85">
            <v>360898.40522304585</v>
          </cell>
          <cell r="I85">
            <v>429481.18213000003</v>
          </cell>
          <cell r="L85">
            <v>-68582.776906954154</v>
          </cell>
          <cell r="Q85">
            <v>100309.51825448238</v>
          </cell>
          <cell r="R85">
            <v>99953.912734626982</v>
          </cell>
        </row>
        <row r="86">
          <cell r="H86">
            <v>2260739.5692248819</v>
          </cell>
          <cell r="I86">
            <v>2324589.2899999972</v>
          </cell>
          <cell r="K86">
            <v>-99168.955941393477</v>
          </cell>
          <cell r="M86">
            <v>510819.71463059634</v>
          </cell>
        </row>
        <row r="89">
          <cell r="Q89">
            <v>77513.589837679334</v>
          </cell>
          <cell r="R89">
            <v>80453.280019643586</v>
          </cell>
        </row>
        <row r="90">
          <cell r="Q90">
            <v>22795.928416803043</v>
          </cell>
          <cell r="R90">
            <v>19500.632714983396</v>
          </cell>
        </row>
      </sheetData>
      <sheetData sheetId="1">
        <row r="5">
          <cell r="T5">
            <v>93000</v>
          </cell>
          <cell r="U5">
            <v>102264</v>
          </cell>
        </row>
        <row r="9">
          <cell r="E9">
            <v>296.1722473118279</v>
          </cell>
          <cell r="F9">
            <v>329.520830253974</v>
          </cell>
          <cell r="G9">
            <v>100000.00000000001</v>
          </cell>
          <cell r="H9">
            <v>99964.217103842748</v>
          </cell>
        </row>
        <row r="10">
          <cell r="E10">
            <v>6.4639139784946238</v>
          </cell>
          <cell r="F10">
            <v>0.24292871527166798</v>
          </cell>
          <cell r="G10">
            <v>93394.30818572588</v>
          </cell>
          <cell r="H10">
            <v>81094.802244654449</v>
          </cell>
        </row>
        <row r="11">
          <cell r="E11">
            <v>0</v>
          </cell>
          <cell r="F11">
            <v>0</v>
          </cell>
        </row>
        <row r="12">
          <cell r="E12">
            <v>33.472666666666662</v>
          </cell>
          <cell r="F12">
            <v>28.061517293291882</v>
          </cell>
          <cell r="G12">
            <v>64304.237641497268</v>
          </cell>
          <cell r="H12">
            <v>61006.328860034082</v>
          </cell>
        </row>
        <row r="13">
          <cell r="E13">
            <v>21.624956989247309</v>
          </cell>
          <cell r="F13">
            <v>23.624726670185943</v>
          </cell>
          <cell r="G13">
            <v>45135.247953753162</v>
          </cell>
          <cell r="H13">
            <v>42862.496214260369</v>
          </cell>
        </row>
        <row r="14">
          <cell r="E14">
            <v>0</v>
          </cell>
          <cell r="F14">
            <v>0</v>
          </cell>
        </row>
        <row r="15">
          <cell r="E15">
            <v>357.73378494623654</v>
          </cell>
          <cell r="F15">
            <v>381.45000293272352</v>
          </cell>
        </row>
        <row r="16">
          <cell r="E16">
            <v>861.40374193548382</v>
          </cell>
          <cell r="F16">
            <v>838.64728933270794</v>
          </cell>
          <cell r="G16">
            <v>15389.292096716152</v>
          </cell>
          <cell r="H16">
            <v>15747.195995434999</v>
          </cell>
        </row>
        <row r="17">
          <cell r="E17">
            <v>874.70507526881727</v>
          </cell>
          <cell r="F17">
            <v>870.3596516315713</v>
          </cell>
          <cell r="G17">
            <v>14820.948646645142</v>
          </cell>
          <cell r="H17">
            <v>14949.585684770027</v>
          </cell>
        </row>
        <row r="19">
          <cell r="E19">
            <v>3.1094778494623658</v>
          </cell>
          <cell r="F19">
            <v>3.2021376620329645</v>
          </cell>
        </row>
        <row r="20">
          <cell r="Q20">
            <v>62070.386302594285</v>
          </cell>
          <cell r="R20">
            <v>64371.083973644592</v>
          </cell>
        </row>
        <row r="21">
          <cell r="Q21">
            <v>16999.49049957858</v>
          </cell>
          <cell r="R21">
            <v>17567.014898234502</v>
          </cell>
        </row>
        <row r="22">
          <cell r="Q22">
            <v>447.2043010752688</v>
          </cell>
          <cell r="R22">
            <v>387.72530158171548</v>
          </cell>
        </row>
        <row r="50">
          <cell r="Q50">
            <v>87011.810710957623</v>
          </cell>
          <cell r="R50">
            <v>89127.41711146303</v>
          </cell>
        </row>
        <row r="56">
          <cell r="L56">
            <v>-216319.7459746305</v>
          </cell>
        </row>
        <row r="61">
          <cell r="T61">
            <v>96584.296422905929</v>
          </cell>
          <cell r="U61">
            <v>97064.272432136422</v>
          </cell>
        </row>
        <row r="80">
          <cell r="H80">
            <v>207755.46999999997</v>
          </cell>
          <cell r="I80">
            <v>225134.815</v>
          </cell>
          <cell r="L80">
            <v>-17379.34500000003</v>
          </cell>
        </row>
        <row r="85">
          <cell r="H85">
            <v>101477.34435057777</v>
          </cell>
          <cell r="I85">
            <v>100474.61947999999</v>
          </cell>
          <cell r="L85">
            <v>1002.7248705777783</v>
          </cell>
          <cell r="Q85">
            <v>96584.296422905929</v>
          </cell>
          <cell r="R85">
            <v>97064.272432136422</v>
          </cell>
        </row>
        <row r="86">
          <cell r="H86">
            <v>581008.35686061648</v>
          </cell>
          <cell r="I86">
            <v>486075.76499999908</v>
          </cell>
          <cell r="K86">
            <v>49084.266607947153</v>
          </cell>
          <cell r="M86">
            <v>88679.507635489106</v>
          </cell>
        </row>
        <row r="89">
          <cell r="Q89">
            <v>79517.081103248129</v>
          </cell>
          <cell r="R89">
            <v>82325.824173460802</v>
          </cell>
        </row>
        <row r="90">
          <cell r="Q90">
            <v>17067.2153196578</v>
          </cell>
          <cell r="R90">
            <v>14738.44825867562</v>
          </cell>
        </row>
      </sheetData>
      <sheetData sheetId="2">
        <row r="5">
          <cell r="T5">
            <v>110500</v>
          </cell>
          <cell r="U5">
            <v>132898</v>
          </cell>
        </row>
        <row r="9">
          <cell r="E9">
            <v>243.69247553826278</v>
          </cell>
          <cell r="F9">
            <v>259.05183544684621</v>
          </cell>
          <cell r="G9">
            <v>99999.999999999985</v>
          </cell>
          <cell r="H9">
            <v>99982.728895400214</v>
          </cell>
        </row>
        <row r="10">
          <cell r="E10">
            <v>38.199904628115284</v>
          </cell>
          <cell r="F10">
            <v>58.036204401522355</v>
          </cell>
          <cell r="G10">
            <v>92100.000000000015</v>
          </cell>
          <cell r="H10">
            <v>93061.967291669178</v>
          </cell>
        </row>
        <row r="11">
          <cell r="E11">
            <v>1.2228518337594518</v>
          </cell>
          <cell r="F11">
            <v>0</v>
          </cell>
        </row>
        <row r="12">
          <cell r="E12">
            <v>36.176038365918963</v>
          </cell>
          <cell r="F12">
            <v>27.910458805301086</v>
          </cell>
          <cell r="G12">
            <v>64111.379001615547</v>
          </cell>
          <cell r="H12">
            <v>60910.959118182574</v>
          </cell>
        </row>
        <row r="13">
          <cell r="E13">
            <v>29.372681211211212</v>
          </cell>
          <cell r="F13">
            <v>28.359406486453956</v>
          </cell>
          <cell r="G13">
            <v>35389.719231199248</v>
          </cell>
          <cell r="H13">
            <v>35487.050560950927</v>
          </cell>
        </row>
        <row r="14">
          <cell r="E14">
            <v>0</v>
          </cell>
          <cell r="F14">
            <v>0</v>
          </cell>
        </row>
        <row r="15">
          <cell r="E15">
            <v>348.66395157726771</v>
          </cell>
          <cell r="F15">
            <v>373.35790514012359</v>
          </cell>
        </row>
        <row r="16">
          <cell r="E16">
            <v>809.99955046200785</v>
          </cell>
          <cell r="F16">
            <v>824.28223295275063</v>
          </cell>
          <cell r="G16">
            <v>10369.978900172591</v>
          </cell>
          <cell r="H16">
            <v>11101.537197825892</v>
          </cell>
        </row>
        <row r="17">
          <cell r="E17">
            <v>910.94270366157991</v>
          </cell>
          <cell r="F17">
            <v>894.26130842246187</v>
          </cell>
          <cell r="G17">
            <v>17357.616891726677</v>
          </cell>
          <cell r="H17">
            <v>17490.025099158829</v>
          </cell>
        </row>
        <row r="19">
          <cell r="E19">
            <v>3.2382399920637241</v>
          </cell>
          <cell r="F19">
            <v>3.3639778419603772</v>
          </cell>
        </row>
        <row r="20">
          <cell r="Q20">
            <v>58157.110535848406</v>
          </cell>
          <cell r="R20">
            <v>61593.662499811966</v>
          </cell>
        </row>
        <row r="21">
          <cell r="Q21">
            <v>17537.209048538909</v>
          </cell>
          <cell r="R21">
            <v>17556.827361343017</v>
          </cell>
        </row>
        <row r="22">
          <cell r="Q22">
            <v>220.36199095022624</v>
          </cell>
          <cell r="R22">
            <v>226.90098831174694</v>
          </cell>
        </row>
        <row r="50">
          <cell r="Q50">
            <v>85525.812396707188</v>
          </cell>
          <cell r="R50">
            <v>86528.671939166918</v>
          </cell>
        </row>
        <row r="56">
          <cell r="L56">
            <v>-69643.650721166327</v>
          </cell>
        </row>
        <row r="61">
          <cell r="T61">
            <v>101787.61876923079</v>
          </cell>
          <cell r="U61">
            <v>101515.92429601311</v>
          </cell>
        </row>
        <row r="80">
          <cell r="H80">
            <v>320262.52</v>
          </cell>
          <cell r="I80">
            <v>317116.28399999999</v>
          </cell>
          <cell r="L80">
            <v>3146.2359999999662</v>
          </cell>
        </row>
        <row r="85">
          <cell r="H85">
            <v>177421.06080800964</v>
          </cell>
          <cell r="I85">
            <v>246894.49013000005</v>
          </cell>
          <cell r="L85">
            <v>-69473.429321990407</v>
          </cell>
          <cell r="Q85">
            <v>101787.61876923079</v>
          </cell>
          <cell r="R85">
            <v>101515.92429601311</v>
          </cell>
        </row>
        <row r="86">
          <cell r="H86">
            <v>1299246.0233558456</v>
          </cell>
          <cell r="I86">
            <v>1491235.1849999984</v>
          </cell>
          <cell r="K86">
            <v>-36104.391768004367</v>
          </cell>
          <cell r="M86">
            <v>364064.39745531301</v>
          </cell>
        </row>
        <row r="89">
          <cell r="Q89">
            <v>75914.681575337541</v>
          </cell>
          <cell r="R89">
            <v>79377.390849466741</v>
          </cell>
        </row>
        <row r="90">
          <cell r="Q90">
            <v>25872.937193893245</v>
          </cell>
          <cell r="R90">
            <v>22138.533446546367</v>
          </cell>
        </row>
      </sheetData>
      <sheetData sheetId="3">
        <row r="5">
          <cell r="T5">
            <v>37500</v>
          </cell>
          <cell r="U5">
            <v>43723.5</v>
          </cell>
        </row>
        <row r="9">
          <cell r="E9">
            <v>308.72106666666667</v>
          </cell>
          <cell r="F9">
            <v>328.08442187839495</v>
          </cell>
          <cell r="G9">
            <v>102029.94893340614</v>
          </cell>
          <cell r="H9">
            <v>102008.62736610173</v>
          </cell>
        </row>
        <row r="10">
          <cell r="E10">
            <v>1.1199999999999999</v>
          </cell>
          <cell r="F10">
            <v>5.0961153613045616</v>
          </cell>
          <cell r="G10">
            <v>95000</v>
          </cell>
          <cell r="H10">
            <v>94984.292253837179</v>
          </cell>
        </row>
        <row r="11">
          <cell r="E11">
            <v>0</v>
          </cell>
          <cell r="F11">
            <v>0.60743124406783533</v>
          </cell>
        </row>
        <row r="12">
          <cell r="E12">
            <v>27.36</v>
          </cell>
          <cell r="F12">
            <v>28.236330119958389</v>
          </cell>
          <cell r="G12">
            <v>64761.666666666672</v>
          </cell>
          <cell r="H12">
            <v>59084.425825883482</v>
          </cell>
        </row>
        <row r="13">
          <cell r="E13">
            <v>18.114666666666665</v>
          </cell>
          <cell r="F13">
            <v>19.962027056388443</v>
          </cell>
          <cell r="G13">
            <v>39810.981893125281</v>
          </cell>
          <cell r="H13">
            <v>38879.310563107982</v>
          </cell>
        </row>
        <row r="14">
          <cell r="E14">
            <v>0</v>
          </cell>
          <cell r="F14">
            <v>0</v>
          </cell>
        </row>
        <row r="15">
          <cell r="E15">
            <v>355.31573333333336</v>
          </cell>
          <cell r="F15">
            <v>381.98632566011412</v>
          </cell>
        </row>
        <row r="16">
          <cell r="E16">
            <v>802.51839999999993</v>
          </cell>
          <cell r="F16">
            <v>829.44858028291412</v>
          </cell>
          <cell r="G16">
            <v>12585.81248452095</v>
          </cell>
          <cell r="H16">
            <v>12138.235300200089</v>
          </cell>
        </row>
        <row r="17">
          <cell r="E17">
            <v>932.22346666666658</v>
          </cell>
          <cell r="F17">
            <v>893.13435566686121</v>
          </cell>
          <cell r="G17">
            <v>14589.056016773076</v>
          </cell>
          <cell r="H17">
            <v>14323.149750992035</v>
          </cell>
        </row>
        <row r="19">
          <cell r="E19">
            <v>2.9623200000000001</v>
          </cell>
          <cell r="F19">
            <v>2.7981577412604208</v>
          </cell>
        </row>
        <row r="20">
          <cell r="Q20">
            <v>60128.761673128167</v>
          </cell>
          <cell r="R20">
            <v>61422.959964321235</v>
          </cell>
        </row>
        <row r="21">
          <cell r="Q21">
            <v>16803.619505641138</v>
          </cell>
          <cell r="R21">
            <v>17648.985739933905</v>
          </cell>
        </row>
        <row r="22">
          <cell r="Q22">
            <v>324</v>
          </cell>
          <cell r="R22">
            <v>271.94776264480197</v>
          </cell>
        </row>
        <row r="50">
          <cell r="Q50">
            <v>90175.353038056623</v>
          </cell>
          <cell r="R50">
            <v>89692.52973801273</v>
          </cell>
        </row>
        <row r="56">
          <cell r="L56">
            <v>21110.753079468515</v>
          </cell>
        </row>
        <row r="61">
          <cell r="T61">
            <v>105192.59887999999</v>
          </cell>
          <cell r="U61">
            <v>101965.1128340595</v>
          </cell>
        </row>
        <row r="80">
          <cell r="H80">
            <v>100661.53</v>
          </cell>
          <cell r="I80">
            <v>107209.90300000002</v>
          </cell>
          <cell r="L80">
            <v>-6548.3730000000178</v>
          </cell>
        </row>
        <row r="85">
          <cell r="H85">
            <v>82000.000064458538</v>
          </cell>
          <cell r="I85">
            <v>82112.072520000002</v>
          </cell>
          <cell r="L85">
            <v>-112.07245554147312</v>
          </cell>
          <cell r="Q85">
            <v>105192.59887999999</v>
          </cell>
          <cell r="R85">
            <v>101965.1128340595</v>
          </cell>
        </row>
        <row r="86">
          <cell r="H86">
            <v>380485.18900841795</v>
          </cell>
          <cell r="I86">
            <v>347278.34000000061</v>
          </cell>
          <cell r="K86">
            <v>-141116.98612967893</v>
          </cell>
          <cell r="M86">
            <v>93459.829497334547</v>
          </cell>
        </row>
        <row r="89">
          <cell r="Q89">
            <v>77256.381178769312</v>
          </cell>
          <cell r="R89">
            <v>79343.893466899943</v>
          </cell>
        </row>
        <row r="90">
          <cell r="Q90">
            <v>27936.217701230678</v>
          </cell>
          <cell r="R90">
            <v>22621.21936715956</v>
          </cell>
        </row>
      </sheetData>
      <sheetData sheetId="4">
        <row r="2">
          <cell r="N2">
            <v>37000</v>
          </cell>
        </row>
        <row r="5">
          <cell r="T5">
            <v>37000</v>
          </cell>
          <cell r="U5">
            <v>45761</v>
          </cell>
        </row>
        <row r="9">
          <cell r="E9">
            <v>299.89999999999998</v>
          </cell>
          <cell r="F9">
            <v>332.63808839272082</v>
          </cell>
          <cell r="G9">
            <v>100000</v>
          </cell>
          <cell r="H9">
            <v>99930.158219506426</v>
          </cell>
        </row>
        <row r="10">
          <cell r="E10">
            <v>8</v>
          </cell>
          <cell r="F10">
            <v>0.54289974439079824</v>
          </cell>
          <cell r="G10">
            <v>87100</v>
          </cell>
          <cell r="H10">
            <v>81094.802244654449</v>
          </cell>
        </row>
        <row r="11">
          <cell r="E11">
            <v>0</v>
          </cell>
          <cell r="F11">
            <v>0</v>
          </cell>
        </row>
        <row r="12">
          <cell r="E12">
            <v>30</v>
          </cell>
          <cell r="F12">
            <v>17.222660301924698</v>
          </cell>
          <cell r="G12">
            <v>64000</v>
          </cell>
          <cell r="H12">
            <v>63531.922170487371</v>
          </cell>
        </row>
        <row r="13">
          <cell r="E13">
            <v>28.1</v>
          </cell>
          <cell r="F13">
            <v>23.803567823826274</v>
          </cell>
          <cell r="G13">
            <v>45000</v>
          </cell>
          <cell r="H13">
            <v>41138.135386691763</v>
          </cell>
        </row>
        <row r="14">
          <cell r="E14">
            <v>0</v>
          </cell>
          <cell r="F14">
            <v>0</v>
          </cell>
        </row>
        <row r="15">
          <cell r="E15">
            <v>366</v>
          </cell>
          <cell r="F15">
            <v>374.20721626286257</v>
          </cell>
        </row>
        <row r="16">
          <cell r="E16">
            <v>848</v>
          </cell>
          <cell r="F16">
            <v>820.61881458501784</v>
          </cell>
          <cell r="G16">
            <v>15333.333333333334</v>
          </cell>
          <cell r="H16">
            <v>16043.110351541041</v>
          </cell>
        </row>
        <row r="17">
          <cell r="E17">
            <v>875</v>
          </cell>
          <cell r="F17">
            <v>882.39005527275799</v>
          </cell>
          <cell r="G17">
            <v>15161.290322580646</v>
          </cell>
          <cell r="H17">
            <v>15262.486692131959</v>
          </cell>
        </row>
        <row r="19">
          <cell r="E19">
            <v>3.29</v>
          </cell>
          <cell r="F19">
            <v>3.1280088698577777</v>
          </cell>
        </row>
        <row r="20">
          <cell r="Q20">
            <v>62921.790698924735</v>
          </cell>
          <cell r="R20">
            <v>64524.862386122826</v>
          </cell>
        </row>
        <row r="21">
          <cell r="Q21">
            <v>16659.719779516359</v>
          </cell>
          <cell r="R21">
            <v>16321.051689860835</v>
          </cell>
        </row>
        <row r="22">
          <cell r="Q22">
            <v>310.81081081081078</v>
          </cell>
          <cell r="R22">
            <v>261.68824416140518</v>
          </cell>
        </row>
        <row r="50">
          <cell r="Q50">
            <v>85385.955974689947</v>
          </cell>
          <cell r="R50">
            <v>85871.274310182853</v>
          </cell>
        </row>
        <row r="56">
          <cell r="L56">
            <v>-22146.386212214034</v>
          </cell>
        </row>
        <row r="80">
          <cell r="H80">
            <v>65714.55</v>
          </cell>
          <cell r="I80">
            <v>74949.414999999994</v>
          </cell>
          <cell r="L80">
            <v>-9234.864999999998</v>
          </cell>
        </row>
        <row r="85">
          <cell r="H85">
            <v>29863.993999999995</v>
          </cell>
          <cell r="I85">
            <v>29529.973429999998</v>
          </cell>
          <cell r="L85">
            <v>334.02056999999695</v>
          </cell>
          <cell r="Q85">
            <v>96804.104054054071</v>
          </cell>
          <cell r="R85">
            <v>95522.364021765272</v>
          </cell>
        </row>
        <row r="86">
          <cell r="H86">
            <v>326892.93493647291</v>
          </cell>
          <cell r="I86">
            <v>337226.39400000015</v>
          </cell>
          <cell r="K86">
            <v>-58653.705617567728</v>
          </cell>
          <cell r="M86">
            <v>100034.39532330923</v>
          </cell>
        </row>
        <row r="89">
          <cell r="Q89">
            <v>79892.321289251908</v>
          </cell>
          <cell r="R89">
            <v>81107.602320145059</v>
          </cell>
        </row>
      </sheetData>
      <sheetData sheetId="5">
        <row r="2">
          <cell r="N2">
            <v>28000</v>
          </cell>
        </row>
        <row r="5">
          <cell r="T5">
            <v>28000</v>
          </cell>
          <cell r="U5">
            <v>28340</v>
          </cell>
        </row>
        <row r="9">
          <cell r="E9">
            <v>300.26299999999998</v>
          </cell>
          <cell r="F9">
            <v>340.4205228250903</v>
          </cell>
          <cell r="G9">
            <v>100000.00000000001</v>
          </cell>
          <cell r="H9">
            <v>99994.236421226044</v>
          </cell>
        </row>
        <row r="10">
          <cell r="E10">
            <v>10.898</v>
          </cell>
          <cell r="F10">
            <v>0</v>
          </cell>
          <cell r="G10">
            <v>99500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36.76100000000001</v>
          </cell>
          <cell r="F12">
            <v>19.819273266069285</v>
          </cell>
          <cell r="G12">
            <v>64500</v>
          </cell>
          <cell r="H12">
            <v>63252.184347260445</v>
          </cell>
        </row>
        <row r="13">
          <cell r="E13">
            <v>18.231999999999999</v>
          </cell>
          <cell r="F13">
            <v>24.475080434629248</v>
          </cell>
          <cell r="G13">
            <v>45000</v>
          </cell>
          <cell r="H13">
            <v>44284.510862040916</v>
          </cell>
        </row>
        <row r="14">
          <cell r="E14">
            <v>0</v>
          </cell>
          <cell r="F14">
            <v>0</v>
          </cell>
        </row>
        <row r="15">
          <cell r="E15">
            <v>366.154</v>
          </cell>
          <cell r="F15">
            <v>384.71487652578884</v>
          </cell>
        </row>
        <row r="16">
          <cell r="E16">
            <v>886.33600000000001</v>
          </cell>
          <cell r="F16">
            <v>866.77820503774774</v>
          </cell>
          <cell r="G16">
            <v>15733.333333333332</v>
          </cell>
          <cell r="H16">
            <v>15797.357720557788</v>
          </cell>
        </row>
        <row r="17">
          <cell r="E17">
            <v>852.53399999999999</v>
          </cell>
          <cell r="F17">
            <v>838.72027799336695</v>
          </cell>
          <cell r="G17">
            <v>15504.161508615734</v>
          </cell>
          <cell r="H17">
            <v>15652.971172941961</v>
          </cell>
        </row>
        <row r="19">
          <cell r="E19">
            <v>3.2949999999999999</v>
          </cell>
          <cell r="F19">
            <v>3.2421470401467571</v>
          </cell>
        </row>
        <row r="20">
          <cell r="Q20">
            <v>64232.820060919541</v>
          </cell>
          <cell r="R20">
            <v>65677.078952938682</v>
          </cell>
        </row>
        <row r="21">
          <cell r="Q21">
            <v>16877.17332351497</v>
          </cell>
          <cell r="R21">
            <v>17730.639208353914</v>
          </cell>
        </row>
        <row r="22">
          <cell r="Q22">
            <v>757.14285714285711</v>
          </cell>
          <cell r="R22">
            <v>655.72701615748258</v>
          </cell>
        </row>
        <row r="50">
          <cell r="Q50">
            <v>89952.780859072838</v>
          </cell>
          <cell r="R50">
            <v>90549.026705708035</v>
          </cell>
        </row>
        <row r="56">
          <cell r="L56">
            <v>-16929.467633875356</v>
          </cell>
        </row>
        <row r="80">
          <cell r="H80">
            <v>61718.03</v>
          </cell>
          <cell r="I80">
            <v>64227.001999999993</v>
          </cell>
          <cell r="L80">
            <v>-2508.9719999999934</v>
          </cell>
        </row>
        <row r="85">
          <cell r="H85">
            <v>34120.923906133343</v>
          </cell>
          <cell r="I85">
            <v>33468.426820000001</v>
          </cell>
          <cell r="L85">
            <v>652.49708613334656</v>
          </cell>
          <cell r="Q85">
            <v>97848.2689285714</v>
          </cell>
          <cell r="R85">
            <v>97629.192942836991</v>
          </cell>
        </row>
        <row r="86">
          <cell r="H86">
            <v>125234.71203982687</v>
          </cell>
          <cell r="I86">
            <v>102924.6220000005</v>
          </cell>
          <cell r="K86">
            <v>-6208.6134357131559</v>
          </cell>
          <cell r="M86">
            <v>2684.4659436295115</v>
          </cell>
        </row>
        <row r="89">
          <cell r="Q89">
            <v>81867.136241577362</v>
          </cell>
          <cell r="R89">
            <v>84063.445177450078</v>
          </cell>
        </row>
      </sheetData>
      <sheetData sheetId="6">
        <row r="2">
          <cell r="N2">
            <v>20000</v>
          </cell>
        </row>
        <row r="5">
          <cell r="T5">
            <v>20000</v>
          </cell>
          <cell r="U5">
            <v>22882</v>
          </cell>
        </row>
        <row r="9">
          <cell r="E9">
            <v>300.41774999999996</v>
          </cell>
          <cell r="F9">
            <v>324.9990595227689</v>
          </cell>
          <cell r="G9">
            <v>100000.00000000001</v>
          </cell>
          <cell r="H9">
            <v>99991.234065252123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35.082500000000003</v>
          </cell>
          <cell r="F12">
            <v>59.253725198846297</v>
          </cell>
          <cell r="G12">
            <v>64500</v>
          </cell>
          <cell r="H12">
            <v>59952.220600288303</v>
          </cell>
        </row>
        <row r="13">
          <cell r="E13">
            <v>9.4462499999999991</v>
          </cell>
          <cell r="F13">
            <v>21.067843719954556</v>
          </cell>
          <cell r="G13">
            <v>45000.000000000007</v>
          </cell>
          <cell r="H13">
            <v>43614.307252158571</v>
          </cell>
        </row>
        <row r="14">
          <cell r="E14">
            <v>0</v>
          </cell>
          <cell r="F14">
            <v>0</v>
          </cell>
        </row>
        <row r="15">
          <cell r="E15">
            <v>344.94649999999996</v>
          </cell>
          <cell r="F15">
            <v>405.32062844156974</v>
          </cell>
        </row>
        <row r="16">
          <cell r="E16">
            <v>875.05700000000002</v>
          </cell>
          <cell r="F16">
            <v>839.8798537715237</v>
          </cell>
          <cell r="G16">
            <v>15266.666666666668</v>
          </cell>
          <cell r="H16">
            <v>15369.650090258765</v>
          </cell>
        </row>
        <row r="17">
          <cell r="E17">
            <v>879.08100000000002</v>
          </cell>
          <cell r="F17">
            <v>876.44743483961247</v>
          </cell>
          <cell r="G17">
            <v>13419.35483870968</v>
          </cell>
          <cell r="H17">
            <v>13541.62660927286</v>
          </cell>
        </row>
        <row r="19">
          <cell r="E19">
            <v>2.7595719999999999</v>
          </cell>
          <cell r="F19">
            <v>3.4832829298138277</v>
          </cell>
        </row>
        <row r="20">
          <cell r="Q20">
            <v>59872.472744301078</v>
          </cell>
          <cell r="R20">
            <v>64317.385718031641</v>
          </cell>
        </row>
        <row r="21">
          <cell r="Q21">
            <v>17735.202499999999</v>
          </cell>
          <cell r="R21">
            <v>19555.668516738046</v>
          </cell>
        </row>
        <row r="22">
          <cell r="Q22">
            <v>252.5</v>
          </cell>
          <cell r="R22">
            <v>213.71916790490343</v>
          </cell>
        </row>
        <row r="50">
          <cell r="Q50">
            <v>85519.673870929531</v>
          </cell>
          <cell r="R50">
            <v>92299.253518049125</v>
          </cell>
        </row>
        <row r="56">
          <cell r="L56">
            <v>-155130.33744539085</v>
          </cell>
        </row>
        <row r="80">
          <cell r="H80">
            <v>47286.469999999994</v>
          </cell>
          <cell r="I80">
            <v>53955.483999999997</v>
          </cell>
          <cell r="L80">
            <v>-6669.0140000000029</v>
          </cell>
        </row>
        <row r="85">
          <cell r="H85">
            <v>18973.436444444444</v>
          </cell>
          <cell r="I85">
            <v>19103.618039999998</v>
          </cell>
          <cell r="L85">
            <v>-130.18159555555553</v>
          </cell>
          <cell r="Q85">
            <v>95930.984366512566</v>
          </cell>
          <cell r="R85">
            <v>100573.67922384407</v>
          </cell>
        </row>
        <row r="86">
          <cell r="H86">
            <v>141966.30346721632</v>
          </cell>
          <cell r="I86">
            <v>116276.31100000002</v>
          </cell>
          <cell r="K86">
            <v>106234.14372545942</v>
          </cell>
          <cell r="M86">
            <v>30005.396848270349</v>
          </cell>
        </row>
        <row r="89">
          <cell r="Q89">
            <v>77860.175244301077</v>
          </cell>
          <cell r="R89">
            <v>84086.773402674589</v>
          </cell>
        </row>
      </sheetData>
      <sheetData sheetId="7">
        <row r="2">
          <cell r="N2">
            <v>8000</v>
          </cell>
        </row>
        <row r="5">
          <cell r="T5">
            <v>8000</v>
          </cell>
          <cell r="U5">
            <v>5281</v>
          </cell>
        </row>
        <row r="9">
          <cell r="E9">
            <v>254</v>
          </cell>
          <cell r="F9">
            <v>263.73927262422052</v>
          </cell>
          <cell r="G9">
            <v>100000</v>
          </cell>
          <cell r="H9">
            <v>99984.265443381417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34</v>
          </cell>
          <cell r="F12">
            <v>31.088448894766696</v>
          </cell>
          <cell r="G12">
            <v>64300</v>
          </cell>
          <cell r="H12">
            <v>49924.564494106235</v>
          </cell>
        </row>
        <row r="13">
          <cell r="E13">
            <v>34</v>
          </cell>
          <cell r="F13">
            <v>28.577753636878896</v>
          </cell>
          <cell r="G13">
            <v>46000</v>
          </cell>
          <cell r="H13">
            <v>46365.125951948954</v>
          </cell>
        </row>
        <row r="14">
          <cell r="E14">
            <v>0</v>
          </cell>
          <cell r="F14">
            <v>0</v>
          </cell>
        </row>
        <row r="15">
          <cell r="E15">
            <v>322</v>
          </cell>
          <cell r="F15">
            <v>323.40547515586616</v>
          </cell>
        </row>
        <row r="16">
          <cell r="E16">
            <v>802</v>
          </cell>
          <cell r="F16">
            <v>838.57453259021361</v>
          </cell>
          <cell r="G16">
            <v>14666.666666666666</v>
          </cell>
          <cell r="H16">
            <v>14599.99864492545</v>
          </cell>
        </row>
        <row r="17">
          <cell r="E17">
            <v>940</v>
          </cell>
          <cell r="F17">
            <v>909.4454940487434</v>
          </cell>
          <cell r="G17">
            <v>14463.872387759448</v>
          </cell>
          <cell r="H17">
            <v>14716.071541715877</v>
          </cell>
        </row>
        <row r="19">
          <cell r="E19">
            <v>2.5</v>
          </cell>
          <cell r="F19">
            <v>2.4135159644813875</v>
          </cell>
        </row>
        <row r="20">
          <cell r="Q20">
            <v>56058.906711160547</v>
          </cell>
          <cell r="R20">
            <v>56279.281692801807</v>
          </cell>
        </row>
        <row r="21">
          <cell r="Q21">
            <v>17159.760195035458</v>
          </cell>
          <cell r="R21">
            <v>18868.546570942755</v>
          </cell>
        </row>
        <row r="22">
          <cell r="Q22">
            <v>480</v>
          </cell>
          <cell r="R22">
            <v>794.66389571131674</v>
          </cell>
        </row>
        <row r="50">
          <cell r="Q50">
            <v>87968.335447862686</v>
          </cell>
          <cell r="R50">
            <v>95960.690912525984</v>
          </cell>
        </row>
        <row r="56">
          <cell r="L56">
            <v>-42258.867309837326</v>
          </cell>
        </row>
        <row r="80">
          <cell r="H80">
            <v>33036.42</v>
          </cell>
          <cell r="I80">
            <v>32002.914000000001</v>
          </cell>
          <cell r="L80">
            <v>1033.5059999999962</v>
          </cell>
        </row>
        <row r="85">
          <cell r="H85">
            <v>18518.989999999998</v>
          </cell>
          <cell r="I85">
            <v>18372.601190000001</v>
          </cell>
          <cell r="L85">
            <v>146.38880999999674</v>
          </cell>
          <cell r="Q85">
            <v>92777.0625</v>
          </cell>
          <cell r="R85">
            <v>92187.767468282531</v>
          </cell>
        </row>
        <row r="86">
          <cell r="H86">
            <v>-13085.593582901252</v>
          </cell>
          <cell r="I86">
            <v>-70351.561999999976</v>
          </cell>
          <cell r="K86">
            <v>-3112.0670624999543</v>
          </cell>
          <cell r="M86">
            <v>-13074.928854761412</v>
          </cell>
        </row>
        <row r="89">
          <cell r="Q89">
            <v>73698.666906196013</v>
          </cell>
          <cell r="R89">
            <v>75942.492159455884</v>
          </cell>
        </row>
      </sheetData>
      <sheetData sheetId="8">
        <row r="2">
          <cell r="N2">
            <v>18000</v>
          </cell>
        </row>
        <row r="5">
          <cell r="T5">
            <v>18000</v>
          </cell>
          <cell r="U5">
            <v>23815</v>
          </cell>
        </row>
        <row r="9">
          <cell r="E9">
            <v>230.93036372100192</v>
          </cell>
          <cell r="F9">
            <v>239.2416223582689</v>
          </cell>
          <cell r="G9">
            <v>100000</v>
          </cell>
          <cell r="H9">
            <v>99988.517788902944</v>
          </cell>
        </row>
        <row r="10">
          <cell r="E10">
            <v>40.896636744818807</v>
          </cell>
          <cell r="F10">
            <v>89.26715363971833</v>
          </cell>
          <cell r="G10">
            <v>92100.000000000015</v>
          </cell>
          <cell r="H10">
            <v>92332.307555519656</v>
          </cell>
        </row>
        <row r="11">
          <cell r="E11">
            <v>7.5069515350233011</v>
          </cell>
          <cell r="F11">
            <v>0</v>
          </cell>
        </row>
        <row r="12">
          <cell r="E12">
            <v>42.814846635224725</v>
          </cell>
          <cell r="F12">
            <v>18.075610533378054</v>
          </cell>
          <cell r="G12">
            <v>65000</v>
          </cell>
          <cell r="H12">
            <v>60961.804652435159</v>
          </cell>
        </row>
        <row r="13">
          <cell r="E13">
            <v>34.335904102157699</v>
          </cell>
          <cell r="F13">
            <v>30.847161187520971</v>
          </cell>
          <cell r="G13">
            <v>36500</v>
          </cell>
          <cell r="H13">
            <v>36499.997077387117</v>
          </cell>
        </row>
        <row r="14">
          <cell r="E14">
            <v>0</v>
          </cell>
          <cell r="F14">
            <v>0</v>
          </cell>
        </row>
        <row r="15">
          <cell r="E15">
            <v>356.48470273822647</v>
          </cell>
          <cell r="F15">
            <v>377.43154771888624</v>
          </cell>
        </row>
        <row r="16">
          <cell r="E16">
            <v>850.35406788538</v>
          </cell>
          <cell r="F16">
            <v>886.48922341496143</v>
          </cell>
          <cell r="G16">
            <v>10753.733119254752</v>
          </cell>
          <cell r="H16">
            <v>11811.264512384587</v>
          </cell>
        </row>
        <row r="17">
          <cell r="E17">
            <v>881.56011188997502</v>
          </cell>
          <cell r="F17">
            <v>828.09879235155972</v>
          </cell>
          <cell r="G17">
            <v>17404.086839942382</v>
          </cell>
          <cell r="H17">
            <v>18096.38742182951</v>
          </cell>
        </row>
        <row r="19">
          <cell r="E19">
            <v>2.864313451280085</v>
          </cell>
          <cell r="F19">
            <v>3.520101476014764</v>
          </cell>
        </row>
        <row r="20">
          <cell r="Q20">
            <v>58914.549627930246</v>
          </cell>
          <cell r="R20">
            <v>63217.394666219392</v>
          </cell>
        </row>
        <row r="21">
          <cell r="Q21">
            <v>19166.051388888893</v>
          </cell>
          <cell r="R21">
            <v>19677.189072458907</v>
          </cell>
        </row>
        <row r="22">
          <cell r="Q22">
            <v>277.77777777777777</v>
          </cell>
          <cell r="R22">
            <v>99.150746393827575</v>
          </cell>
        </row>
        <row r="50">
          <cell r="Q50">
            <v>88392.826823148425</v>
          </cell>
          <cell r="R50">
            <v>89109.081977524329</v>
          </cell>
        </row>
        <row r="56">
          <cell r="L56">
            <v>23514.306073280022</v>
          </cell>
        </row>
        <row r="80">
          <cell r="H80">
            <v>54568.41</v>
          </cell>
          <cell r="I80">
            <v>50868.063000000002</v>
          </cell>
          <cell r="L80">
            <v>3700.3469999999998</v>
          </cell>
        </row>
        <row r="85">
          <cell r="H85">
            <v>45789.826000000001</v>
          </cell>
          <cell r="I85">
            <v>86920.787280000004</v>
          </cell>
          <cell r="L85">
            <v>-41130.961280000003</v>
          </cell>
          <cell r="Q85">
            <v>107599.67944444448</v>
          </cell>
          <cell r="R85">
            <v>105738.43653159773</v>
          </cell>
        </row>
        <row r="86">
          <cell r="H86">
            <v>245365.11118332855</v>
          </cell>
          <cell r="I86">
            <v>298811.15099999995</v>
          </cell>
          <cell r="K86">
            <v>-44325.499969445307</v>
          </cell>
          <cell r="M86">
            <v>111687.8479928365</v>
          </cell>
        </row>
        <row r="89">
          <cell r="Q89">
            <v>78358.378794596923</v>
          </cell>
          <cell r="R89">
            <v>82993.734485072127</v>
          </cell>
        </row>
      </sheetData>
      <sheetData sheetId="9">
        <row r="2">
          <cell r="N2">
            <v>21000</v>
          </cell>
        </row>
        <row r="5">
          <cell r="T5">
            <v>21000</v>
          </cell>
          <cell r="U5">
            <v>23910</v>
          </cell>
        </row>
        <row r="9">
          <cell r="E9">
            <v>238.6</v>
          </cell>
          <cell r="F9">
            <v>280.23011459640315</v>
          </cell>
          <cell r="G9">
            <v>100000</v>
          </cell>
          <cell r="H9">
            <v>99987.454893899092</v>
          </cell>
        </row>
        <row r="10">
          <cell r="E10">
            <v>59.3</v>
          </cell>
          <cell r="F10">
            <v>45.093061480552109</v>
          </cell>
          <cell r="G10">
            <v>92100.000000000015</v>
          </cell>
          <cell r="H10">
            <v>92564.852406626655</v>
          </cell>
        </row>
        <row r="11">
          <cell r="E11">
            <v>0</v>
          </cell>
          <cell r="F11">
            <v>0</v>
          </cell>
        </row>
        <row r="12">
          <cell r="E12">
            <v>31.299999999999994</v>
          </cell>
          <cell r="F12">
            <v>16.525596821413632</v>
          </cell>
          <cell r="G12">
            <v>65000</v>
          </cell>
          <cell r="H12">
            <v>59956.555236338958</v>
          </cell>
        </row>
        <row r="13">
          <cell r="E13">
            <v>21</v>
          </cell>
          <cell r="F13">
            <v>25.467214972814709</v>
          </cell>
          <cell r="G13">
            <v>35200</v>
          </cell>
          <cell r="H13">
            <v>35366.81787892033</v>
          </cell>
        </row>
        <row r="14">
          <cell r="E14">
            <v>0</v>
          </cell>
          <cell r="F14">
            <v>0</v>
          </cell>
        </row>
        <row r="15">
          <cell r="E15">
            <v>350.2</v>
          </cell>
          <cell r="F15">
            <v>367.31598787118361</v>
          </cell>
        </row>
        <row r="16">
          <cell r="E16">
            <v>818.3</v>
          </cell>
          <cell r="F16">
            <v>853.45043914680059</v>
          </cell>
          <cell r="G16">
            <v>10666.666666666668</v>
          </cell>
          <cell r="H16">
            <v>11461.824414387924</v>
          </cell>
        </row>
        <row r="17">
          <cell r="E17">
            <v>920.8</v>
          </cell>
          <cell r="F17">
            <v>882.38590547887952</v>
          </cell>
          <cell r="G17">
            <v>17856.126162368473</v>
          </cell>
          <cell r="H17">
            <v>18477.195706272771</v>
          </cell>
        </row>
        <row r="19">
          <cell r="E19">
            <v>4.5</v>
          </cell>
          <cell r="F19">
            <v>3.4039991635299018</v>
          </cell>
        </row>
        <row r="20">
          <cell r="Q20">
            <v>61075.684303642229</v>
          </cell>
          <cell r="R20">
            <v>63189.636930154753</v>
          </cell>
        </row>
        <row r="21">
          <cell r="Q21">
            <v>16197.467010309278</v>
          </cell>
          <cell r="R21">
            <v>16429.292639063155</v>
          </cell>
        </row>
        <row r="22">
          <cell r="Q22">
            <v>95.238095238095227</v>
          </cell>
          <cell r="R22">
            <v>266.13881221246339</v>
          </cell>
        </row>
        <row r="50">
          <cell r="Q50">
            <v>84572.102425062621</v>
          </cell>
          <cell r="R50">
            <v>86048.368632371406</v>
          </cell>
        </row>
        <row r="56">
          <cell r="L56">
            <v>-19570.197566753246</v>
          </cell>
        </row>
        <row r="80">
          <cell r="H80">
            <v>49037.75</v>
          </cell>
          <cell r="I80">
            <v>55730.876999999993</v>
          </cell>
          <cell r="L80">
            <v>-6693.1269999999968</v>
          </cell>
        </row>
        <row r="85">
          <cell r="H85">
            <v>26241.000111111112</v>
          </cell>
          <cell r="I85">
            <v>42977.854450000006</v>
          </cell>
          <cell r="L85">
            <v>-16736.85433888889</v>
          </cell>
          <cell r="Q85">
            <v>103101.68190476191</v>
          </cell>
          <cell r="R85">
            <v>97803.693015474695</v>
          </cell>
        </row>
        <row r="86">
          <cell r="H86">
            <v>313842.41896257398</v>
          </cell>
          <cell r="I86">
            <v>198088.40199999986</v>
          </cell>
          <cell r="K86">
            <v>-126674.91434285723</v>
          </cell>
          <cell r="M86">
            <v>53921.076285924937</v>
          </cell>
        </row>
        <row r="89">
          <cell r="Q89">
            <v>77368.389409189593</v>
          </cell>
          <cell r="R89">
            <v>79885.068381430363</v>
          </cell>
        </row>
      </sheetData>
      <sheetData sheetId="10">
        <row r="2">
          <cell r="N2">
            <v>10000</v>
          </cell>
        </row>
        <row r="5">
          <cell r="T5">
            <v>10000</v>
          </cell>
          <cell r="U5">
            <v>12339</v>
          </cell>
        </row>
        <row r="9">
          <cell r="E9">
            <v>221.92</v>
          </cell>
          <cell r="F9">
            <v>186.53768475703745</v>
          </cell>
          <cell r="G9">
            <v>100000</v>
          </cell>
          <cell r="H9">
            <v>100139.57380870076</v>
          </cell>
        </row>
        <row r="10">
          <cell r="E10">
            <v>102.9</v>
          </cell>
          <cell r="F10">
            <v>170.54029041940453</v>
          </cell>
          <cell r="G10">
            <v>92100</v>
          </cell>
          <cell r="H10">
            <v>92070.726730257476</v>
          </cell>
        </row>
        <row r="11">
          <cell r="E11">
            <v>0</v>
          </cell>
          <cell r="F11">
            <v>0</v>
          </cell>
        </row>
        <row r="12">
          <cell r="E12">
            <v>2.5299999999999998</v>
          </cell>
          <cell r="F12">
            <v>2.3742191936399752</v>
          </cell>
          <cell r="G12">
            <v>64000</v>
          </cell>
          <cell r="H12">
            <v>61094.850855912868</v>
          </cell>
        </row>
        <row r="13">
          <cell r="E13">
            <v>15.65</v>
          </cell>
          <cell r="F13">
            <v>14.305917903788432</v>
          </cell>
          <cell r="G13">
            <v>35000</v>
          </cell>
          <cell r="H13">
            <v>34999.610148169217</v>
          </cell>
        </row>
        <row r="14">
          <cell r="E14">
            <v>0</v>
          </cell>
          <cell r="F14">
            <v>0</v>
          </cell>
        </row>
        <row r="15">
          <cell r="E15">
            <v>342.99999999999994</v>
          </cell>
          <cell r="F15">
            <v>373.75811227387044</v>
          </cell>
        </row>
        <row r="16">
          <cell r="E16">
            <v>830</v>
          </cell>
          <cell r="F16">
            <v>785.10586517400793</v>
          </cell>
          <cell r="G16">
            <v>9533.3333333333339</v>
          </cell>
          <cell r="H16">
            <v>9835.9920438107092</v>
          </cell>
        </row>
        <row r="17">
          <cell r="E17">
            <v>890</v>
          </cell>
          <cell r="F17">
            <v>934.35547984099901</v>
          </cell>
          <cell r="G17">
            <v>17730.479017177098</v>
          </cell>
          <cell r="H17">
            <v>16953.546163329811</v>
          </cell>
        </row>
        <row r="19">
          <cell r="E19">
            <v>3.3</v>
          </cell>
          <cell r="F19">
            <v>3.5653078607933808</v>
          </cell>
        </row>
        <row r="20">
          <cell r="Q20">
            <v>58704.152991954274</v>
          </cell>
          <cell r="R20">
            <v>61549.013141883675</v>
          </cell>
        </row>
        <row r="21">
          <cell r="Q21">
            <v>17691.448391812868</v>
          </cell>
          <cell r="R21">
            <v>18711.871663827369</v>
          </cell>
        </row>
        <row r="22">
          <cell r="Q22">
            <v>350</v>
          </cell>
          <cell r="R22">
            <v>422.91400989697416</v>
          </cell>
        </row>
        <row r="50">
          <cell r="Q50">
            <v>88745.649842588115</v>
          </cell>
          <cell r="R50">
            <v>88633.743733268449</v>
          </cell>
        </row>
        <row r="56">
          <cell r="L56">
            <v>4039.8365495837957</v>
          </cell>
        </row>
        <row r="80">
          <cell r="H80">
            <v>35408.400000000001</v>
          </cell>
          <cell r="I80">
            <v>35324.804000000004</v>
          </cell>
          <cell r="L80">
            <v>83.596000000001823</v>
          </cell>
        </row>
        <row r="85">
          <cell r="H85">
            <v>12618.000444444444</v>
          </cell>
          <cell r="I85">
            <v>16897.637940000001</v>
          </cell>
          <cell r="L85">
            <v>-4279.6374955555566</v>
          </cell>
          <cell r="Q85">
            <v>100999.6</v>
          </cell>
          <cell r="R85">
            <v>99339.806927881902</v>
          </cell>
        </row>
        <row r="86">
          <cell r="H86">
            <v>74513.101129674411</v>
          </cell>
          <cell r="I86">
            <v>82439.169000000038</v>
          </cell>
          <cell r="K86">
            <v>-20460.269199999864</v>
          </cell>
          <cell r="M86">
            <v>28542.542016297492</v>
          </cell>
        </row>
        <row r="89">
          <cell r="Q89">
            <v>76745.601383767149</v>
          </cell>
          <cell r="R89">
            <v>80683.798815608025</v>
          </cell>
        </row>
      </sheetData>
      <sheetData sheetId="11">
        <row r="2">
          <cell r="N2">
            <v>18000</v>
          </cell>
        </row>
        <row r="5">
          <cell r="T5">
            <v>18000</v>
          </cell>
          <cell r="U5">
            <v>21517.5</v>
          </cell>
        </row>
        <row r="9">
          <cell r="E9">
            <v>236</v>
          </cell>
          <cell r="F9">
            <v>261.503381393513</v>
          </cell>
          <cell r="G9">
            <v>100000</v>
          </cell>
          <cell r="H9">
            <v>99993.478059448171</v>
          </cell>
        </row>
        <row r="10">
          <cell r="E10">
            <v>61</v>
          </cell>
          <cell r="F10">
            <v>62.553789324603564</v>
          </cell>
          <cell r="G10">
            <v>92100.000000000015</v>
          </cell>
          <cell r="H10">
            <v>91892.582550839128</v>
          </cell>
        </row>
        <row r="11">
          <cell r="E11">
            <v>0</v>
          </cell>
          <cell r="F11">
            <v>0</v>
          </cell>
        </row>
        <row r="12">
          <cell r="E12">
            <v>34</v>
          </cell>
          <cell r="F12">
            <v>20.292499361519358</v>
          </cell>
          <cell r="G12">
            <v>63500</v>
          </cell>
          <cell r="H12">
            <v>60990.287799943391</v>
          </cell>
        </row>
        <row r="13">
          <cell r="E13">
            <v>29</v>
          </cell>
          <cell r="F13">
            <v>29.465164031482892</v>
          </cell>
          <cell r="G13">
            <v>35500</v>
          </cell>
          <cell r="H13">
            <v>35500.008005710668</v>
          </cell>
        </row>
        <row r="14">
          <cell r="E14">
            <v>0</v>
          </cell>
          <cell r="F14">
            <v>0</v>
          </cell>
        </row>
        <row r="15">
          <cell r="E15">
            <v>360</v>
          </cell>
          <cell r="F15">
            <v>373.81483411111878</v>
          </cell>
        </row>
        <row r="16">
          <cell r="E16">
            <v>795</v>
          </cell>
          <cell r="F16">
            <v>803.84342132757581</v>
          </cell>
          <cell r="G16">
            <v>10733.333333333332</v>
          </cell>
          <cell r="H16">
            <v>11856.517959213612</v>
          </cell>
        </row>
        <row r="17">
          <cell r="E17">
            <v>920</v>
          </cell>
          <cell r="F17">
            <v>922.87896728657347</v>
          </cell>
          <cell r="G17">
            <v>18315.171013635976</v>
          </cell>
          <cell r="H17">
            <v>18943.114045724553</v>
          </cell>
        </row>
        <row r="19">
          <cell r="E19">
            <v>3.06</v>
          </cell>
          <cell r="F19">
            <v>3.2157855633721062</v>
          </cell>
        </row>
        <row r="20">
          <cell r="Q20">
            <v>60102.917332545097</v>
          </cell>
          <cell r="R20">
            <v>63871.841192449683</v>
          </cell>
        </row>
        <row r="21">
          <cell r="Q21">
            <v>18577.502777777776</v>
          </cell>
          <cell r="R21">
            <v>17842.802488913654</v>
          </cell>
        </row>
        <row r="22">
          <cell r="Q22">
            <v>250</v>
          </cell>
          <cell r="R22">
            <v>247.88154442664438</v>
          </cell>
        </row>
        <row r="50">
          <cell r="Q50">
            <v>86507.945332545089</v>
          </cell>
          <cell r="R50">
            <v>87902.653014789539</v>
          </cell>
        </row>
        <row r="56">
          <cell r="L56">
            <v>-27120.096586960692</v>
          </cell>
        </row>
        <row r="80">
          <cell r="H80">
            <v>46783.770000000004</v>
          </cell>
          <cell r="I80">
            <v>42990.394999999997</v>
          </cell>
          <cell r="L80">
            <v>3793.3750000000073</v>
          </cell>
        </row>
        <row r="85">
          <cell r="H85">
            <v>23701.83</v>
          </cell>
          <cell r="I85">
            <v>29594.603719999999</v>
          </cell>
          <cell r="L85">
            <v>-5892.7737199999992</v>
          </cell>
          <cell r="Q85">
            <v>104000</v>
          </cell>
          <cell r="R85">
            <v>103083.79923318229</v>
          </cell>
        </row>
        <row r="86">
          <cell r="H86">
            <v>244371.38401418814</v>
          </cell>
          <cell r="I86">
            <v>256965.84100000001</v>
          </cell>
          <cell r="K86">
            <v>-19714.350000000082</v>
          </cell>
          <cell r="M86">
            <v>61528.302292772569</v>
          </cell>
        </row>
        <row r="89">
          <cell r="Q89">
            <v>78930.42011032287</v>
          </cell>
          <cell r="R89">
            <v>81962.525225789985</v>
          </cell>
        </row>
      </sheetData>
      <sheetData sheetId="12">
        <row r="2">
          <cell r="N2">
            <v>11000</v>
          </cell>
        </row>
        <row r="5">
          <cell r="T5">
            <v>11000</v>
          </cell>
          <cell r="U5">
            <v>13864</v>
          </cell>
        </row>
        <row r="9">
          <cell r="E9">
            <v>251.60654545454548</v>
          </cell>
          <cell r="F9">
            <v>235.03751586843609</v>
          </cell>
          <cell r="G9">
            <v>100000.00000000001</v>
          </cell>
          <cell r="H9">
            <v>99892.442064257586</v>
          </cell>
        </row>
        <row r="10">
          <cell r="E10">
            <v>10.240909090909092</v>
          </cell>
          <cell r="F10">
            <v>16.730885747259087</v>
          </cell>
          <cell r="G10">
            <v>92100.000000000015</v>
          </cell>
          <cell r="H10">
            <v>100935.5871993516</v>
          </cell>
        </row>
        <row r="11">
          <cell r="E11">
            <v>0</v>
          </cell>
          <cell r="F11">
            <v>0</v>
          </cell>
        </row>
        <row r="12">
          <cell r="E12">
            <v>35.716818181818184</v>
          </cell>
          <cell r="F12">
            <v>83.611121609925007</v>
          </cell>
          <cell r="G12">
            <v>63000.000000000007</v>
          </cell>
          <cell r="H12">
            <v>62814.478926087155</v>
          </cell>
        </row>
        <row r="13">
          <cell r="E13">
            <v>34.69409090909091</v>
          </cell>
          <cell r="F13">
            <v>28.029034189267158</v>
          </cell>
          <cell r="G13">
            <v>36000</v>
          </cell>
          <cell r="H13">
            <v>36000.004940882733</v>
          </cell>
        </row>
        <row r="14">
          <cell r="E14">
            <v>0</v>
          </cell>
          <cell r="F14">
            <v>0</v>
          </cell>
        </row>
        <row r="15">
          <cell r="E15">
            <v>332.25836363636364</v>
          </cell>
          <cell r="F15">
            <v>363.40855741488735</v>
          </cell>
        </row>
        <row r="16">
          <cell r="E16">
            <v>783.27272727272725</v>
          </cell>
          <cell r="F16">
            <v>787.66120888632486</v>
          </cell>
          <cell r="G16">
            <v>9066.6666666666661</v>
          </cell>
          <cell r="H16">
            <v>9498.7454825421046</v>
          </cell>
        </row>
        <row r="17">
          <cell r="E17">
            <v>917.88820727272707</v>
          </cell>
          <cell r="F17">
            <v>907.72792844777837</v>
          </cell>
          <cell r="G17">
            <v>17567.089206960824</v>
          </cell>
          <cell r="H17">
            <v>17726.513221568344</v>
          </cell>
        </row>
        <row r="19">
          <cell r="E19">
            <v>2.4999888181818184</v>
          </cell>
          <cell r="F19">
            <v>3.116637334102712</v>
          </cell>
        </row>
        <row r="20">
          <cell r="Q20">
            <v>54686.901900268262</v>
          </cell>
          <cell r="R20">
            <v>57005.473889209468</v>
          </cell>
        </row>
        <row r="21">
          <cell r="Q21">
            <v>17018.113277511966</v>
          </cell>
          <cell r="R21">
            <v>16485.468407386037</v>
          </cell>
        </row>
        <row r="22">
          <cell r="Q22">
            <v>86.36363636363636</v>
          </cell>
          <cell r="R22">
            <v>48.64166185804963</v>
          </cell>
        </row>
        <row r="50">
          <cell r="Q50">
            <v>81198.68435959841</v>
          </cell>
          <cell r="R50">
            <v>81030.002885170237</v>
          </cell>
        </row>
        <row r="56">
          <cell r="L56">
            <v>3398.1992414724205</v>
          </cell>
        </row>
        <row r="80">
          <cell r="H80">
            <v>34542.17</v>
          </cell>
          <cell r="I80">
            <v>25878.082000000002</v>
          </cell>
          <cell r="L80">
            <v>8664.0879999999961</v>
          </cell>
        </row>
        <row r="85">
          <cell r="H85">
            <v>10625.898111111112</v>
          </cell>
          <cell r="I85">
            <v>11436.90828</v>
          </cell>
          <cell r="L85">
            <v>-811.01016888888819</v>
          </cell>
          <cell r="Q85">
            <v>96280.787636363631</v>
          </cell>
          <cell r="R85">
            <v>94627.517311021351</v>
          </cell>
        </row>
        <row r="86">
          <cell r="H86">
            <v>120735.06793330619</v>
          </cell>
          <cell r="I86">
            <v>152260.54899999991</v>
          </cell>
          <cell r="K86">
            <v>-22920.939790545377</v>
          </cell>
          <cell r="M86">
            <v>43195.143784655636</v>
          </cell>
        </row>
        <row r="89">
          <cell r="Q89">
            <v>71791.378814143856</v>
          </cell>
          <cell r="R89">
            <v>73539.583958453557</v>
          </cell>
        </row>
      </sheetData>
      <sheetData sheetId="13">
        <row r="2">
          <cell r="N2">
            <v>14000</v>
          </cell>
        </row>
        <row r="5">
          <cell r="T5">
            <v>14000</v>
          </cell>
          <cell r="U5">
            <v>17315</v>
          </cell>
        </row>
        <row r="9">
          <cell r="E9">
            <v>240.79999999999998</v>
          </cell>
          <cell r="F9">
            <v>283.89236696294603</v>
          </cell>
          <cell r="G9">
            <v>100000</v>
          </cell>
          <cell r="H9">
            <v>99976.492457391025</v>
          </cell>
        </row>
        <row r="10">
          <cell r="E10">
            <v>0</v>
          </cell>
          <cell r="F10">
            <v>47.777504905921724</v>
          </cell>
          <cell r="G10">
            <v>0</v>
          </cell>
          <cell r="H10">
            <v>97800.002065733715</v>
          </cell>
        </row>
        <row r="11">
          <cell r="E11">
            <v>0</v>
          </cell>
          <cell r="F11">
            <v>0</v>
          </cell>
        </row>
        <row r="12">
          <cell r="E12">
            <v>69.5</v>
          </cell>
          <cell r="F12">
            <v>24.974263534572334</v>
          </cell>
          <cell r="G12">
            <v>65000</v>
          </cell>
          <cell r="H12">
            <v>60455.580625549395</v>
          </cell>
        </row>
        <row r="13">
          <cell r="E13">
            <v>35.1</v>
          </cell>
          <cell r="F13">
            <v>28.07841279002654</v>
          </cell>
          <cell r="G13">
            <v>33000</v>
          </cell>
          <cell r="H13">
            <v>32999.991490001645</v>
          </cell>
        </row>
        <row r="14">
          <cell r="E14">
            <v>0</v>
          </cell>
          <cell r="F14">
            <v>0</v>
          </cell>
        </row>
        <row r="15">
          <cell r="E15">
            <v>345.4</v>
          </cell>
          <cell r="F15">
            <v>384.72254819346665</v>
          </cell>
        </row>
        <row r="16">
          <cell r="E16">
            <v>835.9</v>
          </cell>
          <cell r="F16">
            <v>870.87873715802823</v>
          </cell>
          <cell r="G16">
            <v>10400</v>
          </cell>
          <cell r="H16">
            <v>11448.83070904367</v>
          </cell>
        </row>
        <row r="17">
          <cell r="E17">
            <v>880.19999999999993</v>
          </cell>
          <cell r="F17">
            <v>844.25083689253142</v>
          </cell>
          <cell r="G17">
            <v>17019.516244032919</v>
          </cell>
          <cell r="H17">
            <v>15735.662235968031</v>
          </cell>
        </row>
        <row r="19">
          <cell r="E19">
            <v>3.1</v>
          </cell>
          <cell r="F19">
            <v>3.323334872446035</v>
          </cell>
        </row>
        <row r="20">
          <cell r="Q20">
            <v>55903.538197997783</v>
          </cell>
          <cell r="R20">
            <v>61643.991400207786</v>
          </cell>
        </row>
        <row r="21">
          <cell r="Q21">
            <v>16224.150891590678</v>
          </cell>
          <cell r="R21">
            <v>15415.192369848784</v>
          </cell>
        </row>
        <row r="22">
          <cell r="Q22">
            <v>192.85714285714286</v>
          </cell>
          <cell r="R22">
            <v>228.58645965600832</v>
          </cell>
        </row>
        <row r="50">
          <cell r="Q50">
            <v>81482.424744846285</v>
          </cell>
          <cell r="R50">
            <v>84742.956539305102</v>
          </cell>
        </row>
        <row r="56">
          <cell r="L56">
            <v>-55862.999622986572</v>
          </cell>
        </row>
        <row r="80">
          <cell r="H80">
            <v>39039.979999999996</v>
          </cell>
          <cell r="I80">
            <v>44004.65</v>
          </cell>
          <cell r="L80">
            <v>-4964.6700000000028</v>
          </cell>
        </row>
        <row r="85">
          <cell r="H85">
            <v>31970.714111111109</v>
          </cell>
          <cell r="I85">
            <v>33035.038920000006</v>
          </cell>
          <cell r="L85">
            <v>-1064.324808888894</v>
          </cell>
          <cell r="Q85">
            <v>99586</v>
          </cell>
          <cell r="R85">
            <v>106478.26162287036</v>
          </cell>
        </row>
        <row r="86">
          <cell r="H86">
            <v>182439.35946104096</v>
          </cell>
          <cell r="I86">
            <v>299900.22700000001</v>
          </cell>
          <cell r="K86">
            <v>119339.51000000021</v>
          </cell>
          <cell r="M86">
            <v>60013.351970834599</v>
          </cell>
        </row>
        <row r="89">
          <cell r="Q89">
            <v>72320.546232445602</v>
          </cell>
          <cell r="R89">
            <v>77287.77022971258</v>
          </cell>
        </row>
      </sheetData>
      <sheetData sheetId="14">
        <row r="2">
          <cell r="N2">
            <v>13500</v>
          </cell>
        </row>
        <row r="5">
          <cell r="T5">
            <v>13500</v>
          </cell>
          <cell r="U5">
            <v>14754.5</v>
          </cell>
        </row>
        <row r="9">
          <cell r="E9">
            <v>285.59999999999997</v>
          </cell>
          <cell r="F9">
            <v>301.25799654342717</v>
          </cell>
          <cell r="G9">
            <v>100000</v>
          </cell>
          <cell r="H9">
            <v>99984.373815745508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16.8</v>
          </cell>
          <cell r="F12">
            <v>35.041250465959571</v>
          </cell>
          <cell r="G12">
            <v>62500</v>
          </cell>
          <cell r="H12">
            <v>59812.64646424081</v>
          </cell>
        </row>
        <row r="13">
          <cell r="E13">
            <v>33.6</v>
          </cell>
          <cell r="F13">
            <v>33.153961164390537</v>
          </cell>
          <cell r="G13">
            <v>35500</v>
          </cell>
          <cell r="H13">
            <v>35562.570747371064</v>
          </cell>
        </row>
        <row r="14">
          <cell r="E14">
            <v>0</v>
          </cell>
          <cell r="F14">
            <v>0</v>
          </cell>
        </row>
        <row r="15">
          <cell r="E15">
            <v>336</v>
          </cell>
          <cell r="F15">
            <v>369.45320817377728</v>
          </cell>
        </row>
        <row r="16">
          <cell r="E16">
            <v>776.34645215666831</v>
          </cell>
          <cell r="F16">
            <v>759.02843200379505</v>
          </cell>
          <cell r="G16">
            <v>10466.666666666666</v>
          </cell>
          <cell r="H16">
            <v>10488.846097694593</v>
          </cell>
        </row>
        <row r="17">
          <cell r="E17">
            <v>948.86788596926158</v>
          </cell>
          <cell r="F17">
            <v>967.80378867464128</v>
          </cell>
          <cell r="G17">
            <v>14718.131256952165</v>
          </cell>
          <cell r="H17">
            <v>14897.310269624328</v>
          </cell>
        </row>
        <row r="19">
          <cell r="E19">
            <v>2.6880000000000002</v>
          </cell>
          <cell r="F19">
            <v>3.5753871700159277</v>
          </cell>
        </row>
        <row r="20">
          <cell r="Q20">
            <v>54506.921623775437</v>
          </cell>
          <cell r="R20">
            <v>58044.415805347511</v>
          </cell>
        </row>
        <row r="21">
          <cell r="Q21">
            <v>16608.326701388891</v>
          </cell>
          <cell r="R21">
            <v>16154.351757091057</v>
          </cell>
        </row>
        <row r="22">
          <cell r="Q22">
            <v>325.92592592592598</v>
          </cell>
          <cell r="R22">
            <v>281.09234470839408</v>
          </cell>
        </row>
        <row r="50">
          <cell r="Q50">
            <v>81704.815386892718</v>
          </cell>
          <cell r="R50">
            <v>82689.084414924248</v>
          </cell>
        </row>
        <row r="56">
          <cell r="L56">
            <v>-14522.373434091549</v>
          </cell>
        </row>
        <row r="80">
          <cell r="H80">
            <v>34737.050000000003</v>
          </cell>
          <cell r="I80">
            <v>34406.395000000004</v>
          </cell>
          <cell r="L80">
            <v>330.65500000000065</v>
          </cell>
        </row>
        <row r="85">
          <cell r="H85">
            <v>14284.142141342973</v>
          </cell>
          <cell r="I85">
            <v>14635.751939999998</v>
          </cell>
          <cell r="L85">
            <v>-351.60979865702757</v>
          </cell>
          <cell r="Q85">
            <v>97799.999999999985</v>
          </cell>
          <cell r="R85">
            <v>99938.046019858346</v>
          </cell>
        </row>
        <row r="86">
          <cell r="H86">
            <v>168263.80013560521</v>
          </cell>
          <cell r="I86">
            <v>205457.68099999998</v>
          </cell>
          <cell r="K86">
            <v>31545.800000000178</v>
          </cell>
          <cell r="M86">
            <v>20191.409097143085</v>
          </cell>
        </row>
        <row r="89">
          <cell r="Q89">
            <v>71441.174251090255</v>
          </cell>
          <cell r="R89">
            <v>74479.859907146965</v>
          </cell>
        </row>
      </sheetData>
      <sheetData sheetId="15">
        <row r="2">
          <cell r="N2">
            <v>5000</v>
          </cell>
        </row>
        <row r="5">
          <cell r="T5">
            <v>5000</v>
          </cell>
          <cell r="U5">
            <v>5383</v>
          </cell>
        </row>
        <row r="9">
          <cell r="E9">
            <v>259.79999999999995</v>
          </cell>
          <cell r="F9">
            <v>275.18927259231759</v>
          </cell>
          <cell r="G9">
            <v>100000</v>
          </cell>
          <cell r="H9">
            <v>99869.230846154154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67.900000000000006</v>
          </cell>
          <cell r="F12">
            <v>57.419192800148423</v>
          </cell>
          <cell r="G12">
            <v>61300</v>
          </cell>
          <cell r="H12">
            <v>57270.425430748102</v>
          </cell>
        </row>
        <row r="13">
          <cell r="E13">
            <v>36.299999999999997</v>
          </cell>
          <cell r="F13">
            <v>46.536463165707893</v>
          </cell>
          <cell r="G13">
            <v>37000</v>
          </cell>
          <cell r="H13">
            <v>37000.019937396595</v>
          </cell>
        </row>
        <row r="14">
          <cell r="E14">
            <v>0</v>
          </cell>
          <cell r="F14">
            <v>0</v>
          </cell>
        </row>
        <row r="15">
          <cell r="E15">
            <v>363.99999999999994</v>
          </cell>
          <cell r="F15">
            <v>379.14492855817394</v>
          </cell>
        </row>
        <row r="16">
          <cell r="E16">
            <v>721</v>
          </cell>
          <cell r="F16">
            <v>713.93393950640177</v>
          </cell>
          <cell r="G16">
            <v>10546.666666666666</v>
          </cell>
          <cell r="H16">
            <v>10047.837624987331</v>
          </cell>
        </row>
        <row r="17">
          <cell r="E17">
            <v>953</v>
          </cell>
          <cell r="F17">
            <v>958.45611430692168</v>
          </cell>
          <cell r="G17">
            <v>18681.831625905899</v>
          </cell>
          <cell r="H17">
            <v>18304.302707391114</v>
          </cell>
        </row>
        <row r="19">
          <cell r="E19">
            <v>3.3</v>
          </cell>
          <cell r="F19">
            <v>2.8153646316570802</v>
          </cell>
        </row>
        <row r="20">
          <cell r="Q20">
            <v>58873.302206154985</v>
          </cell>
          <cell r="R20">
            <v>59684.620152161806</v>
          </cell>
        </row>
        <row r="21">
          <cell r="Q21">
            <v>20573.312945054946</v>
          </cell>
          <cell r="R21">
            <v>22872.885136388941</v>
          </cell>
        </row>
        <row r="22">
          <cell r="Q22">
            <v>260</v>
          </cell>
          <cell r="R22">
            <v>390.74410836889956</v>
          </cell>
        </row>
        <row r="50">
          <cell r="Q50">
            <v>100392.64791499662</v>
          </cell>
          <cell r="R50">
            <v>97334.367043978476</v>
          </cell>
        </row>
        <row r="56">
          <cell r="L56">
            <v>16427.114326426807</v>
          </cell>
        </row>
        <row r="80">
          <cell r="H80">
            <v>26144.989999999998</v>
          </cell>
          <cell r="I80">
            <v>27913.018</v>
          </cell>
          <cell r="L80">
            <v>-1768.0279999999984</v>
          </cell>
        </row>
        <row r="85">
          <cell r="H85">
            <v>12189.649888888889</v>
          </cell>
          <cell r="I85">
            <v>11395.9076</v>
          </cell>
          <cell r="L85">
            <v>793.74228888888865</v>
          </cell>
          <cell r="Q85">
            <v>98002.731999999989</v>
          </cell>
          <cell r="R85">
            <v>104144.08322496749</v>
          </cell>
        </row>
        <row r="86">
          <cell r="H86">
            <v>-50284.219463871988</v>
          </cell>
          <cell r="I86">
            <v>-2687.8350000000046</v>
          </cell>
          <cell r="K86">
            <v>33058.893644000033</v>
          </cell>
          <cell r="M86">
            <v>-915.33779544370918</v>
          </cell>
        </row>
        <row r="89">
          <cell r="Q89">
            <v>79706.615151209931</v>
          </cell>
          <cell r="R89">
            <v>82948.249396919651</v>
          </cell>
        </row>
      </sheetData>
      <sheetData sheetId="16">
        <row r="2">
          <cell r="N2">
            <v>15500</v>
          </cell>
        </row>
        <row r="5">
          <cell r="T5">
            <v>15500</v>
          </cell>
          <cell r="U5">
            <v>22999</v>
          </cell>
        </row>
        <row r="9">
          <cell r="E9">
            <v>322.04774193548383</v>
          </cell>
          <cell r="F9">
            <v>355.36393277968619</v>
          </cell>
          <cell r="G9">
            <v>100000</v>
          </cell>
          <cell r="H9">
            <v>100964.52703356012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21.78709677419355</v>
          </cell>
          <cell r="F12">
            <v>28.196099830427428</v>
          </cell>
          <cell r="G12">
            <v>64500</v>
          </cell>
          <cell r="H12">
            <v>62187.696468414433</v>
          </cell>
        </row>
        <row r="13">
          <cell r="E13">
            <v>21.78709677419355</v>
          </cell>
          <cell r="F13">
            <v>24.09561676594635</v>
          </cell>
          <cell r="G13">
            <v>42000</v>
          </cell>
          <cell r="H13">
            <v>39367.265677712072</v>
          </cell>
        </row>
        <row r="14">
          <cell r="E14">
            <v>0</v>
          </cell>
          <cell r="F14">
            <v>0</v>
          </cell>
        </row>
        <row r="15">
          <cell r="E15">
            <v>365.62193548387097</v>
          </cell>
          <cell r="F15">
            <v>407.65564937606001</v>
          </cell>
        </row>
        <row r="16">
          <cell r="E16">
            <v>855.79612903225814</v>
          </cell>
          <cell r="F16">
            <v>910.4417583373189</v>
          </cell>
          <cell r="G16">
            <v>10933.333333333334</v>
          </cell>
          <cell r="H16">
            <v>10831.55929653641</v>
          </cell>
        </row>
        <row r="17">
          <cell r="E17">
            <v>863.06322580645156</v>
          </cell>
          <cell r="F17">
            <v>808.81386147223793</v>
          </cell>
          <cell r="G17">
            <v>13742.393404847009</v>
          </cell>
          <cell r="H17">
            <v>13635.385237322405</v>
          </cell>
        </row>
        <row r="19">
          <cell r="E19">
            <v>3.0358064516129031</v>
          </cell>
          <cell r="F19">
            <v>3.2168898647767299</v>
          </cell>
        </row>
        <row r="20">
          <cell r="Q20">
            <v>58322.794210245564</v>
          </cell>
          <cell r="R20">
            <v>61918.340536545074</v>
          </cell>
        </row>
        <row r="21">
          <cell r="Q21">
            <v>19144.315042324411</v>
          </cell>
          <cell r="R21">
            <v>20656.875298926039</v>
          </cell>
        </row>
        <row r="22">
          <cell r="Q22">
            <v>387.09677419354836</v>
          </cell>
          <cell r="R22">
            <v>204.90303926257661</v>
          </cell>
        </row>
        <row r="50">
          <cell r="Q50">
            <v>87502.701017526881</v>
          </cell>
          <cell r="R50">
            <v>89931.855950258701</v>
          </cell>
        </row>
        <row r="56">
          <cell r="L56">
            <v>-55868.123777899396</v>
          </cell>
        </row>
        <row r="80">
          <cell r="H80">
            <v>39971.959999999992</v>
          </cell>
          <cell r="I80">
            <v>45086.323000000004</v>
          </cell>
          <cell r="L80">
            <v>-5114.363000000003</v>
          </cell>
        </row>
        <row r="85">
          <cell r="H85">
            <v>33750.769</v>
          </cell>
          <cell r="I85">
            <v>35263.870520000004</v>
          </cell>
          <cell r="L85">
            <v>-1513.1015200000038</v>
          </cell>
          <cell r="Q85">
            <v>100999.96129032258</v>
          </cell>
          <cell r="R85">
            <v>96755.376146789</v>
          </cell>
        </row>
        <row r="86">
          <cell r="H86">
            <v>135484.80522833328</v>
          </cell>
          <cell r="I86">
            <v>76583.958000000071</v>
          </cell>
          <cell r="K86">
            <v>-97621.213716128783</v>
          </cell>
          <cell r="M86">
            <v>101215.95478569507</v>
          </cell>
        </row>
        <row r="89">
          <cell r="Q89">
            <v>77854.206026763524</v>
          </cell>
          <cell r="R89">
            <v>82780.118874733686</v>
          </cell>
        </row>
      </sheetData>
      <sheetData sheetId="17">
        <row r="2">
          <cell r="N2">
            <v>4000</v>
          </cell>
        </row>
        <row r="5">
          <cell r="T5">
            <v>4000</v>
          </cell>
          <cell r="U5">
            <v>3533</v>
          </cell>
        </row>
        <row r="9">
          <cell r="E9">
            <v>318.60000000000002</v>
          </cell>
          <cell r="F9">
            <v>334.20889895273137</v>
          </cell>
          <cell r="G9">
            <v>100000</v>
          </cell>
          <cell r="H9">
            <v>100995.29875689223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7.5174129634871205</v>
          </cell>
        </row>
        <row r="12">
          <cell r="E12">
            <v>13.7</v>
          </cell>
          <cell r="F12">
            <v>18.010752901217099</v>
          </cell>
          <cell r="G12">
            <v>64000</v>
          </cell>
          <cell r="H12">
            <v>57360.268003562349</v>
          </cell>
        </row>
        <row r="13">
          <cell r="E13">
            <v>8.5</v>
          </cell>
          <cell r="F13">
            <v>14.825363713557882</v>
          </cell>
          <cell r="G13">
            <v>49000</v>
          </cell>
          <cell r="H13">
            <v>49000.009736910593</v>
          </cell>
        </row>
        <row r="14">
          <cell r="E14">
            <v>0</v>
          </cell>
          <cell r="F14">
            <v>0</v>
          </cell>
        </row>
        <row r="15">
          <cell r="E15">
            <v>340.8</v>
          </cell>
          <cell r="F15">
            <v>374.56242853099343</v>
          </cell>
        </row>
        <row r="16">
          <cell r="E16">
            <v>818.7</v>
          </cell>
          <cell r="F16">
            <v>823.17860175488261</v>
          </cell>
          <cell r="G16">
            <v>13666.666666666666</v>
          </cell>
          <cell r="H16">
            <v>13580.781146309344</v>
          </cell>
        </row>
        <row r="17">
          <cell r="E17">
            <v>964.6</v>
          </cell>
          <cell r="F17">
            <v>960.26747806396816</v>
          </cell>
          <cell r="G17">
            <v>13419.354838709676</v>
          </cell>
          <cell r="H17">
            <v>13250.503666040309</v>
          </cell>
        </row>
        <row r="19">
          <cell r="E19">
            <v>2.8479999999999999</v>
          </cell>
          <cell r="F19">
            <v>3.0128474384375887</v>
          </cell>
        </row>
        <row r="20">
          <cell r="Q20">
            <v>58995.309677419362</v>
          </cell>
          <cell r="R20">
            <v>62199.964619303712</v>
          </cell>
        </row>
        <row r="21">
          <cell r="Q21">
            <v>15768.661053839265</v>
          </cell>
          <cell r="R21">
            <v>13016.581092555902</v>
          </cell>
        </row>
        <row r="22">
          <cell r="Q22">
            <v>675</v>
          </cell>
          <cell r="R22">
            <v>1104.6076988395132</v>
          </cell>
        </row>
        <row r="50">
          <cell r="Q50">
            <v>95581.903642471822</v>
          </cell>
          <cell r="R50">
            <v>97427.902349278243</v>
          </cell>
        </row>
        <row r="56">
          <cell r="L56">
            <v>-6521.9084611470435</v>
          </cell>
        </row>
        <row r="80">
          <cell r="H80">
            <v>9614.17</v>
          </cell>
          <cell r="I80">
            <v>9006.1829999999991</v>
          </cell>
          <cell r="L80">
            <v>607.98700000000008</v>
          </cell>
        </row>
        <row r="85">
          <cell r="H85">
            <v>5301.2150000000001</v>
          </cell>
          <cell r="I85">
            <v>5631.6089699999993</v>
          </cell>
          <cell r="L85">
            <v>-330.39396999999917</v>
          </cell>
          <cell r="Q85">
            <v>107900</v>
          </cell>
          <cell r="R85">
            <v>116692.64081517122</v>
          </cell>
        </row>
        <row r="86">
          <cell r="H86">
            <v>34357.000430112719</v>
          </cell>
          <cell r="I86">
            <v>53424.534000000007</v>
          </cell>
          <cell r="K86">
            <v>31064.399999999932</v>
          </cell>
          <cell r="M86">
            <v>-5752.5509989656639</v>
          </cell>
        </row>
        <row r="89">
          <cell r="Q89">
            <v>75438.970731258625</v>
          </cell>
          <cell r="R89">
            <v>76321.153410699117</v>
          </cell>
        </row>
      </sheetData>
      <sheetData sheetId="18">
        <row r="2">
          <cell r="N2">
            <v>4000</v>
          </cell>
        </row>
        <row r="5">
          <cell r="T5">
            <v>4000</v>
          </cell>
          <cell r="U5">
            <v>7363</v>
          </cell>
        </row>
        <row r="9">
          <cell r="E9">
            <v>253.3</v>
          </cell>
          <cell r="F9">
            <v>256.28140839331803</v>
          </cell>
          <cell r="G9">
            <v>100000</v>
          </cell>
          <cell r="H9">
            <v>99997.740328575805</v>
          </cell>
        </row>
        <row r="10">
          <cell r="E10">
            <v>10.5</v>
          </cell>
          <cell r="F10">
            <v>30.26212141790031</v>
          </cell>
          <cell r="G10">
            <v>95000</v>
          </cell>
          <cell r="H10">
            <v>94984.292253837179</v>
          </cell>
        </row>
        <row r="11">
          <cell r="E11">
            <v>0</v>
          </cell>
          <cell r="F11">
            <v>0</v>
          </cell>
        </row>
        <row r="12">
          <cell r="E12">
            <v>52.2</v>
          </cell>
          <cell r="F12">
            <v>35.637654488659514</v>
          </cell>
          <cell r="G12">
            <v>64900.000000000007</v>
          </cell>
          <cell r="H12">
            <v>48380.215628769882</v>
          </cell>
        </row>
        <row r="13">
          <cell r="E13">
            <v>20.100000000000001</v>
          </cell>
          <cell r="F13">
            <v>14.851222327855485</v>
          </cell>
          <cell r="G13">
            <v>37500</v>
          </cell>
          <cell r="H13">
            <v>35690.16059051</v>
          </cell>
        </row>
        <row r="14">
          <cell r="E14">
            <v>0</v>
          </cell>
          <cell r="F14">
            <v>0</v>
          </cell>
        </row>
        <row r="15">
          <cell r="E15">
            <v>336.1</v>
          </cell>
          <cell r="F15">
            <v>337.03240662773334</v>
          </cell>
        </row>
        <row r="16">
          <cell r="E16">
            <v>785</v>
          </cell>
          <cell r="F16">
            <v>794.58780388428636</v>
          </cell>
          <cell r="G16">
            <v>13666.666666666664</v>
          </cell>
          <cell r="H16">
            <v>13874.241737956259</v>
          </cell>
        </row>
        <row r="17">
          <cell r="E17">
            <v>935</v>
          </cell>
          <cell r="F17">
            <v>909.06899361673231</v>
          </cell>
          <cell r="G17">
            <v>14837.329653268931</v>
          </cell>
          <cell r="H17">
            <v>14929.195074307439</v>
          </cell>
        </row>
        <row r="19">
          <cell r="E19">
            <v>2.84</v>
          </cell>
          <cell r="F19">
            <v>2.376748607904386</v>
          </cell>
        </row>
        <row r="20">
          <cell r="Q20">
            <v>57626.266559139782</v>
          </cell>
          <cell r="R20">
            <v>56813.06505500475</v>
          </cell>
        </row>
        <row r="21">
          <cell r="Q21">
            <v>12661.575000000001</v>
          </cell>
          <cell r="R21">
            <v>12734.884286296347</v>
          </cell>
        </row>
        <row r="22">
          <cell r="Q22">
            <v>112.5</v>
          </cell>
          <cell r="R22">
            <v>53.894879804427539</v>
          </cell>
        </row>
        <row r="50">
          <cell r="Q50">
            <v>88927.839785157004</v>
          </cell>
          <cell r="R50">
            <v>78215.423061252208</v>
          </cell>
        </row>
        <row r="56">
          <cell r="L56">
            <v>78875.528798111118</v>
          </cell>
        </row>
        <row r="80">
          <cell r="H80">
            <v>10551.279999999999</v>
          </cell>
          <cell r="I80">
            <v>9298.2060000000001</v>
          </cell>
          <cell r="L80">
            <v>1253.0739999999996</v>
          </cell>
        </row>
        <row r="85">
          <cell r="H85">
            <v>9875.5362222222211</v>
          </cell>
          <cell r="I85">
            <v>10233.581460000001</v>
          </cell>
          <cell r="L85">
            <v>-358.04523777778013</v>
          </cell>
          <cell r="Q85">
            <v>108558.49124999999</v>
          </cell>
          <cell r="R85">
            <v>102235.71641993751</v>
          </cell>
        </row>
        <row r="86">
          <cell r="H86">
            <v>58095.789637149734</v>
          </cell>
          <cell r="I86">
            <v>157329.63699999999</v>
          </cell>
          <cell r="K86">
            <v>-46554.591073750045</v>
          </cell>
          <cell r="M86">
            <v>66017.88087626698</v>
          </cell>
        </row>
        <row r="89">
          <cell r="Q89">
            <v>70400.341559139779</v>
          </cell>
          <cell r="R89">
            <v>69601.844221105523</v>
          </cell>
        </row>
      </sheetData>
      <sheetData sheetId="19">
        <row r="2">
          <cell r="N2">
            <v>10000</v>
          </cell>
        </row>
        <row r="5">
          <cell r="T5">
            <v>10000</v>
          </cell>
          <cell r="U5">
            <v>6567</v>
          </cell>
        </row>
        <row r="9">
          <cell r="E9">
            <v>291.52999999999997</v>
          </cell>
          <cell r="F9">
            <v>292.2658778742196</v>
          </cell>
          <cell r="G9">
            <v>100000.00000000001</v>
          </cell>
          <cell r="H9">
            <v>99889.600430471372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42.47</v>
          </cell>
          <cell r="F12">
            <v>39.603630272575003</v>
          </cell>
          <cell r="G12">
            <v>65000</v>
          </cell>
          <cell r="H12">
            <v>62568.322063339372</v>
          </cell>
        </row>
        <row r="13">
          <cell r="E13">
            <v>22.72</v>
          </cell>
          <cell r="F13">
            <v>23.893260240596931</v>
          </cell>
          <cell r="G13">
            <v>36000</v>
          </cell>
          <cell r="H13">
            <v>36000.009942192512</v>
          </cell>
        </row>
        <row r="14">
          <cell r="E14">
            <v>0</v>
          </cell>
          <cell r="F14">
            <v>0</v>
          </cell>
        </row>
        <row r="15">
          <cell r="E15">
            <v>356.72</v>
          </cell>
          <cell r="F15">
            <v>355.76276838739153</v>
          </cell>
        </row>
        <row r="16">
          <cell r="E16">
            <v>764.59999999999991</v>
          </cell>
          <cell r="F16">
            <v>697.87345820009125</v>
          </cell>
          <cell r="G16">
            <v>12533.333333333334</v>
          </cell>
          <cell r="H16">
            <v>12514.789976292486</v>
          </cell>
        </row>
        <row r="17">
          <cell r="E17">
            <v>979.68999999999994</v>
          </cell>
          <cell r="F17">
            <v>1042.5772803411003</v>
          </cell>
          <cell r="G17">
            <v>14400.080087080278</v>
          </cell>
          <cell r="H17">
            <v>14689.861471488413</v>
          </cell>
        </row>
        <row r="19">
          <cell r="E19">
            <v>2.92</v>
          </cell>
          <cell r="F19">
            <v>1.8691183188670619</v>
          </cell>
        </row>
        <row r="20">
          <cell r="Q20">
            <v>58495.271127178334</v>
          </cell>
          <cell r="R20">
            <v>58328.204202832341</v>
          </cell>
        </row>
        <row r="21">
          <cell r="Q21">
            <v>15932.226306451616</v>
          </cell>
          <cell r="R21">
            <v>15625.583523678999</v>
          </cell>
        </row>
        <row r="22">
          <cell r="Q22">
            <v>300</v>
          </cell>
          <cell r="R22">
            <v>228.16628597533119</v>
          </cell>
        </row>
        <row r="50">
          <cell r="Q50">
            <v>84876.935815382021</v>
          </cell>
          <cell r="R50">
            <v>87450.786356022538</v>
          </cell>
        </row>
        <row r="56">
          <cell r="L56">
            <v>-16902.469700386318</v>
          </cell>
        </row>
        <row r="80">
          <cell r="H80">
            <v>25058.940000000002</v>
          </cell>
          <cell r="I80">
            <v>28603.253000000004</v>
          </cell>
          <cell r="L80">
            <v>-3544.3130000000006</v>
          </cell>
        </row>
        <row r="85">
          <cell r="H85">
            <v>23191.996000000003</v>
          </cell>
          <cell r="I85">
            <v>20751.461800000001</v>
          </cell>
          <cell r="L85">
            <v>2440.5342000000037</v>
          </cell>
          <cell r="Q85">
            <v>100658.9093</v>
          </cell>
          <cell r="R85">
            <v>98706.979747220961</v>
          </cell>
        </row>
        <row r="86">
          <cell r="H86">
            <v>109568.79884617984</v>
          </cell>
          <cell r="I86">
            <v>24564.713999999989</v>
          </cell>
          <cell r="K86">
            <v>-12818.321373099943</v>
          </cell>
          <cell r="M86">
            <v>-54179.514972693578</v>
          </cell>
        </row>
        <row r="89">
          <cell r="Q89">
            <v>74727.497433629949</v>
          </cell>
          <cell r="R89">
            <v>74181.954012486662</v>
          </cell>
        </row>
      </sheetData>
      <sheetData sheetId="20">
        <row r="2">
          <cell r="N2">
            <v>4000</v>
          </cell>
        </row>
        <row r="5">
          <cell r="T5">
            <v>4000</v>
          </cell>
          <cell r="U5">
            <v>3261.5</v>
          </cell>
        </row>
        <row r="9">
          <cell r="E9">
            <v>345.6</v>
          </cell>
          <cell r="F9">
            <v>363.30340640809436</v>
          </cell>
          <cell r="G9">
            <v>116999.99999999999</v>
          </cell>
          <cell r="H9">
            <v>116854.90169641502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345.6</v>
          </cell>
          <cell r="F15">
            <v>363.30340640809436</v>
          </cell>
        </row>
        <row r="16">
          <cell r="E16">
            <v>692.2</v>
          </cell>
          <cell r="F16">
            <v>608.72911237160804</v>
          </cell>
          <cell r="G16">
            <v>18143.333333333336</v>
          </cell>
          <cell r="H16">
            <v>17821.38543445303</v>
          </cell>
        </row>
        <row r="17">
          <cell r="E17">
            <v>1046.4000000000001</v>
          </cell>
          <cell r="F17">
            <v>1078.1373601103785</v>
          </cell>
          <cell r="G17">
            <v>18593.79179380419</v>
          </cell>
          <cell r="H17">
            <v>17128.773200581854</v>
          </cell>
        </row>
        <row r="19">
          <cell r="E19">
            <v>3.02</v>
          </cell>
          <cell r="F19">
            <v>2.4348030047524141</v>
          </cell>
        </row>
        <row r="20">
          <cell r="Q20">
            <v>74846.559066370042</v>
          </cell>
          <cell r="R20">
            <v>73726.348612601578</v>
          </cell>
        </row>
        <row r="21">
          <cell r="Q21">
            <v>15088.910256410256</v>
          </cell>
          <cell r="R21">
            <v>16624.317645255251</v>
          </cell>
        </row>
        <row r="22">
          <cell r="Q22">
            <v>0</v>
          </cell>
          <cell r="R22">
            <v>423.16970718994321</v>
          </cell>
        </row>
        <row r="50">
          <cell r="Q50">
            <v>109618.88532278029</v>
          </cell>
          <cell r="R50">
            <v>110049.46067760236</v>
          </cell>
        </row>
        <row r="56">
          <cell r="L56">
            <v>-1404.319749752118</v>
          </cell>
        </row>
        <row r="80">
          <cell r="H80">
            <v>15465.18</v>
          </cell>
          <cell r="I80">
            <v>15215.937999999998</v>
          </cell>
          <cell r="L80">
            <v>249.24200000000064</v>
          </cell>
        </row>
        <row r="85">
          <cell r="H85">
            <v>9880.4838422363155</v>
          </cell>
          <cell r="I85">
            <v>10231.54977</v>
          </cell>
          <cell r="L85">
            <v>-351.06592776368416</v>
          </cell>
          <cell r="Q85">
            <v>126700</v>
          </cell>
          <cell r="R85">
            <v>128698.23670090448</v>
          </cell>
        </row>
        <row r="86">
          <cell r="H86">
            <v>42978.794866642522</v>
          </cell>
          <cell r="I86">
            <v>35375.496999999988</v>
          </cell>
          <cell r="K86">
            <v>6517.2489999999707</v>
          </cell>
          <cell r="M86">
            <v>-12614.403189126751</v>
          </cell>
        </row>
        <row r="89">
          <cell r="Q89">
            <v>89935.469322780293</v>
          </cell>
          <cell r="R89">
            <v>90773.835965046761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92313.001486539186</v>
          </cell>
        </row>
        <row r="89">
          <cell r="Q89">
            <v>71029.870126559981</v>
          </cell>
        </row>
        <row r="90">
          <cell r="Q90">
            <v>21283.131359979205</v>
          </cell>
        </row>
      </sheetData>
      <sheetData sheetId="1">
        <row r="5">
          <cell r="T5">
            <v>93376</v>
          </cell>
        </row>
        <row r="85">
          <cell r="Q85">
            <v>88709.414893847017</v>
          </cell>
        </row>
        <row r="89">
          <cell r="Q89">
            <v>73361.249187022622</v>
          </cell>
        </row>
        <row r="90">
          <cell r="Q90">
            <v>15348.165706824395</v>
          </cell>
        </row>
      </sheetData>
      <sheetData sheetId="2">
        <row r="5">
          <cell r="T5">
            <v>132135</v>
          </cell>
        </row>
        <row r="85">
          <cell r="Q85">
            <v>94314.373104912069</v>
          </cell>
        </row>
        <row r="89">
          <cell r="Q89">
            <v>70465.974911066762</v>
          </cell>
        </row>
        <row r="90">
          <cell r="Q90">
            <v>23848.398193845307</v>
          </cell>
        </row>
      </sheetData>
      <sheetData sheetId="3">
        <row r="5">
          <cell r="T5">
            <v>43070</v>
          </cell>
        </row>
        <row r="85">
          <cell r="Q85">
            <v>94006.132589400164</v>
          </cell>
        </row>
        <row r="89">
          <cell r="Q89">
            <v>67597.806117095897</v>
          </cell>
        </row>
        <row r="90">
          <cell r="Q90">
            <v>26408.326472304267</v>
          </cell>
        </row>
      </sheetData>
      <sheetData sheetId="4">
        <row r="85">
          <cell r="Q85">
            <v>89895.324300921915</v>
          </cell>
        </row>
        <row r="89">
          <cell r="Q89">
            <v>72443.519474902685</v>
          </cell>
        </row>
      </sheetData>
      <sheetData sheetId="5">
        <row r="85">
          <cell r="Q85">
            <v>88932.117571319366</v>
          </cell>
        </row>
        <row r="89">
          <cell r="Q89">
            <v>74896.804021717282</v>
          </cell>
        </row>
      </sheetData>
      <sheetData sheetId="6">
        <row r="85">
          <cell r="Q85">
            <v>87902.851844496297</v>
          </cell>
        </row>
        <row r="89">
          <cell r="Q89">
            <v>76114.000446849706</v>
          </cell>
        </row>
      </sheetData>
      <sheetData sheetId="7">
        <row r="85">
          <cell r="Q85">
            <v>84362.208050436471</v>
          </cell>
        </row>
        <row r="89">
          <cell r="Q89">
            <v>66383.614330746845</v>
          </cell>
        </row>
      </sheetData>
      <sheetData sheetId="8">
        <row r="85">
          <cell r="Q85">
            <v>101668.2104652127</v>
          </cell>
        </row>
        <row r="89">
          <cell r="Q89">
            <v>73283.727852586817</v>
          </cell>
        </row>
      </sheetData>
      <sheetData sheetId="9">
        <row r="85">
          <cell r="Q85">
            <v>91483.235819119393</v>
          </cell>
        </row>
        <row r="89">
          <cell r="Q89">
            <v>71161.530534351143</v>
          </cell>
        </row>
      </sheetData>
      <sheetData sheetId="10">
        <row r="85">
          <cell r="Q85">
            <v>94585.859375000015</v>
          </cell>
        </row>
        <row r="89">
          <cell r="Q89">
            <v>73642.289583333331</v>
          </cell>
        </row>
      </sheetData>
      <sheetData sheetId="11">
        <row r="85">
          <cell r="Q85">
            <v>96955.491677617174</v>
          </cell>
        </row>
        <row r="89">
          <cell r="Q89">
            <v>73083.9668852459</v>
          </cell>
        </row>
      </sheetData>
      <sheetData sheetId="12">
        <row r="85">
          <cell r="Q85">
            <v>91386.530646097701</v>
          </cell>
        </row>
        <row r="89">
          <cell r="Q89">
            <v>67798.420668491337</v>
          </cell>
        </row>
      </sheetData>
      <sheetData sheetId="13">
        <row r="85">
          <cell r="Q85">
            <v>92744.767409854103</v>
          </cell>
        </row>
        <row r="89">
          <cell r="Q89">
            <v>66159.287475915218</v>
          </cell>
        </row>
      </sheetData>
      <sheetData sheetId="14">
        <row r="85">
          <cell r="Q85">
            <v>88101.346973137071</v>
          </cell>
        </row>
        <row r="89">
          <cell r="Q89">
            <v>65599.879894895275</v>
          </cell>
        </row>
      </sheetData>
      <sheetData sheetId="15">
        <row r="85">
          <cell r="Q85">
            <v>96053.017375599418</v>
          </cell>
        </row>
        <row r="89">
          <cell r="Q89">
            <v>74906.545284780572</v>
          </cell>
        </row>
      </sheetData>
      <sheetData sheetId="16">
        <row r="85">
          <cell r="Q85">
            <v>91745.374120656576</v>
          </cell>
        </row>
        <row r="89">
          <cell r="Q89">
            <v>67815.42383894333</v>
          </cell>
        </row>
      </sheetData>
      <sheetData sheetId="17">
        <row r="85">
          <cell r="Q85">
            <v>85059.40430226145</v>
          </cell>
        </row>
        <row r="89">
          <cell r="Q89">
            <v>65788.766355140193</v>
          </cell>
        </row>
      </sheetData>
      <sheetData sheetId="18">
        <row r="85">
          <cell r="Q85">
            <v>89327.018489984577</v>
          </cell>
        </row>
        <row r="89">
          <cell r="Q89">
            <v>62541.22808366656</v>
          </cell>
        </row>
      </sheetData>
      <sheetData sheetId="19">
        <row r="85">
          <cell r="Q85">
            <v>86834.353921438975</v>
          </cell>
        </row>
        <row r="89">
          <cell r="Q89">
            <v>65096.895384208437</v>
          </cell>
        </row>
      </sheetData>
      <sheetData sheetId="20">
        <row r="85">
          <cell r="Q85">
            <v>116650.12267804917</v>
          </cell>
        </row>
        <row r="89">
          <cell r="Q89">
            <v>75659.130819698039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>
            <v>6425.0929999999998</v>
          </cell>
        </row>
        <row r="4">
          <cell r="E4">
            <v>0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>
            <v>0</v>
          </cell>
        </row>
        <row r="5">
          <cell r="E5">
            <v>6425.0929999999998</v>
          </cell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>
            <v>6425.0929999999998</v>
          </cell>
        </row>
        <row r="6">
          <cell r="E6">
            <v>5915781.3609999996</v>
          </cell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>
            <v>5915781.3609999996</v>
          </cell>
        </row>
        <row r="7">
          <cell r="E7">
            <v>1492175.8060000008</v>
          </cell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>
            <v>1492175.8060000008</v>
          </cell>
        </row>
        <row r="8">
          <cell r="E8">
            <v>7407957.1670000004</v>
          </cell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>
            <v>7407957.1670000004</v>
          </cell>
        </row>
        <row r="9">
          <cell r="E9">
            <v>5751185.5190000003</v>
          </cell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>
            <v>5751185.5190000003</v>
          </cell>
        </row>
        <row r="10">
          <cell r="E10">
            <v>1459339.4409999996</v>
          </cell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>
            <v>1459339.4409999996</v>
          </cell>
        </row>
        <row r="11">
          <cell r="E11">
            <v>7210524.96</v>
          </cell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>
            <v>7210524.96</v>
          </cell>
          <cell r="S11"/>
        </row>
        <row r="12">
          <cell r="E12">
            <v>164595.84199999925</v>
          </cell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>
            <v>164595.84199999925</v>
          </cell>
        </row>
        <row r="13">
          <cell r="E13">
            <v>32836.365000001155</v>
          </cell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>
            <v>32836.365000001155</v>
          </cell>
        </row>
        <row r="14">
          <cell r="E14">
            <v>197432.2070000004</v>
          </cell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>
            <v>197432.2070000004</v>
          </cell>
        </row>
        <row r="15">
          <cell r="E15">
            <v>66207.56</v>
          </cell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>
            <v>66207.56</v>
          </cell>
          <cell r="S15">
            <v>0</v>
          </cell>
        </row>
        <row r="16">
          <cell r="E16">
            <v>14873.76</v>
          </cell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>
            <v>14873.76</v>
          </cell>
          <cell r="S16">
            <v>0</v>
          </cell>
        </row>
        <row r="17">
          <cell r="E17">
            <v>7310.9949999999999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>
            <v>7310.9949999999999</v>
          </cell>
          <cell r="S17">
            <v>0</v>
          </cell>
        </row>
        <row r="18">
          <cell r="E18">
            <v>88392.314999999988</v>
          </cell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>
            <v>88392.314999999988</v>
          </cell>
          <cell r="S18">
            <v>0</v>
          </cell>
        </row>
        <row r="19">
          <cell r="E19">
            <v>10121.891</v>
          </cell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>
            <v>10121.891</v>
          </cell>
          <cell r="S19">
            <v>0</v>
          </cell>
        </row>
        <row r="20">
          <cell r="E20">
            <v>1311.06</v>
          </cell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>
            <v>1311.06</v>
          </cell>
          <cell r="S20">
            <v>0</v>
          </cell>
        </row>
        <row r="21">
          <cell r="E21">
            <v>2954.1509999999998</v>
          </cell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>
            <v>2954.1509999999998</v>
          </cell>
          <cell r="S21">
            <v>0</v>
          </cell>
        </row>
        <row r="22">
          <cell r="E22">
            <v>800</v>
          </cell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>
            <v>800</v>
          </cell>
          <cell r="S22">
            <v>0</v>
          </cell>
        </row>
        <row r="23">
          <cell r="E23">
            <v>1555.0309999999999</v>
          </cell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>
            <v>1555.0309999999999</v>
          </cell>
          <cell r="S23">
            <v>0</v>
          </cell>
        </row>
        <row r="24">
          <cell r="E24">
            <v>289.08999999999997</v>
          </cell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>
            <v>289.08999999999997</v>
          </cell>
          <cell r="S24">
            <v>0</v>
          </cell>
        </row>
        <row r="25">
          <cell r="E25">
            <v>175.22900000000001</v>
          </cell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>
            <v>175.22900000000001</v>
          </cell>
          <cell r="S25">
            <v>0</v>
          </cell>
        </row>
        <row r="26">
          <cell r="E26">
            <v>3221.82</v>
          </cell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>
            <v>3221.82</v>
          </cell>
          <cell r="S26">
            <v>0</v>
          </cell>
        </row>
        <row r="27">
          <cell r="E27">
            <v>0</v>
          </cell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>
            <v>0</v>
          </cell>
          <cell r="S27">
            <v>0</v>
          </cell>
        </row>
        <row r="28">
          <cell r="E28">
            <v>1050.8399999999999</v>
          </cell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>
            <v>1050.8399999999999</v>
          </cell>
          <cell r="S28">
            <v>0</v>
          </cell>
        </row>
        <row r="29">
          <cell r="E29">
            <v>62.219000000000001</v>
          </cell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>
            <v>62.219000000000001</v>
          </cell>
          <cell r="S29">
            <v>0</v>
          </cell>
        </row>
        <row r="30">
          <cell r="E30">
            <v>6297.65</v>
          </cell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>
            <v>6297.65</v>
          </cell>
          <cell r="S30">
            <v>0</v>
          </cell>
        </row>
        <row r="31">
          <cell r="E31">
            <v>7875.04</v>
          </cell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>
            <v>7875.04</v>
          </cell>
          <cell r="S31">
            <v>0</v>
          </cell>
        </row>
        <row r="32">
          <cell r="E32">
            <v>0</v>
          </cell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>
            <v>0</v>
          </cell>
          <cell r="S32">
            <v>0</v>
          </cell>
        </row>
        <row r="33">
          <cell r="E33">
            <v>-6631.1459999999997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>
            <v>-6631.1459999999997</v>
          </cell>
          <cell r="S33">
            <v>0</v>
          </cell>
        </row>
        <row r="34">
          <cell r="E34">
            <v>0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>
            <v>0</v>
          </cell>
          <cell r="S34">
            <v>0</v>
          </cell>
        </row>
        <row r="35">
          <cell r="E35">
            <v>0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>
            <v>0</v>
          </cell>
          <cell r="S35">
            <v>0</v>
          </cell>
        </row>
        <row r="36">
          <cell r="E36">
            <v>29082.875</v>
          </cell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>
            <v>29082.875</v>
          </cell>
          <cell r="S36">
            <v>0</v>
          </cell>
        </row>
        <row r="37">
          <cell r="E37">
            <v>117475.18999999999</v>
          </cell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>
            <v>117475.18999999999</v>
          </cell>
          <cell r="S37">
            <v>0</v>
          </cell>
        </row>
        <row r="38">
          <cell r="E38">
            <v>79957.017000000415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>
            <v>79957.017000000415</v>
          </cell>
          <cell r="S38">
            <v>0</v>
          </cell>
        </row>
        <row r="39">
          <cell r="E39">
            <v>4689.8059999999996</v>
          </cell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>
            <v>4689.8059999999996</v>
          </cell>
          <cell r="S39">
            <v>0</v>
          </cell>
        </row>
        <row r="40">
          <cell r="E40">
            <v>75267.211000000418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>
            <v>75267.211000000418</v>
          </cell>
          <cell r="S40">
            <v>0</v>
          </cell>
        </row>
        <row r="41">
          <cell r="E41">
            <v>1.0160319411036954E-2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>
            <v>1.0160319411036954E-2</v>
          </cell>
        </row>
        <row r="43">
          <cell r="E43">
            <v>920730.85338998202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>
            <v>920730.85338998202</v>
          </cell>
        </row>
        <row r="44">
          <cell r="E44">
            <v>2.6651369945751794E-2</v>
          </cell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>
            <v>2.6651369945751794E-2</v>
          </cell>
        </row>
        <row r="46">
          <cell r="E46">
            <v>1152972.7533904957</v>
          </cell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E47">
            <v>1122244.4500025136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122164.99599999998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E50">
            <v>152164.99599999998</v>
          </cell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0.79857121573986001</v>
          </cell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E53">
            <v>0.20142878426013996</v>
          </cell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2.2005694548837273E-2</v>
          </cell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2.2005694548837322E-2</v>
          </cell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E58">
            <v>2.6651369945751794E-2</v>
          </cell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E59">
            <v>2.7823178707229314E-2</v>
          </cell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</sheetData>
      <sheetData sheetId="1">
        <row r="8">
          <cell r="G8">
            <v>6425.0929999999998</v>
          </cell>
        </row>
        <row r="9">
          <cell r="G9">
            <v>5915781.3609999996</v>
          </cell>
          <cell r="J9">
            <v>1492175.8060000008</v>
          </cell>
        </row>
        <row r="10">
          <cell r="F10">
            <v>976086.95652173914</v>
          </cell>
          <cell r="G10">
            <v>920730.85338998202</v>
          </cell>
        </row>
        <row r="11">
          <cell r="G11">
            <v>5751185.5190000003</v>
          </cell>
          <cell r="J11">
            <v>1459339.4409999996</v>
          </cell>
        </row>
        <row r="15">
          <cell r="F15">
            <v>2.3224944320712693E-2</v>
          </cell>
          <cell r="G15">
            <v>2.7823178707229314E-2</v>
          </cell>
        </row>
        <row r="19">
          <cell r="M19">
            <v>88392.314999999988</v>
          </cell>
        </row>
        <row r="37">
          <cell r="M37">
            <v>29082.875</v>
          </cell>
        </row>
        <row r="40">
          <cell r="M40">
            <v>4689.8059999999996</v>
          </cell>
        </row>
        <row r="41">
          <cell r="M41">
            <v>75267.211000000418</v>
          </cell>
          <cell r="V41">
            <v>94750.48303158085</v>
          </cell>
          <cell r="W41">
            <v>75267.211000000418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  <row r="10">
          <cell r="G10">
            <v>1098907.8680546847</v>
          </cell>
        </row>
        <row r="15">
          <cell r="G15">
            <v>1.9488280087323125E-2</v>
          </cell>
        </row>
        <row r="41">
          <cell r="W41">
            <v>74398.933999999368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</sheetNames>
    <sheetDataSet>
      <sheetData sheetId="0">
        <row r="47">
          <cell r="Q47">
            <v>8000</v>
          </cell>
          <cell r="R47">
            <v>9245</v>
          </cell>
        </row>
        <row r="48">
          <cell r="Q48">
            <v>16586.870682990953</v>
          </cell>
          <cell r="R48">
            <v>17960</v>
          </cell>
        </row>
        <row r="53">
          <cell r="R53">
            <v>261590</v>
          </cell>
        </row>
        <row r="54">
          <cell r="R54">
            <v>518456</v>
          </cell>
        </row>
        <row r="64">
          <cell r="R64">
            <v>5000</v>
          </cell>
        </row>
        <row r="65">
          <cell r="R65">
            <v>4112</v>
          </cell>
        </row>
        <row r="66">
          <cell r="R66">
            <v>3600</v>
          </cell>
        </row>
        <row r="76">
          <cell r="R76">
            <v>160000</v>
          </cell>
        </row>
        <row r="77">
          <cell r="R77">
            <v>115136</v>
          </cell>
        </row>
        <row r="78">
          <cell r="R78">
            <v>99000</v>
          </cell>
        </row>
        <row r="79">
          <cell r="R79">
            <v>121000</v>
          </cell>
        </row>
        <row r="80">
          <cell r="R80">
            <v>23320</v>
          </cell>
        </row>
        <row r="81">
          <cell r="I81">
            <v>57434.467096316672</v>
          </cell>
        </row>
        <row r="82">
          <cell r="R82">
            <v>53326.716</v>
          </cell>
        </row>
      </sheetData>
      <sheetData sheetId="1">
        <row r="59">
          <cell r="F59">
            <v>13344</v>
          </cell>
          <cell r="I59">
            <v>1552</v>
          </cell>
          <cell r="N59">
            <v>0</v>
          </cell>
          <cell r="O59">
            <v>14896</v>
          </cell>
        </row>
        <row r="60">
          <cell r="F60">
            <v>1008</v>
          </cell>
          <cell r="I60">
            <v>0</v>
          </cell>
        </row>
        <row r="61">
          <cell r="F61">
            <v>10000</v>
          </cell>
          <cell r="I61">
            <v>640</v>
          </cell>
        </row>
        <row r="62">
          <cell r="F62">
            <v>784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144</v>
          </cell>
        </row>
        <row r="65">
          <cell r="F65">
            <v>160</v>
          </cell>
          <cell r="I65">
            <v>240</v>
          </cell>
        </row>
        <row r="66">
          <cell r="F66">
            <v>11952</v>
          </cell>
          <cell r="I66">
            <v>1024</v>
          </cell>
          <cell r="N66">
            <v>12371.800000000001</v>
          </cell>
          <cell r="O66">
            <v>12976</v>
          </cell>
        </row>
        <row r="71">
          <cell r="F71">
            <v>157152</v>
          </cell>
          <cell r="I71">
            <v>12528</v>
          </cell>
        </row>
        <row r="72">
          <cell r="F72">
            <v>193456</v>
          </cell>
          <cell r="I72">
            <v>10176</v>
          </cell>
        </row>
        <row r="86">
          <cell r="F86">
            <v>-4355.8056529744426</v>
          </cell>
          <cell r="I86">
            <v>5693.6749225171798</v>
          </cell>
        </row>
        <row r="87">
          <cell r="F87">
            <v>47517.812792255238</v>
          </cell>
          <cell r="I87">
            <v>5620.4196336202467</v>
          </cell>
        </row>
      </sheetData>
      <sheetData sheetId="2">
        <row r="59">
          <cell r="F59">
            <v>2544</v>
          </cell>
          <cell r="I59">
            <v>2096</v>
          </cell>
          <cell r="N59">
            <v>21000</v>
          </cell>
          <cell r="O59">
            <v>4640</v>
          </cell>
        </row>
        <row r="60">
          <cell r="F60">
            <v>12193</v>
          </cell>
          <cell r="I60">
            <v>8399</v>
          </cell>
        </row>
        <row r="61">
          <cell r="F61">
            <v>176</v>
          </cell>
          <cell r="I61">
            <v>3792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240</v>
          </cell>
        </row>
        <row r="65">
          <cell r="F65">
            <v>0</v>
          </cell>
          <cell r="I65">
            <v>0</v>
          </cell>
        </row>
        <row r="66">
          <cell r="F66">
            <v>12369</v>
          </cell>
          <cell r="I66">
            <v>12431</v>
          </cell>
          <cell r="N66">
            <v>18670.29996559782</v>
          </cell>
          <cell r="O66">
            <v>24800</v>
          </cell>
        </row>
        <row r="71">
          <cell r="F71">
            <v>33072</v>
          </cell>
          <cell r="I71">
            <v>39824</v>
          </cell>
        </row>
        <row r="72">
          <cell r="F72">
            <v>215489.5</v>
          </cell>
          <cell r="I72">
            <v>277776.5</v>
          </cell>
        </row>
        <row r="86">
          <cell r="F86">
            <v>-10125.919130200251</v>
          </cell>
          <cell r="I86">
            <v>5421.7323720360491</v>
          </cell>
        </row>
        <row r="87">
          <cell r="F87">
            <v>4133.2509573807683</v>
          </cell>
          <cell r="I87">
            <v>72734.099250783445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서부산골재(당월)"/>
      <sheetName val="부산크라샤(당월)"/>
    </sheetNames>
    <sheetDataSet>
      <sheetData sheetId="0">
        <row r="47">
          <cell r="R47">
            <v>14111</v>
          </cell>
        </row>
        <row r="48">
          <cell r="R48">
            <v>18034</v>
          </cell>
        </row>
      </sheetData>
      <sheetData sheetId="1">
        <row r="59">
          <cell r="O59">
            <v>9232</v>
          </cell>
        </row>
        <row r="66">
          <cell r="O66">
            <v>24508</v>
          </cell>
        </row>
      </sheetData>
      <sheetData sheetId="2">
        <row r="59">
          <cell r="O59">
            <v>0</v>
          </cell>
        </row>
        <row r="66">
          <cell r="O66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>
        <row r="86">
          <cell r="H86">
            <v>10500</v>
          </cell>
        </row>
      </sheetData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97182.426162880511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991512.8326094409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475816.24022164498</v>
          </cell>
          <cell r="Z24">
            <v>566519.78666097834</v>
          </cell>
          <cell r="AA24">
            <v>643852.55895950552</v>
          </cell>
          <cell r="AB24">
            <v>716789.07879687438</v>
          </cell>
          <cell r="AC24">
            <v>796645.29061176302</v>
          </cell>
          <cell r="AD24">
            <v>868067.08292935207</v>
          </cell>
          <cell r="AE24">
            <v>942520.02999852097</v>
          </cell>
          <cell r="AF24">
            <v>991512.8326094409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175074.72192533195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2069850.8146454392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802134.92673576484</v>
          </cell>
          <cell r="Z25">
            <v>962991.0011194651</v>
          </cell>
          <cell r="AA25">
            <v>1148661.7236515756</v>
          </cell>
          <cell r="AB25">
            <v>1322036.2272438442</v>
          </cell>
          <cell r="AC25">
            <v>1502847.6817637158</v>
          </cell>
          <cell r="AD25">
            <v>1689624.856974009</v>
          </cell>
          <cell r="AE25">
            <v>1882598.3445120107</v>
          </cell>
          <cell r="AF25">
            <v>2069850.8146454392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272257.14808821247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3061363.6472548796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1277951.1669574098</v>
          </cell>
          <cell r="Z26">
            <v>1529510.7877804434</v>
          </cell>
          <cell r="AA26">
            <v>1792514.2826110811</v>
          </cell>
          <cell r="AB26">
            <v>2038825.3060407187</v>
          </cell>
          <cell r="AC26">
            <v>2299492.9723754786</v>
          </cell>
          <cell r="AD26">
            <v>2557691.9399033608</v>
          </cell>
          <cell r="AE26">
            <v>2825118.3745105318</v>
          </cell>
          <cell r="AF26">
            <v>3061363.6472548801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242956.0654072013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2731765.4564832309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1204801.1146052061</v>
          </cell>
          <cell r="Z27">
            <v>1431559.9807035397</v>
          </cell>
          <cell r="AA27">
            <v>1663558.2975991212</v>
          </cell>
          <cell r="AB27">
            <v>1882367.8571112277</v>
          </cell>
          <cell r="AC27">
            <v>2121936.4925558935</v>
          </cell>
          <cell r="AD27">
            <v>2321917.511045143</v>
          </cell>
          <cell r="AE27">
            <v>2530385.7628388158</v>
          </cell>
          <cell r="AF27">
            <v>2731765.4564832309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161987.80610875387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1863212.3558953458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729302.92310054856</v>
          </cell>
          <cell r="Z28">
            <v>880544.83499077416</v>
          </cell>
          <cell r="AA28">
            <v>1047503.9713929611</v>
          </cell>
          <cell r="AB28">
            <v>1205389.121485719</v>
          </cell>
          <cell r="AC28">
            <v>1361831.3680822954</v>
          </cell>
          <cell r="AD28">
            <v>1525959.8585685983</v>
          </cell>
          <cell r="AE28">
            <v>1697661.8998689989</v>
          </cell>
          <cell r="AF28">
            <v>1863212.3558953458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404943.87151595519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4594977.812378576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1934104.0377057546</v>
          </cell>
          <cell r="Z29">
            <v>2312104.815694314</v>
          </cell>
          <cell r="AA29">
            <v>2711062.2689920822</v>
          </cell>
          <cell r="AB29">
            <v>3087756.9785969467</v>
          </cell>
          <cell r="AC29">
            <v>3483767.8606381891</v>
          </cell>
          <cell r="AD29">
            <v>3847877.3696137415</v>
          </cell>
          <cell r="AE29">
            <v>4228047.6627078149</v>
          </cell>
          <cell r="AF29">
            <v>4594977.812378577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340138.49157008179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3723278.2890926721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1680617.354826851</v>
          </cell>
          <cell r="Z30">
            <v>1998079.767364518</v>
          </cell>
          <cell r="AA30">
            <v>2307410.8565586265</v>
          </cell>
          <cell r="AB30">
            <v>2599156.935908102</v>
          </cell>
          <cell r="AC30">
            <v>2918581.7831676565</v>
          </cell>
          <cell r="AD30">
            <v>3189984.5939744953</v>
          </cell>
          <cell r="AE30">
            <v>3472905.7928373367</v>
          </cell>
          <cell r="AF30">
            <v>3723278.2890926721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337062.52803408582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3933063.170540785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1531437.8498363134</v>
          </cell>
          <cell r="Z31">
            <v>1843535.8361102394</v>
          </cell>
          <cell r="AA31">
            <v>2196165.6950445366</v>
          </cell>
          <cell r="AB31">
            <v>2527425.3487295629</v>
          </cell>
          <cell r="AC31">
            <v>2864679.0498460112</v>
          </cell>
          <cell r="AD31">
            <v>3215584.715542607</v>
          </cell>
          <cell r="AE31">
            <v>3580260.2443810096</v>
          </cell>
          <cell r="AF31">
            <v>3933063.170540785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677201.01960416767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7656341.4596334565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3212055.2046631644</v>
          </cell>
          <cell r="Z32">
            <v>3841615.6034747576</v>
          </cell>
          <cell r="AA32">
            <v>4503576.5516031627</v>
          </cell>
          <cell r="AB32">
            <v>5126582.2846376654</v>
          </cell>
          <cell r="AC32">
            <v>5783260.8330136677</v>
          </cell>
          <cell r="AD32">
            <v>6405569.3095171023</v>
          </cell>
          <cell r="AE32">
            <v>7053166.0372183463</v>
          </cell>
          <cell r="AF32">
            <v>7656341.4596334565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-25182.426162880511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-218640.83260944081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-115816.24022164498</v>
          </cell>
          <cell r="Z33">
            <v>-134519.78666097834</v>
          </cell>
          <cell r="AA33">
            <v>-151852.55895950552</v>
          </cell>
          <cell r="AB33">
            <v>-164789.07879687438</v>
          </cell>
          <cell r="AC33">
            <v>-184645.29061176302</v>
          </cell>
          <cell r="AD33">
            <v>-196067.08292935207</v>
          </cell>
          <cell r="AE33">
            <v>-210520.02999852097</v>
          </cell>
          <cell r="AF33">
            <v>-218640.8326094409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-2130.1478038486384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99188.646693679475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8432.1748112025671</v>
          </cell>
          <cell r="Z34">
            <v>17825.045998375281</v>
          </cell>
          <cell r="AA34">
            <v>24228.8781612569</v>
          </cell>
          <cell r="AB34">
            <v>41019.196229086956</v>
          </cell>
          <cell r="AC34">
            <v>41344.763273928082</v>
          </cell>
          <cell r="AD34">
            <v>63777.879936184734</v>
          </cell>
          <cell r="AE34">
            <v>78155.204028217122</v>
          </cell>
          <cell r="AF34">
            <v>99188.646693679271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-27312.573966729149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-119452.18591576137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-107384.06541044242</v>
          </cell>
          <cell r="Z35">
            <v>-116694.74066260306</v>
          </cell>
          <cell r="AA35">
            <v>-127623.68079824862</v>
          </cell>
          <cell r="AB35">
            <v>-123769.88256778743</v>
          </cell>
          <cell r="AC35">
            <v>-143300.52733783494</v>
          </cell>
          <cell r="AD35">
            <v>-132289.20299316733</v>
          </cell>
          <cell r="AE35">
            <v>-132364.82597030385</v>
          </cell>
          <cell r="AF35">
            <v>-119452.18591576163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42043.934592798701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650234.54351676884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239198.88539479394</v>
          </cell>
          <cell r="Z36">
            <v>297440.01929646032</v>
          </cell>
          <cell r="AA36">
            <v>350441.70240087877</v>
          </cell>
          <cell r="AB36">
            <v>416632.1428887723</v>
          </cell>
          <cell r="AC36">
            <v>462063.50744410651</v>
          </cell>
          <cell r="AD36">
            <v>528082.48895485699</v>
          </cell>
          <cell r="AE36">
            <v>585614.2371611842</v>
          </cell>
          <cell r="AF36">
            <v>650234.54351676907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58545.631438487442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836658.84957554482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287584.67738806421</v>
          </cell>
          <cell r="Z37">
            <v>357235.35053770721</v>
          </cell>
          <cell r="AA37">
            <v>428958.23012807511</v>
          </cell>
          <cell r="AB37">
            <v>510411.18905376294</v>
          </cell>
          <cell r="AC37">
            <v>572271.03087998554</v>
          </cell>
          <cell r="AD37">
            <v>662947.80761006591</v>
          </cell>
          <cell r="AE37">
            <v>746990.00459603989</v>
          </cell>
          <cell r="AF37">
            <v>836658.84957554494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1486893.393092314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526783.56278285815</v>
          </cell>
          <cell r="Z38">
            <v>654675.36983416753</v>
          </cell>
          <cell r="AA38">
            <v>779399.93252895388</v>
          </cell>
          <cell r="AB38">
            <v>927043.33194253524</v>
          </cell>
          <cell r="AC38">
            <v>1034334.538324092</v>
          </cell>
          <cell r="AD38">
            <v>1191030.2965649229</v>
          </cell>
          <cell r="AE38">
            <v>1332604.2417572241</v>
          </cell>
          <cell r="AF38">
            <v>1486893.393092314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16861.508429918191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431593.71090732812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123382.64517314895</v>
          </cell>
          <cell r="Z39">
            <v>162920.23263548198</v>
          </cell>
          <cell r="AA39">
            <v>198589.14344137325</v>
          </cell>
          <cell r="AB39">
            <v>251843.06409189792</v>
          </cell>
          <cell r="AC39">
            <v>277418.21683234349</v>
          </cell>
          <cell r="AD39">
            <v>332015.40602550493</v>
          </cell>
          <cell r="AE39">
            <v>375094.20716266322</v>
          </cell>
          <cell r="AF39">
            <v>431593.71090732818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56415.483634638804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935847.49626922421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296016.85219926678</v>
          </cell>
          <cell r="Z40">
            <v>375060.3965360825</v>
          </cell>
          <cell r="AA40">
            <v>453187.10828933201</v>
          </cell>
          <cell r="AB40">
            <v>551430.38528284989</v>
          </cell>
          <cell r="AC40">
            <v>613615.79415391362</v>
          </cell>
          <cell r="AD40">
            <v>726725.68754625064</v>
          </cell>
          <cell r="AE40">
            <v>825145.20862425701</v>
          </cell>
          <cell r="AF40">
            <v>935847.49626922421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73276.992064556995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1367441.2071765524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419399.49737241573</v>
          </cell>
          <cell r="Z41">
            <v>537980.62917156448</v>
          </cell>
          <cell r="AA41">
            <v>651776.25173070526</v>
          </cell>
          <cell r="AB41">
            <v>803273.44937474781</v>
          </cell>
          <cell r="AC41">
            <v>891034.01098625711</v>
          </cell>
          <cell r="AD41">
            <v>1058741.0935717556</v>
          </cell>
          <cell r="AE41">
            <v>1200239.4157869201</v>
          </cell>
          <cell r="AF41">
            <v>1367441.2071765524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-34510.03139783418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-322149.91171273525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-157903.31823684872</v>
          </cell>
          <cell r="Z60">
            <v>-184798.45468120114</v>
          </cell>
          <cell r="AA60">
            <v>-208773.43620383544</v>
          </cell>
          <cell r="AB60">
            <v>-228366.27823179757</v>
          </cell>
          <cell r="AC60">
            <v>-255136.61487786408</v>
          </cell>
          <cell r="AD60">
            <v>-273083.79563528439</v>
          </cell>
          <cell r="AE60">
            <v>-294073.44323368289</v>
          </cell>
          <cell r="AF60">
            <v>-306812.41661325225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-19635.470134066774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-126644.27835685498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-62417.779202746184</v>
          </cell>
          <cell r="Z61">
            <v>-67552.090941650575</v>
          </cell>
          <cell r="AA61">
            <v>-77095.751015160742</v>
          </cell>
          <cell r="AB61">
            <v>-76127.911975909694</v>
          </cell>
          <cell r="AC61">
            <v>-91457.394664145861</v>
          </cell>
          <cell r="AD61">
            <v>-86089.008252874948</v>
          </cell>
          <cell r="AE61">
            <v>-88654.06116232046</v>
          </cell>
          <cell r="AF61">
            <v>-85271.45367759277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-54145.501531900954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-448794.19006959029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-220321.09743959492</v>
          </cell>
          <cell r="Z62">
            <v>-252350.5456228517</v>
          </cell>
          <cell r="AA62">
            <v>-285869.18721899617</v>
          </cell>
          <cell r="AB62">
            <v>-304494.19020770723</v>
          </cell>
          <cell r="AC62">
            <v>-346594.00954200991</v>
          </cell>
          <cell r="AD62">
            <v>-359172.80388815934</v>
          </cell>
          <cell r="AE62">
            <v>-382727.50439600332</v>
          </cell>
          <cell r="AF62">
            <v>-392083.87029084505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17021.103953697264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340769.93226385157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132620.01694461447</v>
          </cell>
          <cell r="Z63">
            <v>170382.17583373311</v>
          </cell>
          <cell r="AA63">
            <v>203457.23126583025</v>
          </cell>
          <cell r="AB63">
            <v>249678.70518194407</v>
          </cell>
          <cell r="AC63">
            <v>274367.69524374465</v>
          </cell>
          <cell r="AD63">
            <v>322115.58912296756</v>
          </cell>
          <cell r="AE63">
            <v>361344.57584745192</v>
          </cell>
          <cell r="AF63">
            <v>406982.38344757806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41366.847990769762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619085.48315890785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223164.50175628503</v>
          </cell>
          <cell r="Z64">
            <v>279156.26318290527</v>
          </cell>
          <cell r="AA64">
            <v>336538.81223942677</v>
          </cell>
          <cell r="AB64">
            <v>403582.87928939983</v>
          </cell>
          <cell r="AC64">
            <v>451897.61050674465</v>
          </cell>
          <cell r="AD64">
            <v>527578.9338925028</v>
          </cell>
          <cell r="AE64">
            <v>596546.31022436055</v>
          </cell>
          <cell r="AF64">
            <v>670610.00024204154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58387.95194446703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959855.41542275948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355784.5187008995</v>
          </cell>
          <cell r="Z65">
            <v>449538.43901663838</v>
          </cell>
          <cell r="AA65">
            <v>539996.043505257</v>
          </cell>
          <cell r="AB65">
            <v>653261.5844713439</v>
          </cell>
          <cell r="AC65">
            <v>726265.30575048923</v>
          </cell>
          <cell r="AD65">
            <v>849694.52301547036</v>
          </cell>
          <cell r="AE65">
            <v>957890.88607181248</v>
          </cell>
          <cell r="AF65">
            <v>1077592.3836896196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-17488.927444136916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18620.020551116271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-25283.301292234246</v>
          </cell>
          <cell r="Z66">
            <v>-14416.278847468027</v>
          </cell>
          <cell r="AA66">
            <v>-5316.2049380051903</v>
          </cell>
          <cell r="AB66">
            <v>21312.426950146502</v>
          </cell>
          <cell r="AC66">
            <v>19231.080365880567</v>
          </cell>
          <cell r="AD66">
            <v>49031.793487683171</v>
          </cell>
          <cell r="AE66">
            <v>67271.132613769034</v>
          </cell>
          <cell r="AF66">
            <v>100169.96683432581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21731.377856702988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492441.20480205293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160746.72255353886</v>
          </cell>
          <cell r="Z67">
            <v>211604.17224125471</v>
          </cell>
          <cell r="AA67">
            <v>259443.06122426601</v>
          </cell>
          <cell r="AB67">
            <v>327454.96731349011</v>
          </cell>
          <cell r="AC67">
            <v>360440.21584259882</v>
          </cell>
          <cell r="AD67">
            <v>441489.92563962785</v>
          </cell>
          <cell r="AE67">
            <v>507892.24906204012</v>
          </cell>
          <cell r="AF67">
            <v>585338.54656444874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4242.4504125660715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511061.2253531692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135463.42126130461</v>
          </cell>
          <cell r="Z68">
            <v>197187.89339378668</v>
          </cell>
          <cell r="AA68">
            <v>254126.85628626082</v>
          </cell>
          <cell r="AB68">
            <v>348767.39426363661</v>
          </cell>
          <cell r="AC68">
            <v>379671.29620847938</v>
          </cell>
          <cell r="AD68">
            <v>490521.71912731102</v>
          </cell>
          <cell r="AE68">
            <v>575163.38167580916</v>
          </cell>
          <cell r="AF68">
            <v>685508.51339877455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326779.72966666671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3463453.3337777774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734057.67927083443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8338274.1534112347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16420.332397890161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685508.51339877397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97182.426162880511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991512.8326094409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475816.24022164498</v>
          </cell>
          <cell r="Z87">
            <v>566519.78666097834</v>
          </cell>
          <cell r="AA87">
            <v>643852.55895950552</v>
          </cell>
          <cell r="AB87">
            <v>716789.07879687438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175074.72192533195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2069850.8146454392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802134.92673576484</v>
          </cell>
          <cell r="Z88">
            <v>962991.0011194651</v>
          </cell>
          <cell r="AA88">
            <v>1148661.7236515756</v>
          </cell>
          <cell r="AB88">
            <v>1322036.2272438442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175074.72192533195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2069850.8146454392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802134.92673576484</v>
          </cell>
          <cell r="Z94">
            <v>962991.0011194651</v>
          </cell>
          <cell r="AA94">
            <v>1148661.7236515756</v>
          </cell>
          <cell r="AB94">
            <v>1322036.2272438442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272257.14808821247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3061363.6472548801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1277951.1669574096</v>
          </cell>
          <cell r="Z95">
            <v>1529510.7877804432</v>
          </cell>
          <cell r="AA95">
            <v>1792514.2826110809</v>
          </cell>
          <cell r="AB95">
            <v>2038825.3060407182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16197.071027146752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15309.040624159064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79302.706703607502</v>
          </cell>
          <cell r="Z96">
            <v>94419.964443496399</v>
          </cell>
          <cell r="AA96">
            <v>109886.51890320184</v>
          </cell>
          <cell r="AB96">
            <v>124473.82287067561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242956.0654072013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2731765.4564832309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1204801.1146052061</v>
          </cell>
          <cell r="Z97">
            <v>1431559.9807035397</v>
          </cell>
          <cell r="AA97">
            <v>1663558.2975991212</v>
          </cell>
          <cell r="AB97">
            <v>1882367.8571112277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123556.85893679412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1455318.7661078828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559442.11368689616</v>
          </cell>
          <cell r="Z98">
            <v>675865.56742782926</v>
          </cell>
          <cell r="AA98">
            <v>805706.76924272487</v>
          </cell>
          <cell r="AB98">
            <v>928576.74311523559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38430.947171959757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407893.58978746249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169860.80941365249</v>
          </cell>
          <cell r="Z99">
            <v>204679.267562945</v>
          </cell>
          <cell r="AA99">
            <v>241797.20215023626</v>
          </cell>
          <cell r="AB99">
            <v>276812.37837048329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161987.80610875387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1863212.3558953453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729302.92310054856</v>
          </cell>
          <cell r="Z104">
            <v>880544.83499077416</v>
          </cell>
          <cell r="AA104">
            <v>1047503.9713929611</v>
          </cell>
          <cell r="AB104">
            <v>1205389.121485719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404943.87151595519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4594977.812378576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1934104.0377057549</v>
          </cell>
          <cell r="Z105">
            <v>2312104.815694314</v>
          </cell>
          <cell r="AA105">
            <v>2711062.2689920822</v>
          </cell>
          <cell r="AB105">
            <v>3087756.9785969462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16197.071027146752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15315.116802537839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79302.706703607502</v>
          </cell>
          <cell r="Z106">
            <v>94419.964443496399</v>
          </cell>
          <cell r="AA106">
            <v>109886.51890320184</v>
          </cell>
          <cell r="AB106">
            <v>124473.82287067561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340138.49157008179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3723278.2890926721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1680617.354826851</v>
          </cell>
          <cell r="Z107">
            <v>1998079.767364518</v>
          </cell>
          <cell r="AA107">
            <v>2307410.8565586265</v>
          </cell>
          <cell r="AB107">
            <v>2599156.935908102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298631.58086212608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3525169.5807533222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1361577.040422661</v>
          </cell>
          <cell r="Z108">
            <v>1638856.5685472945</v>
          </cell>
          <cell r="AA108">
            <v>1954368.4928943007</v>
          </cell>
          <cell r="AB108">
            <v>2250612.97035908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38430.947171959757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407893.58978746249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169860.80941365249</v>
          </cell>
          <cell r="Z109">
            <v>204679.267562945</v>
          </cell>
          <cell r="AA109">
            <v>241797.20215023626</v>
          </cell>
          <cell r="AB109">
            <v>276812.37837048329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337062.52803408582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3933063.1705407845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1531437.8498363134</v>
          </cell>
          <cell r="Z114">
            <v>1843535.8361102394</v>
          </cell>
          <cell r="AA114">
            <v>2196165.6950445366</v>
          </cell>
          <cell r="AB114">
            <v>2527425.3487295629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677201.01960416767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7656341.4596334565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3212055.2046631649</v>
          </cell>
          <cell r="Z115">
            <v>3841615.6034747576</v>
          </cell>
          <cell r="AA115">
            <v>4503576.5516031636</v>
          </cell>
          <cell r="AB115">
            <v>5126582.2846376654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16197.071027146756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15312.68668341643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79302.706703607517</v>
          </cell>
          <cell r="Z116">
            <v>94419.964443496414</v>
          </cell>
          <cell r="AA116">
            <v>109886.51890320185</v>
          </cell>
          <cell r="AB116">
            <v>124473.82287067562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-25182.426162880511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-218640.83260944081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-115816.24022164501</v>
          </cell>
          <cell r="Z117">
            <v>-134519.78666097843</v>
          </cell>
          <cell r="AA117">
            <v>-151852.55895950558</v>
          </cell>
          <cell r="AB117">
            <v>-164789.07879687438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-2130.1478038486384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99188.646693679475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8432.1748112027126</v>
          </cell>
          <cell r="Z118">
            <v>17825.045998375455</v>
          </cell>
          <cell r="AA118">
            <v>24228.87816125722</v>
          </cell>
          <cell r="AB118">
            <v>41019.196229087247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-2130.1478038486384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99188.646693679475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8432.1748112027126</v>
          </cell>
          <cell r="Z124">
            <v>17825.045998375455</v>
          </cell>
          <cell r="AA124">
            <v>24228.87816125722</v>
          </cell>
          <cell r="AB124">
            <v>41019.196229087247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-27312.573966729149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-119452.18591576134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-107384.0654104423</v>
          </cell>
          <cell r="Z125">
            <v>-116694.74066260297</v>
          </cell>
          <cell r="AA125">
            <v>-127623.68079824837</v>
          </cell>
          <cell r="AB125">
            <v>-123769.88256778716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42043.934592798701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650234.54351676884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239198.88539479396</v>
          </cell>
          <cell r="Z126">
            <v>297440.01929646044</v>
          </cell>
          <cell r="AA126">
            <v>350441.70240087889</v>
          </cell>
          <cell r="AB126">
            <v>416632.14288877242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51895.094739479435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737282.16516945884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253352.32873720041</v>
          </cell>
          <cell r="Z127">
            <v>314060.16971355514</v>
          </cell>
          <cell r="AA127">
            <v>377303.19034282735</v>
          </cell>
          <cell r="AB127">
            <v>448163.97065005265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6650.5366990079929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99376.684406085958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34232.3486508637</v>
          </cell>
          <cell r="Z128">
            <v>43175.180824151845</v>
          </cell>
          <cell r="AA128">
            <v>51655.039785247667</v>
          </cell>
          <cell r="AB128">
            <v>62247.218403710329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58545.631438487428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836658.84957554482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287584.6773880641</v>
          </cell>
          <cell r="Z133">
            <v>357235.35053770698</v>
          </cell>
          <cell r="AA133">
            <v>428958.230128075</v>
          </cell>
          <cell r="AB133">
            <v>510411.18905376294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100589.56603128613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1486893.3930923138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526783.56278285815</v>
          </cell>
          <cell r="Z134">
            <v>654675.36983416753</v>
          </cell>
          <cell r="AA134">
            <v>779399.932528954</v>
          </cell>
          <cell r="AB134">
            <v>927043.33194253547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16861.508429918191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431593.71090732812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123382.64517314895</v>
          </cell>
          <cell r="Z135">
            <v>162920.23263548204</v>
          </cell>
          <cell r="AA135">
            <v>198589.14344137331</v>
          </cell>
          <cell r="AB135">
            <v>251843.06409189804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49764.946935630796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836470.81186313822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261784.5035484031</v>
          </cell>
          <cell r="Z136">
            <v>331885.21571193053</v>
          </cell>
          <cell r="AA136">
            <v>401532.06850408448</v>
          </cell>
          <cell r="AB136">
            <v>489183.16687913978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6650.5366990079929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99376.684406085958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34232.3486508637</v>
          </cell>
          <cell r="Z137">
            <v>43175.180824151845</v>
          </cell>
          <cell r="AA137">
            <v>51655.039785247667</v>
          </cell>
          <cell r="AB137">
            <v>62247.218403710329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56415.483634638789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935847.49626922421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296016.85219926684</v>
          </cell>
          <cell r="Z142">
            <v>375060.39653608244</v>
          </cell>
          <cell r="AA142">
            <v>453187.10828933225</v>
          </cell>
          <cell r="AB142">
            <v>551430.38528285024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73276.99206455698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1367441.2071765524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419399.49737241579</v>
          </cell>
          <cell r="Z143">
            <v>537980.62917156448</v>
          </cell>
          <cell r="AA143">
            <v>651776.25173070549</v>
          </cell>
          <cell r="AB143">
            <v>803273.44937474816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-25182.426162880511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-218640.83260944081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-115816.24022164501</v>
          </cell>
          <cell r="Z144">
            <v>-134519.78666097843</v>
          </cell>
          <cell r="AA144">
            <v>-151852.55895950558</v>
          </cell>
          <cell r="AB144">
            <v>-164789.07879687438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-2130.1478038486384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99188.646693679475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8432.1748112027126</v>
          </cell>
          <cell r="Z145">
            <v>17825.045998375455</v>
          </cell>
          <cell r="AA145">
            <v>24228.87816125722</v>
          </cell>
          <cell r="AB145">
            <v>41019.196229087247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-2130.1478038486384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99188.646693679475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8432.1748112027126</v>
          </cell>
          <cell r="Z151">
            <v>17825.045998375455</v>
          </cell>
          <cell r="AA151">
            <v>24228.87816125722</v>
          </cell>
          <cell r="AB151">
            <v>41019.196229087247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-27312.573966729149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-119452.18591576134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-107384.0654104423</v>
          </cell>
          <cell r="Z152">
            <v>-116694.74066260297</v>
          </cell>
          <cell r="AA152">
            <v>-127623.68079824837</v>
          </cell>
          <cell r="AB152">
            <v>-123769.88256778716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42043.934592798701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650234.54351676884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239198.88539479396</v>
          </cell>
          <cell r="Z153">
            <v>297440.01929646044</v>
          </cell>
          <cell r="AA153">
            <v>350441.70240087889</v>
          </cell>
          <cell r="AB153">
            <v>416632.14288877242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51895.094739479435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737282.16516945884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253352.32873720041</v>
          </cell>
          <cell r="Z154">
            <v>314060.16971355514</v>
          </cell>
          <cell r="AA154">
            <v>377303.19034282735</v>
          </cell>
          <cell r="AB154">
            <v>448163.97065005265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6650.5366990079929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99376.684406085958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34232.3486508637</v>
          </cell>
          <cell r="Z155">
            <v>43175.180824151845</v>
          </cell>
          <cell r="AA155">
            <v>51655.039785247667</v>
          </cell>
          <cell r="AB155">
            <v>62247.218403710329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58545.631438487428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836658.84957554482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287584.6773880641</v>
          </cell>
          <cell r="Z160">
            <v>357235.35053770698</v>
          </cell>
          <cell r="AA160">
            <v>428958.230128075</v>
          </cell>
          <cell r="AB160">
            <v>510411.18905376294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100589.56603128613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1486893.3930923138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526783.56278285815</v>
          </cell>
          <cell r="Z161">
            <v>654675.36983416753</v>
          </cell>
          <cell r="AA161">
            <v>779399.932528954</v>
          </cell>
          <cell r="AB161">
            <v>927043.33194253547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16861.508429918191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431593.71090732812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123382.64517314895</v>
          </cell>
          <cell r="Z162">
            <v>162920.23263548204</v>
          </cell>
          <cell r="AA162">
            <v>198589.14344137331</v>
          </cell>
          <cell r="AB162">
            <v>251843.06409189804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49764.946935630796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836470.81186313822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261784.5035484031</v>
          </cell>
          <cell r="Z163">
            <v>331885.21571193053</v>
          </cell>
          <cell r="AA163">
            <v>401532.06850408448</v>
          </cell>
          <cell r="AB163">
            <v>489183.16687913978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6650.5366990079929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99376.684406085958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34232.3486508637</v>
          </cell>
          <cell r="Z164">
            <v>43175.180824151845</v>
          </cell>
          <cell r="AA164">
            <v>51655.039785247667</v>
          </cell>
          <cell r="AB164">
            <v>62247.218403710329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56415.483634638789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935847.49626922421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296016.85219926684</v>
          </cell>
          <cell r="Z169">
            <v>375060.39653608244</v>
          </cell>
          <cell r="AA169">
            <v>453187.10828933225</v>
          </cell>
          <cell r="AB169">
            <v>551430.38528285024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73276.99206455698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1367441.2071765524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419399.49737241579</v>
          </cell>
          <cell r="Z170">
            <v>537980.62917156448</v>
          </cell>
          <cell r="AA170">
            <v>651776.25173070549</v>
          </cell>
          <cell r="AB170">
            <v>803273.44937474816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-33341.699362370913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-306812.41661325225</v>
          </cell>
          <cell r="T201">
            <v>-306812.41661325219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-157903.31823684875</v>
          </cell>
          <cell r="Z201">
            <v>-184798.45468120126</v>
          </cell>
          <cell r="AA201">
            <v>-208773.43620383553</v>
          </cell>
          <cell r="AB201">
            <v>-228366.27823179759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-16829.127268710097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-85271.45367759261</v>
          </cell>
          <cell r="T202">
            <v>-85271.453677592566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-62417.779202746038</v>
          </cell>
          <cell r="Z202">
            <v>-67552.0909416504</v>
          </cell>
          <cell r="AA202">
            <v>-77095.751015160422</v>
          </cell>
          <cell r="AB202">
            <v>-76127.911975909403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-16829.127268710097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-85271.45367759261</v>
          </cell>
          <cell r="T208">
            <v>-85271.453677592566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-62417.779202746038</v>
          </cell>
          <cell r="Z208">
            <v>-67552.0909416504</v>
          </cell>
          <cell r="AA208">
            <v>-77095.751015160422</v>
          </cell>
          <cell r="AB208">
            <v>-76127.911975909403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-50170.826631081014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-392083.87029084488</v>
          </cell>
          <cell r="T209">
            <v>-392083.87029084476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-220321.09743959474</v>
          </cell>
          <cell r="Z209">
            <v>-252350.54562285161</v>
          </cell>
          <cell r="AA209">
            <v>-285869.18721899588</v>
          </cell>
          <cell r="AB209">
            <v>-304494.19020770694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21645.751594072699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406982.383447578</v>
          </cell>
          <cell r="T210">
            <v>406982.38344757783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132620.0169446145</v>
          </cell>
          <cell r="Z210">
            <v>170382.17583373329</v>
          </cell>
          <cell r="AA210">
            <v>203457.2312658304</v>
          </cell>
          <cell r="AB210">
            <v>249678.70518194424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41521.468482747186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607585.18005950691</v>
          </cell>
          <cell r="T211">
            <v>607585.18005950702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203939.98288090635</v>
          </cell>
          <cell r="Z211">
            <v>254133.42571681016</v>
          </cell>
          <cell r="AA211">
            <v>306224.22196914145</v>
          </cell>
          <cell r="AB211">
            <v>365871.66038030636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3423.938952151449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63024.820182534459</v>
          </cell>
          <cell r="T212">
            <v>63024.820182534429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19224.518875378573</v>
          </cell>
          <cell r="Z212">
            <v>25022.837466094876</v>
          </cell>
          <cell r="AA212">
            <v>30314.590270285134</v>
          </cell>
          <cell r="AB212">
            <v>37711.218909093448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44945.407434898632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670610.00024204142</v>
          </cell>
          <cell r="T217">
            <v>670610.00024204142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223164.50175628491</v>
          </cell>
          <cell r="Z217">
            <v>279156.26318290504</v>
          </cell>
          <cell r="AA217">
            <v>336538.8122394266</v>
          </cell>
          <cell r="AB217">
            <v>403582.87928939983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66591.159028971335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1077592.3836896194</v>
          </cell>
          <cell r="T218">
            <v>1077592.3836896194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355784.51870089944</v>
          </cell>
          <cell r="Z218">
            <v>449538.43901663832</v>
          </cell>
          <cell r="AA218">
            <v>539996.043505257</v>
          </cell>
          <cell r="AB218">
            <v>653261.58447134402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-11695.947768298214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100169.96683432577</v>
          </cell>
          <cell r="T219">
            <v>100169.96683432569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-25283.301292234242</v>
          </cell>
          <cell r="Z219">
            <v>-14416.278847467973</v>
          </cell>
          <cell r="AA219">
            <v>-5316.2049380051285</v>
          </cell>
          <cell r="AB219">
            <v>21312.426950146641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24692.341214037089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522313.72638191434</v>
          </cell>
          <cell r="T220">
            <v>522313.72638191434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141522.20367816032</v>
          </cell>
          <cell r="Z220">
            <v>186581.33477515978</v>
          </cell>
          <cell r="AA220">
            <v>229128.47095398104</v>
          </cell>
          <cell r="AB220">
            <v>289743.74840439699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3423.938952151449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63024.820182534459</v>
          </cell>
          <cell r="T221">
            <v>63024.820182534429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19224.518875378573</v>
          </cell>
          <cell r="Z221">
            <v>25022.837466094876</v>
          </cell>
          <cell r="AA221">
            <v>30314.590270285134</v>
          </cell>
          <cell r="AB221">
            <v>37711.218909093448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28116.280166188539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585338.54656444886</v>
          </cell>
          <cell r="T226">
            <v>585338.54656444886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160746.72255353892</v>
          </cell>
          <cell r="Z226">
            <v>211604.17224125465</v>
          </cell>
          <cell r="AA226">
            <v>259443.06122426619</v>
          </cell>
          <cell r="AB226">
            <v>327454.96731349046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16420.332397890325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685508.51339877455</v>
          </cell>
          <cell r="T227">
            <v>685508.51339877455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135463.42126130464</v>
          </cell>
          <cell r="Z227">
            <v>197187.89339378665</v>
          </cell>
          <cell r="AA227">
            <v>254126.85628626103</v>
          </cell>
          <cell r="AB227">
            <v>348767.39426363702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12600000</v>
          </cell>
          <cell r="P16">
            <v>12600000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6720000</v>
          </cell>
          <cell r="O17">
            <v>170000000</v>
          </cell>
          <cell r="P17">
            <v>176720000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9016000</v>
          </cell>
          <cell r="P18">
            <v>9016000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1296000</v>
          </cell>
          <cell r="O20">
            <v>0</v>
          </cell>
          <cell r="P20">
            <v>1296000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2160000</v>
          </cell>
          <cell r="O21">
            <v>1840000</v>
          </cell>
          <cell r="P21">
            <v>4000000</v>
          </cell>
        </row>
        <row r="22">
          <cell r="M22" t="str">
            <v>계</v>
          </cell>
          <cell r="N22">
            <v>10176000</v>
          </cell>
          <cell r="O22">
            <v>193456000</v>
          </cell>
          <cell r="P22">
            <v>203632000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213377500</v>
          </cell>
          <cell r="O16">
            <v>197376500</v>
          </cell>
          <cell r="P16">
            <v>410754000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2112000</v>
          </cell>
          <cell r="O17">
            <v>75840000</v>
          </cell>
          <cell r="P17">
            <v>77952000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4560000</v>
          </cell>
          <cell r="P20">
            <v>4560000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215489500</v>
          </cell>
          <cell r="O22">
            <v>277776500</v>
          </cell>
          <cell r="P22">
            <v>493266000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/>
  <cols>
    <col min="13" max="13" width="15.75" customWidth="1"/>
  </cols>
  <sheetData>
    <row r="6" spans="1:13">
      <c r="A6" s="702" t="s">
        <v>194</v>
      </c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</row>
    <row r="7" spans="1:13">
      <c r="A7" s="703"/>
      <c r="B7" s="703"/>
      <c r="C7" s="703"/>
      <c r="D7" s="703"/>
      <c r="E7" s="703"/>
      <c r="F7" s="703"/>
      <c r="G7" s="703"/>
      <c r="H7" s="703"/>
      <c r="I7" s="703"/>
      <c r="J7" s="703"/>
      <c r="K7" s="703"/>
      <c r="L7" s="703"/>
      <c r="M7" s="703"/>
    </row>
    <row r="8" spans="1:13">
      <c r="A8" s="703"/>
      <c r="B8" s="703"/>
      <c r="C8" s="703"/>
      <c r="D8" s="703"/>
      <c r="E8" s="703"/>
      <c r="F8" s="703"/>
      <c r="G8" s="703"/>
      <c r="H8" s="703"/>
      <c r="I8" s="703"/>
      <c r="J8" s="703"/>
      <c r="K8" s="703"/>
      <c r="L8" s="703"/>
      <c r="M8" s="703"/>
    </row>
    <row r="9" spans="1:13">
      <c r="A9" s="703"/>
      <c r="B9" s="703"/>
      <c r="C9" s="703"/>
      <c r="D9" s="703"/>
      <c r="E9" s="703"/>
      <c r="F9" s="703"/>
      <c r="G9" s="703"/>
      <c r="H9" s="703"/>
      <c r="I9" s="703"/>
      <c r="J9" s="703"/>
      <c r="K9" s="703"/>
      <c r="L9" s="703"/>
      <c r="M9" s="703"/>
    </row>
    <row r="10" spans="1:13">
      <c r="A10" s="703"/>
      <c r="B10" s="703"/>
      <c r="C10" s="703"/>
      <c r="D10" s="703"/>
      <c r="E10" s="703"/>
      <c r="F10" s="703"/>
      <c r="G10" s="703"/>
      <c r="H10" s="703"/>
      <c r="I10" s="703"/>
      <c r="J10" s="703"/>
      <c r="K10" s="703"/>
      <c r="L10" s="703"/>
      <c r="M10" s="703"/>
    </row>
    <row r="11" spans="1:13">
      <c r="A11" s="703"/>
      <c r="B11" s="703"/>
      <c r="C11" s="703"/>
      <c r="D11" s="703"/>
      <c r="E11" s="703"/>
      <c r="F11" s="703"/>
      <c r="G11" s="703"/>
      <c r="H11" s="703"/>
      <c r="I11" s="703"/>
      <c r="J11" s="703"/>
      <c r="K11" s="703"/>
      <c r="L11" s="703"/>
      <c r="M11" s="703"/>
    </row>
    <row r="12" spans="1:13">
      <c r="A12" s="703"/>
      <c r="B12" s="703"/>
      <c r="C12" s="703"/>
      <c r="D12" s="703"/>
      <c r="E12" s="703"/>
      <c r="F12" s="703"/>
      <c r="G12" s="703"/>
      <c r="H12" s="703"/>
      <c r="I12" s="703"/>
      <c r="J12" s="703"/>
      <c r="K12" s="703"/>
      <c r="L12" s="703"/>
      <c r="M12" s="703"/>
    </row>
    <row r="13" spans="1:13">
      <c r="A13" s="703"/>
      <c r="B13" s="703"/>
      <c r="C13" s="703"/>
      <c r="D13" s="703"/>
      <c r="E13" s="703"/>
      <c r="F13" s="703"/>
      <c r="G13" s="703"/>
      <c r="H13" s="703"/>
      <c r="I13" s="703"/>
      <c r="J13" s="703"/>
      <c r="K13" s="703"/>
      <c r="L13" s="703"/>
      <c r="M13" s="703"/>
    </row>
    <row r="14" spans="1:13">
      <c r="A14" s="703"/>
      <c r="B14" s="703"/>
      <c r="C14" s="703"/>
      <c r="D14" s="703"/>
      <c r="E14" s="703"/>
      <c r="F14" s="703"/>
      <c r="G14" s="703"/>
      <c r="H14" s="703"/>
      <c r="I14" s="703"/>
      <c r="J14" s="703"/>
      <c r="K14" s="703"/>
      <c r="L14" s="703"/>
      <c r="M14" s="703"/>
    </row>
    <row r="24" spans="1:13">
      <c r="A24" s="704" t="s">
        <v>120</v>
      </c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</row>
    <row r="25" spans="1:13">
      <c r="A25" s="704"/>
      <c r="B25" s="704"/>
      <c r="C25" s="704"/>
      <c r="D25" s="704"/>
      <c r="E25" s="704"/>
      <c r="F25" s="704"/>
      <c r="G25" s="704"/>
      <c r="H25" s="704"/>
      <c r="I25" s="704"/>
      <c r="J25" s="704"/>
      <c r="K25" s="704"/>
      <c r="L25" s="704"/>
      <c r="M25" s="704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B1:AE42"/>
  <sheetViews>
    <sheetView showGridLines="0" view="pageBreakPreview" zoomScale="70" zoomScaleNormal="70" zoomScaleSheetLayoutView="70" workbookViewId="0"/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26" width="9.75" customWidth="1"/>
    <col min="30" max="30" width="11.75" bestFit="1" customWidth="1"/>
  </cols>
  <sheetData>
    <row r="1" spans="2:31" ht="20.100000000000001" customHeight="1"/>
    <row r="2" spans="2:31" ht="20.100000000000001" customHeight="1"/>
    <row r="3" spans="2:31" ht="20.100000000000001" customHeight="1">
      <c r="C3" s="4" t="s">
        <v>195</v>
      </c>
    </row>
    <row r="4" spans="2:31" ht="20.100000000000001" customHeight="1">
      <c r="H4" s="632"/>
      <c r="X4" s="5" t="s">
        <v>142</v>
      </c>
    </row>
    <row r="5" spans="2:31" ht="27" customHeight="1" thickBot="1">
      <c r="C5" s="707" t="s">
        <v>78</v>
      </c>
      <c r="D5" s="708"/>
      <c r="E5" s="147" t="s">
        <v>196</v>
      </c>
      <c r="F5" s="148"/>
      <c r="G5" s="148"/>
      <c r="H5" s="148"/>
      <c r="I5" s="149"/>
      <c r="J5" s="148" t="s">
        <v>197</v>
      </c>
      <c r="K5" s="148"/>
      <c r="L5" s="148"/>
      <c r="M5" s="148"/>
      <c r="N5" s="149"/>
      <c r="O5" s="150"/>
      <c r="P5" s="707" t="s">
        <v>198</v>
      </c>
      <c r="Q5" s="708"/>
      <c r="R5" s="708"/>
      <c r="S5" s="708"/>
      <c r="T5" s="708"/>
      <c r="U5" s="708"/>
      <c r="V5" s="708"/>
      <c r="W5" s="708"/>
      <c r="X5" s="711"/>
    </row>
    <row r="6" spans="2:31" ht="27" customHeight="1" thickTop="1">
      <c r="C6" s="709"/>
      <c r="D6" s="710"/>
      <c r="E6" s="223" t="s">
        <v>79</v>
      </c>
      <c r="F6" s="356" t="s">
        <v>80</v>
      </c>
      <c r="G6" s="352" t="s">
        <v>81</v>
      </c>
      <c r="H6" s="151" t="s">
        <v>82</v>
      </c>
      <c r="I6" s="152" t="s">
        <v>83</v>
      </c>
      <c r="J6" s="223" t="s">
        <v>79</v>
      </c>
      <c r="K6" s="356" t="s">
        <v>80</v>
      </c>
      <c r="L6" s="352" t="s">
        <v>81</v>
      </c>
      <c r="M6" s="151" t="s">
        <v>82</v>
      </c>
      <c r="N6" s="152" t="s">
        <v>83</v>
      </c>
      <c r="O6" s="150"/>
      <c r="P6" s="709"/>
      <c r="Q6" s="710"/>
      <c r="R6" s="710"/>
      <c r="S6" s="710"/>
      <c r="T6" s="710"/>
      <c r="U6" s="710"/>
      <c r="V6" s="710"/>
      <c r="W6" s="710"/>
      <c r="X6" s="712"/>
    </row>
    <row r="7" spans="2:31" ht="21.75" customHeight="1">
      <c r="B7" s="632"/>
      <c r="C7" s="101" t="s">
        <v>0</v>
      </c>
      <c r="D7" s="102" t="s">
        <v>53</v>
      </c>
      <c r="E7" s="341">
        <f>+'[1]1월'!$Z$7/1000</f>
        <v>241</v>
      </c>
      <c r="F7" s="357">
        <f>+'[2]1월'!$Z$7/1000</f>
        <v>278.88549999999998</v>
      </c>
      <c r="G7" s="112">
        <f>+F7-E7</f>
        <v>37.885499999999979</v>
      </c>
      <c r="H7" s="103">
        <f>+'[3]1월'!$Z$7/1000</f>
        <v>268.58100000000002</v>
      </c>
      <c r="I7" s="104">
        <f>+F7-H7</f>
        <v>10.304499999999962</v>
      </c>
      <c r="J7" s="341">
        <f>+E7</f>
        <v>241</v>
      </c>
      <c r="K7" s="357">
        <f>+F7</f>
        <v>278.88549999999998</v>
      </c>
      <c r="L7" s="112">
        <f t="shared" ref="L7:L36" si="0">+K7-J7</f>
        <v>37.885499999999979</v>
      </c>
      <c r="M7" s="103">
        <f>+H7</f>
        <v>268.58100000000002</v>
      </c>
      <c r="N7" s="104">
        <f t="shared" ref="N7:N36" si="1">+K7-M7</f>
        <v>10.304499999999962</v>
      </c>
      <c r="O7" s="100"/>
      <c r="P7" s="105"/>
      <c r="Q7" s="106" t="s">
        <v>105</v>
      </c>
      <c r="R7" s="106"/>
      <c r="S7" s="100"/>
      <c r="T7" s="100"/>
      <c r="U7" s="100"/>
      <c r="V7" s="100"/>
      <c r="W7" s="100"/>
      <c r="X7" s="107"/>
      <c r="Y7" s="632"/>
      <c r="Z7" s="632"/>
      <c r="AA7" s="632"/>
      <c r="AD7" s="99"/>
      <c r="AE7" s="632"/>
    </row>
    <row r="8" spans="2:31" ht="21.75" customHeight="1">
      <c r="B8" s="632"/>
      <c r="C8" s="101"/>
      <c r="D8" s="108" t="s">
        <v>86</v>
      </c>
      <c r="E8" s="342">
        <f>+'[1]1월'!$AA$7</f>
        <v>6900</v>
      </c>
      <c r="F8" s="358">
        <f>+'[2]1월'!$AO$7</f>
        <v>6425.0929999999998</v>
      </c>
      <c r="G8" s="119">
        <f>+F8-E8</f>
        <v>-474.90700000000015</v>
      </c>
      <c r="H8" s="109">
        <f>+'[3]1월'!$AO$7</f>
        <v>6946.7870000000003</v>
      </c>
      <c r="I8" s="110">
        <f>+F8-H8</f>
        <v>-521.69400000000041</v>
      </c>
      <c r="J8" s="342">
        <f t="shared" ref="J8:M13" si="2">+E8</f>
        <v>6900</v>
      </c>
      <c r="K8" s="358">
        <f t="shared" si="2"/>
        <v>6425.0929999999998</v>
      </c>
      <c r="L8" s="119">
        <f t="shared" si="0"/>
        <v>-474.90700000000015</v>
      </c>
      <c r="M8" s="109">
        <f t="shared" si="2"/>
        <v>6946.7870000000003</v>
      </c>
      <c r="N8" s="110">
        <f t="shared" si="1"/>
        <v>-521.69400000000041</v>
      </c>
      <c r="O8" s="100"/>
      <c r="P8" s="105"/>
      <c r="Q8" s="373" t="s">
        <v>70</v>
      </c>
      <c r="R8" s="374"/>
      <c r="S8" s="375" t="s">
        <v>15</v>
      </c>
      <c r="T8" s="376" t="s">
        <v>84</v>
      </c>
      <c r="U8" s="377" t="s">
        <v>71</v>
      </c>
      <c r="V8" s="376" t="s">
        <v>52</v>
      </c>
      <c r="W8" s="378" t="s">
        <v>72</v>
      </c>
      <c r="X8" s="107"/>
      <c r="Y8" s="632"/>
      <c r="Z8" s="632"/>
      <c r="AA8" s="632"/>
    </row>
    <row r="9" spans="2:31" ht="21.75" customHeight="1">
      <c r="B9" s="632"/>
      <c r="C9" s="101"/>
      <c r="D9" s="108" t="s">
        <v>1</v>
      </c>
      <c r="E9" s="342">
        <f>+'[1]1월'!$AE$7/1000</f>
        <v>76.628970648588776</v>
      </c>
      <c r="F9" s="358">
        <f>+'[2]1월'!$AN$7/1000</f>
        <v>84.516999999999996</v>
      </c>
      <c r="G9" s="119">
        <f t="shared" ref="G9:G36" si="3">+F9-E9</f>
        <v>7.8880293514112196</v>
      </c>
      <c r="H9" s="109">
        <f>+'[3]1월'!$AN$7/1000</f>
        <v>65.885000000000005</v>
      </c>
      <c r="I9" s="110">
        <f t="shared" ref="I9:I36" si="4">+F9-H9</f>
        <v>18.631999999999991</v>
      </c>
      <c r="J9" s="342">
        <f t="shared" si="2"/>
        <v>76.628970648588776</v>
      </c>
      <c r="K9" s="358">
        <f t="shared" si="2"/>
        <v>84.516999999999996</v>
      </c>
      <c r="L9" s="119">
        <f t="shared" si="0"/>
        <v>7.8880293514112196</v>
      </c>
      <c r="M9" s="109">
        <f t="shared" si="2"/>
        <v>65.885000000000005</v>
      </c>
      <c r="N9" s="110">
        <f t="shared" si="1"/>
        <v>18.631999999999991</v>
      </c>
      <c r="O9" s="100"/>
      <c r="P9" s="105"/>
      <c r="Q9" s="111" t="s">
        <v>66</v>
      </c>
      <c r="R9" s="328" t="s">
        <v>19</v>
      </c>
      <c r="S9" s="341">
        <f>+[4]수도권!$T$5/1000</f>
        <v>93</v>
      </c>
      <c r="T9" s="113">
        <f>+[4]수도권!$U$5/1000</f>
        <v>102.264</v>
      </c>
      <c r="U9" s="112">
        <f>+T9-S9</f>
        <v>9.2639999999999958</v>
      </c>
      <c r="V9" s="103">
        <f>+[5]수도권!$T$5/1000</f>
        <v>93.376000000000005</v>
      </c>
      <c r="W9" s="104">
        <f>+T9-V9</f>
        <v>8.887999999999991</v>
      </c>
      <c r="X9" s="107"/>
      <c r="Y9" s="632"/>
      <c r="AA9" s="632"/>
    </row>
    <row r="10" spans="2:31" ht="21.75" customHeight="1">
      <c r="B10" s="632"/>
      <c r="C10" s="114" t="s">
        <v>2</v>
      </c>
      <c r="D10" s="115" t="s">
        <v>53</v>
      </c>
      <c r="E10" s="349">
        <f>+'[1]1월'!$Z$8/1000</f>
        <v>24174.593899330252</v>
      </c>
      <c r="F10" s="359">
        <f>+'[2]1월'!$Z$8/1000</f>
        <v>27875.645882999997</v>
      </c>
      <c r="G10" s="353">
        <f t="shared" si="3"/>
        <v>3701.0519836697458</v>
      </c>
      <c r="H10" s="116">
        <f>+'[3]1월'!$Z$8/1000</f>
        <v>24787.855568000003</v>
      </c>
      <c r="I10" s="117">
        <f t="shared" si="4"/>
        <v>3087.7903149999947</v>
      </c>
      <c r="J10" s="349">
        <f t="shared" si="2"/>
        <v>24174.593899330252</v>
      </c>
      <c r="K10" s="359">
        <f t="shared" si="2"/>
        <v>27875.645882999997</v>
      </c>
      <c r="L10" s="353">
        <f t="shared" si="0"/>
        <v>3701.0519836697458</v>
      </c>
      <c r="M10" s="116">
        <f t="shared" si="2"/>
        <v>24787.855568000003</v>
      </c>
      <c r="N10" s="117">
        <f t="shared" si="1"/>
        <v>3087.7903149999947</v>
      </c>
      <c r="O10" s="100"/>
      <c r="P10" s="105"/>
      <c r="Q10" s="118"/>
      <c r="R10" s="329" t="s">
        <v>20</v>
      </c>
      <c r="S10" s="342">
        <f>+[4]영남권!$T$5/1000</f>
        <v>110.5</v>
      </c>
      <c r="T10" s="120">
        <f>+[4]영남권!$U$5/1000</f>
        <v>132.898</v>
      </c>
      <c r="U10" s="119">
        <f t="shared" ref="U10:U20" si="5">+T10-S10</f>
        <v>22.397999999999996</v>
      </c>
      <c r="V10" s="109">
        <f>+[5]영남권!$T$5/1000</f>
        <v>132.13499999999999</v>
      </c>
      <c r="W10" s="110">
        <f t="shared" ref="W10:W20" si="6">+T10-V10</f>
        <v>0.76300000000000523</v>
      </c>
      <c r="X10" s="107"/>
      <c r="Y10" s="632"/>
      <c r="Z10" s="632"/>
      <c r="AA10" s="632"/>
    </row>
    <row r="11" spans="2:31" ht="21.75" customHeight="1">
      <c r="B11" s="632"/>
      <c r="C11" s="101"/>
      <c r="D11" s="108" t="s">
        <v>3</v>
      </c>
      <c r="E11" s="342">
        <f>+'[1]1월'!$AA$8/1000</f>
        <v>8447.9431578947388</v>
      </c>
      <c r="F11" s="358">
        <f>+'[2]1월'!$AO$8/1000</f>
        <v>7407.9571670000005</v>
      </c>
      <c r="G11" s="119">
        <f>+F11-E11</f>
        <v>-1039.9859908947383</v>
      </c>
      <c r="H11" s="109">
        <f>+'[3]1월'!$AO$8/1000</f>
        <v>8813.6342919999988</v>
      </c>
      <c r="I11" s="110">
        <f>+F11-H11</f>
        <v>-1405.6771249999983</v>
      </c>
      <c r="J11" s="342">
        <f t="shared" si="2"/>
        <v>8447.9431578947388</v>
      </c>
      <c r="K11" s="358">
        <f t="shared" si="2"/>
        <v>7407.9571670000005</v>
      </c>
      <c r="L11" s="119">
        <f t="shared" si="0"/>
        <v>-1039.9859908947383</v>
      </c>
      <c r="M11" s="109">
        <f t="shared" si="2"/>
        <v>8813.6342919999988</v>
      </c>
      <c r="N11" s="110">
        <f t="shared" si="1"/>
        <v>-1405.6771249999983</v>
      </c>
      <c r="O11" s="100"/>
      <c r="P11" s="105"/>
      <c r="Q11" s="118"/>
      <c r="R11" s="330" t="s">
        <v>170</v>
      </c>
      <c r="S11" s="343">
        <f>+[4]중부권!$T$5/1000</f>
        <v>37.5</v>
      </c>
      <c r="T11" s="122">
        <f>+[4]중부권!$U$5/1000</f>
        <v>43.723500000000001</v>
      </c>
      <c r="U11" s="121">
        <f t="shared" si="5"/>
        <v>6.2235000000000014</v>
      </c>
      <c r="V11" s="123">
        <f>+[5]중부권!$T$5/1000</f>
        <v>43.07</v>
      </c>
      <c r="W11" s="124">
        <f t="shared" si="6"/>
        <v>0.65350000000000108</v>
      </c>
      <c r="X11" s="107"/>
      <c r="Y11" s="632"/>
      <c r="Z11" s="632"/>
      <c r="AA11" s="632"/>
    </row>
    <row r="12" spans="2:31" ht="21.75" customHeight="1">
      <c r="B12" s="632"/>
      <c r="C12" s="101"/>
      <c r="D12" s="108" t="s">
        <v>1</v>
      </c>
      <c r="E12" s="342">
        <f>+'[1]1월'!$AE$8/1000</f>
        <v>1600.1629950676415</v>
      </c>
      <c r="F12" s="358">
        <f>+'[2]1월'!$AN$8/1000</f>
        <v>1719.52</v>
      </c>
      <c r="G12" s="119">
        <f t="shared" si="3"/>
        <v>119.35700493235845</v>
      </c>
      <c r="H12" s="109">
        <f>+'[3]1월'!$AN$8/1000</f>
        <v>1298.828</v>
      </c>
      <c r="I12" s="110">
        <f t="shared" si="4"/>
        <v>420.69200000000001</v>
      </c>
      <c r="J12" s="342">
        <f t="shared" si="2"/>
        <v>1600.1629950676415</v>
      </c>
      <c r="K12" s="358">
        <f t="shared" si="2"/>
        <v>1719.52</v>
      </c>
      <c r="L12" s="119">
        <f t="shared" si="0"/>
        <v>119.35700493235845</v>
      </c>
      <c r="M12" s="109">
        <f t="shared" si="2"/>
        <v>1298.828</v>
      </c>
      <c r="N12" s="110">
        <f t="shared" si="1"/>
        <v>420.69200000000001</v>
      </c>
      <c r="O12" s="100"/>
      <c r="P12" s="105"/>
      <c r="Q12" s="125" t="s">
        <v>73</v>
      </c>
      <c r="R12" s="331"/>
      <c r="S12" s="344">
        <f>SUM(S9:S11)</f>
        <v>241</v>
      </c>
      <c r="T12" s="127">
        <f>SUM(T9:T11)</f>
        <v>278.88549999999998</v>
      </c>
      <c r="U12" s="126">
        <f t="shared" si="5"/>
        <v>37.885499999999979</v>
      </c>
      <c r="V12" s="128">
        <f>SUM(V9:V11)</f>
        <v>268.58100000000002</v>
      </c>
      <c r="W12" s="129">
        <f t="shared" si="6"/>
        <v>10.304499999999962</v>
      </c>
      <c r="X12" s="107"/>
      <c r="Z12" s="632"/>
      <c r="AA12" s="632"/>
    </row>
    <row r="13" spans="2:31" ht="21.75" customHeight="1">
      <c r="B13" s="632"/>
      <c r="C13" s="101"/>
      <c r="D13" s="130" t="s">
        <v>4</v>
      </c>
      <c r="E13" s="343">
        <f>+'[1]1월'!$E$8/1000-E10-E11-E12</f>
        <v>164.90750033332733</v>
      </c>
      <c r="F13" s="360">
        <f>+'[2]1월'!$F$8/1000-F10-F11-F12</f>
        <v>164.47551100000101</v>
      </c>
      <c r="G13" s="121">
        <f t="shared" si="3"/>
        <v>-0.43198933332632805</v>
      </c>
      <c r="H13" s="123">
        <f>+'[3]1월'!$F$8/1000-H10-H11-H12</f>
        <v>174.12201799999593</v>
      </c>
      <c r="I13" s="124">
        <f t="shared" si="4"/>
        <v>-9.6465069999949264</v>
      </c>
      <c r="J13" s="343">
        <f t="shared" si="2"/>
        <v>164.90750033332733</v>
      </c>
      <c r="K13" s="360">
        <f t="shared" si="2"/>
        <v>164.47551100000101</v>
      </c>
      <c r="L13" s="121">
        <f t="shared" si="0"/>
        <v>-0.43198933332632805</v>
      </c>
      <c r="M13" s="123">
        <f t="shared" si="2"/>
        <v>174.12201799999593</v>
      </c>
      <c r="N13" s="124">
        <f t="shared" si="1"/>
        <v>-9.6465069999949264</v>
      </c>
      <c r="O13" s="100"/>
      <c r="P13" s="105"/>
      <c r="Q13" s="111" t="s">
        <v>74</v>
      </c>
      <c r="R13" s="328" t="s">
        <v>19</v>
      </c>
      <c r="S13" s="341">
        <f>+[4]수도권!$T$61</f>
        <v>96584.296422905929</v>
      </c>
      <c r="T13" s="113">
        <f>+[4]수도권!$U$61</f>
        <v>97064.272432136422</v>
      </c>
      <c r="U13" s="112">
        <f t="shared" si="5"/>
        <v>479.97600923049322</v>
      </c>
      <c r="V13" s="103">
        <f>+[5]수도권!$Q$85</f>
        <v>88709.414893847017</v>
      </c>
      <c r="W13" s="104">
        <f t="shared" si="6"/>
        <v>8354.8575382894051</v>
      </c>
      <c r="X13" s="107"/>
      <c r="Z13" s="632"/>
      <c r="AA13" s="632"/>
    </row>
    <row r="14" spans="2:31" ht="21.75" customHeight="1">
      <c r="B14" s="632"/>
      <c r="C14" s="131" t="s">
        <v>8</v>
      </c>
      <c r="D14" s="132"/>
      <c r="E14" s="343">
        <f>SUM(E10:E13)</f>
        <v>34387.607552625959</v>
      </c>
      <c r="F14" s="360">
        <f>SUM(F10:F13)</f>
        <v>37167.598560999999</v>
      </c>
      <c r="G14" s="121">
        <f t="shared" si="3"/>
        <v>2779.9910083740397</v>
      </c>
      <c r="H14" s="123">
        <f>SUM(H10:H13)</f>
        <v>35074.439877999997</v>
      </c>
      <c r="I14" s="124">
        <f t="shared" si="4"/>
        <v>2093.1586830000015</v>
      </c>
      <c r="J14" s="343">
        <f>SUM(J10:J13)</f>
        <v>34387.607552625959</v>
      </c>
      <c r="K14" s="360">
        <f>SUM(K10:K13)</f>
        <v>37167.598560999999</v>
      </c>
      <c r="L14" s="121">
        <f t="shared" si="0"/>
        <v>2779.9910083740397</v>
      </c>
      <c r="M14" s="123">
        <f>SUM(M10:M13)</f>
        <v>35074.439877999997</v>
      </c>
      <c r="N14" s="124">
        <f t="shared" si="1"/>
        <v>2093.1586830000015</v>
      </c>
      <c r="O14" s="100"/>
      <c r="P14" s="105"/>
      <c r="Q14" s="118"/>
      <c r="R14" s="329" t="s">
        <v>20</v>
      </c>
      <c r="S14" s="342">
        <f>+[4]영남권!$T$61</f>
        <v>101787.61876923079</v>
      </c>
      <c r="T14" s="120">
        <f>+[4]영남권!$U$61</f>
        <v>101515.92429601311</v>
      </c>
      <c r="U14" s="119">
        <f t="shared" si="5"/>
        <v>-271.69447321767802</v>
      </c>
      <c r="V14" s="109">
        <f>+[5]영남권!$Q$85</f>
        <v>94314.373104912069</v>
      </c>
      <c r="W14" s="110">
        <f t="shared" si="6"/>
        <v>7201.5511911010399</v>
      </c>
      <c r="X14" s="107"/>
      <c r="Y14" s="632"/>
      <c r="Z14" s="632"/>
      <c r="AA14" s="632"/>
      <c r="AD14" s="99"/>
      <c r="AE14" s="632"/>
    </row>
    <row r="15" spans="2:31" ht="21.75" customHeight="1">
      <c r="C15" s="101" t="s">
        <v>5</v>
      </c>
      <c r="D15" s="115" t="s">
        <v>53</v>
      </c>
      <c r="E15" s="349">
        <f>+('[1]1월'!$Z$10+'[1]1월'!$Z$19)/1000</f>
        <v>21260.178210105369</v>
      </c>
      <c r="F15" s="359">
        <f>+('[2]1월'!$Z$10+'[2]1월'!$Z$19)/1000</f>
        <v>24879.532177999994</v>
      </c>
      <c r="G15" s="353">
        <f t="shared" si="3"/>
        <v>3619.3539678946254</v>
      </c>
      <c r="H15" s="116">
        <f>+('[3]1월'!$Z$10+'[3]1월'!$Z$19)/1000</f>
        <v>21521.109216000001</v>
      </c>
      <c r="I15" s="117">
        <f t="shared" si="4"/>
        <v>3358.4229619999933</v>
      </c>
      <c r="J15" s="349">
        <f t="shared" ref="J15:M18" si="7">+E15</f>
        <v>21260.178210105369</v>
      </c>
      <c r="K15" s="359">
        <f t="shared" si="7"/>
        <v>24879.532177999994</v>
      </c>
      <c r="L15" s="353">
        <f t="shared" si="0"/>
        <v>3619.3539678946254</v>
      </c>
      <c r="M15" s="116">
        <f t="shared" si="7"/>
        <v>21521.109216000001</v>
      </c>
      <c r="N15" s="117">
        <f t="shared" si="1"/>
        <v>3358.4229619999933</v>
      </c>
      <c r="O15" s="100"/>
      <c r="P15" s="105"/>
      <c r="Q15" s="118"/>
      <c r="R15" s="330" t="s">
        <v>169</v>
      </c>
      <c r="S15" s="343">
        <f>+[4]중부권!$T$61</f>
        <v>105192.59887999999</v>
      </c>
      <c r="T15" s="122">
        <f>+[4]중부권!$U$61</f>
        <v>101965.1128340595</v>
      </c>
      <c r="U15" s="121">
        <f t="shared" si="5"/>
        <v>-3227.4860459404881</v>
      </c>
      <c r="V15" s="123">
        <f>+[5]중부권!$Q$85</f>
        <v>94006.132589400164</v>
      </c>
      <c r="W15" s="124">
        <f t="shared" si="6"/>
        <v>7958.9802446593385</v>
      </c>
      <c r="X15" s="107"/>
    </row>
    <row r="16" spans="2:31" ht="21.75" customHeight="1">
      <c r="C16" s="101"/>
      <c r="D16" s="108" t="s">
        <v>3</v>
      </c>
      <c r="E16" s="342">
        <f>+('[1]1월'!$AA$10+'[1]1월'!$AA$19)/1000</f>
        <v>8231.9469948631577</v>
      </c>
      <c r="F16" s="358">
        <f>+('[2]1월'!$AO$10+'[2]1월'!$AO$19)/1000</f>
        <v>7210.5249599999997</v>
      </c>
      <c r="G16" s="119">
        <f>+F16-E16</f>
        <v>-1021.4220348631579</v>
      </c>
      <c r="H16" s="109">
        <f>+('[3]1월'!$AO$10+'[3]1월'!$AO$19)/1000</f>
        <v>8643.8546139999999</v>
      </c>
      <c r="I16" s="110">
        <f>+F16-H16</f>
        <v>-1433.3296540000001</v>
      </c>
      <c r="J16" s="342">
        <f t="shared" si="7"/>
        <v>8231.9469948631577</v>
      </c>
      <c r="K16" s="358">
        <f t="shared" si="7"/>
        <v>7210.5249599999997</v>
      </c>
      <c r="L16" s="119">
        <f t="shared" si="0"/>
        <v>-1021.4220348631579</v>
      </c>
      <c r="M16" s="109">
        <f t="shared" si="7"/>
        <v>8643.8546139999999</v>
      </c>
      <c r="N16" s="110">
        <f t="shared" si="1"/>
        <v>-1433.3296540000001</v>
      </c>
      <c r="O16" s="100"/>
      <c r="P16" s="105"/>
      <c r="Q16" s="125" t="s">
        <v>73</v>
      </c>
      <c r="R16" s="331"/>
      <c r="S16" s="344">
        <f>+[4]합계!$T$61</f>
        <v>100309.51825448238</v>
      </c>
      <c r="T16" s="127">
        <f>+[4]합계!$U$61</f>
        <v>99953.912734626982</v>
      </c>
      <c r="U16" s="126">
        <f>+T16-S16</f>
        <v>-355.60551985539496</v>
      </c>
      <c r="V16" s="128">
        <f>+[5]합계!$Q$85</f>
        <v>92313.001486539186</v>
      </c>
      <c r="W16" s="129">
        <f>+T16-V16</f>
        <v>7640.9112480877957</v>
      </c>
      <c r="X16" s="107"/>
    </row>
    <row r="17" spans="2:27" ht="21.75" customHeight="1">
      <c r="C17" s="101"/>
      <c r="D17" s="108" t="s">
        <v>1</v>
      </c>
      <c r="E17" s="342">
        <f>+('[1]1월'!$AE$10+'[1]1월'!$AE$19)/1000</f>
        <v>1537.4160812192667</v>
      </c>
      <c r="F17" s="358">
        <f>+('[2]1월'!$AN$10+'[2]1월'!$AN$19)/1000</f>
        <v>1493.2746959999999</v>
      </c>
      <c r="G17" s="119">
        <f t="shared" si="3"/>
        <v>-44.141385219266795</v>
      </c>
      <c r="H17" s="109">
        <f>+('[3]1월'!$AN$10+'[3]1월'!$AN$19)/1000</f>
        <v>1262.186741</v>
      </c>
      <c r="I17" s="110">
        <f t="shared" si="4"/>
        <v>231.08795499999997</v>
      </c>
      <c r="J17" s="342">
        <f t="shared" si="7"/>
        <v>1537.4160812192667</v>
      </c>
      <c r="K17" s="358">
        <f t="shared" si="7"/>
        <v>1493.2746959999999</v>
      </c>
      <c r="L17" s="119">
        <f t="shared" si="0"/>
        <v>-44.141385219266795</v>
      </c>
      <c r="M17" s="109">
        <f t="shared" si="7"/>
        <v>1262.186741</v>
      </c>
      <c r="N17" s="110">
        <f t="shared" si="1"/>
        <v>231.08795499999997</v>
      </c>
      <c r="O17" s="100"/>
      <c r="P17" s="105"/>
      <c r="Q17" s="311" t="s">
        <v>75</v>
      </c>
      <c r="R17" s="332" t="s">
        <v>19</v>
      </c>
      <c r="S17" s="345">
        <f>+[4]수도권!$Q$90</f>
        <v>17067.2153196578</v>
      </c>
      <c r="T17" s="133">
        <f>+[4]수도권!$R$90</f>
        <v>14738.44825867562</v>
      </c>
      <c r="U17" s="312">
        <f t="shared" si="5"/>
        <v>-2328.7670609821798</v>
      </c>
      <c r="V17" s="318">
        <f>+[5]수도권!$Q$90</f>
        <v>15348.165706824395</v>
      </c>
      <c r="W17" s="319">
        <f t="shared" si="6"/>
        <v>-609.71744814877457</v>
      </c>
      <c r="X17" s="107"/>
      <c r="AA17" s="632"/>
    </row>
    <row r="18" spans="2:27" ht="21.75" customHeight="1">
      <c r="C18" s="101"/>
      <c r="D18" s="130" t="s">
        <v>4</v>
      </c>
      <c r="E18" s="343">
        <f>+('[1]1월'!$E$10+'[1]1월'!$E$19)/1000-E15-E16-E17</f>
        <v>28.941067999995539</v>
      </c>
      <c r="F18" s="360">
        <f>+('[2]1월'!$F$10+'[2]1월'!$F$19)/1000-F15-F16-F17</f>
        <v>28.511818000002222</v>
      </c>
      <c r="G18" s="121">
        <f t="shared" si="3"/>
        <v>-0.42924999999331703</v>
      </c>
      <c r="H18" s="123">
        <f>+('[3]1월'!$F$10+'[3]1월'!$F$19)/1000-H15-H16-H17</f>
        <v>24.350788999997803</v>
      </c>
      <c r="I18" s="124">
        <f t="shared" si="4"/>
        <v>4.1610290000044188</v>
      </c>
      <c r="J18" s="343">
        <f t="shared" si="7"/>
        <v>28.941067999995539</v>
      </c>
      <c r="K18" s="360">
        <f t="shared" si="7"/>
        <v>28.511818000002222</v>
      </c>
      <c r="L18" s="121">
        <f t="shared" si="0"/>
        <v>-0.42924999999331703</v>
      </c>
      <c r="M18" s="123">
        <f t="shared" si="7"/>
        <v>24.350788999997803</v>
      </c>
      <c r="N18" s="124">
        <f t="shared" si="1"/>
        <v>4.1610290000044188</v>
      </c>
      <c r="O18" s="100"/>
      <c r="P18" s="105"/>
      <c r="Q18" s="313"/>
      <c r="R18" s="333" t="s">
        <v>20</v>
      </c>
      <c r="S18" s="346">
        <f>+[4]영남권!$Q$90</f>
        <v>25872.937193893245</v>
      </c>
      <c r="T18" s="134">
        <f>+[4]영남권!$R$90</f>
        <v>22138.533446546367</v>
      </c>
      <c r="U18" s="314">
        <f t="shared" si="5"/>
        <v>-3734.4037473468779</v>
      </c>
      <c r="V18" s="320">
        <f>+[5]영남권!$Q$90</f>
        <v>23848.398193845307</v>
      </c>
      <c r="W18" s="321">
        <f t="shared" si="6"/>
        <v>-1709.8647472989396</v>
      </c>
      <c r="X18" s="107"/>
    </row>
    <row r="19" spans="2:27" ht="21.75" customHeight="1">
      <c r="C19" s="101" t="s">
        <v>8</v>
      </c>
      <c r="D19" s="135"/>
      <c r="E19" s="342">
        <f>SUM(E15:E18)</f>
        <v>31058.482354187792</v>
      </c>
      <c r="F19" s="358">
        <f>SUM(F15:F18)</f>
        <v>33611.843651999989</v>
      </c>
      <c r="G19" s="119">
        <f t="shared" si="3"/>
        <v>2553.3612978121964</v>
      </c>
      <c r="H19" s="109">
        <f>SUM(H15:H18)</f>
        <v>31451.501359999998</v>
      </c>
      <c r="I19" s="110">
        <f t="shared" si="4"/>
        <v>2160.3422919999903</v>
      </c>
      <c r="J19" s="342">
        <f>SUM(J15:J18)</f>
        <v>31058.482354187792</v>
      </c>
      <c r="K19" s="358">
        <f>SUM(K15:K18)</f>
        <v>33611.843651999989</v>
      </c>
      <c r="L19" s="119">
        <f t="shared" si="0"/>
        <v>2553.3612978121964</v>
      </c>
      <c r="M19" s="109">
        <f>SUM(M15:M18)</f>
        <v>31451.501359999998</v>
      </c>
      <c r="N19" s="110">
        <f t="shared" si="1"/>
        <v>2160.3422919999903</v>
      </c>
      <c r="O19" s="100"/>
      <c r="P19" s="105"/>
      <c r="Q19" s="313"/>
      <c r="R19" s="334" t="s">
        <v>169</v>
      </c>
      <c r="S19" s="347">
        <f>+[4]중부권!$Q$90</f>
        <v>27936.217701230678</v>
      </c>
      <c r="T19" s="136">
        <f>+[4]중부권!$R$90</f>
        <v>22621.21936715956</v>
      </c>
      <c r="U19" s="315">
        <f t="shared" si="5"/>
        <v>-5314.9983340711187</v>
      </c>
      <c r="V19" s="322">
        <f>+[5]중부권!$Q$90</f>
        <v>26408.326472304267</v>
      </c>
      <c r="W19" s="323">
        <f t="shared" si="6"/>
        <v>-3787.107105144707</v>
      </c>
      <c r="X19" s="107"/>
    </row>
    <row r="20" spans="2:27" ht="21.75" customHeight="1">
      <c r="C20" s="114" t="s">
        <v>18</v>
      </c>
      <c r="D20" s="115" t="s">
        <v>53</v>
      </c>
      <c r="E20" s="349">
        <f t="shared" ref="E20:F23" si="8">+E10-E15</f>
        <v>2914.415689224883</v>
      </c>
      <c r="F20" s="359">
        <f t="shared" si="8"/>
        <v>2996.1137050000034</v>
      </c>
      <c r="G20" s="353">
        <f t="shared" si="3"/>
        <v>81.698015775120439</v>
      </c>
      <c r="H20" s="116">
        <f t="shared" ref="H20" si="9">+H10-H15</f>
        <v>3266.7463520000019</v>
      </c>
      <c r="I20" s="117">
        <f t="shared" si="4"/>
        <v>-270.63264699999854</v>
      </c>
      <c r="J20" s="349">
        <f t="shared" ref="J20:K20" si="10">+J10-J15</f>
        <v>2914.415689224883</v>
      </c>
      <c r="K20" s="359">
        <f t="shared" si="10"/>
        <v>2996.1137050000034</v>
      </c>
      <c r="L20" s="353">
        <f t="shared" si="0"/>
        <v>81.698015775120439</v>
      </c>
      <c r="M20" s="116">
        <f t="shared" ref="M20" si="11">+M10-M15</f>
        <v>3266.7463520000019</v>
      </c>
      <c r="N20" s="117">
        <f t="shared" si="1"/>
        <v>-270.63264699999854</v>
      </c>
      <c r="O20" s="100"/>
      <c r="P20" s="105"/>
      <c r="Q20" s="316" t="s">
        <v>73</v>
      </c>
      <c r="R20" s="335"/>
      <c r="S20" s="348">
        <f>+[4]합계!$Q$90</f>
        <v>22795.928416803043</v>
      </c>
      <c r="T20" s="137">
        <f>+[4]합계!$R$90</f>
        <v>19500.632714983396</v>
      </c>
      <c r="U20" s="317">
        <f t="shared" si="5"/>
        <v>-3295.2957018196466</v>
      </c>
      <c r="V20" s="324">
        <f>+[5]합계!$Q$90</f>
        <v>21283.131359979205</v>
      </c>
      <c r="W20" s="325">
        <f t="shared" si="6"/>
        <v>-1782.4986449958087</v>
      </c>
      <c r="X20" s="107"/>
    </row>
    <row r="21" spans="2:27" ht="21.75" customHeight="1">
      <c r="C21" s="101"/>
      <c r="D21" s="108" t="s">
        <v>3</v>
      </c>
      <c r="E21" s="342">
        <f t="shared" si="8"/>
        <v>215.99616303158109</v>
      </c>
      <c r="F21" s="358">
        <f t="shared" si="8"/>
        <v>197.43220700000074</v>
      </c>
      <c r="G21" s="119">
        <f>+F21-E21</f>
        <v>-18.563956031580346</v>
      </c>
      <c r="H21" s="109">
        <f t="shared" ref="H21" si="12">+H11-H16</f>
        <v>169.77967799999897</v>
      </c>
      <c r="I21" s="110">
        <f>+F21-H21</f>
        <v>27.652529000001778</v>
      </c>
      <c r="J21" s="342">
        <f t="shared" ref="J21:K21" si="13">+J11-J16</f>
        <v>215.99616303158109</v>
      </c>
      <c r="K21" s="358">
        <f t="shared" si="13"/>
        <v>197.43220700000074</v>
      </c>
      <c r="L21" s="119">
        <f t="shared" si="0"/>
        <v>-18.563956031580346</v>
      </c>
      <c r="M21" s="109">
        <f t="shared" ref="M21" si="14">+M11-M16</f>
        <v>169.77967799999897</v>
      </c>
      <c r="N21" s="110">
        <f t="shared" si="1"/>
        <v>27.652529000001778</v>
      </c>
      <c r="O21" s="100"/>
      <c r="P21" s="105"/>
      <c r="Q21" s="171" t="s">
        <v>106</v>
      </c>
      <c r="R21" s="172"/>
      <c r="S21" s="173"/>
      <c r="T21" s="179"/>
      <c r="U21" s="173"/>
      <c r="X21" s="107"/>
    </row>
    <row r="22" spans="2:27" ht="21.75" customHeight="1">
      <c r="C22" s="101"/>
      <c r="D22" s="108" t="s">
        <v>1</v>
      </c>
      <c r="E22" s="342">
        <f t="shared" si="8"/>
        <v>62.746913848374788</v>
      </c>
      <c r="F22" s="358">
        <f t="shared" si="8"/>
        <v>226.24530400000003</v>
      </c>
      <c r="G22" s="119">
        <f t="shared" si="3"/>
        <v>163.49839015162524</v>
      </c>
      <c r="H22" s="109">
        <f t="shared" ref="H22" si="15">+H12-H17</f>
        <v>36.641258999999991</v>
      </c>
      <c r="I22" s="110">
        <f t="shared" si="4"/>
        <v>189.60404500000004</v>
      </c>
      <c r="J22" s="342">
        <f t="shared" ref="J22:K22" si="16">+J12-J17</f>
        <v>62.746913848374788</v>
      </c>
      <c r="K22" s="358">
        <f t="shared" si="16"/>
        <v>226.24530400000003</v>
      </c>
      <c r="L22" s="119">
        <f t="shared" si="0"/>
        <v>163.49839015162524</v>
      </c>
      <c r="M22" s="109">
        <f t="shared" ref="M22" si="17">+M12-M17</f>
        <v>36.641258999999991</v>
      </c>
      <c r="N22" s="110">
        <f t="shared" si="1"/>
        <v>189.60404500000004</v>
      </c>
      <c r="O22" s="100"/>
      <c r="P22" s="105"/>
      <c r="Q22" s="379" t="s">
        <v>11</v>
      </c>
      <c r="R22" s="380"/>
      <c r="S22" s="381" t="s">
        <v>15</v>
      </c>
      <c r="T22" s="382" t="s">
        <v>16</v>
      </c>
      <c r="U22" s="383" t="s">
        <v>113</v>
      </c>
      <c r="V22" s="382" t="s">
        <v>17</v>
      </c>
      <c r="W22" s="384" t="s">
        <v>114</v>
      </c>
      <c r="X22" s="107"/>
    </row>
    <row r="23" spans="2:27" ht="21.75" customHeight="1">
      <c r="C23" s="101"/>
      <c r="D23" s="130" t="s">
        <v>4</v>
      </c>
      <c r="E23" s="343">
        <f t="shared" si="8"/>
        <v>135.9664323333318</v>
      </c>
      <c r="F23" s="360">
        <f t="shared" si="8"/>
        <v>135.96369299999878</v>
      </c>
      <c r="G23" s="121">
        <f t="shared" si="3"/>
        <v>-2.7393333330110181E-3</v>
      </c>
      <c r="H23" s="123">
        <f t="shared" ref="H23" si="18">+H13-H18</f>
        <v>149.77122899999813</v>
      </c>
      <c r="I23" s="124">
        <f t="shared" si="4"/>
        <v>-13.807535999999345</v>
      </c>
      <c r="J23" s="343">
        <f t="shared" ref="J23:K23" si="19">+J13-J18</f>
        <v>135.9664323333318</v>
      </c>
      <c r="K23" s="360">
        <f t="shared" si="19"/>
        <v>135.96369299999878</v>
      </c>
      <c r="L23" s="121">
        <f t="shared" si="0"/>
        <v>-2.7393333330110181E-3</v>
      </c>
      <c r="M23" s="123">
        <f t="shared" ref="M23" si="20">+M13-M18</f>
        <v>149.77122899999813</v>
      </c>
      <c r="N23" s="124">
        <f t="shared" si="1"/>
        <v>-13.807535999999345</v>
      </c>
      <c r="O23" s="100"/>
      <c r="P23" s="105"/>
      <c r="Q23" s="174" t="s">
        <v>107</v>
      </c>
      <c r="R23" s="175"/>
      <c r="S23" s="365">
        <f>+'[6]1월'!$F$10</f>
        <v>976086.95652173914</v>
      </c>
      <c r="T23" s="371">
        <f>+'[6]1월'!$G$10</f>
        <v>920730.85338998202</v>
      </c>
      <c r="U23" s="368">
        <f>+T23-S23</f>
        <v>-55356.103131757118</v>
      </c>
      <c r="V23" s="339">
        <f>+'[7]1월'!$G$10</f>
        <v>1098907.8680546847</v>
      </c>
      <c r="W23" s="336">
        <f>+T23-V23</f>
        <v>-178177.0146647027</v>
      </c>
      <c r="X23" s="107"/>
    </row>
    <row r="24" spans="2:27" ht="21.75" customHeight="1">
      <c r="C24" s="131" t="s">
        <v>8</v>
      </c>
      <c r="D24" s="132"/>
      <c r="E24" s="343">
        <f>SUM(E20:E23)</f>
        <v>3329.1251984381706</v>
      </c>
      <c r="F24" s="360">
        <f>SUM(F20:F23)</f>
        <v>3555.754909000003</v>
      </c>
      <c r="G24" s="121">
        <f t="shared" si="3"/>
        <v>226.62971056183233</v>
      </c>
      <c r="H24" s="123">
        <f>SUM(H20:H23)</f>
        <v>3622.938517999999</v>
      </c>
      <c r="I24" s="124">
        <f t="shared" si="4"/>
        <v>-67.183608999996068</v>
      </c>
      <c r="J24" s="343">
        <f>SUM(J20:J23)</f>
        <v>3329.1251984381706</v>
      </c>
      <c r="K24" s="360">
        <f>SUM(K20:K23)</f>
        <v>3555.754909000003</v>
      </c>
      <c r="L24" s="121">
        <f t="shared" si="0"/>
        <v>226.62971056183233</v>
      </c>
      <c r="M24" s="123">
        <f>SUM(M20:M23)</f>
        <v>3622.938517999999</v>
      </c>
      <c r="N24" s="124">
        <f t="shared" si="1"/>
        <v>-67.183608999996068</v>
      </c>
      <c r="O24" s="100"/>
      <c r="P24" s="105"/>
      <c r="Q24" s="176" t="s">
        <v>108</v>
      </c>
      <c r="R24" s="177"/>
      <c r="S24" s="366">
        <f>+'[6]1월'!$F$15</f>
        <v>2.3224944320712693E-2</v>
      </c>
      <c r="T24" s="372">
        <f>+'[6]1월'!$G$15</f>
        <v>2.7823178707229314E-2</v>
      </c>
      <c r="U24" s="369">
        <f>+T24-S24</f>
        <v>4.5982343865166204E-3</v>
      </c>
      <c r="V24" s="340">
        <f>+'[7]1월'!$G$15</f>
        <v>1.9488280087323125E-2</v>
      </c>
      <c r="W24" s="337">
        <f>+T24-V24</f>
        <v>8.3348986199061892E-3</v>
      </c>
      <c r="X24" s="107"/>
    </row>
    <row r="25" spans="2:27" ht="21.75" customHeight="1">
      <c r="C25" s="114" t="s">
        <v>6</v>
      </c>
      <c r="D25" s="115" t="s">
        <v>53</v>
      </c>
      <c r="E25" s="349">
        <f>+('[1]1월'!$Z$13+'[1]1월'!$Z$20)/1000</f>
        <v>653.67611999999997</v>
      </c>
      <c r="F25" s="359">
        <f>+('[2]1월'!$Z$13+'[2]1월'!$Z$20)/1000</f>
        <v>671.52441500000009</v>
      </c>
      <c r="G25" s="353">
        <f t="shared" si="3"/>
        <v>17.848295000000121</v>
      </c>
      <c r="H25" s="116">
        <f>+('[3]1월'!$Z$13+'[3]1월'!$Z$20)/1000</f>
        <v>725.33701800000017</v>
      </c>
      <c r="I25" s="117">
        <f t="shared" si="4"/>
        <v>-53.812603000000081</v>
      </c>
      <c r="J25" s="349">
        <f t="shared" ref="J25:M28" si="21">+E25</f>
        <v>653.67611999999997</v>
      </c>
      <c r="K25" s="359">
        <f t="shared" si="21"/>
        <v>671.52441500000009</v>
      </c>
      <c r="L25" s="353">
        <f t="shared" si="0"/>
        <v>17.848295000000121</v>
      </c>
      <c r="M25" s="116">
        <f t="shared" si="21"/>
        <v>725.33701800000017</v>
      </c>
      <c r="N25" s="117">
        <f t="shared" si="1"/>
        <v>-53.812603000000081</v>
      </c>
      <c r="O25" s="100"/>
      <c r="P25" s="105"/>
      <c r="Q25" s="171" t="s">
        <v>109</v>
      </c>
      <c r="R25" s="178"/>
      <c r="S25" s="75"/>
      <c r="T25" s="179"/>
      <c r="U25" s="75"/>
      <c r="X25" s="107"/>
    </row>
    <row r="26" spans="2:27" ht="21.75" customHeight="1">
      <c r="C26" s="101"/>
      <c r="D26" s="108" t="s">
        <v>85</v>
      </c>
      <c r="E26" s="342">
        <f>+('[1]1월'!$AA$13+'[1]1월'!$AA$20)/1000</f>
        <v>121.24568000000001</v>
      </c>
      <c r="F26" s="358">
        <f>+('[2]1월'!$AO$13+'[2]1월'!$AO$20)/1000</f>
        <v>122.16499599999999</v>
      </c>
      <c r="G26" s="119">
        <f>+F26-E26</f>
        <v>0.9193159999999807</v>
      </c>
      <c r="H26" s="109">
        <f>+('[3]1월'!$AO$13+'[3]1월'!$AO$20)/1000</f>
        <v>95.380744000000007</v>
      </c>
      <c r="I26" s="110">
        <f>+F26-H26</f>
        <v>26.784251999999981</v>
      </c>
      <c r="J26" s="342">
        <f t="shared" si="21"/>
        <v>121.24568000000001</v>
      </c>
      <c r="K26" s="358">
        <f t="shared" si="21"/>
        <v>122.16499599999999</v>
      </c>
      <c r="L26" s="119">
        <f t="shared" si="0"/>
        <v>0.9193159999999807</v>
      </c>
      <c r="M26" s="109">
        <f t="shared" si="21"/>
        <v>95.380744000000007</v>
      </c>
      <c r="N26" s="110">
        <f t="shared" si="1"/>
        <v>26.784251999999981</v>
      </c>
      <c r="O26" s="100"/>
      <c r="P26" s="105"/>
      <c r="Q26" s="379" t="s">
        <v>11</v>
      </c>
      <c r="R26" s="380"/>
      <c r="S26" s="381" t="s">
        <v>15</v>
      </c>
      <c r="T26" s="382" t="s">
        <v>16</v>
      </c>
      <c r="U26" s="383" t="s">
        <v>113</v>
      </c>
      <c r="V26" s="382" t="s">
        <v>17</v>
      </c>
      <c r="W26" s="384" t="s">
        <v>114</v>
      </c>
      <c r="X26" s="107"/>
    </row>
    <row r="27" spans="2:27" ht="21.75" customHeight="1">
      <c r="C27" s="101"/>
      <c r="D27" s="108" t="s">
        <v>1</v>
      </c>
      <c r="E27" s="342">
        <f>+('[1]1월'!$AE$13+'[1]1월'!$AE$20+'[1]1월'!$AE$22)/1000</f>
        <v>35.721889999999995</v>
      </c>
      <c r="F27" s="358">
        <f>+('[2]1월'!$AN$13+'[2]1월'!$AN$20+'[2]1월'!$AN$22)/1000</f>
        <v>42.171571758265038</v>
      </c>
      <c r="G27" s="119">
        <f t="shared" si="3"/>
        <v>6.4496817582650436</v>
      </c>
      <c r="H27" s="109">
        <f>+('[3]1월'!$AN$13+'[3]1월'!$AN$20+'[3]1월'!$AN$22)/1000</f>
        <v>18.206703000000001</v>
      </c>
      <c r="I27" s="110">
        <f t="shared" si="4"/>
        <v>23.964868758265037</v>
      </c>
      <c r="J27" s="342">
        <f t="shared" si="21"/>
        <v>35.721889999999995</v>
      </c>
      <c r="K27" s="358">
        <f t="shared" si="21"/>
        <v>42.171571758265038</v>
      </c>
      <c r="L27" s="119">
        <f t="shared" si="0"/>
        <v>6.4496817582650436</v>
      </c>
      <c r="M27" s="109">
        <f t="shared" si="21"/>
        <v>18.206703000000001</v>
      </c>
      <c r="N27" s="110">
        <f t="shared" si="1"/>
        <v>23.964868758265037</v>
      </c>
      <c r="O27" s="100"/>
      <c r="P27" s="105"/>
      <c r="Q27" s="1" t="s">
        <v>110</v>
      </c>
      <c r="R27" s="326" t="s">
        <v>111</v>
      </c>
      <c r="S27" s="365">
        <f>(+'[8]서부산크라샤(당월)'!$N$66+'[8]부산모래장(당월)'!$Q$48+'[8]부산크라샤(당월)'!$N$66)/1000</f>
        <v>47.628970648588776</v>
      </c>
      <c r="T27" s="371">
        <f>(+'[8]서부산크라샤(당월)'!$O$66+'[8]부산모래장(당월)'!$R$48+'[8]부산크라샤(당월)'!$O$66)/1000</f>
        <v>55.735999999999997</v>
      </c>
      <c r="U27" s="368">
        <f>+T27-S27</f>
        <v>8.1070293514112208</v>
      </c>
      <c r="V27" s="339">
        <f>('[9]부산골재(당월)'!$R$48+'[9]서부산골재(당월)'!$O$66+'[9]부산크라샤(당월)'!$O$66)/1000</f>
        <v>42.542000000000002</v>
      </c>
      <c r="W27" s="336">
        <f>+T27-V27</f>
        <v>13.193999999999996</v>
      </c>
      <c r="X27" s="107"/>
    </row>
    <row r="28" spans="2:27" ht="21.75" customHeight="1">
      <c r="B28" s="98"/>
      <c r="C28" s="101"/>
      <c r="D28" s="130" t="s">
        <v>4</v>
      </c>
      <c r="E28" s="343">
        <f>+('[1]1월'!$E$13+'[1]1월'!$E$20)/1000-E25-E26-E27+('[1]1월'!$E$22/1000)</f>
        <v>1514.8178770983702</v>
      </c>
      <c r="F28" s="360">
        <f>+('[2]1월'!$F$13+'[2]1월'!$F$20)/1000-F25-F26-F27+'[2]1월'!$F$22/1000</f>
        <v>1604.8253892438966</v>
      </c>
      <c r="G28" s="121">
        <f t="shared" si="3"/>
        <v>90.007512145526334</v>
      </c>
      <c r="H28" s="123">
        <f>+('[3]1월'!$F$13+'[3]1월'!$F$20)/1000-H25-H26-H27+'[3]1월'!$F$22/1000</f>
        <v>1311.6563309999999</v>
      </c>
      <c r="I28" s="124">
        <f t="shared" si="4"/>
        <v>293.16905824389664</v>
      </c>
      <c r="J28" s="343">
        <f t="shared" si="21"/>
        <v>1514.8178770983702</v>
      </c>
      <c r="K28" s="360">
        <f t="shared" si="21"/>
        <v>1604.8253892438966</v>
      </c>
      <c r="L28" s="121">
        <f t="shared" si="0"/>
        <v>90.007512145526334</v>
      </c>
      <c r="M28" s="123">
        <f t="shared" si="21"/>
        <v>1311.6563309999999</v>
      </c>
      <c r="N28" s="124">
        <f t="shared" si="1"/>
        <v>293.16905824389664</v>
      </c>
      <c r="O28" s="100"/>
      <c r="P28" s="105"/>
      <c r="Q28" s="2"/>
      <c r="R28" s="327" t="s">
        <v>112</v>
      </c>
      <c r="S28" s="367">
        <f>(+'[8]서부산크라샤(당월)'!$N$59+'[8]부산모래장(당월)'!$Q$47+'[8]부산크라샤(당월)'!$N$59)/1000</f>
        <v>29</v>
      </c>
      <c r="T28" s="168">
        <f>(+'[8]서부산크라샤(당월)'!$O$59+'[8]부산모래장(당월)'!$R$47+'[8]부산크라샤(당월)'!$O$59)/1000</f>
        <v>28.780999999999999</v>
      </c>
      <c r="U28" s="370">
        <f>+T28-S28</f>
        <v>-0.21900000000000119</v>
      </c>
      <c r="V28" s="73">
        <f>+('[9]부산골재(당월)'!$R$47+'[9]서부산골재(당월)'!$O$59+'[9]부산크라샤(당월)'!$O$59)/1000</f>
        <v>23.343</v>
      </c>
      <c r="W28" s="338">
        <f>+T28-V28</f>
        <v>5.4379999999999988</v>
      </c>
      <c r="X28" s="107"/>
    </row>
    <row r="29" spans="2:27" ht="21.75" customHeight="1">
      <c r="C29" s="131" t="s">
        <v>8</v>
      </c>
      <c r="D29" s="132"/>
      <c r="E29" s="343">
        <f>SUM(E25:E28)</f>
        <v>2325.4615670983703</v>
      </c>
      <c r="F29" s="360">
        <f>SUM(F25:F28)</f>
        <v>2440.6863720021615</v>
      </c>
      <c r="G29" s="121">
        <f t="shared" si="3"/>
        <v>115.22480490379121</v>
      </c>
      <c r="H29" s="123">
        <f>SUM(H25:H28)</f>
        <v>2150.5807960000002</v>
      </c>
      <c r="I29" s="124">
        <f t="shared" si="4"/>
        <v>290.10557600216134</v>
      </c>
      <c r="J29" s="343">
        <f>SUM(J25:J28)</f>
        <v>2325.4615670983703</v>
      </c>
      <c r="K29" s="360">
        <f>SUM(K25:K28)</f>
        <v>2440.6863720021615</v>
      </c>
      <c r="L29" s="121">
        <f t="shared" si="0"/>
        <v>115.22480490379121</v>
      </c>
      <c r="M29" s="123">
        <f>SUM(M25:M28)</f>
        <v>2150.5807960000002</v>
      </c>
      <c r="N29" s="124">
        <f t="shared" si="1"/>
        <v>290.10557600216134</v>
      </c>
      <c r="O29" s="100"/>
      <c r="P29" s="105"/>
      <c r="Q29" s="713" t="s">
        <v>141</v>
      </c>
      <c r="R29" s="714"/>
      <c r="S29" s="367">
        <f>SUM(S27:S28)</f>
        <v>76.628970648588776</v>
      </c>
      <c r="T29" s="168">
        <f>SUM(T27:T28)</f>
        <v>84.516999999999996</v>
      </c>
      <c r="U29" s="370">
        <f>+T29-S29</f>
        <v>7.8880293514112196</v>
      </c>
      <c r="V29" s="73">
        <f>SUM(V27:V28)</f>
        <v>65.885000000000005</v>
      </c>
      <c r="W29" s="338">
        <f>+T29-V29</f>
        <v>18.631999999999991</v>
      </c>
      <c r="X29" s="107"/>
    </row>
    <row r="30" spans="2:27" ht="21.75" customHeight="1">
      <c r="B30" s="632"/>
      <c r="C30" s="101" t="s">
        <v>7</v>
      </c>
      <c r="D30" s="115" t="s">
        <v>53</v>
      </c>
      <c r="E30" s="349">
        <f>+E20-E25</f>
        <v>2260.7395692248829</v>
      </c>
      <c r="F30" s="361">
        <f>+F20-F25</f>
        <v>2324.5892900000035</v>
      </c>
      <c r="G30" s="353">
        <f t="shared" si="3"/>
        <v>63.849720775120659</v>
      </c>
      <c r="H30" s="116">
        <f>+H20-H25</f>
        <v>2541.4093340000018</v>
      </c>
      <c r="I30" s="117">
        <f t="shared" si="4"/>
        <v>-216.82004399999823</v>
      </c>
      <c r="J30" s="349">
        <f>+J20-J25</f>
        <v>2260.7395692248829</v>
      </c>
      <c r="K30" s="361">
        <f>+K20-K25</f>
        <v>2324.5892900000035</v>
      </c>
      <c r="L30" s="353">
        <f t="shared" si="0"/>
        <v>63.849720775120659</v>
      </c>
      <c r="M30" s="116">
        <f>+M20-M25</f>
        <v>2541.4093340000018</v>
      </c>
      <c r="N30" s="117">
        <f t="shared" si="1"/>
        <v>-216.82004399999823</v>
      </c>
      <c r="O30" s="100"/>
      <c r="P30" s="105"/>
      <c r="Q30" s="171" t="s">
        <v>184</v>
      </c>
      <c r="X30" s="107"/>
      <c r="Z30" s="632"/>
      <c r="AA30" s="632"/>
    </row>
    <row r="31" spans="2:27" ht="21.75" customHeight="1">
      <c r="B31" s="632"/>
      <c r="C31" s="101"/>
      <c r="D31" s="138" t="s">
        <v>10</v>
      </c>
      <c r="E31" s="350">
        <f>+E30/E10</f>
        <v>9.3517168422321079E-2</v>
      </c>
      <c r="F31" s="362">
        <f>+F30/F10</f>
        <v>8.3391405521393056E-2</v>
      </c>
      <c r="G31" s="354">
        <f t="shared" si="3"/>
        <v>-1.0125762900928023E-2</v>
      </c>
      <c r="H31" s="139">
        <f>+H30/H10</f>
        <v>0.10252638946633391</v>
      </c>
      <c r="I31" s="140">
        <f t="shared" si="4"/>
        <v>-1.9134983944940856E-2</v>
      </c>
      <c r="J31" s="350">
        <f>+J30/J10</f>
        <v>9.3517168422321079E-2</v>
      </c>
      <c r="K31" s="362">
        <f>+K30/K10</f>
        <v>8.3391405521393056E-2</v>
      </c>
      <c r="L31" s="354">
        <f t="shared" si="0"/>
        <v>-1.0125762900928023E-2</v>
      </c>
      <c r="M31" s="139">
        <f>+M30/M10</f>
        <v>0.10252638946633391</v>
      </c>
      <c r="N31" s="140">
        <f t="shared" si="1"/>
        <v>-1.9134983944940856E-2</v>
      </c>
      <c r="O31" s="100"/>
      <c r="P31" s="105"/>
      <c r="Q31" s="379" t="s">
        <v>11</v>
      </c>
      <c r="R31" s="380"/>
      <c r="S31" s="381" t="s">
        <v>15</v>
      </c>
      <c r="T31" s="382" t="s">
        <v>16</v>
      </c>
      <c r="U31" s="383" t="s">
        <v>113</v>
      </c>
      <c r="V31" s="382" t="s">
        <v>17</v>
      </c>
      <c r="W31" s="384" t="s">
        <v>114</v>
      </c>
      <c r="X31" s="107"/>
    </row>
    <row r="32" spans="2:27" ht="21.75" customHeight="1">
      <c r="B32" s="632"/>
      <c r="C32" s="101"/>
      <c r="D32" s="108" t="s">
        <v>3</v>
      </c>
      <c r="E32" s="342">
        <f t="shared" ref="E32:F34" si="22">+E21-E26</f>
        <v>94.750483031581084</v>
      </c>
      <c r="F32" s="358">
        <f t="shared" si="22"/>
        <v>75.267211000000756</v>
      </c>
      <c r="G32" s="119">
        <f>+F32-E32</f>
        <v>-19.483272031580327</v>
      </c>
      <c r="H32" s="109">
        <f t="shared" ref="H32" si="23">+H21-H26</f>
        <v>74.39893399999896</v>
      </c>
      <c r="I32" s="110">
        <f>+F32-H32</f>
        <v>0.86827700000179675</v>
      </c>
      <c r="J32" s="342">
        <f t="shared" ref="J32:J34" si="24">+J21-J26</f>
        <v>94.750483031581084</v>
      </c>
      <c r="K32" s="358">
        <f t="shared" ref="K32" si="25">+K21-K26</f>
        <v>75.267211000000756</v>
      </c>
      <c r="L32" s="119">
        <f t="shared" si="0"/>
        <v>-19.483272031580327</v>
      </c>
      <c r="M32" s="109">
        <f t="shared" ref="M32" si="26">+M21-M26</f>
        <v>74.39893399999896</v>
      </c>
      <c r="N32" s="110">
        <f t="shared" si="1"/>
        <v>0.86827700000179675</v>
      </c>
      <c r="O32" s="100"/>
      <c r="P32" s="105"/>
      <c r="Q32" s="715" t="s">
        <v>168</v>
      </c>
      <c r="R32" s="716"/>
      <c r="S32" s="637">
        <f>+'사업장별(당월)'!T33</f>
        <v>72.165959000000001</v>
      </c>
      <c r="T32" s="638">
        <f>+'사업장별(당월)'!U33</f>
        <v>71.796579999999992</v>
      </c>
      <c r="U32" s="639">
        <f>+T32-S32</f>
        <v>-0.36937900000000923</v>
      </c>
      <c r="V32" s="640">
        <f>+'사업장별(당월)'!W33</f>
        <v>59.685200999999999</v>
      </c>
      <c r="W32" s="641">
        <f>+T32-V32</f>
        <v>12.111378999999992</v>
      </c>
      <c r="X32" s="107"/>
      <c r="Z32" s="632"/>
      <c r="AA32" s="632"/>
    </row>
    <row r="33" spans="2:31" ht="21.75" customHeight="1">
      <c r="B33" s="632"/>
      <c r="C33" s="101"/>
      <c r="D33" s="108" t="s">
        <v>1</v>
      </c>
      <c r="E33" s="342">
        <f t="shared" si="22"/>
        <v>27.025023848374794</v>
      </c>
      <c r="F33" s="358">
        <f t="shared" si="22"/>
        <v>184.073732241735</v>
      </c>
      <c r="G33" s="119">
        <f t="shared" si="3"/>
        <v>157.04870839336022</v>
      </c>
      <c r="H33" s="109">
        <f t="shared" ref="H33" si="27">+H22-H27</f>
        <v>18.43455599999999</v>
      </c>
      <c r="I33" s="110">
        <f t="shared" si="4"/>
        <v>165.63917624173502</v>
      </c>
      <c r="J33" s="342">
        <f t="shared" si="24"/>
        <v>27.025023848374794</v>
      </c>
      <c r="K33" s="358">
        <f t="shared" ref="K33" si="28">+K22-K27</f>
        <v>184.073732241735</v>
      </c>
      <c r="L33" s="119">
        <f t="shared" si="0"/>
        <v>157.04870839336022</v>
      </c>
      <c r="M33" s="109">
        <f t="shared" ref="M33" si="29">+M22-M27</f>
        <v>18.43455599999999</v>
      </c>
      <c r="N33" s="110">
        <f t="shared" si="1"/>
        <v>165.63917624173502</v>
      </c>
      <c r="O33" s="100"/>
      <c r="P33" s="105"/>
      <c r="Q33" s="717" t="s">
        <v>59</v>
      </c>
      <c r="R33" s="718"/>
      <c r="S33" s="206">
        <f>+'사업장별(당월)'!T34</f>
        <v>62.030473333333333</v>
      </c>
      <c r="T33" s="647">
        <f>+'사업장별(당월)'!U34</f>
        <v>61.824293999999995</v>
      </c>
      <c r="U33" s="219">
        <f>+T33-S33</f>
        <v>-0.20617933333333838</v>
      </c>
      <c r="V33" s="648">
        <f>+'사업장별(당월)'!W34</f>
        <v>39.911628000000007</v>
      </c>
      <c r="W33" s="236">
        <f>+T33-V33</f>
        <v>21.912665999999987</v>
      </c>
      <c r="X33" s="107"/>
      <c r="Z33" s="632"/>
      <c r="AA33" s="632"/>
    </row>
    <row r="34" spans="2:31" ht="21.75" customHeight="1">
      <c r="B34" s="632"/>
      <c r="C34" s="101"/>
      <c r="D34" s="130" t="s">
        <v>4</v>
      </c>
      <c r="E34" s="343">
        <f t="shared" si="22"/>
        <v>-1378.8514447650384</v>
      </c>
      <c r="F34" s="360">
        <f t="shared" si="22"/>
        <v>-1468.8616962438978</v>
      </c>
      <c r="G34" s="121">
        <f t="shared" si="3"/>
        <v>-90.010251478859345</v>
      </c>
      <c r="H34" s="123">
        <f t="shared" ref="H34" si="30">+H23-H28</f>
        <v>-1161.8851020000018</v>
      </c>
      <c r="I34" s="124">
        <f t="shared" si="4"/>
        <v>-306.97659424389599</v>
      </c>
      <c r="J34" s="343">
        <f t="shared" si="24"/>
        <v>-1378.8514447650384</v>
      </c>
      <c r="K34" s="360">
        <f t="shared" ref="K34" si="31">+K23-K28</f>
        <v>-1468.8616962438978</v>
      </c>
      <c r="L34" s="121">
        <f t="shared" si="0"/>
        <v>-90.010251478859345</v>
      </c>
      <c r="M34" s="123">
        <f t="shared" ref="M34" si="32">+M23-M28</f>
        <v>-1161.8851020000018</v>
      </c>
      <c r="N34" s="124">
        <f t="shared" si="1"/>
        <v>-306.97659424389599</v>
      </c>
      <c r="O34" s="100"/>
      <c r="P34" s="105"/>
      <c r="Q34" s="659" t="s">
        <v>38</v>
      </c>
      <c r="R34" s="660"/>
      <c r="S34" s="654">
        <f>+'사업장별(당월)'!T35</f>
        <v>-1461.2949846539102</v>
      </c>
      <c r="T34" s="655">
        <f>+'사업장별(당월)'!U35</f>
        <v>-1549.2991472438964</v>
      </c>
      <c r="U34" s="656">
        <f>+T34-S34</f>
        <v>-88.004162589986208</v>
      </c>
      <c r="V34" s="657">
        <f>+'사업장별(당월)'!W35</f>
        <v>-1236.277392</v>
      </c>
      <c r="W34" s="658">
        <f>+T34-V34</f>
        <v>-313.02175524389645</v>
      </c>
      <c r="X34" s="107"/>
      <c r="Z34" s="632"/>
      <c r="AA34" s="632"/>
    </row>
    <row r="35" spans="2:31" ht="21.75" customHeight="1">
      <c r="B35" s="632"/>
      <c r="C35" s="101" t="s">
        <v>8</v>
      </c>
      <c r="D35" s="135"/>
      <c r="E35" s="342">
        <f>SUM(E30,E32:E34)</f>
        <v>1003.6636313398005</v>
      </c>
      <c r="F35" s="363">
        <f>SUM(F30,F32:F34)</f>
        <v>1115.0685369978414</v>
      </c>
      <c r="G35" s="119">
        <f t="shared" si="3"/>
        <v>111.40490565804089</v>
      </c>
      <c r="H35" s="109">
        <f>SUM(H30,H32:H34)</f>
        <v>1472.3577219999991</v>
      </c>
      <c r="I35" s="110">
        <f t="shared" si="4"/>
        <v>-357.28918500215764</v>
      </c>
      <c r="J35" s="342">
        <f>SUM(J30,J32:J34)</f>
        <v>1003.6636313398005</v>
      </c>
      <c r="K35" s="363">
        <f>SUM(K30,K32:K34)</f>
        <v>1115.0685369978414</v>
      </c>
      <c r="L35" s="119">
        <f t="shared" si="0"/>
        <v>111.40490565804089</v>
      </c>
      <c r="M35" s="109">
        <f>SUM(M30,M32:M34)</f>
        <v>1472.3577219999991</v>
      </c>
      <c r="N35" s="110">
        <f t="shared" si="1"/>
        <v>-357.28918500215764</v>
      </c>
      <c r="O35" s="100"/>
      <c r="P35" s="105"/>
      <c r="Q35" s="661" t="s">
        <v>166</v>
      </c>
      <c r="R35" s="662"/>
      <c r="S35" s="649">
        <f>+S36-S32-S33-S34</f>
        <v>-51.752892444459803</v>
      </c>
      <c r="T35" s="650">
        <f>+T36-T32-T33-T34</f>
        <v>-53.183423000001312</v>
      </c>
      <c r="U35" s="651">
        <f>+T35-S35</f>
        <v>-1.4305305555415089</v>
      </c>
      <c r="V35" s="652">
        <f>+V36-V32-V33-V34</f>
        <v>-25.204538999999613</v>
      </c>
      <c r="W35" s="653">
        <f>+T35-V35</f>
        <v>-27.978884000001699</v>
      </c>
      <c r="X35" s="107"/>
      <c r="Z35" s="632"/>
      <c r="AA35" s="632"/>
      <c r="AD35" s="99"/>
      <c r="AE35" s="632"/>
    </row>
    <row r="36" spans="2:31" ht="21.75" customHeight="1" thickBot="1">
      <c r="C36" s="141"/>
      <c r="D36" s="142" t="s">
        <v>9</v>
      </c>
      <c r="E36" s="351">
        <f>+E35/E14</f>
        <v>2.9186782761895201E-2</v>
      </c>
      <c r="F36" s="364">
        <f>+F35/F14</f>
        <v>3.0001091815705414E-2</v>
      </c>
      <c r="G36" s="355">
        <f t="shared" si="3"/>
        <v>8.143090538102124E-4</v>
      </c>
      <c r="H36" s="143">
        <f>+H35/H14</f>
        <v>4.1978082247965336E-2</v>
      </c>
      <c r="I36" s="144">
        <f t="shared" si="4"/>
        <v>-1.1976990432259922E-2</v>
      </c>
      <c r="J36" s="351">
        <f>+J35/J14</f>
        <v>2.9186782761895201E-2</v>
      </c>
      <c r="K36" s="364">
        <f>+K35/K14</f>
        <v>3.0001091815705414E-2</v>
      </c>
      <c r="L36" s="355">
        <f t="shared" si="0"/>
        <v>8.143090538102124E-4</v>
      </c>
      <c r="M36" s="143">
        <f>+M35/M14</f>
        <v>4.1978082247965336E-2</v>
      </c>
      <c r="N36" s="144">
        <f t="shared" si="1"/>
        <v>-1.1976990432259922E-2</v>
      </c>
      <c r="O36" s="100"/>
      <c r="P36" s="145"/>
      <c r="Q36" s="705" t="s">
        <v>165</v>
      </c>
      <c r="R36" s="706"/>
      <c r="S36" s="642">
        <f>+'사업장별(당월)'!T41</f>
        <v>-1378.8514447650368</v>
      </c>
      <c r="T36" s="643">
        <f>+'사업장별(당월)'!U41</f>
        <v>-1468.8616962438978</v>
      </c>
      <c r="U36" s="644">
        <f>+T36-S36</f>
        <v>-90.010251478860937</v>
      </c>
      <c r="V36" s="645">
        <f>+'사업장별(당월)'!W41</f>
        <v>-1161.8851019999995</v>
      </c>
      <c r="W36" s="646">
        <f>+T36-V36</f>
        <v>-306.97659424389826</v>
      </c>
      <c r="X36" s="146"/>
      <c r="AA36" s="632"/>
    </row>
    <row r="37" spans="2:31" ht="20.100000000000001" customHeight="1" thickTop="1">
      <c r="F37" s="632"/>
    </row>
    <row r="38" spans="2:31">
      <c r="E38" s="99">
        <f>+'[1]1월'!$E$26/1000</f>
        <v>1003.663631339801</v>
      </c>
      <c r="F38" s="385">
        <f>+'[2]1월'!$F$26/1000</f>
        <v>1115.0685369978371</v>
      </c>
      <c r="H38" s="385">
        <f>+'[3]1월'!$F$26/1000</f>
        <v>1472.3577219999991</v>
      </c>
      <c r="J38" s="634">
        <f>+E38</f>
        <v>1003.663631339801</v>
      </c>
      <c r="K38" s="634">
        <f>+F38</f>
        <v>1115.0685369978371</v>
      </c>
      <c r="L38" s="635"/>
      <c r="M38" s="634">
        <f>+H38</f>
        <v>1472.3577219999991</v>
      </c>
      <c r="N38" s="635"/>
      <c r="O38" s="635"/>
    </row>
    <row r="39" spans="2:31">
      <c r="E39" t="b">
        <f>+E35=E38</f>
        <v>1</v>
      </c>
      <c r="F39" t="b">
        <f>+F35=F38</f>
        <v>1</v>
      </c>
      <c r="H39" t="b">
        <f>+H35=H38</f>
        <v>1</v>
      </c>
      <c r="J39" t="b">
        <f>+J35=J38</f>
        <v>1</v>
      </c>
      <c r="K39" t="b">
        <f>+K35=K38</f>
        <v>1</v>
      </c>
      <c r="M39" t="b">
        <f>+M35=M38</f>
        <v>1</v>
      </c>
    </row>
    <row r="40" spans="2:31">
      <c r="E40" s="636">
        <f>+E35-E38</f>
        <v>0</v>
      </c>
      <c r="F40" s="636">
        <f>+F35-F38</f>
        <v>4.3200998334214091E-12</v>
      </c>
      <c r="G40" s="633"/>
      <c r="H40" s="636">
        <f>+H35-H38</f>
        <v>0</v>
      </c>
      <c r="I40" s="633"/>
      <c r="J40" s="636">
        <f>+J35-J38</f>
        <v>0</v>
      </c>
      <c r="K40" s="636">
        <f>+K35-K38</f>
        <v>4.3200998334214091E-12</v>
      </c>
      <c r="L40" s="633"/>
      <c r="M40" s="636">
        <f>+M35-M38</f>
        <v>0</v>
      </c>
      <c r="N40" s="633"/>
      <c r="O40" s="99"/>
      <c r="P40" s="99"/>
    </row>
    <row r="42" spans="2:31">
      <c r="E42" s="98"/>
      <c r="F42" s="98"/>
      <c r="G42" s="98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57"/>
  <sheetViews>
    <sheetView showGridLines="0" showZeros="0" view="pageBreakPreview" topLeftCell="F10" zoomScale="85" zoomScaleNormal="85" zoomScaleSheetLayoutView="85" workbookViewId="0">
      <selection activeCell="G29" sqref="G29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203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719" t="s">
        <v>48</v>
      </c>
      <c r="I5" s="720"/>
      <c r="J5" s="187" t="s">
        <v>66</v>
      </c>
      <c r="K5" s="188"/>
      <c r="L5" s="188"/>
      <c r="M5" s="188"/>
      <c r="N5" s="189"/>
      <c r="O5" s="187" t="s">
        <v>67</v>
      </c>
      <c r="P5" s="188"/>
      <c r="Q5" s="188"/>
      <c r="R5" s="188"/>
      <c r="S5" s="189"/>
      <c r="T5" s="187" t="s">
        <v>119</v>
      </c>
      <c r="U5" s="188"/>
      <c r="V5" s="188"/>
      <c r="W5" s="188"/>
      <c r="X5" s="189"/>
      <c r="Y5" s="187" t="s">
        <v>68</v>
      </c>
      <c r="Z5" s="188"/>
      <c r="AA5" s="189"/>
      <c r="AB5" s="187" t="s">
        <v>44</v>
      </c>
      <c r="AC5" s="188"/>
      <c r="AD5" s="189"/>
      <c r="AE5" s="187" t="s">
        <v>69</v>
      </c>
      <c r="AF5" s="188"/>
      <c r="AG5" s="189"/>
    </row>
    <row r="6" spans="2:36" s="8" customFormat="1" ht="19.5" customHeight="1">
      <c r="H6" s="721"/>
      <c r="I6" s="722"/>
      <c r="J6" s="190" t="s">
        <v>49</v>
      </c>
      <c r="K6" s="191" t="s">
        <v>50</v>
      </c>
      <c r="L6" s="192" t="s">
        <v>51</v>
      </c>
      <c r="M6" s="191" t="s">
        <v>52</v>
      </c>
      <c r="N6" s="193" t="s">
        <v>51</v>
      </c>
      <c r="O6" s="190" t="s">
        <v>15</v>
      </c>
      <c r="P6" s="191" t="s">
        <v>16</v>
      </c>
      <c r="Q6" s="192" t="s">
        <v>36</v>
      </c>
      <c r="R6" s="191" t="s">
        <v>17</v>
      </c>
      <c r="S6" s="193" t="s">
        <v>36</v>
      </c>
      <c r="T6" s="190" t="s">
        <v>15</v>
      </c>
      <c r="U6" s="191" t="s">
        <v>16</v>
      </c>
      <c r="V6" s="192" t="s">
        <v>36</v>
      </c>
      <c r="W6" s="191" t="s">
        <v>17</v>
      </c>
      <c r="X6" s="193" t="s">
        <v>36</v>
      </c>
      <c r="Y6" s="194" t="s">
        <v>15</v>
      </c>
      <c r="Z6" s="195" t="s">
        <v>16</v>
      </c>
      <c r="AA6" s="196" t="s">
        <v>17</v>
      </c>
      <c r="AB6" s="197" t="s">
        <v>15</v>
      </c>
      <c r="AC6" s="195" t="s">
        <v>16</v>
      </c>
      <c r="AD6" s="193" t="s">
        <v>17</v>
      </c>
      <c r="AE6" s="197" t="s">
        <v>15</v>
      </c>
      <c r="AF6" s="195" t="s">
        <v>16</v>
      </c>
      <c r="AG6" s="193" t="s">
        <v>17</v>
      </c>
    </row>
    <row r="7" spans="2:36" s="8" customFormat="1" ht="19.5" customHeight="1">
      <c r="B7" s="8" t="s">
        <v>22</v>
      </c>
      <c r="G7" s="748" t="str">
        <f>+I7</f>
        <v>안양</v>
      </c>
      <c r="H7" s="78" t="s">
        <v>53</v>
      </c>
      <c r="I7" s="79" t="s">
        <v>22</v>
      </c>
      <c r="J7" s="36">
        <f>+IFERROR(HLOOKUP($B7,'[1]1월'!$D$6:$BN$259,2,),)/1000</f>
        <v>37</v>
      </c>
      <c r="K7" s="37">
        <f>+IFERROR(HLOOKUP($B7,'[2]1월'!$F$6:$CP$99,2,),)/1000</f>
        <v>45.761000000000003</v>
      </c>
      <c r="L7" s="38">
        <f t="shared" ref="L7:L26" si="0">+K7-J7</f>
        <v>8.7610000000000028</v>
      </c>
      <c r="M7" s="39">
        <f>+IFERROR(HLOOKUP($B7,'[3]1월'!$F$6:$CC$57,2,),)/1000</f>
        <v>39.265999999999998</v>
      </c>
      <c r="N7" s="40">
        <f>+K7-M7</f>
        <v>6.4950000000000045</v>
      </c>
      <c r="O7" s="36">
        <f>+IFERROR(HLOOKUP($B7,'[1]1월'!$D$6:$BN$259,3,),)/1000</f>
        <v>3581.7518500000006</v>
      </c>
      <c r="P7" s="37">
        <f>+IFERROR(HLOOKUP($B7,'[2]1월'!$F$6:$CP$99,3,),)/1000</f>
        <v>4371.1989000000003</v>
      </c>
      <c r="Q7" s="38">
        <f>+P7-O7</f>
        <v>789.44704999999976</v>
      </c>
      <c r="R7" s="39">
        <f>+IFERROR(HLOOKUP($B7,'[3]1월'!$F$6:$CC$57,3,),)/1000</f>
        <v>3529.829804</v>
      </c>
      <c r="S7" s="40">
        <f>+P7-R7</f>
        <v>841.36909600000035</v>
      </c>
      <c r="T7" s="36">
        <f>+IFERROR(HLOOKUP($B7,'[1]1월'!$D$6:$BN$259,16,),)/1000</f>
        <v>326.8929349364729</v>
      </c>
      <c r="U7" s="37">
        <f>+IFERROR(HLOOKUP($B7,'[2]1월'!$F$6:$CP$99,16,),)/1000</f>
        <v>337.22639400000014</v>
      </c>
      <c r="V7" s="41">
        <f>+U7-T7</f>
        <v>10.333459063527243</v>
      </c>
      <c r="W7" s="42">
        <f>+IFERROR(HLOOKUP($B7,'[3]1월'!$F$6:$CC$57,16,),)/1000</f>
        <v>393.29113400000011</v>
      </c>
      <c r="X7" s="40">
        <f>+U7-W7</f>
        <v>-56.064739999999972</v>
      </c>
      <c r="Y7" s="36">
        <f>+[4]안양!$Q$85</f>
        <v>96804.104054054071</v>
      </c>
      <c r="Z7" s="37">
        <f>+[4]안양!$R$85</f>
        <v>95522.364021765272</v>
      </c>
      <c r="AA7" s="43">
        <f>+[5]안양!$Q$85</f>
        <v>89895.324300921915</v>
      </c>
      <c r="AB7" s="44">
        <f>+[4]안양!$Q$89</f>
        <v>79892.321289251908</v>
      </c>
      <c r="AC7" s="37">
        <f>+[4]안양!$R$89</f>
        <v>81107.602320145059</v>
      </c>
      <c r="AD7" s="45">
        <f>+[5]안양!$Q$89</f>
        <v>72443.519474902685</v>
      </c>
      <c r="AE7" s="44">
        <f>+Y7-AB7</f>
        <v>16911.782764802163</v>
      </c>
      <c r="AF7" s="37">
        <f>+Z7-AC7</f>
        <v>14414.761701620213</v>
      </c>
      <c r="AG7" s="45">
        <f>+AA7-AD7</f>
        <v>17451.80482601923</v>
      </c>
      <c r="AH7" s="18"/>
      <c r="AI7" s="19"/>
    </row>
    <row r="8" spans="2:36" s="8" customFormat="1" ht="19.5" customHeight="1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+IFERROR(HLOOKUP($B8,'[1]1월'!$D$6:$BN$259,2,),)/1000</f>
        <v>28</v>
      </c>
      <c r="K8" s="47">
        <f>+IFERROR(HLOOKUP($B8,'[2]1월'!$F$6:$CP$99,2,),)/1000</f>
        <v>28.34</v>
      </c>
      <c r="L8" s="48">
        <f t="shared" si="0"/>
        <v>0.33999999999999986</v>
      </c>
      <c r="M8" s="49">
        <f>+IFERROR(HLOOKUP($B8,'[3]1월'!$F$6:$CC$57,2,),)/1000</f>
        <v>24.957000000000001</v>
      </c>
      <c r="N8" s="50">
        <f t="shared" ref="N8:N26" si="2">+K8-M8</f>
        <v>3.3829999999999991</v>
      </c>
      <c r="O8" s="46">
        <f>+IFERROR(HLOOKUP($B8,'[1]1월'!$D$6:$BN$259,3,),)/1000</f>
        <v>2739.7515299999995</v>
      </c>
      <c r="P8" s="47">
        <f>+IFERROR(HLOOKUP($B8,'[2]1월'!$F$6:$CP$99,3,),)/1000</f>
        <v>2766.8113280000002</v>
      </c>
      <c r="Q8" s="48">
        <f t="shared" ref="Q8:Q26" si="3">+P8-O8</f>
        <v>27.059798000000683</v>
      </c>
      <c r="R8" s="49">
        <f>+IFERROR(HLOOKUP($B8,'[3]1월'!$F$6:$CC$57,3,),)/1000</f>
        <v>2220.1667179999999</v>
      </c>
      <c r="S8" s="50">
        <f t="shared" ref="S8:S26" si="4">+P8-R8</f>
        <v>546.64461000000028</v>
      </c>
      <c r="T8" s="46">
        <f>+IFERROR(HLOOKUP($B8,'[1]1월'!$D$6:$BN$259,16,),)/1000</f>
        <v>125.23471203982687</v>
      </c>
      <c r="U8" s="47">
        <f>+IFERROR(HLOOKUP($B8,'[2]1월'!$F$6:$CP$99,16,),)/1000</f>
        <v>102.9246220000005</v>
      </c>
      <c r="V8" s="48">
        <f t="shared" ref="V8:V26" si="5">+U8-T8</f>
        <v>-22.310090039826378</v>
      </c>
      <c r="W8" s="49">
        <f>+IFERROR(HLOOKUP($B8,'[3]1월'!$F$6:$CC$57,16,),)/1000</f>
        <v>29.293795999999812</v>
      </c>
      <c r="X8" s="50">
        <f t="shared" ref="X8:X26" si="6">+U8-W8</f>
        <v>73.630826000000681</v>
      </c>
      <c r="Y8" s="46">
        <f>+[4]인천!$Q$85</f>
        <v>97848.2689285714</v>
      </c>
      <c r="Z8" s="47">
        <f>+[4]인천!$R$85</f>
        <v>97629.192942836991</v>
      </c>
      <c r="AA8" s="51">
        <f>+[5]인천!$Q$85</f>
        <v>88932.117571319366</v>
      </c>
      <c r="AB8" s="52">
        <f>+[4]인천!$Q$89</f>
        <v>81867.136241577362</v>
      </c>
      <c r="AC8" s="47">
        <f>+[4]인천!$R$89</f>
        <v>84063.445177450078</v>
      </c>
      <c r="AD8" s="53">
        <f>+[5]인천!$Q$89</f>
        <v>74896.804021717282</v>
      </c>
      <c r="AE8" s="52">
        <f t="shared" ref="AE8:AE27" si="7">+Y8-AB8</f>
        <v>15981.132686994039</v>
      </c>
      <c r="AF8" s="47">
        <f t="shared" ref="AF8:AF27" si="8">+Z8-AC8</f>
        <v>13565.747765386914</v>
      </c>
      <c r="AG8" s="53">
        <f t="shared" ref="AG8:AG27" si="9">+AA8-AD8</f>
        <v>14035.313549602084</v>
      </c>
      <c r="AH8" s="18"/>
      <c r="AI8" s="19"/>
      <c r="AJ8" s="97"/>
    </row>
    <row r="9" spans="2:36" s="8" customFormat="1" ht="19.5" customHeight="1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+IFERROR(HLOOKUP($B9,'[1]1월'!$D$6:$BN$259,2,),)/1000</f>
        <v>20</v>
      </c>
      <c r="K9" s="47">
        <f>+IFERROR(HLOOKUP($B9,'[2]1월'!$F$6:$CP$99,2,),)/1000</f>
        <v>22.882000000000001</v>
      </c>
      <c r="L9" s="48">
        <f t="shared" si="0"/>
        <v>2.8820000000000014</v>
      </c>
      <c r="M9" s="49">
        <f>+IFERROR(HLOOKUP($B9,'[3]1월'!$F$6:$CC$57,2,),)/1000</f>
        <v>20.905000000000001</v>
      </c>
      <c r="N9" s="50">
        <f t="shared" si="2"/>
        <v>1.9770000000000003</v>
      </c>
      <c r="O9" s="46">
        <f>+IFERROR(HLOOKUP($B9,'[1]1월'!$D$6:$BN$259,3,),)/1000</f>
        <v>1918.6196873302513</v>
      </c>
      <c r="P9" s="47">
        <f>+IFERROR(HLOOKUP($B9,'[2]1월'!$F$6:$CP$99,3,),)/1000</f>
        <v>2301.326928</v>
      </c>
      <c r="Q9" s="48">
        <f t="shared" si="3"/>
        <v>382.70724066974867</v>
      </c>
      <c r="R9" s="49">
        <f>+IFERROR(HLOOKUP($B9,'[3]1월'!$F$6:$CC$57,3,),)/1000</f>
        <v>1836.6317389999999</v>
      </c>
      <c r="S9" s="50">
        <f t="shared" si="4"/>
        <v>464.69518900000003</v>
      </c>
      <c r="T9" s="46">
        <f>+IFERROR(HLOOKUP($B9,'[1]1월'!$D$6:$BN$259,16,),)/1000</f>
        <v>141.96630346721631</v>
      </c>
      <c r="U9" s="47">
        <f>+IFERROR(HLOOKUP($B9,'[2]1월'!$F$6:$CP$99,16,),)/1000</f>
        <v>116.27631100000002</v>
      </c>
      <c r="V9" s="48">
        <f t="shared" si="5"/>
        <v>-25.689992467216285</v>
      </c>
      <c r="W9" s="49">
        <f>+IFERROR(HLOOKUP($B9,'[3]1월'!$F$6:$CC$57,16,),)/1000</f>
        <v>0.64376599999982864</v>
      </c>
      <c r="X9" s="50">
        <f t="shared" si="6"/>
        <v>115.63254500000019</v>
      </c>
      <c r="Y9" s="46">
        <f>+[4]파주!$Q$85</f>
        <v>95930.984366512566</v>
      </c>
      <c r="Z9" s="47">
        <f>+[4]파주!$R$85</f>
        <v>100573.67922384407</v>
      </c>
      <c r="AA9" s="51">
        <f>+[5]파주!$Q$85</f>
        <v>87902.851844496297</v>
      </c>
      <c r="AB9" s="52">
        <f>+[4]파주!$Q$89</f>
        <v>77860.175244301077</v>
      </c>
      <c r="AC9" s="47">
        <f>+[4]파주!$R$89</f>
        <v>84086.773402674589</v>
      </c>
      <c r="AD9" s="53">
        <f>+[5]파주!$Q$89</f>
        <v>76114.000446849706</v>
      </c>
      <c r="AE9" s="52">
        <f t="shared" si="7"/>
        <v>18070.809122211489</v>
      </c>
      <c r="AF9" s="47">
        <f t="shared" si="8"/>
        <v>16486.905821169479</v>
      </c>
      <c r="AG9" s="53">
        <f t="shared" si="9"/>
        <v>11788.851397646591</v>
      </c>
      <c r="AH9" s="18"/>
      <c r="AI9" s="19"/>
      <c r="AJ9" s="97"/>
    </row>
    <row r="10" spans="2:36" s="8" customFormat="1" ht="19.5" customHeight="1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+IFERROR(HLOOKUP($B10,'[1]1월'!$D$6:$BN$259,2,),)/1000</f>
        <v>8</v>
      </c>
      <c r="K10" s="47">
        <f>+IFERROR(HLOOKUP($B10,'[2]1월'!$F$6:$CP$99,2,),)/1000</f>
        <v>5.2809999999999997</v>
      </c>
      <c r="L10" s="48">
        <f t="shared" si="0"/>
        <v>-2.7190000000000003</v>
      </c>
      <c r="M10" s="49">
        <f>+IFERROR(HLOOKUP($B10,'[3]1월'!$F$6:$CC$57,2,),)/1000</f>
        <v>8.2479999999999993</v>
      </c>
      <c r="N10" s="50">
        <f t="shared" si="2"/>
        <v>-2.9669999999999996</v>
      </c>
      <c r="O10" s="46">
        <f>+IFERROR(HLOOKUP($B10,'[1]1월'!$D$6:$BN$259,3,),)/1000</f>
        <v>742.2165</v>
      </c>
      <c r="P10" s="47">
        <f>+IFERROR(HLOOKUP($B10,'[2]1월'!$F$6:$CP$99,3,),)/1000</f>
        <v>486.84360000000004</v>
      </c>
      <c r="Q10" s="48">
        <f t="shared" si="3"/>
        <v>-255.37289999999996</v>
      </c>
      <c r="R10" s="49">
        <f>+IFERROR(HLOOKUP($B10,'[3]1월'!$F$6:$CC$57,3,),)/1000</f>
        <v>695.81949199999997</v>
      </c>
      <c r="S10" s="50">
        <f t="shared" si="4"/>
        <v>-208.97589199999993</v>
      </c>
      <c r="T10" s="46">
        <f>+IFERROR(HLOOKUP($B10,'[1]1월'!$D$6:$BN$259,16,),)/1000</f>
        <v>-13.085593582901252</v>
      </c>
      <c r="U10" s="47">
        <f>+IFERROR(HLOOKUP($B10,'[2]1월'!$F$6:$CP$99,16,),)/1000</f>
        <v>-70.351561999999973</v>
      </c>
      <c r="V10" s="48">
        <f t="shared" si="5"/>
        <v>-57.265968417098719</v>
      </c>
      <c r="W10" s="49">
        <f>+IFERROR(HLOOKUP($B10,'[3]1월'!$F$6:$CC$57,16,),)/1000</f>
        <v>-15.683073000000045</v>
      </c>
      <c r="X10" s="50">
        <f t="shared" si="6"/>
        <v>-54.66848899999993</v>
      </c>
      <c r="Y10" s="46">
        <f>+[4]김포!$Q$85</f>
        <v>92777.0625</v>
      </c>
      <c r="Z10" s="47">
        <f>+[4]김포!$R$85</f>
        <v>92187.767468282531</v>
      </c>
      <c r="AA10" s="51">
        <f>+[5]김포!$Q$85</f>
        <v>84362.208050436471</v>
      </c>
      <c r="AB10" s="52">
        <f>+[4]김포!$Q$89</f>
        <v>73698.666906196013</v>
      </c>
      <c r="AC10" s="47">
        <f>+[4]김포!$R$89</f>
        <v>75942.492159455884</v>
      </c>
      <c r="AD10" s="53">
        <f>+[5]김포!$Q$89</f>
        <v>66383.614330746845</v>
      </c>
      <c r="AE10" s="52">
        <f t="shared" si="7"/>
        <v>19078.395593803987</v>
      </c>
      <c r="AF10" s="47">
        <f t="shared" si="8"/>
        <v>16245.275308826647</v>
      </c>
      <c r="AG10" s="53">
        <f t="shared" si="9"/>
        <v>17978.593719689627</v>
      </c>
      <c r="AH10" s="18"/>
      <c r="AI10" s="19"/>
      <c r="AJ10" s="97"/>
    </row>
    <row r="11" spans="2:36" s="8" customFormat="1" ht="19.5" customHeight="1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+IFERROR(HLOOKUP($B11,'[1]1월'!$D$6:$BN$259,2,),)/1000</f>
        <v>18</v>
      </c>
      <c r="K11" s="64">
        <f>+IFERROR(HLOOKUP($B11,'[2]1월'!$F$6:$CP$99,2,),)/1000</f>
        <v>23.815000000000001</v>
      </c>
      <c r="L11" s="65">
        <f t="shared" si="0"/>
        <v>5.8150000000000013</v>
      </c>
      <c r="M11" s="66">
        <f>+IFERROR(HLOOKUP($B11,'[3]1월'!$F$6:$CC$57,2,),)/1000</f>
        <v>24.117999999999999</v>
      </c>
      <c r="N11" s="67">
        <f t="shared" si="2"/>
        <v>-0.30299999999999727</v>
      </c>
      <c r="O11" s="63">
        <f>+IFERROR(HLOOKUP($B11,'[1]1월'!$D$6:$BN$259,3,),)/1000</f>
        <v>1936.7942300000004</v>
      </c>
      <c r="P11" s="64">
        <f>+IFERROR(HLOOKUP($B11,'[2]1월'!$F$6:$CP$99,3,),)/1000</f>
        <v>2518.1608659999997</v>
      </c>
      <c r="Q11" s="65">
        <f t="shared" si="3"/>
        <v>581.36663599999929</v>
      </c>
      <c r="R11" s="66">
        <f>+IFERROR(HLOOKUP($B11,'[3]1월'!$F$6:$CC$57,3,),)/1000</f>
        <v>2452.0565000000001</v>
      </c>
      <c r="S11" s="67">
        <f t="shared" si="4"/>
        <v>66.104365999999573</v>
      </c>
      <c r="T11" s="63">
        <f>+IFERROR(HLOOKUP($B11,'[1]1월'!$D$6:$BN$259,16,),)/1000</f>
        <v>245.36511118332857</v>
      </c>
      <c r="U11" s="64">
        <f>+IFERROR(HLOOKUP($B11,'[2]1월'!$F$6:$CP$99,16,),)/1000</f>
        <v>298.81115099999994</v>
      </c>
      <c r="V11" s="65">
        <f t="shared" si="5"/>
        <v>53.446039816671373</v>
      </c>
      <c r="W11" s="66">
        <f>+IFERROR(HLOOKUP($B11,'[3]1월'!$F$6:$CC$57,16,),)/1000</f>
        <v>433.03576599999997</v>
      </c>
      <c r="X11" s="67">
        <f t="shared" si="6"/>
        <v>-134.22461500000003</v>
      </c>
      <c r="Y11" s="63">
        <f>+[4]부산!$Q$85</f>
        <v>107599.67944444448</v>
      </c>
      <c r="Z11" s="64">
        <f>+[4]부산!$R$85</f>
        <v>105738.43653159773</v>
      </c>
      <c r="AA11" s="68">
        <f>+[5]부산!$Q$85</f>
        <v>101668.2104652127</v>
      </c>
      <c r="AB11" s="69">
        <f>+[4]부산!$Q$89</f>
        <v>78358.378794596923</v>
      </c>
      <c r="AC11" s="64">
        <f>+[4]부산!$R$89</f>
        <v>82993.734485072127</v>
      </c>
      <c r="AD11" s="70">
        <f>+[5]부산!$Q$89</f>
        <v>73283.727852586817</v>
      </c>
      <c r="AE11" s="69">
        <f t="shared" si="7"/>
        <v>29241.300649847559</v>
      </c>
      <c r="AF11" s="64">
        <f t="shared" si="8"/>
        <v>22744.702046525606</v>
      </c>
      <c r="AG11" s="70">
        <f t="shared" si="9"/>
        <v>28384.482612625885</v>
      </c>
      <c r="AH11" s="18"/>
      <c r="AI11" s="19"/>
      <c r="AJ11" s="97"/>
    </row>
    <row r="12" spans="2:36" s="8" customFormat="1" ht="19.5" customHeight="1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+IFERROR(HLOOKUP($B12,'[1]1월'!$D$6:$BN$259,2,),)/1000</f>
        <v>21</v>
      </c>
      <c r="K12" s="47">
        <f>+IFERROR(HLOOKUP($B12,'[2]1월'!$F$6:$CP$99,2,),)/1000</f>
        <v>23.91</v>
      </c>
      <c r="L12" s="48">
        <f t="shared" si="0"/>
        <v>2.91</v>
      </c>
      <c r="M12" s="49">
        <f>+IFERROR(HLOOKUP($B12,'[3]1월'!$F$6:$CC$57,2,),)/1000</f>
        <v>20.167999999999999</v>
      </c>
      <c r="N12" s="50">
        <f t="shared" si="2"/>
        <v>3.7420000000000009</v>
      </c>
      <c r="O12" s="46">
        <f>+IFERROR(HLOOKUP($B12,'[1]1월'!$D$6:$BN$259,3,),)/1000</f>
        <v>2165.1353199999999</v>
      </c>
      <c r="P12" s="47">
        <f>+IFERROR(HLOOKUP($B12,'[2]1월'!$F$6:$CP$99,3,),)/1000</f>
        <v>2338.4863</v>
      </c>
      <c r="Q12" s="48">
        <f t="shared" si="3"/>
        <v>173.35098000000016</v>
      </c>
      <c r="R12" s="49">
        <f>+IFERROR(HLOOKUP($B12,'[3]1월'!$F$6:$CC$57,3,),)/1000</f>
        <v>1845.0338999999999</v>
      </c>
      <c r="S12" s="50">
        <f t="shared" si="4"/>
        <v>493.45240000000013</v>
      </c>
      <c r="T12" s="46">
        <f>+IFERROR(HLOOKUP($B12,'[1]1월'!$D$6:$BN$259,16,),)/1000</f>
        <v>313.84241896257396</v>
      </c>
      <c r="U12" s="47">
        <f>+IFERROR(HLOOKUP($B12,'[2]1월'!$F$6:$CP$99,16,),)/1000</f>
        <v>198.08840199999986</v>
      </c>
      <c r="V12" s="48">
        <f t="shared" si="5"/>
        <v>-115.7540169625741</v>
      </c>
      <c r="W12" s="49">
        <f>+IFERROR(HLOOKUP($B12,'[3]1월'!$F$6:$CC$57,16,),)/1000</f>
        <v>187.2714399999997</v>
      </c>
      <c r="X12" s="50">
        <f t="shared" si="6"/>
        <v>10.81696200000016</v>
      </c>
      <c r="Y12" s="46">
        <f>+[4]서부산!$Q$85</f>
        <v>103101.68190476191</v>
      </c>
      <c r="Z12" s="47">
        <f>+[4]서부산!$R$85</f>
        <v>97803.693015474695</v>
      </c>
      <c r="AA12" s="51">
        <f>+[5]서부산!$Q$85</f>
        <v>91483.235819119393</v>
      </c>
      <c r="AB12" s="52">
        <f>+[4]서부산!$Q$89</f>
        <v>77368.389409189593</v>
      </c>
      <c r="AC12" s="47">
        <f>+[4]서부산!$R$89</f>
        <v>79885.068381430363</v>
      </c>
      <c r="AD12" s="53">
        <f>+[5]서부산!$Q$89</f>
        <v>71161.530534351143</v>
      </c>
      <c r="AE12" s="52">
        <f t="shared" si="7"/>
        <v>25733.292495572314</v>
      </c>
      <c r="AF12" s="47">
        <f t="shared" si="8"/>
        <v>17918.624634044332</v>
      </c>
      <c r="AG12" s="53">
        <f t="shared" si="9"/>
        <v>20321.70528476825</v>
      </c>
      <c r="AH12" s="18"/>
      <c r="AI12" s="19"/>
      <c r="AJ12" s="97"/>
    </row>
    <row r="13" spans="2:36" s="8" customFormat="1" ht="19.5" customHeight="1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+IFERROR(HLOOKUP($B13,'[1]1월'!$D$6:$BN$259,2,),)/1000</f>
        <v>10</v>
      </c>
      <c r="K13" s="47">
        <f>+IFERROR(HLOOKUP($B13,'[2]1월'!$F$6:$CP$99,2,),)/1000</f>
        <v>12.339</v>
      </c>
      <c r="L13" s="48">
        <f t="shared" si="0"/>
        <v>2.3390000000000004</v>
      </c>
      <c r="M13" s="49">
        <f>+IFERROR(HLOOKUP($B13,'[3]1월'!$F$6:$CC$57,2,),)/1000</f>
        <v>11.598000000000001</v>
      </c>
      <c r="N13" s="50">
        <f t="shared" si="2"/>
        <v>0.74099999999999966</v>
      </c>
      <c r="O13" s="46">
        <f>+IFERROR(HLOOKUP($B13,'[1]1월'!$D$6:$BN$259,3,),)/1000</f>
        <v>1009.996</v>
      </c>
      <c r="P13" s="47">
        <f>+IFERROR(HLOOKUP($B13,'[2]1월'!$F$6:$CP$99,3,),)/1000</f>
        <v>1225.7102</v>
      </c>
      <c r="Q13" s="48">
        <f t="shared" si="3"/>
        <v>215.71420000000001</v>
      </c>
      <c r="R13" s="49">
        <f>+IFERROR(HLOOKUP($B13,'[3]1월'!$F$6:$CC$57,3,),)/1000</f>
        <v>1096.6881000000001</v>
      </c>
      <c r="S13" s="50">
        <f t="shared" si="4"/>
        <v>129.02209999999991</v>
      </c>
      <c r="T13" s="46">
        <f>+IFERROR(HLOOKUP($B13,'[1]1월'!$D$6:$BN$259,16,),)/1000</f>
        <v>74.513101129674411</v>
      </c>
      <c r="U13" s="47">
        <f>+IFERROR(HLOOKUP($B13,'[2]1월'!$F$6:$CP$99,16,),)/1000</f>
        <v>82.439169000000035</v>
      </c>
      <c r="V13" s="48">
        <f t="shared" si="5"/>
        <v>7.9260678703256247</v>
      </c>
      <c r="W13" s="49">
        <f>+IFERROR(HLOOKUP($B13,'[3]1월'!$F$6:$CC$57,16,),)/1000</f>
        <v>87.333868000000194</v>
      </c>
      <c r="X13" s="50">
        <f t="shared" si="6"/>
        <v>-4.8946990000001591</v>
      </c>
      <c r="Y13" s="46">
        <f>+[4]김해!$Q$85</f>
        <v>100999.6</v>
      </c>
      <c r="Z13" s="47">
        <f>+[4]김해!$R$85</f>
        <v>99339.806927881902</v>
      </c>
      <c r="AA13" s="51">
        <f>+[5]김해!$Q$85</f>
        <v>94585.859375000015</v>
      </c>
      <c r="AB13" s="52">
        <f>+[4]김해!$Q$89</f>
        <v>76745.601383767149</v>
      </c>
      <c r="AC13" s="47">
        <f>+[4]김해!$R$89</f>
        <v>80683.798815608025</v>
      </c>
      <c r="AD13" s="53">
        <f>+[5]김해!$Q$89</f>
        <v>73642.289583333331</v>
      </c>
      <c r="AE13" s="52">
        <f t="shared" si="7"/>
        <v>24253.998616232857</v>
      </c>
      <c r="AF13" s="47">
        <f t="shared" si="8"/>
        <v>18656.008112273877</v>
      </c>
      <c r="AG13" s="53">
        <f t="shared" si="9"/>
        <v>20943.569791666683</v>
      </c>
      <c r="AH13" s="18"/>
      <c r="AI13" s="19"/>
      <c r="AJ13" s="97"/>
    </row>
    <row r="14" spans="2:36" s="8" customFormat="1" ht="19.5" customHeight="1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+IFERROR(HLOOKUP($B14,'[1]1월'!$D$6:$BN$259,2,),)/1000</f>
        <v>18</v>
      </c>
      <c r="K14" s="47">
        <f>+IFERROR(HLOOKUP($B14,'[2]1월'!$F$6:$CP$99,2,),)/1000</f>
        <v>21.517499999999998</v>
      </c>
      <c r="L14" s="48">
        <f t="shared" si="0"/>
        <v>3.5174999999999983</v>
      </c>
      <c r="M14" s="49">
        <f>+IFERROR(HLOOKUP($B14,'[3]1월'!$F$6:$CC$57,2,),)/1000</f>
        <v>18.263999999999999</v>
      </c>
      <c r="N14" s="50">
        <f t="shared" si="2"/>
        <v>3.2534999999999989</v>
      </c>
      <c r="O14" s="46">
        <f>+IFERROR(HLOOKUP($B14,'[1]1월'!$D$6:$BN$259,3,),)/1000</f>
        <v>1872</v>
      </c>
      <c r="P14" s="47">
        <f>+IFERROR(HLOOKUP($B14,'[2]1월'!$F$6:$CP$99,3,),)/1000</f>
        <v>2218.10565</v>
      </c>
      <c r="Q14" s="48">
        <f t="shared" si="3"/>
        <v>346.10564999999997</v>
      </c>
      <c r="R14" s="49">
        <f>+IFERROR(HLOOKUP($B14,'[3]1월'!$F$6:$CC$57,3,),)/1000</f>
        <v>1770.7951</v>
      </c>
      <c r="S14" s="50">
        <f t="shared" si="4"/>
        <v>447.31054999999992</v>
      </c>
      <c r="T14" s="46">
        <f>+IFERROR(HLOOKUP($B14,'[1]1월'!$D$6:$BN$259,16,),)/1000</f>
        <v>244.37138401418812</v>
      </c>
      <c r="U14" s="47">
        <f>+IFERROR(HLOOKUP($B14,'[2]1월'!$F$6:$CP$99,16,),)/1000</f>
        <v>256.96584100000001</v>
      </c>
      <c r="V14" s="48">
        <f t="shared" si="5"/>
        <v>12.594456985811888</v>
      </c>
      <c r="W14" s="49">
        <f>+IFERROR(HLOOKUP($B14,'[3]1월'!$F$6:$CC$57,16,),)/1000</f>
        <v>235.72105100000002</v>
      </c>
      <c r="X14" s="50">
        <f t="shared" si="6"/>
        <v>21.244789999999995</v>
      </c>
      <c r="Y14" s="46">
        <f>+[4]정관!$Q$85</f>
        <v>104000</v>
      </c>
      <c r="Z14" s="47">
        <f>+[4]정관!$R$85</f>
        <v>103083.79923318229</v>
      </c>
      <c r="AA14" s="51">
        <f>+[5]정관!$Q$85</f>
        <v>96955.491677617174</v>
      </c>
      <c r="AB14" s="52">
        <f>+[4]정관!$Q$89</f>
        <v>78930.42011032287</v>
      </c>
      <c r="AC14" s="47">
        <f>+[4]정관!$R$89</f>
        <v>81962.525225789985</v>
      </c>
      <c r="AD14" s="53">
        <f>+[5]정관!$Q$89</f>
        <v>73083.9668852459</v>
      </c>
      <c r="AE14" s="52">
        <f t="shared" si="7"/>
        <v>25069.57988967713</v>
      </c>
      <c r="AF14" s="47">
        <f t="shared" si="8"/>
        <v>21121.274007392305</v>
      </c>
      <c r="AG14" s="53">
        <f t="shared" si="9"/>
        <v>23871.524792371274</v>
      </c>
      <c r="AH14" s="18"/>
      <c r="AI14" s="19"/>
      <c r="AJ14" s="97"/>
    </row>
    <row r="15" spans="2:36" s="8" customFormat="1" ht="19.5" customHeight="1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+IFERROR(HLOOKUP($B15,'[1]1월'!$D$6:$BN$259,2,),)/1000</f>
        <v>11</v>
      </c>
      <c r="K15" s="47">
        <f>+IFERROR(HLOOKUP($B15,'[2]1월'!$F$6:$CP$99,2,),)/1000</f>
        <v>13.864000000000001</v>
      </c>
      <c r="L15" s="48">
        <f t="shared" si="0"/>
        <v>2.8640000000000008</v>
      </c>
      <c r="M15" s="49">
        <f>+IFERROR(HLOOKUP($B15,'[3]1월'!$F$6:$CC$57,2,),)/1000</f>
        <v>12.092000000000001</v>
      </c>
      <c r="N15" s="50">
        <f t="shared" si="2"/>
        <v>1.7720000000000002</v>
      </c>
      <c r="O15" s="46">
        <f>+IFERROR(HLOOKUP($B15,'[1]1월'!$D$6:$BN$259,3,),)/1000</f>
        <v>1059.0886639999999</v>
      </c>
      <c r="P15" s="47">
        <f>+IFERROR(HLOOKUP($B15,'[2]1월'!$F$6:$CP$99,3,),)/1000</f>
        <v>1311.9159</v>
      </c>
      <c r="Q15" s="48">
        <f t="shared" si="3"/>
        <v>252.82723600000008</v>
      </c>
      <c r="R15" s="49">
        <f>+IFERROR(HLOOKUP($B15,'[3]1월'!$F$6:$CC$57,3,),)/1000</f>
        <v>1104.9133999999999</v>
      </c>
      <c r="S15" s="50">
        <f t="shared" si="4"/>
        <v>207.00250000000005</v>
      </c>
      <c r="T15" s="46">
        <f>+IFERROR(HLOOKUP($B15,'[1]1월'!$D$6:$BN$259,16,),)/1000</f>
        <v>120.73506793330618</v>
      </c>
      <c r="U15" s="47">
        <f>+IFERROR(HLOOKUP($B15,'[2]1월'!$F$6:$CP$99,16,),)/1000</f>
        <v>152.26054899999991</v>
      </c>
      <c r="V15" s="48">
        <f t="shared" si="5"/>
        <v>31.525481066693729</v>
      </c>
      <c r="W15" s="49">
        <f>+IFERROR(HLOOKUP($B15,'[3]1월'!$F$6:$CC$57,16,),)/1000</f>
        <v>138.2759539999999</v>
      </c>
      <c r="X15" s="50">
        <f t="shared" si="6"/>
        <v>13.984595000000013</v>
      </c>
      <c r="Y15" s="46">
        <f>+[4]양산!$Q$85</f>
        <v>96280.787636363631</v>
      </c>
      <c r="Z15" s="47">
        <f>+[4]양산!$R$85</f>
        <v>94627.517311021351</v>
      </c>
      <c r="AA15" s="51">
        <f>+[5]양산!$Q$85</f>
        <v>91386.530646097701</v>
      </c>
      <c r="AB15" s="52">
        <f>+[4]양산!$Q$89</f>
        <v>71791.378814143856</v>
      </c>
      <c r="AC15" s="47">
        <f>+[4]양산!$R$89</f>
        <v>73539.583958453557</v>
      </c>
      <c r="AD15" s="53">
        <f>+[5]양산!$Q$89</f>
        <v>67798.420668491337</v>
      </c>
      <c r="AE15" s="52">
        <f t="shared" si="7"/>
        <v>24489.408822219775</v>
      </c>
      <c r="AF15" s="47">
        <f t="shared" si="8"/>
        <v>21087.933352567794</v>
      </c>
      <c r="AG15" s="53">
        <f t="shared" si="9"/>
        <v>23588.109977606364</v>
      </c>
      <c r="AH15" s="18"/>
      <c r="AI15" s="19"/>
      <c r="AJ15" s="97"/>
    </row>
    <row r="16" spans="2:36" s="8" customFormat="1" ht="19.5" customHeight="1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+IFERROR(HLOOKUP($B16,'[1]1월'!$D$6:$BN$259,2,),)/1000</f>
        <v>14</v>
      </c>
      <c r="K16" s="47">
        <f>+IFERROR(HLOOKUP($B16,'[2]1월'!$F$6:$CP$99,2,),)/1000</f>
        <v>17.315000000000001</v>
      </c>
      <c r="L16" s="48">
        <f t="shared" si="0"/>
        <v>3.3150000000000013</v>
      </c>
      <c r="M16" s="49">
        <f>+IFERROR(HLOOKUP($B16,'[3]1월'!$F$6:$CC$57,2,),)/1000</f>
        <v>18.164999999999999</v>
      </c>
      <c r="N16" s="50">
        <f t="shared" si="2"/>
        <v>-0.84999999999999787</v>
      </c>
      <c r="O16" s="46">
        <f>+IFERROR(HLOOKUP($B16,'[1]1월'!$D$6:$BN$259,3,),)/1000</f>
        <v>1394.204</v>
      </c>
      <c r="P16" s="47">
        <f>+IFERROR(HLOOKUP($B16,'[2]1월'!$F$6:$CP$99,3,),)/1000</f>
        <v>1843.6711</v>
      </c>
      <c r="Q16" s="48">
        <f t="shared" si="3"/>
        <v>449.46710000000007</v>
      </c>
      <c r="R16" s="49">
        <f>+IFERROR(HLOOKUP($B16,'[3]1월'!$F$6:$CC$57,3,),)/1000</f>
        <v>1684.7086999999999</v>
      </c>
      <c r="S16" s="50">
        <f t="shared" si="4"/>
        <v>158.96240000000012</v>
      </c>
      <c r="T16" s="46">
        <f>+IFERROR(HLOOKUP($B16,'[1]1월'!$D$6:$BN$259,16,),)/1000</f>
        <v>182.43935946104097</v>
      </c>
      <c r="U16" s="47">
        <f>+IFERROR(HLOOKUP($B16,'[2]1월'!$F$6:$CP$99,16,),)/1000</f>
        <v>299.90022700000003</v>
      </c>
      <c r="V16" s="48">
        <f t="shared" si="5"/>
        <v>117.46086753895906</v>
      </c>
      <c r="W16" s="49">
        <f>+IFERROR(HLOOKUP($B16,'[3]1월'!$F$6:$CC$57,16,),)/1000</f>
        <v>292.02561199999985</v>
      </c>
      <c r="X16" s="50">
        <f t="shared" si="6"/>
        <v>7.8746150000001762</v>
      </c>
      <c r="Y16" s="46">
        <f>+[4]창원!$Q$85</f>
        <v>99586</v>
      </c>
      <c r="Z16" s="47">
        <f>+[4]창원!$R$85</f>
        <v>106478.26162287036</v>
      </c>
      <c r="AA16" s="51">
        <f>+[5]창원!$Q$85</f>
        <v>92744.767409854103</v>
      </c>
      <c r="AB16" s="52">
        <f>+[4]창원!$Q$89</f>
        <v>72320.546232445602</v>
      </c>
      <c r="AC16" s="47">
        <f>+[4]창원!$R$89</f>
        <v>77287.77022971258</v>
      </c>
      <c r="AD16" s="53">
        <f>+[5]창원!$Q$89</f>
        <v>66159.287475915218</v>
      </c>
      <c r="AE16" s="52">
        <f t="shared" si="7"/>
        <v>27265.453767554398</v>
      </c>
      <c r="AF16" s="47">
        <f t="shared" si="8"/>
        <v>29190.491393157776</v>
      </c>
      <c r="AG16" s="53">
        <f t="shared" si="9"/>
        <v>26585.479933938885</v>
      </c>
      <c r="AH16" s="18"/>
      <c r="AI16" s="19"/>
      <c r="AJ16" s="97"/>
    </row>
    <row r="17" spans="2:38" s="8" customFormat="1" ht="19.5" customHeight="1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+IFERROR(HLOOKUP($B17,'[1]1월'!$D$6:$BN$259,2,),)/1000</f>
        <v>13.5</v>
      </c>
      <c r="K17" s="47">
        <f>+IFERROR(HLOOKUP($B17,'[2]1월'!$F$6:$CP$99,2,),)/1000</f>
        <v>14.7545</v>
      </c>
      <c r="L17" s="48">
        <f t="shared" si="0"/>
        <v>1.2545000000000002</v>
      </c>
      <c r="M17" s="49">
        <f>+IFERROR(HLOOKUP($B17,'[3]1월'!$F$6:$CC$57,2,),)/1000</f>
        <v>19.599499999999999</v>
      </c>
      <c r="N17" s="50">
        <f t="shared" si="2"/>
        <v>-4.8449999999999989</v>
      </c>
      <c r="O17" s="46">
        <f>+IFERROR(HLOOKUP($B17,'[1]1월'!$D$6:$BN$259,3,),)/1000</f>
        <v>1320.2999999999997</v>
      </c>
      <c r="P17" s="47">
        <f>+IFERROR(HLOOKUP($B17,'[2]1월'!$F$6:$CP$99,3,),)/1000</f>
        <v>1474.5358999999999</v>
      </c>
      <c r="Q17" s="48">
        <f t="shared" si="3"/>
        <v>154.23590000000013</v>
      </c>
      <c r="R17" s="49">
        <f>+IFERROR(HLOOKUP($B17,'[3]1월'!$F$6:$CC$57,3,),)/1000</f>
        <v>1726.74235</v>
      </c>
      <c r="S17" s="50">
        <f t="shared" si="4"/>
        <v>-252.20645000000013</v>
      </c>
      <c r="T17" s="46">
        <f>+IFERROR(HLOOKUP($B17,'[1]1월'!$D$6:$BN$259,16,),)/1000</f>
        <v>168.26380013560521</v>
      </c>
      <c r="U17" s="47">
        <f>+IFERROR(HLOOKUP($B17,'[2]1월'!$F$6:$CP$99,16,),)/1000</f>
        <v>205.45768099999998</v>
      </c>
      <c r="V17" s="48">
        <f t="shared" si="5"/>
        <v>37.193880864394771</v>
      </c>
      <c r="W17" s="49">
        <f>+IFERROR(HLOOKUP($B17,'[3]1월'!$F$6:$CC$57,16,),)/1000</f>
        <v>251.62928600000012</v>
      </c>
      <c r="X17" s="50">
        <f t="shared" si="6"/>
        <v>-46.171605000000142</v>
      </c>
      <c r="Y17" s="46">
        <f>+[4]대구!$Q$85</f>
        <v>97799.999999999985</v>
      </c>
      <c r="Z17" s="47">
        <f>+[4]대구!$R$85</f>
        <v>99938.046019858346</v>
      </c>
      <c r="AA17" s="51">
        <f>+[5]대구!$Q$85</f>
        <v>88101.346973137071</v>
      </c>
      <c r="AB17" s="52">
        <f>+[4]대구!$Q$89</f>
        <v>71441.174251090255</v>
      </c>
      <c r="AC17" s="47">
        <f>+[4]대구!$R$89</f>
        <v>74479.859907146965</v>
      </c>
      <c r="AD17" s="53">
        <f>+[5]대구!$Q$89</f>
        <v>65599.879894895275</v>
      </c>
      <c r="AE17" s="52">
        <f t="shared" si="7"/>
        <v>26358.82574890973</v>
      </c>
      <c r="AF17" s="47">
        <f t="shared" si="8"/>
        <v>25458.186112711381</v>
      </c>
      <c r="AG17" s="53">
        <f t="shared" si="9"/>
        <v>22501.467078241796</v>
      </c>
      <c r="AH17" s="18"/>
      <c r="AI17" s="19"/>
      <c r="AJ17" s="97"/>
    </row>
    <row r="18" spans="2:38" s="8" customFormat="1" ht="19.5" customHeight="1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+IFERROR(HLOOKUP($B18,'[1]1월'!$D$6:$BN$259,2,),)/1000</f>
        <v>5</v>
      </c>
      <c r="K18" s="11">
        <f>+IFERROR(HLOOKUP($B18,'[2]1월'!$F$6:$CP$99,2,),)/1000</f>
        <v>5.383</v>
      </c>
      <c r="L18" s="12">
        <f t="shared" si="0"/>
        <v>0.38300000000000001</v>
      </c>
      <c r="M18" s="13">
        <f>+IFERROR(HLOOKUP($B18,'[3]1월'!$F$6:$CC$57,2,),)/1000</f>
        <v>8.1304999999999996</v>
      </c>
      <c r="N18" s="14">
        <f t="shared" si="2"/>
        <v>-2.7474999999999996</v>
      </c>
      <c r="O18" s="10">
        <f>+IFERROR(HLOOKUP($B18,'[1]1월'!$D$6:$BN$259,3,),)/1000</f>
        <v>490.01365999999996</v>
      </c>
      <c r="P18" s="11">
        <f>+IFERROR(HLOOKUP($B18,'[2]1월'!$F$6:$CP$99,3,),)/1000</f>
        <v>560.60759999999993</v>
      </c>
      <c r="Q18" s="12">
        <f t="shared" si="3"/>
        <v>70.593939999999975</v>
      </c>
      <c r="R18" s="13">
        <f>+IFERROR(HLOOKUP($B18,'[3]1월'!$F$6:$CC$57,3,),)/1000</f>
        <v>780.75985000000003</v>
      </c>
      <c r="S18" s="14">
        <f t="shared" si="4"/>
        <v>-220.15225000000009</v>
      </c>
      <c r="T18" s="10">
        <f>+IFERROR(HLOOKUP($B18,'[1]1월'!$D$6:$BN$259,16,),)/1000</f>
        <v>-50.284219463871992</v>
      </c>
      <c r="U18" s="11">
        <f>+IFERROR(HLOOKUP($B18,'[2]1월'!$F$6:$CP$99,16,),)/1000</f>
        <v>-2.6878350000000046</v>
      </c>
      <c r="V18" s="12">
        <f t="shared" si="5"/>
        <v>47.596384463871985</v>
      </c>
      <c r="W18" s="13">
        <f>+IFERROR(HLOOKUP($B18,'[3]1월'!$F$6:$CC$57,16,),)/1000</f>
        <v>38.844698000000022</v>
      </c>
      <c r="X18" s="14">
        <f t="shared" si="6"/>
        <v>-41.532533000000029</v>
      </c>
      <c r="Y18" s="10">
        <f>+[4]울산!$Q$85</f>
        <v>98002.731999999989</v>
      </c>
      <c r="Z18" s="11">
        <f>+[4]울산!$R$85</f>
        <v>104144.08322496749</v>
      </c>
      <c r="AA18" s="15">
        <f>+[5]울산!$Q$85</f>
        <v>96053.017375599418</v>
      </c>
      <c r="AB18" s="16">
        <f>+[4]울산!$Q$89</f>
        <v>79706.615151209931</v>
      </c>
      <c r="AC18" s="11">
        <f>+[4]울산!$R$89</f>
        <v>82948.249396919651</v>
      </c>
      <c r="AD18" s="17">
        <f>+[5]울산!$Q$89</f>
        <v>74906.545284780572</v>
      </c>
      <c r="AE18" s="16">
        <f t="shared" si="7"/>
        <v>18296.116848790058</v>
      </c>
      <c r="AF18" s="11">
        <f t="shared" si="8"/>
        <v>21195.833828047835</v>
      </c>
      <c r="AG18" s="17">
        <f t="shared" si="9"/>
        <v>21146.472090818846</v>
      </c>
      <c r="AH18" s="18"/>
      <c r="AI18" s="19"/>
      <c r="AJ18" s="97"/>
    </row>
    <row r="19" spans="2:38" s="8" customFormat="1" ht="19.5" customHeight="1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+IFERROR(HLOOKUP($B19,'[1]1월'!$D$6:$BN$259,2,),)/1000</f>
        <v>15.5</v>
      </c>
      <c r="K19" s="47">
        <f>+IFERROR(HLOOKUP($B19,'[2]1월'!$F$6:$CP$99,2,),)/1000</f>
        <v>22.998999999999999</v>
      </c>
      <c r="L19" s="48">
        <f t="shared" si="0"/>
        <v>7.4989999999999988</v>
      </c>
      <c r="M19" s="49">
        <f>+IFERROR(HLOOKUP($B19,'[3]1월'!$F$6:$CC$57,2,),)/1000</f>
        <v>20.146000000000001</v>
      </c>
      <c r="N19" s="50">
        <f t="shared" si="2"/>
        <v>2.852999999999998</v>
      </c>
      <c r="O19" s="46">
        <f>+IFERROR(HLOOKUP($B19,'[1]1월'!$D$6:$BN$259,3,),)/1000</f>
        <v>1565.4993999999999</v>
      </c>
      <c r="P19" s="47">
        <f>+IFERROR(HLOOKUP($B19,'[2]1월'!$F$6:$CP$99,3,),)/1000</f>
        <v>2225.2768960000003</v>
      </c>
      <c r="Q19" s="48">
        <f t="shared" si="3"/>
        <v>659.77749600000038</v>
      </c>
      <c r="R19" s="49">
        <f>+IFERROR(HLOOKUP($B19,'[3]1월'!$F$6:$CC$57,3,),)/1000</f>
        <v>1851.2000999999998</v>
      </c>
      <c r="S19" s="50">
        <f t="shared" si="4"/>
        <v>374.07679600000051</v>
      </c>
      <c r="T19" s="46">
        <f>+IFERROR(HLOOKUP($B19,'[1]1월'!$D$6:$BN$259,16,),)/1000</f>
        <v>135.48480522833327</v>
      </c>
      <c r="U19" s="47">
        <f>+IFERROR(HLOOKUP($B19,'[2]1월'!$F$6:$CP$99,16,),)/1000</f>
        <v>76.583958000000067</v>
      </c>
      <c r="V19" s="48">
        <f t="shared" si="5"/>
        <v>-58.900847228333205</v>
      </c>
      <c r="W19" s="49">
        <f>+IFERROR(HLOOKUP($B19,'[3]1월'!$F$6:$CC$57,16,),)/1000</f>
        <v>241.78052399999962</v>
      </c>
      <c r="X19" s="50">
        <f t="shared" si="6"/>
        <v>-165.19656599999956</v>
      </c>
      <c r="Y19" s="46">
        <f>+[4]아산!$Q$85</f>
        <v>100999.96129032258</v>
      </c>
      <c r="Z19" s="47">
        <f>+[4]아산!$R$85</f>
        <v>96755.376146789</v>
      </c>
      <c r="AA19" s="51">
        <f>+[5]아산!$Q$85</f>
        <v>91745.374120656576</v>
      </c>
      <c r="AB19" s="52">
        <f>+[4]아산!$Q$89</f>
        <v>77854.206026763524</v>
      </c>
      <c r="AC19" s="47">
        <f>+[4]아산!$R$89</f>
        <v>82780.118874733686</v>
      </c>
      <c r="AD19" s="53">
        <f>+[5]아산!$Q$89</f>
        <v>67815.42383894333</v>
      </c>
      <c r="AE19" s="52">
        <f t="shared" si="7"/>
        <v>23145.755263559055</v>
      </c>
      <c r="AF19" s="47">
        <f t="shared" si="8"/>
        <v>13975.257272055314</v>
      </c>
      <c r="AG19" s="53">
        <f t="shared" si="9"/>
        <v>23929.950281713245</v>
      </c>
      <c r="AH19" s="18"/>
      <c r="AI19" s="19"/>
      <c r="AJ19" s="97"/>
    </row>
    <row r="20" spans="2:38" s="8" customFormat="1" ht="19.5" customHeight="1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+IFERROR(HLOOKUP($B20,'[1]1월'!$D$6:$BN$259,2,),)/1000</f>
        <v>10</v>
      </c>
      <c r="K20" s="47">
        <f>+IFERROR(HLOOKUP($B20,'[2]1월'!$F$6:$CP$99,2,),)/1000</f>
        <v>6.5670000000000002</v>
      </c>
      <c r="L20" s="48">
        <f t="shared" si="0"/>
        <v>-3.4329999999999998</v>
      </c>
      <c r="M20" s="49">
        <f>+IFERROR(HLOOKUP($B20,'[3]1월'!$F$6:$CC$57,2,),)/1000</f>
        <v>8.2629999999999999</v>
      </c>
      <c r="N20" s="50">
        <f t="shared" si="2"/>
        <v>-1.6959999999999997</v>
      </c>
      <c r="O20" s="46">
        <f>+IFERROR(HLOOKUP($B20,'[1]1월'!$D$6:$BN$259,3,),)/1000</f>
        <v>1006.5890930000002</v>
      </c>
      <c r="P20" s="47">
        <f>+IFERROR(HLOOKUP($B20,'[2]1월'!$F$6:$CP$99,3,),)/1000</f>
        <v>648.20873600000004</v>
      </c>
      <c r="Q20" s="48">
        <f t="shared" si="3"/>
        <v>-358.38035700000012</v>
      </c>
      <c r="R20" s="49">
        <f>+IFERROR(HLOOKUP($B20,'[3]1월'!$F$6:$CC$57,3,),)/1000</f>
        <v>717.62855000000002</v>
      </c>
      <c r="S20" s="50">
        <f t="shared" si="4"/>
        <v>-69.419813999999974</v>
      </c>
      <c r="T20" s="46">
        <f>+IFERROR(HLOOKUP($B20,'[1]1월'!$D$6:$BN$259,16,),)/1000</f>
        <v>109.56879884617983</v>
      </c>
      <c r="U20" s="47">
        <f>+IFERROR(HLOOKUP($B20,'[2]1월'!$F$6:$CP$99,16,),)/1000</f>
        <v>24.564713999999988</v>
      </c>
      <c r="V20" s="48">
        <f t="shared" si="5"/>
        <v>-85.004084846179836</v>
      </c>
      <c r="W20" s="49">
        <f>+IFERROR(HLOOKUP($B20,'[3]1월'!$F$6:$CC$57,16,),)/1000</f>
        <v>14.677471999999964</v>
      </c>
      <c r="X20" s="50">
        <f t="shared" si="6"/>
        <v>9.8872420000000236</v>
      </c>
      <c r="Y20" s="46">
        <f>+[4]전주!$Q$85</f>
        <v>100658.9093</v>
      </c>
      <c r="Z20" s="47">
        <f>+[4]전주!$R$85</f>
        <v>98706.979747220961</v>
      </c>
      <c r="AA20" s="51">
        <f>+[5]전주!$Q$85</f>
        <v>86834.353921438975</v>
      </c>
      <c r="AB20" s="52">
        <f>+[4]전주!$Q$89</f>
        <v>74727.497433629949</v>
      </c>
      <c r="AC20" s="47">
        <f>+[4]전주!$R$89</f>
        <v>74181.954012486662</v>
      </c>
      <c r="AD20" s="53">
        <f>+[5]전주!$Q$89</f>
        <v>65096.895384208437</v>
      </c>
      <c r="AE20" s="52">
        <f t="shared" si="7"/>
        <v>25931.41186637005</v>
      </c>
      <c r="AF20" s="47">
        <f t="shared" si="8"/>
        <v>24525.025734734299</v>
      </c>
      <c r="AG20" s="53">
        <f t="shared" si="9"/>
        <v>21737.458537230537</v>
      </c>
      <c r="AH20" s="18"/>
      <c r="AI20" s="19"/>
      <c r="AJ20" s="97"/>
    </row>
    <row r="21" spans="2:38" s="8" customFormat="1" ht="19.5" customHeight="1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+IFERROR(HLOOKUP($B21,'[1]1월'!$D$6:$BN$259,2,),)/1000</f>
        <v>4</v>
      </c>
      <c r="K21" s="47">
        <f>+IFERROR(HLOOKUP($B21,'[2]1월'!$F$6:$CP$99,2,),)/1000</f>
        <v>7.3630000000000004</v>
      </c>
      <c r="L21" s="48">
        <f t="shared" si="0"/>
        <v>3.3630000000000004</v>
      </c>
      <c r="M21" s="49">
        <f>+IFERROR(HLOOKUP($B21,'[3]1월'!$F$6:$CC$57,2,),)/1000</f>
        <v>6.52</v>
      </c>
      <c r="N21" s="50">
        <f t="shared" si="2"/>
        <v>0.84300000000000086</v>
      </c>
      <c r="O21" s="46">
        <f>+IFERROR(HLOOKUP($B21,'[1]1월'!$D$6:$BN$259,3,),)/1000</f>
        <v>434.23396499999996</v>
      </c>
      <c r="P21" s="47">
        <f>+IFERROR(HLOOKUP($B21,'[2]1월'!$F$6:$CP$99,3,),)/1000</f>
        <v>752.76157999999998</v>
      </c>
      <c r="Q21" s="48">
        <f t="shared" si="3"/>
        <v>318.52761500000003</v>
      </c>
      <c r="R21" s="49">
        <f>+IFERROR(HLOOKUP($B21,'[3]1월'!$F$6:$CC$57,3,),)/1000</f>
        <v>582.53435000000002</v>
      </c>
      <c r="S21" s="50">
        <f t="shared" si="4"/>
        <v>170.22722999999996</v>
      </c>
      <c r="T21" s="46">
        <f>+IFERROR(HLOOKUP($B21,'[1]1월'!$D$6:$BN$259,16,),)/1000</f>
        <v>58.095789637149736</v>
      </c>
      <c r="U21" s="47">
        <f>+IFERROR(HLOOKUP($B21,'[2]1월'!$F$6:$CP$99,16,),)/1000</f>
        <v>157.32963699999999</v>
      </c>
      <c r="V21" s="48">
        <f t="shared" si="5"/>
        <v>99.233847362850256</v>
      </c>
      <c r="W21" s="49">
        <f>+IFERROR(HLOOKUP($B21,'[3]1월'!$F$6:$CC$57,16,),)/1000</f>
        <v>86.060697999999945</v>
      </c>
      <c r="X21" s="50">
        <f t="shared" si="6"/>
        <v>71.268939000000046</v>
      </c>
      <c r="Y21" s="46">
        <f>+[4]군산!$Q$85</f>
        <v>108558.49124999999</v>
      </c>
      <c r="Z21" s="47">
        <f>+[4]군산!$R$85</f>
        <v>102235.71641993751</v>
      </c>
      <c r="AA21" s="51">
        <f>+[5]군산!$Q$85</f>
        <v>89327.018489984577</v>
      </c>
      <c r="AB21" s="52">
        <f>+[4]군산!$Q$89</f>
        <v>70400.341559139779</v>
      </c>
      <c r="AC21" s="47">
        <f>+[4]군산!$R$89</f>
        <v>69601.844221105523</v>
      </c>
      <c r="AD21" s="53">
        <f>+[5]군산!$Q$89</f>
        <v>62541.22808366656</v>
      </c>
      <c r="AE21" s="52">
        <f t="shared" si="7"/>
        <v>38158.149690860213</v>
      </c>
      <c r="AF21" s="47">
        <f t="shared" si="8"/>
        <v>32633.872198831988</v>
      </c>
      <c r="AG21" s="53">
        <f t="shared" si="9"/>
        <v>26785.790406318018</v>
      </c>
      <c r="AH21" s="18"/>
      <c r="AI21" s="19"/>
      <c r="AJ21" s="97"/>
    </row>
    <row r="22" spans="2:38" s="8" customFormat="1" ht="19.5" customHeight="1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+IFERROR(HLOOKUP($B22,'[1]1월'!$D$6:$BN$259,2,),)/1000</f>
        <v>4</v>
      </c>
      <c r="K22" s="47">
        <f>+IFERROR(HLOOKUP($B22,'[2]1월'!$F$6:$CP$99,2,),)/1000</f>
        <v>3.5329999999999999</v>
      </c>
      <c r="L22" s="48">
        <f t="shared" si="0"/>
        <v>-0.46700000000000008</v>
      </c>
      <c r="M22" s="49">
        <f>+IFERROR(HLOOKUP($B22,'[3]1월'!$F$6:$CC$57,2,),)/1000</f>
        <v>1.8129999999999999</v>
      </c>
      <c r="N22" s="50">
        <f t="shared" si="2"/>
        <v>1.72</v>
      </c>
      <c r="O22" s="46">
        <f>+IFERROR(HLOOKUP($B22,'[1]1월'!$D$6:$BN$259,3,),)/1000</f>
        <v>431.6</v>
      </c>
      <c r="P22" s="47">
        <f>+IFERROR(HLOOKUP($B22,'[2]1월'!$F$6:$CP$99,3,),)/1000</f>
        <v>412.27509999999995</v>
      </c>
      <c r="Q22" s="48">
        <f t="shared" si="3"/>
        <v>-19.324900000000071</v>
      </c>
      <c r="R22" s="49">
        <f>+IFERROR(HLOOKUP($B22,'[3]1월'!$F$6:$CC$57,3,),)/1000</f>
        <v>154.21270000000001</v>
      </c>
      <c r="S22" s="50">
        <f t="shared" si="4"/>
        <v>258.06239999999991</v>
      </c>
      <c r="T22" s="46">
        <f>+IFERROR(HLOOKUP($B22,'[1]1월'!$D$6:$BN$259,16,),)/1000</f>
        <v>34.35700043011272</v>
      </c>
      <c r="U22" s="47">
        <f>+IFERROR(HLOOKUP($B22,'[2]1월'!$F$6:$CP$99,16,),)/1000</f>
        <v>53.424534000000008</v>
      </c>
      <c r="V22" s="48">
        <f t="shared" si="5"/>
        <v>19.067533569887289</v>
      </c>
      <c r="W22" s="49">
        <f>+IFERROR(HLOOKUP($B22,'[3]1월'!$F$6:$CC$57,16,),)/1000</f>
        <v>-48.466116000000007</v>
      </c>
      <c r="X22" s="50">
        <f t="shared" si="6"/>
        <v>101.89065000000002</v>
      </c>
      <c r="Y22" s="46">
        <f>+[4]원주!$Q$85</f>
        <v>107900</v>
      </c>
      <c r="Z22" s="47">
        <f>+[4]원주!$R$85</f>
        <v>116692.64081517122</v>
      </c>
      <c r="AA22" s="51">
        <f>+[5]원주!$Q$85</f>
        <v>85059.40430226145</v>
      </c>
      <c r="AB22" s="52">
        <f>+[4]원주!$Q$89</f>
        <v>75438.970731258625</v>
      </c>
      <c r="AC22" s="47">
        <f>+[4]원주!$R$89</f>
        <v>76321.153410699117</v>
      </c>
      <c r="AD22" s="53">
        <f>+[5]원주!$Q$89</f>
        <v>65788.766355140193</v>
      </c>
      <c r="AE22" s="52">
        <f t="shared" si="7"/>
        <v>32461.029268741375</v>
      </c>
      <c r="AF22" s="47">
        <f t="shared" si="8"/>
        <v>40371.487404472107</v>
      </c>
      <c r="AG22" s="53">
        <f t="shared" si="9"/>
        <v>19270.637947121257</v>
      </c>
      <c r="AH22" s="18"/>
      <c r="AI22" s="19"/>
      <c r="AJ22" s="97"/>
    </row>
    <row r="23" spans="2:38" s="8" customFormat="1" ht="19.5" customHeight="1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+IFERROR(HLOOKUP($B23,'[1]1월'!$D$6:$BN$259,2,),)/1000</f>
        <v>4</v>
      </c>
      <c r="K23" s="47">
        <f>+IFERROR(HLOOKUP($B23,'[2]1월'!$F$6:$CP$99,2,),)/1000</f>
        <v>3.2614999999999998</v>
      </c>
      <c r="L23" s="48">
        <f t="shared" si="0"/>
        <v>-0.73850000000000016</v>
      </c>
      <c r="M23" s="49">
        <f>+IFERROR(HLOOKUP($B23,'[3]1월'!$F$6:$CC$57,2,),)/1000</f>
        <v>6.3280000000000003</v>
      </c>
      <c r="N23" s="50">
        <f t="shared" si="2"/>
        <v>-3.0665000000000004</v>
      </c>
      <c r="O23" s="46">
        <f>+IFERROR(HLOOKUP($B23,'[1]1월'!$D$6:$BN$259,3,),)/1000</f>
        <v>506.8</v>
      </c>
      <c r="P23" s="47">
        <f>+IFERROR(HLOOKUP($B23,'[2]1월'!$F$6:$CP$99,3,),)/1000</f>
        <v>419.74929900000001</v>
      </c>
      <c r="Q23" s="48">
        <f t="shared" si="3"/>
        <v>-87.050701000000004</v>
      </c>
      <c r="R23" s="49">
        <f>+IFERROR(HLOOKUP($B23,'[3]1월'!$F$6:$CC$57,3,),)/1000</f>
        <v>738.13421499999993</v>
      </c>
      <c r="S23" s="50">
        <f t="shared" si="4"/>
        <v>-318.38491599999992</v>
      </c>
      <c r="T23" s="46">
        <f>+IFERROR(HLOOKUP($B23,'[1]1월'!$D$6:$BN$259,16,),)/1000</f>
        <v>42.978794866642524</v>
      </c>
      <c r="U23" s="47">
        <f>+IFERROR(HLOOKUP($B23,'[2]1월'!$F$6:$CP$99,16,),)/1000</f>
        <v>35.375496999999989</v>
      </c>
      <c r="V23" s="48">
        <f t="shared" si="5"/>
        <v>-7.603297866642535</v>
      </c>
      <c r="W23" s="49">
        <f>+IFERROR(HLOOKUP($B23,'[3]1월'!$F$6:$CC$57,16,),)/1000</f>
        <v>175.67345800000012</v>
      </c>
      <c r="X23" s="50">
        <f t="shared" si="6"/>
        <v>-140.29796100000013</v>
      </c>
      <c r="Y23" s="46">
        <f>+[4]제주!$Q$85</f>
        <v>126700</v>
      </c>
      <c r="Z23" s="47">
        <f>+[4]제주!$R$85</f>
        <v>128698.23670090448</v>
      </c>
      <c r="AA23" s="51">
        <f>+[5]제주!$Q$85</f>
        <v>116650.12267804917</v>
      </c>
      <c r="AB23" s="52">
        <f>+[4]제주!$Q$89</f>
        <v>89935.469322780293</v>
      </c>
      <c r="AC23" s="47">
        <f>+[4]제주!$R$89</f>
        <v>90773.835965046761</v>
      </c>
      <c r="AD23" s="53">
        <f>+[5]제주!$Q$89</f>
        <v>75659.130819698039</v>
      </c>
      <c r="AE23" s="52">
        <f t="shared" si="7"/>
        <v>36764.530677219707</v>
      </c>
      <c r="AF23" s="47">
        <f t="shared" si="8"/>
        <v>37924.400735857722</v>
      </c>
      <c r="AG23" s="53">
        <f t="shared" si="9"/>
        <v>40990.991858351132</v>
      </c>
      <c r="AH23" s="18"/>
      <c r="AI23" s="19"/>
      <c r="AJ23" s="97"/>
    </row>
    <row r="24" spans="2:38" s="8" customFormat="1" ht="19.5" customHeight="1">
      <c r="G24" s="96" t="str">
        <f t="shared" si="1"/>
        <v>수도권</v>
      </c>
      <c r="H24" s="80"/>
      <c r="I24" s="84" t="s">
        <v>55</v>
      </c>
      <c r="J24" s="23">
        <f>SUM(J7:J10)</f>
        <v>93</v>
      </c>
      <c r="K24" s="20">
        <f>SUM(K7:K10)</f>
        <v>102.26400000000001</v>
      </c>
      <c r="L24" s="21">
        <f t="shared" si="0"/>
        <v>9.26400000000001</v>
      </c>
      <c r="M24" s="25">
        <f>SUM(M7:M10)</f>
        <v>93.376000000000005</v>
      </c>
      <c r="N24" s="22">
        <f t="shared" si="2"/>
        <v>8.8880000000000052</v>
      </c>
      <c r="O24" s="23">
        <f>SUM(O7:O10)</f>
        <v>8982.3395673302512</v>
      </c>
      <c r="P24" s="20">
        <f>SUM(P7:P10)</f>
        <v>9926.1807560000016</v>
      </c>
      <c r="Q24" s="21">
        <f t="shared" si="3"/>
        <v>943.84118866975041</v>
      </c>
      <c r="R24" s="25">
        <f>SUM(R7:R10)</f>
        <v>8282.4477530000004</v>
      </c>
      <c r="S24" s="22">
        <f t="shared" si="4"/>
        <v>1643.7330030000012</v>
      </c>
      <c r="T24" s="23">
        <f>SUM(T7:T10)</f>
        <v>581.00835686061487</v>
      </c>
      <c r="U24" s="20">
        <f>SUM(U7:U10)</f>
        <v>486.07576500000073</v>
      </c>
      <c r="V24" s="21">
        <f t="shared" si="5"/>
        <v>-94.932591860614139</v>
      </c>
      <c r="W24" s="25">
        <f>SUM(W7:W10)</f>
        <v>407.54562299999969</v>
      </c>
      <c r="X24" s="22">
        <f t="shared" si="6"/>
        <v>78.530142000001035</v>
      </c>
      <c r="Y24" s="23">
        <f>+[4]수도권!$Q$85</f>
        <v>96584.296422905929</v>
      </c>
      <c r="Z24" s="20">
        <f>+[4]수도권!$R$85</f>
        <v>97064.272432136422</v>
      </c>
      <c r="AA24" s="24">
        <f>+[5]수도권!$Q$85</f>
        <v>88709.414893847017</v>
      </c>
      <c r="AB24" s="29">
        <f>+[4]수도권!$Q$89</f>
        <v>79517.081103248129</v>
      </c>
      <c r="AC24" s="20">
        <f>+[4]수도권!$R$89</f>
        <v>82325.824173460802</v>
      </c>
      <c r="AD24" s="30">
        <f>+[5]수도권!$Q$89</f>
        <v>73361.249187022622</v>
      </c>
      <c r="AE24" s="29">
        <f t="shared" si="7"/>
        <v>17067.2153196578</v>
      </c>
      <c r="AF24" s="20">
        <f t="shared" si="8"/>
        <v>14738.44825867562</v>
      </c>
      <c r="AG24" s="30">
        <f t="shared" si="9"/>
        <v>15348.165706824395</v>
      </c>
      <c r="AH24" s="18"/>
      <c r="AI24" s="19"/>
      <c r="AJ24" s="97"/>
    </row>
    <row r="25" spans="2:38" s="8" customFormat="1" ht="19.5" customHeight="1">
      <c r="G25" s="8" t="str">
        <f t="shared" si="1"/>
        <v>영남권</v>
      </c>
      <c r="H25" s="80"/>
      <c r="I25" s="84" t="s">
        <v>56</v>
      </c>
      <c r="J25" s="23">
        <f>SUM(J11:J18)</f>
        <v>110.5</v>
      </c>
      <c r="K25" s="20">
        <f>SUM(K11:K18)</f>
        <v>132.89800000000002</v>
      </c>
      <c r="L25" s="21">
        <f t="shared" si="0"/>
        <v>22.398000000000025</v>
      </c>
      <c r="M25" s="25">
        <f>SUM(M11:M18)</f>
        <v>132.13500000000002</v>
      </c>
      <c r="N25" s="22">
        <f t="shared" si="2"/>
        <v>0.76300000000000523</v>
      </c>
      <c r="O25" s="23">
        <f>SUM(O11:O18)</f>
        <v>11247.531874</v>
      </c>
      <c r="P25" s="20">
        <f>SUM(P11:P18)</f>
        <v>13491.193515999999</v>
      </c>
      <c r="Q25" s="21">
        <f t="shared" si="3"/>
        <v>2243.6616419999991</v>
      </c>
      <c r="R25" s="25">
        <f>SUM(R11:R18)</f>
        <v>12461.697900000001</v>
      </c>
      <c r="S25" s="22">
        <f t="shared" si="4"/>
        <v>1029.4956159999983</v>
      </c>
      <c r="T25" s="23">
        <f>SUM(T11:T18)</f>
        <v>1299.2460233558454</v>
      </c>
      <c r="U25" s="20">
        <f>SUM(U11:U18)</f>
        <v>1491.2351849999998</v>
      </c>
      <c r="V25" s="21">
        <f t="shared" si="5"/>
        <v>191.98916164415436</v>
      </c>
      <c r="W25" s="25">
        <f>SUM(W11:W18)</f>
        <v>1664.1376749999999</v>
      </c>
      <c r="X25" s="22">
        <f t="shared" si="6"/>
        <v>-172.90249000000017</v>
      </c>
      <c r="Y25" s="23">
        <f>+[4]영남권!$Q$85</f>
        <v>101787.61876923079</v>
      </c>
      <c r="Z25" s="20">
        <f>+[4]영남권!$R$85</f>
        <v>101515.92429601311</v>
      </c>
      <c r="AA25" s="24">
        <f>+[5]영남권!$Q$85</f>
        <v>94314.373104912069</v>
      </c>
      <c r="AB25" s="29">
        <f>+[4]영남권!$Q$89</f>
        <v>75914.681575337541</v>
      </c>
      <c r="AC25" s="20">
        <f>+[4]영남권!$R$89</f>
        <v>79377.390849466741</v>
      </c>
      <c r="AD25" s="30">
        <f>+[5]영남권!$Q$89</f>
        <v>70465.974911066762</v>
      </c>
      <c r="AE25" s="29">
        <f t="shared" si="7"/>
        <v>25872.937193893245</v>
      </c>
      <c r="AF25" s="20">
        <f t="shared" si="8"/>
        <v>22138.533446546367</v>
      </c>
      <c r="AG25" s="30">
        <f t="shared" si="9"/>
        <v>23848.398193845307</v>
      </c>
      <c r="AH25" s="18"/>
      <c r="AI25" s="19"/>
      <c r="AJ25" s="97"/>
    </row>
    <row r="26" spans="2:38" s="8" customFormat="1" ht="19.5" customHeight="1">
      <c r="G26" s="8" t="str">
        <f t="shared" si="1"/>
        <v>중부권</v>
      </c>
      <c r="H26" s="80"/>
      <c r="I26" s="84" t="s">
        <v>171</v>
      </c>
      <c r="J26" s="23">
        <f>SUM(J19:J23)</f>
        <v>37.5</v>
      </c>
      <c r="K26" s="20">
        <f>SUM(K19:K23)</f>
        <v>43.723500000000001</v>
      </c>
      <c r="L26" s="21">
        <f t="shared" si="0"/>
        <v>6.2235000000000014</v>
      </c>
      <c r="M26" s="25">
        <f>SUM(M19:M23)</f>
        <v>43.070000000000007</v>
      </c>
      <c r="N26" s="22">
        <f t="shared" si="2"/>
        <v>0.65349999999999397</v>
      </c>
      <c r="O26" s="23">
        <f>SUM(O19:O23)</f>
        <v>3944.7224580000002</v>
      </c>
      <c r="P26" s="20">
        <f>SUM(P19:P23)</f>
        <v>4458.2716110000001</v>
      </c>
      <c r="Q26" s="21">
        <f t="shared" si="3"/>
        <v>513.54915299999993</v>
      </c>
      <c r="R26" s="25">
        <f>SUM(R19:R23)</f>
        <v>4043.7099149999999</v>
      </c>
      <c r="S26" s="22">
        <f t="shared" si="4"/>
        <v>414.56169600000021</v>
      </c>
      <c r="T26" s="23">
        <f>SUM(T19:T23)</f>
        <v>380.4851890084181</v>
      </c>
      <c r="U26" s="20">
        <f>SUM(U19:U23)</f>
        <v>347.27834000000007</v>
      </c>
      <c r="V26" s="21">
        <f t="shared" si="5"/>
        <v>-33.206849008418033</v>
      </c>
      <c r="W26" s="25">
        <f>SUM(W19:W23)</f>
        <v>469.72603599999968</v>
      </c>
      <c r="X26" s="22">
        <f t="shared" si="6"/>
        <v>-122.44769599999961</v>
      </c>
      <c r="Y26" s="23">
        <f>+[4]중부권!$Q$85</f>
        <v>105192.59887999999</v>
      </c>
      <c r="Z26" s="20">
        <f>+[4]중부권!$R$85</f>
        <v>101965.1128340595</v>
      </c>
      <c r="AA26" s="24">
        <f>+[5]중부권!$Q$85</f>
        <v>94006.132589400164</v>
      </c>
      <c r="AB26" s="29">
        <f>+[4]중부권!$Q$89</f>
        <v>77256.381178769312</v>
      </c>
      <c r="AC26" s="20">
        <f>+[4]중부권!$R$89</f>
        <v>79343.893466899943</v>
      </c>
      <c r="AD26" s="30">
        <f>+[5]중부권!$Q$89</f>
        <v>67597.806117095897</v>
      </c>
      <c r="AE26" s="29">
        <f t="shared" si="7"/>
        <v>27936.217701230678</v>
      </c>
      <c r="AF26" s="20">
        <f t="shared" si="8"/>
        <v>22621.21936715956</v>
      </c>
      <c r="AG26" s="30">
        <f t="shared" si="9"/>
        <v>26408.326472304267</v>
      </c>
      <c r="AH26" s="18"/>
      <c r="AI26" s="19"/>
      <c r="AJ26" s="97"/>
    </row>
    <row r="27" spans="2:38" s="3" customFormat="1" ht="19.5" customHeight="1">
      <c r="B27" s="26"/>
      <c r="G27" s="9">
        <f>+K27/J27</f>
        <v>1.1572012448132782</v>
      </c>
      <c r="H27" s="664" t="s">
        <v>115</v>
      </c>
      <c r="I27" s="665"/>
      <c r="J27" s="666">
        <f>SUM(J24:J26)</f>
        <v>241</v>
      </c>
      <c r="K27" s="667">
        <f>SUM(K24:K26)</f>
        <v>278.88550000000004</v>
      </c>
      <c r="L27" s="668">
        <f t="shared" ref="L27:L32" si="10">+K27-J27</f>
        <v>37.885500000000036</v>
      </c>
      <c r="M27" s="669">
        <f>SUM(M24:M26)</f>
        <v>268.58100000000002</v>
      </c>
      <c r="N27" s="670">
        <f t="shared" ref="N27:N32" si="11">+K27-M27</f>
        <v>10.304500000000019</v>
      </c>
      <c r="O27" s="666">
        <f>SUM(O24:O26)</f>
        <v>24174.593899330252</v>
      </c>
      <c r="P27" s="667">
        <f>SUM(P24:P26)</f>
        <v>27875.645883000001</v>
      </c>
      <c r="Q27" s="668">
        <f t="shared" ref="Q27:Q43" si="12">+P27-O27</f>
        <v>3701.0519836697495</v>
      </c>
      <c r="R27" s="669">
        <f>SUM(R24:R26)</f>
        <v>24787.855567999999</v>
      </c>
      <c r="S27" s="670">
        <f t="shared" ref="S27:S34" si="13">+P27-R27</f>
        <v>3087.790315000002</v>
      </c>
      <c r="T27" s="666">
        <f>SUM(T24:T26)</f>
        <v>2260.7395692248783</v>
      </c>
      <c r="U27" s="667">
        <f>SUM(U24:U26)</f>
        <v>2324.5892900000008</v>
      </c>
      <c r="V27" s="668">
        <f t="shared" ref="V27:V32" si="14">+U27-T27</f>
        <v>63.849720775122478</v>
      </c>
      <c r="W27" s="669">
        <f>SUM(W24:W26)</f>
        <v>2541.409333999999</v>
      </c>
      <c r="X27" s="670">
        <f t="shared" ref="X27:X32" si="15">+U27-W27</f>
        <v>-216.82004399999823</v>
      </c>
      <c r="Y27" s="666">
        <f>+[4]합계!$Q$85</f>
        <v>100309.51825448238</v>
      </c>
      <c r="Z27" s="667">
        <f>+[4]합계!$R$85</f>
        <v>99953.912734626982</v>
      </c>
      <c r="AA27" s="671">
        <f>+[5]합계!$Q$85</f>
        <v>92313.001486539186</v>
      </c>
      <c r="AB27" s="672">
        <f>+[4]합계!$Q$89</f>
        <v>77513.589837679334</v>
      </c>
      <c r="AC27" s="667">
        <f>+[4]합계!$R$89</f>
        <v>80453.280019643586</v>
      </c>
      <c r="AD27" s="673">
        <f>+[5]합계!$Q$89</f>
        <v>71029.870126559981</v>
      </c>
      <c r="AE27" s="672">
        <f t="shared" si="7"/>
        <v>22795.928416803043</v>
      </c>
      <c r="AF27" s="667">
        <f t="shared" si="8"/>
        <v>19500.632714983396</v>
      </c>
      <c r="AG27" s="673">
        <f t="shared" si="9"/>
        <v>21283.131359979205</v>
      </c>
      <c r="AH27" s="27"/>
      <c r="AI27" s="28"/>
      <c r="AJ27" s="97"/>
      <c r="AL27" s="26"/>
    </row>
    <row r="28" spans="2:38" s="8" customFormat="1" ht="19.5" customHeight="1">
      <c r="B28" s="8" t="s">
        <v>204</v>
      </c>
      <c r="E28" s="8" t="s">
        <v>213</v>
      </c>
      <c r="G28" s="8" t="s">
        <v>3</v>
      </c>
      <c r="H28" s="724" t="s">
        <v>63</v>
      </c>
      <c r="I28" s="725"/>
      <c r="J28" s="182">
        <f>+IFERROR(HLOOKUP($B28,'[1]1월'!$D$6:$BN$259,2,),)</f>
        <v>6900</v>
      </c>
      <c r="K28" s="183">
        <f>+IFERROR(HLOOKUP($E28,'[2]1월'!$F$6:$CP$99,2,),)</f>
        <v>6425.0929999999998</v>
      </c>
      <c r="L28" s="184">
        <f>+K28-J28</f>
        <v>-474.90700000000015</v>
      </c>
      <c r="M28" s="185">
        <f>+IFERROR(HLOOKUP($E28,'[3]1월'!$F$6:$CC$57,2,),)</f>
        <v>6946.7870000000003</v>
      </c>
      <c r="N28" s="186">
        <f>+K28-M28</f>
        <v>-521.69400000000041</v>
      </c>
      <c r="O28" s="182">
        <f>+IFERROR(HLOOKUP($B28,'[1]1월'!$D$6:$BN$259,3,),)/1000</f>
        <v>8447.9431578947388</v>
      </c>
      <c r="P28" s="183">
        <f>+IFERROR(HLOOKUP($E28,'[2]1월'!$F$6:$CP$99,3,),)/1000</f>
        <v>7407.9571670000005</v>
      </c>
      <c r="Q28" s="184">
        <f>+P28-O28</f>
        <v>-1039.9859908947383</v>
      </c>
      <c r="R28" s="185">
        <f>+IFERROR(HLOOKUP($E28,'[3]1월'!$F$6:$CC$57,3,),)/1000</f>
        <v>8813.6342919999988</v>
      </c>
      <c r="S28" s="186">
        <f t="shared" si="13"/>
        <v>-1405.6771249999983</v>
      </c>
      <c r="T28" s="182">
        <f>+IFERROR(HLOOKUP($B28,'[1]1월'!$D$6:$BN$259,16,),)/1000</f>
        <v>94.750483031580856</v>
      </c>
      <c r="U28" s="183">
        <f>+IFERROR(HLOOKUP($E28,'[2]1월'!$F$6:$CP$99,16,),)/1000</f>
        <v>75.267211000000415</v>
      </c>
      <c r="V28" s="184">
        <f t="shared" si="14"/>
        <v>-19.483272031580441</v>
      </c>
      <c r="W28" s="185">
        <f>+IFERROR(HLOOKUP($E28,'[3]1월'!$F$6:$CC$57,16,),)/1000</f>
        <v>74.398933999999372</v>
      </c>
      <c r="X28" s="186">
        <f t="shared" si="15"/>
        <v>0.86827700000104358</v>
      </c>
      <c r="Y28" s="684" t="s">
        <v>174</v>
      </c>
      <c r="Z28" s="685"/>
      <c r="AA28" s="685"/>
      <c r="AB28" s="685"/>
      <c r="AC28" s="685"/>
      <c r="AD28" s="685"/>
      <c r="AE28" s="685"/>
      <c r="AF28" s="685"/>
      <c r="AG28" s="686"/>
      <c r="AH28" s="18"/>
      <c r="AI28" s="19"/>
    </row>
    <row r="29" spans="2:38" s="8" customFormat="1" ht="19.5" customHeight="1">
      <c r="B29" s="8" t="s">
        <v>205</v>
      </c>
      <c r="F29" s="79" t="s">
        <v>61</v>
      </c>
      <c r="G29" s="748" t="str">
        <f>+I29</f>
        <v>부산모래장</v>
      </c>
      <c r="H29" s="86" t="s">
        <v>60</v>
      </c>
      <c r="I29" s="79" t="s">
        <v>216</v>
      </c>
      <c r="J29" s="56">
        <f>+IFERROR(HLOOKUP($B29,'[1]1월'!$D$6:$BN$259,2,),)/1000</f>
        <v>24.586870682990952</v>
      </c>
      <c r="K29" s="57">
        <f>+IFERROR(HLOOKUP($F29,'[2]1월'!$F$6:$CP$99,2,),)/1000</f>
        <v>27.204999999999998</v>
      </c>
      <c r="L29" s="38">
        <f t="shared" si="10"/>
        <v>2.6181293170090463</v>
      </c>
      <c r="M29" s="38">
        <f>+IFERROR(HLOOKUP($F29,'[3]1월'!$F$6:$CC$57,2,),)/1000</f>
        <v>32.145000000000003</v>
      </c>
      <c r="N29" s="58">
        <f t="shared" si="11"/>
        <v>-4.9400000000000048</v>
      </c>
      <c r="O29" s="56">
        <f>+IFERROR(HLOOKUP($B29,'[1]1월'!$D$6:$BN$259,3,),)/1000</f>
        <v>697.84314324381148</v>
      </c>
      <c r="P29" s="57">
        <f>+IFERROR(HLOOKUP($F29,'[2]1월'!$F$6:$CP$99,3,),)/1000</f>
        <v>780.04600000000005</v>
      </c>
      <c r="Q29" s="38">
        <f t="shared" si="12"/>
        <v>82.202856756188567</v>
      </c>
      <c r="R29" s="38">
        <f>+IFERROR(HLOOKUP($F29,'[3]1월'!$F$6:$CC$57,3,),)/1000</f>
        <v>905.48199999999997</v>
      </c>
      <c r="S29" s="58">
        <f t="shared" si="13"/>
        <v>-125.43599999999992</v>
      </c>
      <c r="T29" s="56">
        <f>+IFERROR(HLOOKUP($B29,'[1]1월'!$D$6:$BN$259,21,),)/1000</f>
        <v>16.821420535828889</v>
      </c>
      <c r="U29" s="57">
        <f>+IFERROR(HLOOKUP($F29,'[2]1월'!$F$6:$CP$99,21,),)/1000</f>
        <v>57.434467096316673</v>
      </c>
      <c r="V29" s="38">
        <f t="shared" si="14"/>
        <v>40.613046560487788</v>
      </c>
      <c r="W29" s="38">
        <f>+IFERROR(HLOOKUP($F29,'[3]1월'!$F$6:$CC$57,16,),)/1000</f>
        <v>13.998208999999951</v>
      </c>
      <c r="X29" s="58">
        <f t="shared" si="15"/>
        <v>43.43625809631672</v>
      </c>
      <c r="Y29" s="621"/>
      <c r="Z29" s="622"/>
      <c r="AA29" s="622"/>
      <c r="AB29" s="622"/>
      <c r="AC29" s="622"/>
      <c r="AD29" s="622"/>
      <c r="AE29" s="622"/>
      <c r="AF29" s="622"/>
      <c r="AG29" s="51"/>
      <c r="AH29" s="18"/>
      <c r="AI29" s="19"/>
    </row>
    <row r="30" spans="2:38" s="8" customFormat="1" ht="19.5" customHeight="1">
      <c r="B30" s="8" t="s">
        <v>206</v>
      </c>
      <c r="F30" s="81" t="s">
        <v>62</v>
      </c>
      <c r="G30" s="748" t="str">
        <f t="shared" ref="G30:G31" si="16">+I30</f>
        <v>서부산CR</v>
      </c>
      <c r="H30" s="85"/>
      <c r="I30" s="81" t="s">
        <v>217</v>
      </c>
      <c r="J30" s="54">
        <f>+IFERROR(HLOOKUP($B30,'[1]1월'!$D$6:$BN$259,2,),)/1000</f>
        <v>12.3718</v>
      </c>
      <c r="K30" s="59">
        <f>+IFERROR(HLOOKUP($F30,'[2]1월'!$F$6:$CP$99,2,),)/1000</f>
        <v>27.872</v>
      </c>
      <c r="L30" s="48">
        <f t="shared" si="10"/>
        <v>15.5002</v>
      </c>
      <c r="M30" s="48">
        <f>+IFERROR(HLOOKUP($F30,'[3]1월'!$F$6:$CC$57,2,),)/1000</f>
        <v>33.74</v>
      </c>
      <c r="N30" s="60">
        <f t="shared" si="11"/>
        <v>-5.8680000000000021</v>
      </c>
      <c r="O30" s="54">
        <f>+IFERROR(HLOOKUP($B30,'[1]1월'!$D$6:$BN$259,3,),)/1000</f>
        <v>192.91300000000001</v>
      </c>
      <c r="P30" s="59">
        <f>+IFERROR(HLOOKUP($F30,'[2]1월'!$F$6:$CP$99,3,),)/1000</f>
        <v>373.31200000000001</v>
      </c>
      <c r="Q30" s="48">
        <f t="shared" si="12"/>
        <v>180.399</v>
      </c>
      <c r="R30" s="48">
        <f>+IFERROR(HLOOKUP($F30,'[3]1월'!$F$6:$CC$57,3,),)/1000</f>
        <v>393.346</v>
      </c>
      <c r="S30" s="60">
        <f t="shared" si="13"/>
        <v>-20.033999999999992</v>
      </c>
      <c r="T30" s="54">
        <f>+IFERROR(HLOOKUP($B30,'[1]1월'!$D$6:$BN$259,21,),)/1000</f>
        <v>65.721530370126814</v>
      </c>
      <c r="U30" s="59">
        <f>+IFERROR(HLOOKUP($F30,'[2]1월'!$F$6:$CP$99,21,),)/1000</f>
        <v>54.476101695418166</v>
      </c>
      <c r="V30" s="48">
        <f t="shared" si="14"/>
        <v>-11.245428674708648</v>
      </c>
      <c r="W30" s="48">
        <f>+IFERROR(HLOOKUP($F30,'[3]1월'!$F$6:$CC$57,16,),)/1000</f>
        <v>13.770076999999992</v>
      </c>
      <c r="X30" s="60">
        <f t="shared" si="15"/>
        <v>40.706024695418172</v>
      </c>
      <c r="Y30" s="663"/>
      <c r="Z30" s="622"/>
      <c r="AA30" s="622"/>
      <c r="AB30" s="622"/>
      <c r="AC30" s="622"/>
      <c r="AD30" s="622"/>
      <c r="AE30" s="622"/>
      <c r="AF30" s="622"/>
      <c r="AG30" s="51"/>
      <c r="AH30" s="18"/>
      <c r="AI30" s="19"/>
      <c r="AJ30" s="99"/>
      <c r="AK30" s="99"/>
      <c r="AL30" s="99"/>
    </row>
    <row r="31" spans="2:38" s="8" customFormat="1" ht="19.5" customHeight="1">
      <c r="B31" s="8" t="s">
        <v>176</v>
      </c>
      <c r="F31" s="83" t="s">
        <v>176</v>
      </c>
      <c r="G31" s="748" t="str">
        <f t="shared" si="16"/>
        <v>부산CR</v>
      </c>
      <c r="H31" s="85"/>
      <c r="I31" s="83" t="s">
        <v>218</v>
      </c>
      <c r="J31" s="54">
        <f>+IFERROR(HLOOKUP($B31,'[1]1월'!$D$6:$BN$259,2,),)/1000</f>
        <v>39.67029996559782</v>
      </c>
      <c r="K31" s="59">
        <f>+IFERROR(HLOOKUP($F31,'[2]1월'!$F$6:$CP$99,2,),)/1000</f>
        <v>29.44</v>
      </c>
      <c r="L31" s="48">
        <f t="shared" si="10"/>
        <v>-10.230299965597819</v>
      </c>
      <c r="M31" s="48">
        <f>+IFERROR(HLOOKUP($F31,'[3]1월'!$F$6:$CC$57,2,),)/1000</f>
        <v>0</v>
      </c>
      <c r="N31" s="60">
        <f t="shared" si="11"/>
        <v>29.44</v>
      </c>
      <c r="O31" s="54">
        <f>+IFERROR(HLOOKUP($B31,'[1]1월'!$D$6:$BN$259,3,),)/1000</f>
        <v>709.40685182383004</v>
      </c>
      <c r="P31" s="59">
        <f>+IFERROR(HLOOKUP($F31,'[2]1월'!$F$6:$CP$99,3,),)/1000</f>
        <v>566.16200000000003</v>
      </c>
      <c r="Q31" s="48">
        <f t="shared" si="12"/>
        <v>-143.24485182383</v>
      </c>
      <c r="R31" s="48">
        <f>+IFERROR(HLOOKUP($F31,'[3]1월'!$F$6:$CC$57,3,),)/1000</f>
        <v>0</v>
      </c>
      <c r="S31" s="60">
        <f t="shared" si="13"/>
        <v>566.16200000000003</v>
      </c>
      <c r="T31" s="54">
        <f>+IFERROR(HLOOKUP($B31,'[1]1월'!$D$6:$BN$259,21,),)/1000</f>
        <v>-55.517927057580778</v>
      </c>
      <c r="U31" s="59">
        <f>+IFERROR(HLOOKUP($F31,'[2]1월'!$F$6:$CP$99,21,),)/1000</f>
        <v>72.163163450000042</v>
      </c>
      <c r="V31" s="48">
        <f t="shared" si="14"/>
        <v>127.68109050758082</v>
      </c>
      <c r="W31" s="48">
        <f>+IFERROR(HLOOKUP($F31,'[3]1월'!$F$6:$CC$57,16,),)/1000</f>
        <v>-9.333730000000001</v>
      </c>
      <c r="X31" s="60">
        <f t="shared" si="15"/>
        <v>81.496893450000044</v>
      </c>
      <c r="Y31" s="663"/>
      <c r="Z31" s="622"/>
      <c r="AA31" s="622"/>
      <c r="AB31" s="622"/>
      <c r="AC31" s="622"/>
      <c r="AD31" s="622"/>
      <c r="AE31" s="622"/>
      <c r="AF31" s="622"/>
      <c r="AG31" s="51"/>
      <c r="AH31" s="18"/>
      <c r="AI31" s="19"/>
      <c r="AJ31" s="99"/>
      <c r="AK31" s="99"/>
      <c r="AL31" s="99"/>
    </row>
    <row r="32" spans="2:38" s="3" customFormat="1" ht="19.5" customHeight="1">
      <c r="H32" s="161" t="s">
        <v>42</v>
      </c>
      <c r="I32" s="162"/>
      <c r="J32" s="163">
        <f>SUM(J29:J31)</f>
        <v>76.628970648588776</v>
      </c>
      <c r="K32" s="167">
        <f>SUM(K29:K31)</f>
        <v>84.516999999999996</v>
      </c>
      <c r="L32" s="165">
        <f t="shared" si="10"/>
        <v>7.8880293514112196</v>
      </c>
      <c r="M32" s="165">
        <f>SUM(M29:M31)</f>
        <v>65.885000000000005</v>
      </c>
      <c r="N32" s="166">
        <f t="shared" si="11"/>
        <v>18.631999999999991</v>
      </c>
      <c r="O32" s="163">
        <f>SUM(O29:O31)</f>
        <v>1600.1629950676415</v>
      </c>
      <c r="P32" s="167">
        <f>SUM(P29:P31)</f>
        <v>1719.5200000000002</v>
      </c>
      <c r="Q32" s="165">
        <f t="shared" si="12"/>
        <v>119.35700493235868</v>
      </c>
      <c r="R32" s="165">
        <f>SUM(R29:R31)</f>
        <v>1298.828</v>
      </c>
      <c r="S32" s="166">
        <f t="shared" si="13"/>
        <v>420.69200000000023</v>
      </c>
      <c r="T32" s="163">
        <f>SUM(T29:T31)</f>
        <v>27.025023848374929</v>
      </c>
      <c r="U32" s="167">
        <f>SUM(U29:U31)</f>
        <v>184.07373224173489</v>
      </c>
      <c r="V32" s="165">
        <f t="shared" si="14"/>
        <v>157.04870839335996</v>
      </c>
      <c r="W32" s="165">
        <f>SUM(W29:W31)</f>
        <v>18.434555999999944</v>
      </c>
      <c r="X32" s="166">
        <f t="shared" si="15"/>
        <v>165.63917624173496</v>
      </c>
      <c r="Y32" s="663"/>
      <c r="Z32" s="622"/>
      <c r="AA32" s="622"/>
      <c r="AB32" s="622"/>
      <c r="AC32" s="622"/>
      <c r="AD32" s="622"/>
      <c r="AE32" s="622"/>
      <c r="AF32" s="622"/>
      <c r="AG32" s="51"/>
      <c r="AH32" s="27"/>
      <c r="AI32" s="28"/>
    </row>
    <row r="33" spans="2:38" s="8" customFormat="1" ht="19.5" customHeight="1">
      <c r="B33" s="8" t="s">
        <v>209</v>
      </c>
      <c r="C33" s="8" t="s">
        <v>208</v>
      </c>
      <c r="D33" t="s">
        <v>207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(IFERROR(HLOOKUP($B33,'[1]1월'!$D$6:$BN$259,3,),)++IFERROR(HLOOKUP($C33,'[1]1월'!$D$6:$BN$259,3,),)+IFERROR(HLOOKUP($D33,'[1]1월'!$D$6:$BN$259,3,),))/1000</f>
        <v>90.84</v>
      </c>
      <c r="P33" s="47">
        <f>+IFERROR(HLOOKUP($E33,'[2]1월'!$F$6:$CP$99,3,),)/1000</f>
        <v>90.84</v>
      </c>
      <c r="Q33" s="49">
        <f t="shared" si="12"/>
        <v>0</v>
      </c>
      <c r="R33" s="48">
        <f>+IFERROR(HLOOKUP($E33,'[3]1월'!$F$6:$CC$57,3,),)/1000</f>
        <v>78.34</v>
      </c>
      <c r="S33" s="60">
        <f t="shared" si="13"/>
        <v>12.5</v>
      </c>
      <c r="T33" s="46">
        <f>(IFERROR(HLOOKUP($B33,'[1]1월'!$D$6:$BN$259,21,),)++IFERROR(HLOOKUP($C33,'[1]1월'!$D$6:$BN$259,21,),)+IFERROR(HLOOKUP($D33,'[1]1월'!$D$6:$BN$259,21,),))/1000</f>
        <v>72.165959000000001</v>
      </c>
      <c r="U33" s="47">
        <f>+IFERROR(HLOOKUP($E33,'[2]1월'!$F$6:$CP$99,16,),)/1000</f>
        <v>71.796579999999992</v>
      </c>
      <c r="V33" s="49">
        <f t="shared" ref="V33:V40" si="17">+U33-T33</f>
        <v>-0.36937900000000923</v>
      </c>
      <c r="W33" s="48">
        <f>+IFERROR(HLOOKUP($E33,'[3]1월'!$F$6:$CC$57,16,),)/1000</f>
        <v>59.685200999999999</v>
      </c>
      <c r="X33" s="60">
        <f t="shared" ref="X33:X39" si="18">+U33-W33</f>
        <v>12.111378999999992</v>
      </c>
      <c r="Y33" s="663"/>
      <c r="Z33" s="622"/>
      <c r="AA33" s="622"/>
      <c r="AB33" s="622"/>
      <c r="AC33" s="622"/>
      <c r="AD33" s="622"/>
      <c r="AE33" s="622"/>
      <c r="AF33" s="622"/>
      <c r="AG33" s="51"/>
      <c r="AH33" s="18"/>
      <c r="AI33" s="19"/>
    </row>
    <row r="34" spans="2:38" s="8" customFormat="1" ht="19.5" customHeight="1">
      <c r="B34" s="8" t="s">
        <v>210</v>
      </c>
      <c r="C34" s="8" t="s">
        <v>211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(+IFERROR(HLOOKUP($B34,'[1]1월'!$D$6:$BN$259,3,),)+IFERROR(HLOOKUP($C34,'[1]1월'!$D$6:$BN$259,3,),))/1000</f>
        <v>72.297500333333332</v>
      </c>
      <c r="P34" s="47">
        <f>+IFERROR(HLOOKUP($E34,'[2]1월'!$F$6:$CP$99,3,),)/1000</f>
        <v>71.933111000000011</v>
      </c>
      <c r="Q34" s="49">
        <f>+P34-O34</f>
        <v>-0.36438933333332102</v>
      </c>
      <c r="R34" s="48">
        <f>+IFERROR(HLOOKUP($E34,'[3]1월'!$F$6:$CC$57,3,),)/1000</f>
        <v>94.115918000000008</v>
      </c>
      <c r="S34" s="60">
        <f t="shared" si="13"/>
        <v>-22.182806999999997</v>
      </c>
      <c r="T34" s="46">
        <f>(+IFERROR(HLOOKUP($B34,'[1]1월'!$D$6:$BN$259,21,),)+IFERROR(HLOOKUP($C34,'[1]1월'!$D$6:$BN$259,21,),))/1000</f>
        <v>62.030473333333333</v>
      </c>
      <c r="U34" s="47">
        <f>+IFERROR(HLOOKUP($E34,'[2]1월'!$F$6:$CP$99,16,),)/1000</f>
        <v>61.824293999999995</v>
      </c>
      <c r="V34" s="49">
        <f t="shared" si="17"/>
        <v>-0.20617933333333838</v>
      </c>
      <c r="W34" s="48">
        <f>+IFERROR(HLOOKUP($E34,'[3]1월'!$F$6:$CC$57,16,),)/1000</f>
        <v>39.911628000000007</v>
      </c>
      <c r="X34" s="60">
        <f t="shared" si="18"/>
        <v>21.912665999999987</v>
      </c>
      <c r="Y34" s="663"/>
      <c r="Z34" s="622"/>
      <c r="AA34" s="622"/>
      <c r="AB34" s="622"/>
      <c r="AC34" s="622"/>
      <c r="AD34" s="622"/>
      <c r="AE34" s="622"/>
      <c r="AF34" s="622"/>
      <c r="AG34" s="51"/>
      <c r="AH34" s="18"/>
      <c r="AI34" s="19"/>
    </row>
    <row r="35" spans="2:38" s="8" customFormat="1" ht="19.5" customHeight="1">
      <c r="B35" s="8" t="s">
        <v>212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-'[1]1월'!$Z$22/1000</f>
        <v>-1461.2949846539102</v>
      </c>
      <c r="U35" s="47">
        <f>+-'[2]1월'!$Z$22/1000</f>
        <v>-1549.2991472438964</v>
      </c>
      <c r="V35" s="49">
        <f t="shared" si="17"/>
        <v>-88.004162589986208</v>
      </c>
      <c r="W35" s="48">
        <f>+-'[3]1월'!$Z$22/1000</f>
        <v>-1236.277392</v>
      </c>
      <c r="X35" s="60">
        <f t="shared" si="18"/>
        <v>-313.02175524389645</v>
      </c>
      <c r="Y35" s="663"/>
      <c r="Z35" s="622"/>
      <c r="AA35" s="622"/>
      <c r="AB35" s="622"/>
      <c r="AC35" s="622"/>
      <c r="AD35" s="622"/>
      <c r="AE35" s="622"/>
      <c r="AF35" s="622"/>
      <c r="AG35" s="51"/>
      <c r="AH35" s="18"/>
      <c r="AI35" s="19"/>
      <c r="AK35" s="631"/>
      <c r="AL35" s="99"/>
    </row>
    <row r="36" spans="2:38" s="8" customFormat="1" ht="19.5" customHeight="1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+'[1]1월'!$AS$26/1000</f>
        <v>0</v>
      </c>
      <c r="U36" s="47">
        <f>-'[2]1월'!$BD$26/1000</f>
        <v>0</v>
      </c>
      <c r="V36" s="49">
        <f t="shared" si="17"/>
        <v>0</v>
      </c>
      <c r="W36" s="48">
        <f>-'[3]1월'!$BD$26/1000</f>
        <v>0</v>
      </c>
      <c r="X36" s="60">
        <f t="shared" si="18"/>
        <v>0</v>
      </c>
      <c r="Y36" s="663"/>
      <c r="Z36" s="622"/>
      <c r="AA36" s="622"/>
      <c r="AB36" s="622"/>
      <c r="AC36" s="622"/>
      <c r="AD36" s="622"/>
      <c r="AE36" s="622"/>
      <c r="AF36" s="622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-'[2]1월'!$BE$26/1000</f>
        <v>0</v>
      </c>
      <c r="V37" s="49">
        <f t="shared" si="17"/>
        <v>0</v>
      </c>
      <c r="W37" s="48">
        <f>-'[3]1월'!$BE$26/1000</f>
        <v>0</v>
      </c>
      <c r="X37" s="60">
        <f t="shared" si="18"/>
        <v>0</v>
      </c>
      <c r="Y37" s="621"/>
      <c r="Z37" s="622"/>
      <c r="AA37" s="622"/>
      <c r="AB37" s="622"/>
      <c r="AC37" s="622"/>
      <c r="AD37" s="622"/>
      <c r="AE37" s="622"/>
      <c r="AF37" s="622"/>
      <c r="AG37" s="51"/>
      <c r="AH37" s="18"/>
      <c r="AI37" s="19"/>
      <c r="AK37" s="99"/>
      <c r="AL37" s="99"/>
    </row>
    <row r="38" spans="2:38" s="8" customFormat="1" ht="19.5" customHeight="1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/>
      <c r="S38" s="60">
        <f t="shared" si="22"/>
        <v>0</v>
      </c>
      <c r="T38" s="46">
        <f>SUM('[1]1월'!$AM$26:$AQ$26)/1000</f>
        <v>-35.76748444445964</v>
      </c>
      <c r="U38" s="47">
        <f>+'[2]1월'!$BF$26/1000</f>
        <v>-36.069286999999996</v>
      </c>
      <c r="V38" s="49">
        <f t="shared" si="17"/>
        <v>-0.3018025555403554</v>
      </c>
      <c r="W38" s="48">
        <f>+'[3]1월'!$BF$26/1000</f>
        <v>-8.2008430000000008</v>
      </c>
      <c r="X38" s="60">
        <f>+U38-W38</f>
        <v>-27.868443999999997</v>
      </c>
      <c r="Y38" s="621"/>
      <c r="Z38" s="622"/>
      <c r="AA38" s="622"/>
      <c r="AB38" s="622"/>
      <c r="AC38" s="622"/>
      <c r="AD38" s="622"/>
      <c r="AE38" s="622"/>
      <c r="AF38" s="622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IFERROR(HLOOKUP($B39,'[1]1월'!$D$6:$BN$259,3,),)/1000</f>
        <v>1.77</v>
      </c>
      <c r="P39" s="47">
        <f>+('[2]1월'!$F$8-SUM('[2]1월'!$Z$8,'[2]1월'!$AH$8,'[2]1월'!$AN$8,'[2]1월'!$AO$8,'[2]1월'!$BA$8,'[2]1월'!$BD$8,'[2]1월'!$BE$8,'[2]1월'!$BF$8))/1000</f>
        <v>1.70239999999851</v>
      </c>
      <c r="Q39" s="55">
        <f t="shared" si="21"/>
        <v>-6.7600000001490024E-2</v>
      </c>
      <c r="R39" s="61">
        <f>+('[3]1월'!$F$8-SUM('[3]1월'!$Z$8,'[3]1월'!$AH$8,'[3]1월'!$AN$8,'[3]1월'!$AO$8,'[3]1월'!$BA$8,'[3]1월'!$BD$8,'[3]1월'!$BE$8,'[3]1월'!$BF$8))/1000</f>
        <v>1.6661000000014901</v>
      </c>
      <c r="S39" s="62">
        <f t="shared" si="22"/>
        <v>3.6299999997019938E-2</v>
      </c>
      <c r="T39" s="46">
        <f>+('[1]1월'!$E$26-'[1]1월'!$Z$26-'[1]1월'!$AA$26-'[1]1월'!$AE$26-'[1]1월'!$AL$26-'[1]1월'!$AM$26-'[1]1월'!$AN$26-'[1]1월'!$AO$26-'[1]1월'!$AP$26-'[1]1월'!$AQ$26-'[1]1월'!$AS$26)/1000</f>
        <v>-15.985408000000403</v>
      </c>
      <c r="U39" s="47">
        <f>+('[2]1월'!$F$26-SUM('[2]1월'!$Z$26,'[2]1월'!$AH$26,'[2]1월'!$AN$26,'[2]1월'!$AO$26,'[2]1월'!$BA$26,'[2]1월'!$BD$26,'[2]1월'!$BE$26,'[2]1월'!$BF$26))/1000</f>
        <v>-17.114136000001338</v>
      </c>
      <c r="V39" s="49">
        <f t="shared" si="17"/>
        <v>-1.128728000000935</v>
      </c>
      <c r="W39" s="61">
        <f>+('[3]1월'!$F$26-SUM('[3]1월'!$Z$26,'[3]1월'!$AH$26,'[3]1월'!$AN$26,'[3]1월'!$AO$26,'[3]1월'!$BA$26,'[3]1월'!$BD$26,'[3]1월'!$BE$26,'[3]1월'!$BF$26))/1000</f>
        <v>-17.003695999999529</v>
      </c>
      <c r="X39" s="60">
        <f t="shared" si="18"/>
        <v>-0.11044000000180887</v>
      </c>
      <c r="Y39" s="630"/>
      <c r="Z39" s="622"/>
      <c r="AA39" s="622"/>
      <c r="AB39" s="622"/>
      <c r="AC39" s="622"/>
      <c r="AD39" s="622"/>
      <c r="AE39" s="622"/>
      <c r="AF39" s="622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621"/>
      <c r="Z40" s="622"/>
      <c r="AA40" s="622"/>
      <c r="AB40" s="622"/>
      <c r="AC40" s="622"/>
      <c r="AD40" s="622"/>
      <c r="AE40" s="622"/>
      <c r="AF40" s="622"/>
      <c r="AG40" s="51"/>
      <c r="AH40" s="31"/>
    </row>
    <row r="41" spans="2:38" s="3" customFormat="1" ht="19.5" customHeight="1">
      <c r="D41" s="692"/>
      <c r="H41" s="161" t="s">
        <v>118</v>
      </c>
      <c r="I41" s="162"/>
      <c r="J41" s="681">
        <f>SUM(J33:J40)</f>
        <v>0</v>
      </c>
      <c r="K41" s="682">
        <f>SUM(K33:K40)</f>
        <v>0</v>
      </c>
      <c r="L41" s="682">
        <f>+K41-J41</f>
        <v>0</v>
      </c>
      <c r="M41" s="682">
        <f>SUM(M33:M40)</f>
        <v>0</v>
      </c>
      <c r="N41" s="683">
        <f t="shared" si="20"/>
        <v>0</v>
      </c>
      <c r="O41" s="163">
        <f>SUM(O33:O40)</f>
        <v>164.90750033333333</v>
      </c>
      <c r="P41" s="164">
        <f>SUM(P33:P40)</f>
        <v>164.47551099999853</v>
      </c>
      <c r="Q41" s="168">
        <f t="shared" si="12"/>
        <v>-0.43198933333479772</v>
      </c>
      <c r="R41" s="169">
        <f>SUM(R33:R40)</f>
        <v>174.12201800000148</v>
      </c>
      <c r="S41" s="170">
        <f>+P41-R41</f>
        <v>-9.6465070000029414</v>
      </c>
      <c r="T41" s="163">
        <f>SUM(T33:T40)</f>
        <v>-1378.8514447650368</v>
      </c>
      <c r="U41" s="164">
        <f>SUM(U33:U40)</f>
        <v>-1468.8616962438978</v>
      </c>
      <c r="V41" s="168">
        <f>+U41-T41</f>
        <v>-90.010251478860937</v>
      </c>
      <c r="W41" s="169">
        <f>SUM(W33:W40)</f>
        <v>-1161.8851019999995</v>
      </c>
      <c r="X41" s="170">
        <f>+U41-W41</f>
        <v>-306.97659424389826</v>
      </c>
      <c r="Y41" s="623"/>
      <c r="Z41" s="624"/>
      <c r="AA41" s="624"/>
      <c r="AB41" s="624"/>
      <c r="AC41" s="624"/>
      <c r="AD41" s="624"/>
      <c r="AE41" s="624"/>
      <c r="AF41" s="624"/>
      <c r="AG41" s="625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99">
        <f>+P43/O43</f>
        <v>1.0808428153694496</v>
      </c>
      <c r="H43" s="674" t="s">
        <v>41</v>
      </c>
      <c r="I43" s="675"/>
      <c r="J43" s="687"/>
      <c r="K43" s="688"/>
      <c r="L43" s="688"/>
      <c r="M43" s="688"/>
      <c r="N43" s="689"/>
      <c r="O43" s="676">
        <f>+O27+O32+O28+O41</f>
        <v>34387.607552625966</v>
      </c>
      <c r="P43" s="677">
        <f>+P27+P32+P28+P41</f>
        <v>37167.598560999999</v>
      </c>
      <c r="Q43" s="678">
        <f t="shared" si="12"/>
        <v>2779.9910083740324</v>
      </c>
      <c r="R43" s="679">
        <f>+R27+R32+R28+R41</f>
        <v>35074.439877999997</v>
      </c>
      <c r="S43" s="680">
        <f>+P43-R43</f>
        <v>2093.1586830000015</v>
      </c>
      <c r="T43" s="676">
        <f>+T27+T32+T28+T41</f>
        <v>1003.6636313397971</v>
      </c>
      <c r="U43" s="677">
        <f>+U27+U32+U28+U41</f>
        <v>1115.0685369978382</v>
      </c>
      <c r="V43" s="678">
        <f>+U43-T43</f>
        <v>111.40490565804112</v>
      </c>
      <c r="W43" s="679">
        <f>+W27+W32+W28+W41</f>
        <v>1472.3577219999991</v>
      </c>
      <c r="X43" s="680">
        <f>+U43-W43</f>
        <v>-357.28918500216082</v>
      </c>
      <c r="Y43" s="726"/>
      <c r="Z43" s="727"/>
      <c r="AA43" s="727"/>
      <c r="AB43" s="727"/>
      <c r="AC43" s="727"/>
      <c r="AD43" s="727"/>
      <c r="AE43" s="727"/>
      <c r="AF43" s="727"/>
      <c r="AG43" s="728"/>
      <c r="AH43" s="26"/>
    </row>
    <row r="44" spans="2:38" s="34" customFormat="1">
      <c r="G44" s="696">
        <f>+U43/T43</f>
        <v>1.1109982489943628</v>
      </c>
      <c r="T44" s="696">
        <f>+T43/O43</f>
        <v>2.9186782761895094E-2</v>
      </c>
      <c r="U44" s="696">
        <f>+U43/P43</f>
        <v>3.000109181570533E-2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723" t="s">
        <v>101</v>
      </c>
      <c r="J46" s="153">
        <f>+'[1]1월'!$Z$7/1000</f>
        <v>241</v>
      </c>
      <c r="K46" s="154">
        <f>+'[2]1월'!$AI$7/1000</f>
        <v>278.88549999999998</v>
      </c>
      <c r="L46" s="154"/>
      <c r="M46" s="154">
        <f>+'[3]1월'!$Z$7/1000</f>
        <v>268.58100000000002</v>
      </c>
      <c r="N46" s="154"/>
      <c r="O46" s="154">
        <f>+'[1]1월'!$E$8/1000</f>
        <v>34387.607552625959</v>
      </c>
      <c r="P46" s="154">
        <f>+'[2]1월'!$F$8/1000</f>
        <v>37167.598560999999</v>
      </c>
      <c r="Q46" s="154"/>
      <c r="R46" s="154">
        <f>+'[3]1월'!$F$8/1000</f>
        <v>35074.439877999997</v>
      </c>
      <c r="S46" s="154"/>
      <c r="T46" s="159">
        <f>+'[1]1월'!$E$26/1000</f>
        <v>1003.663631339801</v>
      </c>
      <c r="U46" s="154">
        <f>+'[2]1월'!$F$26/1000</f>
        <v>1115.0685369978371</v>
      </c>
      <c r="V46" s="154"/>
      <c r="W46" s="154">
        <f>+'[3]1월'!$F$26/1000</f>
        <v>1472.3577219999991</v>
      </c>
      <c r="X46" s="155"/>
      <c r="AC46" s="35"/>
      <c r="AF46" s="35"/>
    </row>
    <row r="47" spans="2:38" s="34" customFormat="1" ht="17.25" thickBot="1">
      <c r="I47" s="723"/>
      <c r="J47" s="158">
        <f>+J46-J27</f>
        <v>0</v>
      </c>
      <c r="K47" s="156">
        <f>+K46-K27</f>
        <v>0</v>
      </c>
      <c r="L47" s="156"/>
      <c r="M47" s="156">
        <f>+M46-M27</f>
        <v>0</v>
      </c>
      <c r="N47" s="156"/>
      <c r="O47" s="160">
        <f>+O46-O43</f>
        <v>0</v>
      </c>
      <c r="P47" s="160">
        <f>+P46-P43</f>
        <v>0</v>
      </c>
      <c r="Q47" s="156"/>
      <c r="R47" s="160">
        <f>+R46-R43</f>
        <v>0</v>
      </c>
      <c r="S47" s="156"/>
      <c r="T47" s="160">
        <f>+T46-T43</f>
        <v>3.865352482534945E-12</v>
      </c>
      <c r="U47" s="160">
        <f>+U46-U43</f>
        <v>0</v>
      </c>
      <c r="V47" s="156"/>
      <c r="W47" s="156">
        <f>+W46-W43</f>
        <v>0</v>
      </c>
      <c r="X47" s="157"/>
      <c r="AC47" s="35"/>
      <c r="AF47" s="35"/>
      <c r="AG47" s="34" t="s">
        <v>102</v>
      </c>
    </row>
    <row r="48" spans="2:38">
      <c r="T48" s="693"/>
      <c r="U48" s="693"/>
      <c r="V48" s="693"/>
    </row>
    <row r="49" spans="10:33">
      <c r="T49" s="693"/>
      <c r="U49" s="693"/>
      <c r="V49" s="693"/>
    </row>
    <row r="50" spans="10:33">
      <c r="T50" s="693"/>
      <c r="U50" s="693"/>
      <c r="V50" s="693"/>
    </row>
    <row r="51" spans="10:33">
      <c r="T51" s="694"/>
      <c r="U51" s="694"/>
      <c r="V51" s="693"/>
    </row>
    <row r="52" spans="10:33">
      <c r="T52" s="694"/>
      <c r="U52" s="694"/>
      <c r="V52" s="693"/>
    </row>
    <row r="54" spans="10:33">
      <c r="J54" s="633"/>
      <c r="K54" s="633"/>
      <c r="L54" s="633"/>
      <c r="M54" s="633"/>
      <c r="N54" s="633"/>
      <c r="O54" s="633"/>
      <c r="P54" s="633"/>
      <c r="Q54" s="633"/>
      <c r="R54" s="633"/>
      <c r="S54" s="633"/>
      <c r="T54" s="633"/>
      <c r="U54" s="633"/>
      <c r="V54" s="633"/>
      <c r="W54" s="633"/>
      <c r="X54" s="633"/>
      <c r="Y54" s="633"/>
      <c r="Z54" s="633"/>
      <c r="AA54" s="633"/>
      <c r="AB54" s="633"/>
      <c r="AC54" s="633"/>
      <c r="AD54" s="633"/>
      <c r="AE54" s="633"/>
      <c r="AF54" s="633"/>
      <c r="AG54" s="633"/>
    </row>
    <row r="55" spans="10:33">
      <c r="J55" s="633"/>
      <c r="K55" s="633"/>
      <c r="L55" s="633"/>
      <c r="M55" s="633"/>
      <c r="N55" s="633"/>
      <c r="O55" s="633"/>
      <c r="P55" s="633"/>
      <c r="Q55" s="633"/>
      <c r="R55" s="633"/>
      <c r="S55" s="633"/>
      <c r="T55" s="633"/>
      <c r="U55" s="633"/>
      <c r="V55" s="633"/>
      <c r="W55" s="633"/>
      <c r="X55" s="633"/>
      <c r="Y55" s="633"/>
      <c r="Z55" s="633"/>
      <c r="AA55" s="633"/>
      <c r="AB55" s="633"/>
      <c r="AC55" s="633"/>
      <c r="AD55" s="633"/>
      <c r="AE55" s="633"/>
      <c r="AF55" s="633"/>
      <c r="AG55" s="633"/>
    </row>
    <row r="56" spans="10:33">
      <c r="J56" s="633"/>
      <c r="K56" s="633"/>
      <c r="L56" s="633"/>
      <c r="M56" s="633"/>
      <c r="N56" s="633"/>
      <c r="O56" s="633"/>
      <c r="P56" s="633"/>
      <c r="Q56" s="633"/>
      <c r="R56" s="633"/>
      <c r="S56" s="633"/>
      <c r="T56" s="633"/>
      <c r="U56" s="633"/>
      <c r="V56" s="633"/>
      <c r="W56" s="633"/>
      <c r="X56" s="633"/>
      <c r="Y56" s="633"/>
      <c r="Z56" s="633"/>
      <c r="AA56" s="633"/>
      <c r="AB56" s="633"/>
      <c r="AC56" s="633"/>
      <c r="AD56" s="633"/>
      <c r="AE56" s="633"/>
      <c r="AF56" s="633"/>
      <c r="AG56" s="633"/>
    </row>
    <row r="57" spans="10:33">
      <c r="J57" s="633"/>
      <c r="K57" s="633"/>
      <c r="L57" s="633"/>
      <c r="M57" s="633"/>
      <c r="N57" s="633"/>
      <c r="O57" s="633"/>
      <c r="P57" s="633"/>
      <c r="Q57" s="633"/>
      <c r="R57" s="633"/>
      <c r="S57" s="633"/>
      <c r="T57" s="633"/>
      <c r="U57" s="633"/>
      <c r="V57" s="633"/>
      <c r="W57" s="633"/>
      <c r="X57" s="633"/>
      <c r="Y57" s="633"/>
      <c r="Z57" s="633"/>
      <c r="AA57" s="633"/>
      <c r="AB57" s="633"/>
      <c r="AC57" s="633"/>
      <c r="AD57" s="633"/>
      <c r="AE57" s="633"/>
      <c r="AF57" s="633"/>
      <c r="AG57" s="633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40F5-C984-4E29-B7A3-7AA390A89098}">
  <sheetPr>
    <tabColor theme="1" tint="0.249977111117893"/>
    <pageSetUpPr fitToPage="1"/>
  </sheetPr>
  <dimension ref="A1:AL57"/>
  <sheetViews>
    <sheetView showGridLines="0" showZeros="0" tabSelected="1" view="pageBreakPreview" topLeftCell="F8" zoomScale="85" zoomScaleNormal="85" zoomScaleSheetLayoutView="85" workbookViewId="0">
      <selection activeCell="K39" sqref="K39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203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719" t="s">
        <v>11</v>
      </c>
      <c r="I5" s="720"/>
      <c r="J5" s="187" t="s">
        <v>0</v>
      </c>
      <c r="K5" s="188"/>
      <c r="L5" s="188"/>
      <c r="M5" s="188"/>
      <c r="N5" s="189"/>
      <c r="O5" s="187" t="s">
        <v>2</v>
      </c>
      <c r="P5" s="188"/>
      <c r="Q5" s="188"/>
      <c r="R5" s="188"/>
      <c r="S5" s="189"/>
      <c r="T5" s="187" t="s">
        <v>119</v>
      </c>
      <c r="U5" s="188"/>
      <c r="V5" s="188"/>
      <c r="W5" s="188"/>
      <c r="X5" s="189"/>
      <c r="Y5" s="187" t="s">
        <v>21</v>
      </c>
      <c r="Z5" s="188"/>
      <c r="AA5" s="189"/>
      <c r="AB5" s="187" t="s">
        <v>44</v>
      </c>
      <c r="AC5" s="188"/>
      <c r="AD5" s="189"/>
      <c r="AE5" s="187" t="s">
        <v>69</v>
      </c>
      <c r="AF5" s="188"/>
      <c r="AG5" s="189"/>
    </row>
    <row r="6" spans="2:36" s="8" customFormat="1" ht="19.5" customHeight="1">
      <c r="H6" s="721"/>
      <c r="I6" s="722"/>
      <c r="J6" s="190" t="s">
        <v>12</v>
      </c>
      <c r="K6" s="191" t="s">
        <v>13</v>
      </c>
      <c r="L6" s="192" t="s">
        <v>37</v>
      </c>
      <c r="M6" s="191" t="s">
        <v>14</v>
      </c>
      <c r="N6" s="193" t="s">
        <v>37</v>
      </c>
      <c r="O6" s="190" t="s">
        <v>15</v>
      </c>
      <c r="P6" s="191" t="s">
        <v>16</v>
      </c>
      <c r="Q6" s="192" t="s">
        <v>36</v>
      </c>
      <c r="R6" s="191" t="s">
        <v>17</v>
      </c>
      <c r="S6" s="193" t="s">
        <v>36</v>
      </c>
      <c r="T6" s="190" t="s">
        <v>15</v>
      </c>
      <c r="U6" s="191" t="s">
        <v>16</v>
      </c>
      <c r="V6" s="192" t="s">
        <v>36</v>
      </c>
      <c r="W6" s="191" t="s">
        <v>17</v>
      </c>
      <c r="X6" s="193" t="s">
        <v>36</v>
      </c>
      <c r="Y6" s="194" t="s">
        <v>15</v>
      </c>
      <c r="Z6" s="195" t="s">
        <v>16</v>
      </c>
      <c r="AA6" s="196" t="s">
        <v>17</v>
      </c>
      <c r="AB6" s="197" t="s">
        <v>15</v>
      </c>
      <c r="AC6" s="195" t="s">
        <v>16</v>
      </c>
      <c r="AD6" s="193" t="s">
        <v>17</v>
      </c>
      <c r="AE6" s="197" t="s">
        <v>15</v>
      </c>
      <c r="AF6" s="195" t="s">
        <v>16</v>
      </c>
      <c r="AG6" s="193" t="s">
        <v>17</v>
      </c>
    </row>
    <row r="7" spans="2:36" s="8" customFormat="1" ht="19.5" customHeight="1">
      <c r="B7" s="8" t="s">
        <v>22</v>
      </c>
      <c r="G7" s="9"/>
      <c r="H7" s="78" t="s">
        <v>53</v>
      </c>
      <c r="I7" s="79" t="s">
        <v>22</v>
      </c>
      <c r="J7" s="36">
        <f>+IFERROR(HLOOKUP($B7,'[1]1월'!$D$6:$BN$259,2,),)/1000</f>
        <v>37</v>
      </c>
      <c r="K7" s="37">
        <f>+IFERROR(HLOOKUP($B7,'[2]1월'!$F$6:$CP$99,2,),)/1000</f>
        <v>45.761000000000003</v>
      </c>
      <c r="L7" s="38">
        <f t="shared" ref="L7:L32" si="0">+K7-J7</f>
        <v>8.7610000000000028</v>
      </c>
      <c r="M7" s="39">
        <f>+IFERROR(HLOOKUP($B7,'[3]1월'!$F$6:$CC$57,2,),)/1000</f>
        <v>39.265999999999998</v>
      </c>
      <c r="N7" s="40">
        <f>+K7-M7</f>
        <v>6.4950000000000045</v>
      </c>
      <c r="O7" s="36">
        <f>+IFERROR(HLOOKUP($B7,'[1]1월'!$D$6:$BN$259,3,),)/1000</f>
        <v>3581.7518500000006</v>
      </c>
      <c r="P7" s="37">
        <f>+IFERROR(HLOOKUP($B7,'[2]1월'!$F$6:$CP$99,3,),)/1000</f>
        <v>4371.1989000000003</v>
      </c>
      <c r="Q7" s="38">
        <f>+P7-O7</f>
        <v>789.44704999999976</v>
      </c>
      <c r="R7" s="39">
        <f>+IFERROR(HLOOKUP($B7,'[3]1월'!$F$6:$CC$57,3,),)/1000</f>
        <v>3529.829804</v>
      </c>
      <c r="S7" s="40">
        <f>+P7-R7</f>
        <v>841.36909600000035</v>
      </c>
      <c r="T7" s="36">
        <f>+IFERROR(HLOOKUP($B7,'[1]1월'!$D$6:$BN$259,16,),)/1000</f>
        <v>326.8929349364729</v>
      </c>
      <c r="U7" s="37">
        <f>+IFERROR(HLOOKUP($B7,'[2]1월'!$F$6:$CP$99,16,),)/1000</f>
        <v>337.22639400000014</v>
      </c>
      <c r="V7" s="41">
        <f>+U7-T7</f>
        <v>10.333459063527243</v>
      </c>
      <c r="W7" s="42">
        <f>+IFERROR(HLOOKUP($B7,'[3]1월'!$F$6:$CC$57,16,),)/1000</f>
        <v>393.29113400000011</v>
      </c>
      <c r="X7" s="40">
        <f>+U7-W7</f>
        <v>-56.064739999999972</v>
      </c>
      <c r="Y7" s="36">
        <f>+[4]안양!$Q$85</f>
        <v>96804.104054054071</v>
      </c>
      <c r="Z7" s="37">
        <f>+[4]안양!$R$85</f>
        <v>95522.364021765272</v>
      </c>
      <c r="AA7" s="43">
        <f>+[5]안양!$Q$85</f>
        <v>89895.324300921915</v>
      </c>
      <c r="AB7" s="44">
        <f>+[4]안양!$Q$89</f>
        <v>79892.321289251908</v>
      </c>
      <c r="AC7" s="37">
        <f>+[4]안양!$R$89</f>
        <v>81107.602320145059</v>
      </c>
      <c r="AD7" s="45">
        <f>+[5]안양!$Q$89</f>
        <v>72443.519474902685</v>
      </c>
      <c r="AE7" s="44">
        <f>+Y7-AB7</f>
        <v>16911.782764802163</v>
      </c>
      <c r="AF7" s="37">
        <f>+Z7-AC7</f>
        <v>14414.761701620213</v>
      </c>
      <c r="AG7" s="45">
        <f>+AA7-AD7</f>
        <v>17451.80482601923</v>
      </c>
      <c r="AH7" s="18"/>
      <c r="AI7" s="19"/>
    </row>
    <row r="8" spans="2:36" s="8" customFormat="1" ht="19.5" customHeight="1">
      <c r="B8" s="8" t="s">
        <v>23</v>
      </c>
      <c r="G8" s="9"/>
      <c r="H8" s="80" t="s">
        <v>54</v>
      </c>
      <c r="I8" s="81" t="s">
        <v>23</v>
      </c>
      <c r="J8" s="46">
        <f>+IFERROR(HLOOKUP($B8,'[1]1월'!$D$6:$BN$259,2,),)/1000</f>
        <v>28</v>
      </c>
      <c r="K8" s="47">
        <f>+IFERROR(HLOOKUP($B8,'[2]1월'!$F$6:$CP$99,2,),)/1000</f>
        <v>28.34</v>
      </c>
      <c r="L8" s="48">
        <f t="shared" si="0"/>
        <v>0.33999999999999986</v>
      </c>
      <c r="M8" s="49">
        <f>+IFERROR(HLOOKUP($B8,'[3]1월'!$F$6:$CC$57,2,),)/1000</f>
        <v>24.957000000000001</v>
      </c>
      <c r="N8" s="50">
        <f t="shared" ref="N8:N32" si="1">+K8-M8</f>
        <v>3.3829999999999991</v>
      </c>
      <c r="O8" s="46">
        <f>+IFERROR(HLOOKUP($B8,'[1]1월'!$D$6:$BN$259,3,),)/1000</f>
        <v>2739.7515299999995</v>
      </c>
      <c r="P8" s="47">
        <f>+IFERROR(HLOOKUP($B8,'[2]1월'!$F$6:$CP$99,3,),)/1000</f>
        <v>2766.8113280000002</v>
      </c>
      <c r="Q8" s="48">
        <f t="shared" ref="Q8:Q43" si="2">+P8-O8</f>
        <v>27.059798000000683</v>
      </c>
      <c r="R8" s="49">
        <f>+IFERROR(HLOOKUP($B8,'[3]1월'!$F$6:$CC$57,3,),)/1000</f>
        <v>2220.1667179999999</v>
      </c>
      <c r="S8" s="50">
        <f t="shared" ref="S8:S40" si="3">+P8-R8</f>
        <v>546.64461000000028</v>
      </c>
      <c r="T8" s="46">
        <f>+IFERROR(HLOOKUP($B8,'[1]1월'!$D$6:$BN$259,16,),)/1000</f>
        <v>125.23471203982687</v>
      </c>
      <c r="U8" s="47">
        <f>+IFERROR(HLOOKUP($B8,'[2]1월'!$F$6:$CP$99,16,),)/1000</f>
        <v>102.9246220000005</v>
      </c>
      <c r="V8" s="48">
        <f t="shared" ref="V8:V40" si="4">+U8-T8</f>
        <v>-22.310090039826378</v>
      </c>
      <c r="W8" s="49">
        <f>+IFERROR(HLOOKUP($B8,'[3]1월'!$F$6:$CC$57,16,),)/1000</f>
        <v>29.293795999999812</v>
      </c>
      <c r="X8" s="50">
        <f t="shared" ref="X8:X39" si="5">+U8-W8</f>
        <v>73.630826000000681</v>
      </c>
      <c r="Y8" s="46">
        <f>+[4]인천!$Q$85</f>
        <v>97848.2689285714</v>
      </c>
      <c r="Z8" s="47">
        <f>+[4]인천!$R$85</f>
        <v>97629.192942836991</v>
      </c>
      <c r="AA8" s="51">
        <f>+[5]인천!$Q$85</f>
        <v>88932.117571319366</v>
      </c>
      <c r="AB8" s="52">
        <f>+[4]인천!$Q$89</f>
        <v>81867.136241577362</v>
      </c>
      <c r="AC8" s="47">
        <f>+[4]인천!$R$89</f>
        <v>84063.445177450078</v>
      </c>
      <c r="AD8" s="53">
        <f>+[5]인천!$Q$89</f>
        <v>74896.804021717282</v>
      </c>
      <c r="AE8" s="52">
        <f t="shared" ref="AE8:AG27" si="6">+Y8-AB8</f>
        <v>15981.132686994039</v>
      </c>
      <c r="AF8" s="47">
        <f t="shared" si="6"/>
        <v>13565.747765386914</v>
      </c>
      <c r="AG8" s="53">
        <f t="shared" si="6"/>
        <v>14035.313549602084</v>
      </c>
      <c r="AH8" s="18"/>
      <c r="AI8" s="19"/>
      <c r="AJ8" s="97"/>
    </row>
    <row r="9" spans="2:36" s="8" customFormat="1" ht="19.5" customHeight="1">
      <c r="B9" s="8" t="s">
        <v>24</v>
      </c>
      <c r="G9" s="9"/>
      <c r="H9" s="80"/>
      <c r="I9" s="81" t="s">
        <v>24</v>
      </c>
      <c r="J9" s="46">
        <f>+IFERROR(HLOOKUP($B9,'[1]1월'!$D$6:$BN$259,2,),)/1000</f>
        <v>20</v>
      </c>
      <c r="K9" s="47">
        <f>+IFERROR(HLOOKUP($B9,'[2]1월'!$F$6:$CP$99,2,),)/1000</f>
        <v>22.882000000000001</v>
      </c>
      <c r="L9" s="48">
        <f t="shared" si="0"/>
        <v>2.8820000000000014</v>
      </c>
      <c r="M9" s="49">
        <f>+IFERROR(HLOOKUP($B9,'[3]1월'!$F$6:$CC$57,2,),)/1000</f>
        <v>20.905000000000001</v>
      </c>
      <c r="N9" s="50">
        <f t="shared" si="1"/>
        <v>1.9770000000000003</v>
      </c>
      <c r="O9" s="46">
        <f>+IFERROR(HLOOKUP($B9,'[1]1월'!$D$6:$BN$259,3,),)/1000</f>
        <v>1918.6196873302513</v>
      </c>
      <c r="P9" s="47">
        <f>+IFERROR(HLOOKUP($B9,'[2]1월'!$F$6:$CP$99,3,),)/1000</f>
        <v>2301.326928</v>
      </c>
      <c r="Q9" s="48">
        <f t="shared" si="2"/>
        <v>382.70724066974867</v>
      </c>
      <c r="R9" s="49">
        <f>+IFERROR(HLOOKUP($B9,'[3]1월'!$F$6:$CC$57,3,),)/1000</f>
        <v>1836.6317389999999</v>
      </c>
      <c r="S9" s="50">
        <f t="shared" si="3"/>
        <v>464.69518900000003</v>
      </c>
      <c r="T9" s="46">
        <f>+IFERROR(HLOOKUP($B9,'[1]1월'!$D$6:$BN$259,16,),)/1000</f>
        <v>141.96630346721631</v>
      </c>
      <c r="U9" s="47">
        <f>+IFERROR(HLOOKUP($B9,'[2]1월'!$F$6:$CP$99,16,),)/1000</f>
        <v>116.27631100000002</v>
      </c>
      <c r="V9" s="48">
        <f t="shared" si="4"/>
        <v>-25.689992467216285</v>
      </c>
      <c r="W9" s="49">
        <f>+IFERROR(HLOOKUP($B9,'[3]1월'!$F$6:$CC$57,16,),)/1000</f>
        <v>0.64376599999982864</v>
      </c>
      <c r="X9" s="50">
        <f t="shared" si="5"/>
        <v>115.63254500000019</v>
      </c>
      <c r="Y9" s="46">
        <f>+[4]파주!$Q$85</f>
        <v>95930.984366512566</v>
      </c>
      <c r="Z9" s="47">
        <f>+[4]파주!$R$85</f>
        <v>100573.67922384407</v>
      </c>
      <c r="AA9" s="51">
        <f>+[5]파주!$Q$85</f>
        <v>87902.851844496297</v>
      </c>
      <c r="AB9" s="52">
        <f>+[4]파주!$Q$89</f>
        <v>77860.175244301077</v>
      </c>
      <c r="AC9" s="47">
        <f>+[4]파주!$R$89</f>
        <v>84086.773402674589</v>
      </c>
      <c r="AD9" s="53">
        <f>+[5]파주!$Q$89</f>
        <v>76114.000446849706</v>
      </c>
      <c r="AE9" s="52">
        <f t="shared" si="6"/>
        <v>18070.809122211489</v>
      </c>
      <c r="AF9" s="47">
        <f t="shared" si="6"/>
        <v>16486.905821169479</v>
      </c>
      <c r="AG9" s="53">
        <f t="shared" si="6"/>
        <v>11788.851397646591</v>
      </c>
      <c r="AH9" s="18"/>
      <c r="AI9" s="19"/>
      <c r="AJ9" s="97"/>
    </row>
    <row r="10" spans="2:36" s="8" customFormat="1" ht="19.5" customHeight="1">
      <c r="B10" s="8" t="s">
        <v>175</v>
      </c>
      <c r="G10" s="9"/>
      <c r="H10" s="80"/>
      <c r="I10" s="81" t="s">
        <v>172</v>
      </c>
      <c r="J10" s="46">
        <f>+IFERROR(HLOOKUP($B10,'[1]1월'!$D$6:$BN$259,2,),)/1000</f>
        <v>8</v>
      </c>
      <c r="K10" s="47">
        <f>+IFERROR(HLOOKUP($B10,'[2]1월'!$F$6:$CP$99,2,),)/1000</f>
        <v>5.2809999999999997</v>
      </c>
      <c r="L10" s="48">
        <f t="shared" si="0"/>
        <v>-2.7190000000000003</v>
      </c>
      <c r="M10" s="49">
        <f>+IFERROR(HLOOKUP($B10,'[3]1월'!$F$6:$CC$57,2,),)/1000</f>
        <v>8.2479999999999993</v>
      </c>
      <c r="N10" s="50">
        <f t="shared" si="1"/>
        <v>-2.9669999999999996</v>
      </c>
      <c r="O10" s="46">
        <f>+IFERROR(HLOOKUP($B10,'[1]1월'!$D$6:$BN$259,3,),)/1000</f>
        <v>742.2165</v>
      </c>
      <c r="P10" s="47">
        <f>+IFERROR(HLOOKUP($B10,'[2]1월'!$F$6:$CP$99,3,),)/1000</f>
        <v>486.84360000000004</v>
      </c>
      <c r="Q10" s="48">
        <f t="shared" si="2"/>
        <v>-255.37289999999996</v>
      </c>
      <c r="R10" s="49">
        <f>+IFERROR(HLOOKUP($B10,'[3]1월'!$F$6:$CC$57,3,),)/1000</f>
        <v>695.81949199999997</v>
      </c>
      <c r="S10" s="50">
        <f t="shared" si="3"/>
        <v>-208.97589199999993</v>
      </c>
      <c r="T10" s="46">
        <f>+IFERROR(HLOOKUP($B10,'[1]1월'!$D$6:$BN$259,16,),)/1000</f>
        <v>-13.085593582901252</v>
      </c>
      <c r="U10" s="47">
        <f>+IFERROR(HLOOKUP($B10,'[2]1월'!$F$6:$CP$99,16,),)/1000</f>
        <v>-70.351561999999973</v>
      </c>
      <c r="V10" s="48">
        <f t="shared" si="4"/>
        <v>-57.265968417098719</v>
      </c>
      <c r="W10" s="49">
        <f>+IFERROR(HLOOKUP($B10,'[3]1월'!$F$6:$CC$57,16,),)/1000</f>
        <v>-15.683073000000045</v>
      </c>
      <c r="X10" s="50">
        <f t="shared" si="5"/>
        <v>-54.66848899999993</v>
      </c>
      <c r="Y10" s="46">
        <f>+[4]김포!$Q$85</f>
        <v>92777.0625</v>
      </c>
      <c r="Z10" s="47">
        <f>+[4]김포!$R$85</f>
        <v>92187.767468282531</v>
      </c>
      <c r="AA10" s="51">
        <f>+[5]김포!$Q$85</f>
        <v>84362.208050436471</v>
      </c>
      <c r="AB10" s="52">
        <f>+[4]김포!$Q$89</f>
        <v>73698.666906196013</v>
      </c>
      <c r="AC10" s="47">
        <f>+[4]김포!$R$89</f>
        <v>75942.492159455884</v>
      </c>
      <c r="AD10" s="53">
        <f>+[5]김포!$Q$89</f>
        <v>66383.614330746845</v>
      </c>
      <c r="AE10" s="52">
        <f t="shared" si="6"/>
        <v>19078.395593803987</v>
      </c>
      <c r="AF10" s="47">
        <f t="shared" si="6"/>
        <v>16245.275308826647</v>
      </c>
      <c r="AG10" s="53">
        <f t="shared" si="6"/>
        <v>17978.593719689627</v>
      </c>
      <c r="AH10" s="18"/>
      <c r="AI10" s="19"/>
      <c r="AJ10" s="97"/>
    </row>
    <row r="11" spans="2:36" s="8" customFormat="1" ht="19.5" customHeight="1">
      <c r="B11" s="8" t="s">
        <v>25</v>
      </c>
      <c r="H11" s="80"/>
      <c r="I11" s="82" t="s">
        <v>25</v>
      </c>
      <c r="J11" s="63">
        <f>+IFERROR(HLOOKUP($B11,'[1]1월'!$D$6:$BN$259,2,),)/1000</f>
        <v>18</v>
      </c>
      <c r="K11" s="64">
        <f>+IFERROR(HLOOKUP($B11,'[2]1월'!$F$6:$CP$99,2,),)/1000</f>
        <v>23.815000000000001</v>
      </c>
      <c r="L11" s="65">
        <f t="shared" si="0"/>
        <v>5.8150000000000013</v>
      </c>
      <c r="M11" s="66">
        <f>+IFERROR(HLOOKUP($B11,'[3]1월'!$F$6:$CC$57,2,),)/1000</f>
        <v>24.117999999999999</v>
      </c>
      <c r="N11" s="67">
        <f t="shared" si="1"/>
        <v>-0.30299999999999727</v>
      </c>
      <c r="O11" s="63">
        <f>+IFERROR(HLOOKUP($B11,'[1]1월'!$D$6:$BN$259,3,),)/1000</f>
        <v>1936.7942300000004</v>
      </c>
      <c r="P11" s="64">
        <f>+IFERROR(HLOOKUP($B11,'[2]1월'!$F$6:$CP$99,3,),)/1000</f>
        <v>2518.1608659999997</v>
      </c>
      <c r="Q11" s="65">
        <f t="shared" si="2"/>
        <v>581.36663599999929</v>
      </c>
      <c r="R11" s="66">
        <f>+IFERROR(HLOOKUP($B11,'[3]1월'!$F$6:$CC$57,3,),)/1000</f>
        <v>2452.0565000000001</v>
      </c>
      <c r="S11" s="67">
        <f t="shared" si="3"/>
        <v>66.104365999999573</v>
      </c>
      <c r="T11" s="63">
        <f>+IFERROR(HLOOKUP($B11,'[1]1월'!$D$6:$BN$259,16,),)/1000</f>
        <v>245.36511118332857</v>
      </c>
      <c r="U11" s="64">
        <f>+IFERROR(HLOOKUP($B11,'[2]1월'!$F$6:$CP$99,16,),)/1000</f>
        <v>298.81115099999994</v>
      </c>
      <c r="V11" s="65">
        <f t="shared" si="4"/>
        <v>53.446039816671373</v>
      </c>
      <c r="W11" s="66">
        <f>+IFERROR(HLOOKUP($B11,'[3]1월'!$F$6:$CC$57,16,),)/1000</f>
        <v>433.03576599999997</v>
      </c>
      <c r="X11" s="67">
        <f t="shared" si="5"/>
        <v>-134.22461500000003</v>
      </c>
      <c r="Y11" s="63">
        <f>+[4]부산!$Q$85</f>
        <v>107599.67944444448</v>
      </c>
      <c r="Z11" s="64">
        <f>+[4]부산!$R$85</f>
        <v>105738.43653159773</v>
      </c>
      <c r="AA11" s="68">
        <f>+[5]부산!$Q$85</f>
        <v>101668.2104652127</v>
      </c>
      <c r="AB11" s="69">
        <f>+[4]부산!$Q$89</f>
        <v>78358.378794596923</v>
      </c>
      <c r="AC11" s="64">
        <f>+[4]부산!$R$89</f>
        <v>82993.734485072127</v>
      </c>
      <c r="AD11" s="70">
        <f>+[5]부산!$Q$89</f>
        <v>73283.727852586817</v>
      </c>
      <c r="AE11" s="69">
        <f t="shared" si="6"/>
        <v>29241.300649847559</v>
      </c>
      <c r="AF11" s="64">
        <f t="shared" si="6"/>
        <v>22744.702046525606</v>
      </c>
      <c r="AG11" s="70">
        <f t="shared" si="6"/>
        <v>28384.482612625885</v>
      </c>
      <c r="AH11" s="18"/>
      <c r="AI11" s="19"/>
      <c r="AJ11" s="97"/>
    </row>
    <row r="12" spans="2:36" s="8" customFormat="1" ht="19.5" customHeight="1">
      <c r="B12" s="8" t="s">
        <v>26</v>
      </c>
      <c r="H12" s="80"/>
      <c r="I12" s="81" t="s">
        <v>26</v>
      </c>
      <c r="J12" s="46">
        <f>+IFERROR(HLOOKUP($B12,'[1]1월'!$D$6:$BN$259,2,),)/1000</f>
        <v>21</v>
      </c>
      <c r="K12" s="47">
        <f>+IFERROR(HLOOKUP($B12,'[2]1월'!$F$6:$CP$99,2,),)/1000</f>
        <v>23.91</v>
      </c>
      <c r="L12" s="48">
        <f t="shared" si="0"/>
        <v>2.91</v>
      </c>
      <c r="M12" s="49">
        <f>+IFERROR(HLOOKUP($B12,'[3]1월'!$F$6:$CC$57,2,),)/1000</f>
        <v>20.167999999999999</v>
      </c>
      <c r="N12" s="50">
        <f t="shared" si="1"/>
        <v>3.7420000000000009</v>
      </c>
      <c r="O12" s="46">
        <f>+IFERROR(HLOOKUP($B12,'[1]1월'!$D$6:$BN$259,3,),)/1000</f>
        <v>2165.1353199999999</v>
      </c>
      <c r="P12" s="47">
        <f>+IFERROR(HLOOKUP($B12,'[2]1월'!$F$6:$CP$99,3,),)/1000</f>
        <v>2338.4863</v>
      </c>
      <c r="Q12" s="48">
        <f t="shared" si="2"/>
        <v>173.35098000000016</v>
      </c>
      <c r="R12" s="49">
        <f>+IFERROR(HLOOKUP($B12,'[3]1월'!$F$6:$CC$57,3,),)/1000</f>
        <v>1845.0338999999999</v>
      </c>
      <c r="S12" s="50">
        <f t="shared" si="3"/>
        <v>493.45240000000013</v>
      </c>
      <c r="T12" s="46">
        <f>+IFERROR(HLOOKUP($B12,'[1]1월'!$D$6:$BN$259,16,),)/1000</f>
        <v>313.84241896257396</v>
      </c>
      <c r="U12" s="47">
        <f>+IFERROR(HLOOKUP($B12,'[2]1월'!$F$6:$CP$99,16,),)/1000</f>
        <v>198.08840199999986</v>
      </c>
      <c r="V12" s="48">
        <f t="shared" si="4"/>
        <v>-115.7540169625741</v>
      </c>
      <c r="W12" s="49">
        <f>+IFERROR(HLOOKUP($B12,'[3]1월'!$F$6:$CC$57,16,),)/1000</f>
        <v>187.2714399999997</v>
      </c>
      <c r="X12" s="50">
        <f t="shared" si="5"/>
        <v>10.81696200000016</v>
      </c>
      <c r="Y12" s="46">
        <f>+[4]서부산!$Q$85</f>
        <v>103101.68190476191</v>
      </c>
      <c r="Z12" s="47">
        <f>+[4]서부산!$R$85</f>
        <v>97803.693015474695</v>
      </c>
      <c r="AA12" s="51">
        <f>+[5]서부산!$Q$85</f>
        <v>91483.235819119393</v>
      </c>
      <c r="AB12" s="52">
        <f>+[4]서부산!$Q$89</f>
        <v>77368.389409189593</v>
      </c>
      <c r="AC12" s="47">
        <f>+[4]서부산!$R$89</f>
        <v>79885.068381430363</v>
      </c>
      <c r="AD12" s="53">
        <f>+[5]서부산!$Q$89</f>
        <v>71161.530534351143</v>
      </c>
      <c r="AE12" s="52">
        <f t="shared" si="6"/>
        <v>25733.292495572314</v>
      </c>
      <c r="AF12" s="47">
        <f t="shared" si="6"/>
        <v>17918.624634044332</v>
      </c>
      <c r="AG12" s="53">
        <f t="shared" si="6"/>
        <v>20321.70528476825</v>
      </c>
      <c r="AH12" s="18"/>
      <c r="AI12" s="19"/>
      <c r="AJ12" s="97"/>
    </row>
    <row r="13" spans="2:36" s="8" customFormat="1" ht="19.5" customHeight="1">
      <c r="B13" s="8" t="s">
        <v>27</v>
      </c>
      <c r="H13" s="80"/>
      <c r="I13" s="81" t="s">
        <v>27</v>
      </c>
      <c r="J13" s="46">
        <f>+IFERROR(HLOOKUP($B13,'[1]1월'!$D$6:$BN$259,2,),)/1000</f>
        <v>10</v>
      </c>
      <c r="K13" s="47">
        <f>+IFERROR(HLOOKUP($B13,'[2]1월'!$F$6:$CP$99,2,),)/1000</f>
        <v>12.339</v>
      </c>
      <c r="L13" s="48">
        <f t="shared" si="0"/>
        <v>2.3390000000000004</v>
      </c>
      <c r="M13" s="49">
        <f>+IFERROR(HLOOKUP($B13,'[3]1월'!$F$6:$CC$57,2,),)/1000</f>
        <v>11.598000000000001</v>
      </c>
      <c r="N13" s="50">
        <f t="shared" si="1"/>
        <v>0.74099999999999966</v>
      </c>
      <c r="O13" s="46">
        <f>+IFERROR(HLOOKUP($B13,'[1]1월'!$D$6:$BN$259,3,),)/1000</f>
        <v>1009.996</v>
      </c>
      <c r="P13" s="47">
        <f>+IFERROR(HLOOKUP($B13,'[2]1월'!$F$6:$CP$99,3,),)/1000</f>
        <v>1225.7102</v>
      </c>
      <c r="Q13" s="48">
        <f t="shared" si="2"/>
        <v>215.71420000000001</v>
      </c>
      <c r="R13" s="49">
        <f>+IFERROR(HLOOKUP($B13,'[3]1월'!$F$6:$CC$57,3,),)/1000</f>
        <v>1096.6881000000001</v>
      </c>
      <c r="S13" s="50">
        <f t="shared" si="3"/>
        <v>129.02209999999991</v>
      </c>
      <c r="T13" s="46">
        <f>+IFERROR(HLOOKUP($B13,'[1]1월'!$D$6:$BN$259,16,),)/1000</f>
        <v>74.513101129674411</v>
      </c>
      <c r="U13" s="47">
        <f>+IFERROR(HLOOKUP($B13,'[2]1월'!$F$6:$CP$99,16,),)/1000</f>
        <v>82.439169000000035</v>
      </c>
      <c r="V13" s="48">
        <f t="shared" si="4"/>
        <v>7.9260678703256247</v>
      </c>
      <c r="W13" s="49">
        <f>+IFERROR(HLOOKUP($B13,'[3]1월'!$F$6:$CC$57,16,),)/1000</f>
        <v>87.333868000000194</v>
      </c>
      <c r="X13" s="50">
        <f t="shared" si="5"/>
        <v>-4.8946990000001591</v>
      </c>
      <c r="Y13" s="46">
        <f>+[4]김해!$Q$85</f>
        <v>100999.6</v>
      </c>
      <c r="Z13" s="47">
        <f>+[4]김해!$R$85</f>
        <v>99339.806927881902</v>
      </c>
      <c r="AA13" s="51">
        <f>+[5]김해!$Q$85</f>
        <v>94585.859375000015</v>
      </c>
      <c r="AB13" s="52">
        <f>+[4]김해!$Q$89</f>
        <v>76745.601383767149</v>
      </c>
      <c r="AC13" s="47">
        <f>+[4]김해!$R$89</f>
        <v>80683.798815608025</v>
      </c>
      <c r="AD13" s="53">
        <f>+[5]김해!$Q$89</f>
        <v>73642.289583333331</v>
      </c>
      <c r="AE13" s="52">
        <f t="shared" si="6"/>
        <v>24253.998616232857</v>
      </c>
      <c r="AF13" s="47">
        <f t="shared" si="6"/>
        <v>18656.008112273877</v>
      </c>
      <c r="AG13" s="53">
        <f t="shared" si="6"/>
        <v>20943.569791666683</v>
      </c>
      <c r="AH13" s="18"/>
      <c r="AI13" s="19"/>
      <c r="AJ13" s="97"/>
    </row>
    <row r="14" spans="2:36" s="8" customFormat="1" ht="19.5" customHeight="1">
      <c r="B14" s="8" t="s">
        <v>28</v>
      </c>
      <c r="H14" s="80"/>
      <c r="I14" s="81" t="s">
        <v>28</v>
      </c>
      <c r="J14" s="46">
        <f>+IFERROR(HLOOKUP($B14,'[1]1월'!$D$6:$BN$259,2,),)/1000</f>
        <v>18</v>
      </c>
      <c r="K14" s="47">
        <f>+IFERROR(HLOOKUP($B14,'[2]1월'!$F$6:$CP$99,2,),)/1000</f>
        <v>21.517499999999998</v>
      </c>
      <c r="L14" s="48">
        <f t="shared" si="0"/>
        <v>3.5174999999999983</v>
      </c>
      <c r="M14" s="49">
        <f>+IFERROR(HLOOKUP($B14,'[3]1월'!$F$6:$CC$57,2,),)/1000</f>
        <v>18.263999999999999</v>
      </c>
      <c r="N14" s="50">
        <f t="shared" si="1"/>
        <v>3.2534999999999989</v>
      </c>
      <c r="O14" s="46">
        <f>+IFERROR(HLOOKUP($B14,'[1]1월'!$D$6:$BN$259,3,),)/1000</f>
        <v>1872</v>
      </c>
      <c r="P14" s="47">
        <f>+IFERROR(HLOOKUP($B14,'[2]1월'!$F$6:$CP$99,3,),)/1000</f>
        <v>2218.10565</v>
      </c>
      <c r="Q14" s="48">
        <f t="shared" si="2"/>
        <v>346.10564999999997</v>
      </c>
      <c r="R14" s="49">
        <f>+IFERROR(HLOOKUP($B14,'[3]1월'!$F$6:$CC$57,3,),)/1000</f>
        <v>1770.7951</v>
      </c>
      <c r="S14" s="50">
        <f t="shared" si="3"/>
        <v>447.31054999999992</v>
      </c>
      <c r="T14" s="46">
        <f>+IFERROR(HLOOKUP($B14,'[1]1월'!$D$6:$BN$259,16,),)/1000</f>
        <v>244.37138401418812</v>
      </c>
      <c r="U14" s="47">
        <f>+IFERROR(HLOOKUP($B14,'[2]1월'!$F$6:$CP$99,16,),)/1000</f>
        <v>256.96584100000001</v>
      </c>
      <c r="V14" s="48">
        <f t="shared" si="4"/>
        <v>12.594456985811888</v>
      </c>
      <c r="W14" s="49">
        <f>+IFERROR(HLOOKUP($B14,'[3]1월'!$F$6:$CC$57,16,),)/1000</f>
        <v>235.72105100000002</v>
      </c>
      <c r="X14" s="50">
        <f t="shared" si="5"/>
        <v>21.244789999999995</v>
      </c>
      <c r="Y14" s="46">
        <f>+[4]정관!$Q$85</f>
        <v>104000</v>
      </c>
      <c r="Z14" s="47">
        <f>+[4]정관!$R$85</f>
        <v>103083.79923318229</v>
      </c>
      <c r="AA14" s="51">
        <f>+[5]정관!$Q$85</f>
        <v>96955.491677617174</v>
      </c>
      <c r="AB14" s="52">
        <f>+[4]정관!$Q$89</f>
        <v>78930.42011032287</v>
      </c>
      <c r="AC14" s="47">
        <f>+[4]정관!$R$89</f>
        <v>81962.525225789985</v>
      </c>
      <c r="AD14" s="53">
        <f>+[5]정관!$Q$89</f>
        <v>73083.9668852459</v>
      </c>
      <c r="AE14" s="52">
        <f t="shared" si="6"/>
        <v>25069.57988967713</v>
      </c>
      <c r="AF14" s="47">
        <f t="shared" si="6"/>
        <v>21121.274007392305</v>
      </c>
      <c r="AG14" s="53">
        <f t="shared" si="6"/>
        <v>23871.524792371274</v>
      </c>
      <c r="AH14" s="18"/>
      <c r="AI14" s="19"/>
      <c r="AJ14" s="97"/>
    </row>
    <row r="15" spans="2:36" s="8" customFormat="1" ht="19.5" customHeight="1">
      <c r="B15" s="8" t="s">
        <v>29</v>
      </c>
      <c r="H15" s="80"/>
      <c r="I15" s="81" t="s">
        <v>29</v>
      </c>
      <c r="J15" s="46">
        <f>+IFERROR(HLOOKUP($B15,'[1]1월'!$D$6:$BN$259,2,),)/1000</f>
        <v>11</v>
      </c>
      <c r="K15" s="47">
        <f>+IFERROR(HLOOKUP($B15,'[2]1월'!$F$6:$CP$99,2,),)/1000</f>
        <v>13.864000000000001</v>
      </c>
      <c r="L15" s="48">
        <f t="shared" si="0"/>
        <v>2.8640000000000008</v>
      </c>
      <c r="M15" s="49">
        <f>+IFERROR(HLOOKUP($B15,'[3]1월'!$F$6:$CC$57,2,),)/1000</f>
        <v>12.092000000000001</v>
      </c>
      <c r="N15" s="50">
        <f t="shared" si="1"/>
        <v>1.7720000000000002</v>
      </c>
      <c r="O15" s="46">
        <f>+IFERROR(HLOOKUP($B15,'[1]1월'!$D$6:$BN$259,3,),)/1000</f>
        <v>1059.0886639999999</v>
      </c>
      <c r="P15" s="47">
        <f>+IFERROR(HLOOKUP($B15,'[2]1월'!$F$6:$CP$99,3,),)/1000</f>
        <v>1311.9159</v>
      </c>
      <c r="Q15" s="48">
        <f t="shared" si="2"/>
        <v>252.82723600000008</v>
      </c>
      <c r="R15" s="49">
        <f>+IFERROR(HLOOKUP($B15,'[3]1월'!$F$6:$CC$57,3,),)/1000</f>
        <v>1104.9133999999999</v>
      </c>
      <c r="S15" s="50">
        <f t="shared" si="3"/>
        <v>207.00250000000005</v>
      </c>
      <c r="T15" s="46">
        <f>+IFERROR(HLOOKUP($B15,'[1]1월'!$D$6:$BN$259,16,),)/1000</f>
        <v>120.73506793330618</v>
      </c>
      <c r="U15" s="47">
        <f>+IFERROR(HLOOKUP($B15,'[2]1월'!$F$6:$CP$99,16,),)/1000</f>
        <v>152.26054899999991</v>
      </c>
      <c r="V15" s="48">
        <f t="shared" si="4"/>
        <v>31.525481066693729</v>
      </c>
      <c r="W15" s="49">
        <f>+IFERROR(HLOOKUP($B15,'[3]1월'!$F$6:$CC$57,16,),)/1000</f>
        <v>138.2759539999999</v>
      </c>
      <c r="X15" s="50">
        <f t="shared" si="5"/>
        <v>13.984595000000013</v>
      </c>
      <c r="Y15" s="46">
        <f>+[4]양산!$Q$85</f>
        <v>96280.787636363631</v>
      </c>
      <c r="Z15" s="47">
        <f>+[4]양산!$R$85</f>
        <v>94627.517311021351</v>
      </c>
      <c r="AA15" s="51">
        <f>+[5]양산!$Q$85</f>
        <v>91386.530646097701</v>
      </c>
      <c r="AB15" s="52">
        <f>+[4]양산!$Q$89</f>
        <v>71791.378814143856</v>
      </c>
      <c r="AC15" s="47">
        <f>+[4]양산!$R$89</f>
        <v>73539.583958453557</v>
      </c>
      <c r="AD15" s="53">
        <f>+[5]양산!$Q$89</f>
        <v>67798.420668491337</v>
      </c>
      <c r="AE15" s="52">
        <f t="shared" si="6"/>
        <v>24489.408822219775</v>
      </c>
      <c r="AF15" s="47">
        <f t="shared" si="6"/>
        <v>21087.933352567794</v>
      </c>
      <c r="AG15" s="53">
        <f t="shared" si="6"/>
        <v>23588.109977606364</v>
      </c>
      <c r="AH15" s="18"/>
      <c r="AI15" s="19"/>
      <c r="AJ15" s="97"/>
    </row>
    <row r="16" spans="2:36" s="8" customFormat="1" ht="19.5" customHeight="1">
      <c r="B16" s="8" t="s">
        <v>30</v>
      </c>
      <c r="H16" s="80"/>
      <c r="I16" s="81" t="s">
        <v>30</v>
      </c>
      <c r="J16" s="46">
        <f>+IFERROR(HLOOKUP($B16,'[1]1월'!$D$6:$BN$259,2,),)/1000</f>
        <v>14</v>
      </c>
      <c r="K16" s="47">
        <f>+IFERROR(HLOOKUP($B16,'[2]1월'!$F$6:$CP$99,2,),)/1000</f>
        <v>17.315000000000001</v>
      </c>
      <c r="L16" s="48">
        <f t="shared" si="0"/>
        <v>3.3150000000000013</v>
      </c>
      <c r="M16" s="49">
        <f>+IFERROR(HLOOKUP($B16,'[3]1월'!$F$6:$CC$57,2,),)/1000</f>
        <v>18.164999999999999</v>
      </c>
      <c r="N16" s="50">
        <f t="shared" si="1"/>
        <v>-0.84999999999999787</v>
      </c>
      <c r="O16" s="46">
        <f>+IFERROR(HLOOKUP($B16,'[1]1월'!$D$6:$BN$259,3,),)/1000</f>
        <v>1394.204</v>
      </c>
      <c r="P16" s="47">
        <f>+IFERROR(HLOOKUP($B16,'[2]1월'!$F$6:$CP$99,3,),)/1000</f>
        <v>1843.6711</v>
      </c>
      <c r="Q16" s="48">
        <f t="shared" si="2"/>
        <v>449.46710000000007</v>
      </c>
      <c r="R16" s="49">
        <f>+IFERROR(HLOOKUP($B16,'[3]1월'!$F$6:$CC$57,3,),)/1000</f>
        <v>1684.7086999999999</v>
      </c>
      <c r="S16" s="50">
        <f t="shared" si="3"/>
        <v>158.96240000000012</v>
      </c>
      <c r="T16" s="46">
        <f>+IFERROR(HLOOKUP($B16,'[1]1월'!$D$6:$BN$259,16,),)/1000</f>
        <v>182.43935946104097</v>
      </c>
      <c r="U16" s="47">
        <f>+IFERROR(HLOOKUP($B16,'[2]1월'!$F$6:$CP$99,16,),)/1000</f>
        <v>299.90022700000003</v>
      </c>
      <c r="V16" s="48">
        <f t="shared" si="4"/>
        <v>117.46086753895906</v>
      </c>
      <c r="W16" s="49">
        <f>+IFERROR(HLOOKUP($B16,'[3]1월'!$F$6:$CC$57,16,),)/1000</f>
        <v>292.02561199999985</v>
      </c>
      <c r="X16" s="50">
        <f t="shared" si="5"/>
        <v>7.8746150000001762</v>
      </c>
      <c r="Y16" s="46">
        <f>+[4]창원!$Q$85</f>
        <v>99586</v>
      </c>
      <c r="Z16" s="47">
        <f>+[4]창원!$R$85</f>
        <v>106478.26162287036</v>
      </c>
      <c r="AA16" s="51">
        <f>+[5]창원!$Q$85</f>
        <v>92744.767409854103</v>
      </c>
      <c r="AB16" s="52">
        <f>+[4]창원!$Q$89</f>
        <v>72320.546232445602</v>
      </c>
      <c r="AC16" s="47">
        <f>+[4]창원!$R$89</f>
        <v>77287.77022971258</v>
      </c>
      <c r="AD16" s="53">
        <f>+[5]창원!$Q$89</f>
        <v>66159.287475915218</v>
      </c>
      <c r="AE16" s="52">
        <f t="shared" si="6"/>
        <v>27265.453767554398</v>
      </c>
      <c r="AF16" s="47">
        <f t="shared" si="6"/>
        <v>29190.491393157776</v>
      </c>
      <c r="AG16" s="53">
        <f t="shared" si="6"/>
        <v>26585.479933938885</v>
      </c>
      <c r="AH16" s="18"/>
      <c r="AI16" s="19"/>
      <c r="AJ16" s="97"/>
    </row>
    <row r="17" spans="2:38" s="8" customFormat="1" ht="19.5" customHeight="1">
      <c r="B17" s="8" t="s">
        <v>87</v>
      </c>
      <c r="H17" s="80"/>
      <c r="I17" s="81" t="s">
        <v>87</v>
      </c>
      <c r="J17" s="46">
        <f>+IFERROR(HLOOKUP($B17,'[1]1월'!$D$6:$BN$259,2,),)/1000</f>
        <v>13.5</v>
      </c>
      <c r="K17" s="47">
        <f>+IFERROR(HLOOKUP($B17,'[2]1월'!$F$6:$CP$99,2,),)/1000</f>
        <v>14.7545</v>
      </c>
      <c r="L17" s="48">
        <f t="shared" si="0"/>
        <v>1.2545000000000002</v>
      </c>
      <c r="M17" s="49">
        <f>+IFERROR(HLOOKUP($B17,'[3]1월'!$F$6:$CC$57,2,),)/1000</f>
        <v>19.599499999999999</v>
      </c>
      <c r="N17" s="50">
        <f t="shared" si="1"/>
        <v>-4.8449999999999989</v>
      </c>
      <c r="O17" s="46">
        <f>+IFERROR(HLOOKUP($B17,'[1]1월'!$D$6:$BN$259,3,),)/1000</f>
        <v>1320.2999999999997</v>
      </c>
      <c r="P17" s="47">
        <f>+IFERROR(HLOOKUP($B17,'[2]1월'!$F$6:$CP$99,3,),)/1000</f>
        <v>1474.5358999999999</v>
      </c>
      <c r="Q17" s="48">
        <f t="shared" si="2"/>
        <v>154.23590000000013</v>
      </c>
      <c r="R17" s="49">
        <f>+IFERROR(HLOOKUP($B17,'[3]1월'!$F$6:$CC$57,3,),)/1000</f>
        <v>1726.74235</v>
      </c>
      <c r="S17" s="50">
        <f t="shared" si="3"/>
        <v>-252.20645000000013</v>
      </c>
      <c r="T17" s="46">
        <f>+IFERROR(HLOOKUP($B17,'[1]1월'!$D$6:$BN$259,16,),)/1000</f>
        <v>168.26380013560521</v>
      </c>
      <c r="U17" s="47">
        <f>+IFERROR(HLOOKUP($B17,'[2]1월'!$F$6:$CP$99,16,),)/1000</f>
        <v>205.45768099999998</v>
      </c>
      <c r="V17" s="48">
        <f t="shared" si="4"/>
        <v>37.193880864394771</v>
      </c>
      <c r="W17" s="49">
        <f>+IFERROR(HLOOKUP($B17,'[3]1월'!$F$6:$CC$57,16,),)/1000</f>
        <v>251.62928600000012</v>
      </c>
      <c r="X17" s="50">
        <f t="shared" si="5"/>
        <v>-46.171605000000142</v>
      </c>
      <c r="Y17" s="46">
        <f>+[4]대구!$Q$85</f>
        <v>97799.999999999985</v>
      </c>
      <c r="Z17" s="47">
        <f>+[4]대구!$R$85</f>
        <v>99938.046019858346</v>
      </c>
      <c r="AA17" s="51">
        <f>+[5]대구!$Q$85</f>
        <v>88101.346973137071</v>
      </c>
      <c r="AB17" s="52">
        <f>+[4]대구!$Q$89</f>
        <v>71441.174251090255</v>
      </c>
      <c r="AC17" s="47">
        <f>+[4]대구!$R$89</f>
        <v>74479.859907146965</v>
      </c>
      <c r="AD17" s="53">
        <f>+[5]대구!$Q$89</f>
        <v>65599.879894895275</v>
      </c>
      <c r="AE17" s="52">
        <f t="shared" si="6"/>
        <v>26358.82574890973</v>
      </c>
      <c r="AF17" s="47">
        <f t="shared" si="6"/>
        <v>25458.186112711381</v>
      </c>
      <c r="AG17" s="53">
        <f t="shared" si="6"/>
        <v>22501.467078241796</v>
      </c>
      <c r="AH17" s="18"/>
      <c r="AI17" s="19"/>
      <c r="AJ17" s="97"/>
    </row>
    <row r="18" spans="2:38" s="8" customFormat="1" ht="19.5" customHeight="1">
      <c r="B18" s="8" t="s">
        <v>88</v>
      </c>
      <c r="G18" s="9"/>
      <c r="H18" s="80"/>
      <c r="I18" s="83" t="s">
        <v>88</v>
      </c>
      <c r="J18" s="10">
        <f>+IFERROR(HLOOKUP($B18,'[1]1월'!$D$6:$BN$259,2,),)/1000</f>
        <v>5</v>
      </c>
      <c r="K18" s="11">
        <f>+IFERROR(HLOOKUP($B18,'[2]1월'!$F$6:$CP$99,2,),)/1000</f>
        <v>5.383</v>
      </c>
      <c r="L18" s="12">
        <f t="shared" si="0"/>
        <v>0.38300000000000001</v>
      </c>
      <c r="M18" s="13">
        <f>+IFERROR(HLOOKUP($B18,'[3]1월'!$F$6:$CC$57,2,),)/1000</f>
        <v>8.1304999999999996</v>
      </c>
      <c r="N18" s="14">
        <f t="shared" si="1"/>
        <v>-2.7474999999999996</v>
      </c>
      <c r="O18" s="10">
        <f>+IFERROR(HLOOKUP($B18,'[1]1월'!$D$6:$BN$259,3,),)/1000</f>
        <v>490.01365999999996</v>
      </c>
      <c r="P18" s="11">
        <f>+IFERROR(HLOOKUP($B18,'[2]1월'!$F$6:$CP$99,3,),)/1000</f>
        <v>560.60759999999993</v>
      </c>
      <c r="Q18" s="12">
        <f t="shared" si="2"/>
        <v>70.593939999999975</v>
      </c>
      <c r="R18" s="13">
        <f>+IFERROR(HLOOKUP($B18,'[3]1월'!$F$6:$CC$57,3,),)/1000</f>
        <v>780.75985000000003</v>
      </c>
      <c r="S18" s="14">
        <f t="shared" si="3"/>
        <v>-220.15225000000009</v>
      </c>
      <c r="T18" s="10">
        <f>+IFERROR(HLOOKUP($B18,'[1]1월'!$D$6:$BN$259,16,),)/1000</f>
        <v>-50.284219463871992</v>
      </c>
      <c r="U18" s="11">
        <f>+IFERROR(HLOOKUP($B18,'[2]1월'!$F$6:$CP$99,16,),)/1000</f>
        <v>-2.6878350000000046</v>
      </c>
      <c r="V18" s="12">
        <f t="shared" si="4"/>
        <v>47.596384463871985</v>
      </c>
      <c r="W18" s="13">
        <f>+IFERROR(HLOOKUP($B18,'[3]1월'!$F$6:$CC$57,16,),)/1000</f>
        <v>38.844698000000022</v>
      </c>
      <c r="X18" s="14">
        <f t="shared" si="5"/>
        <v>-41.532533000000029</v>
      </c>
      <c r="Y18" s="10">
        <f>+[4]울산!$Q$85</f>
        <v>98002.731999999989</v>
      </c>
      <c r="Z18" s="11">
        <f>+[4]울산!$R$85</f>
        <v>104144.08322496749</v>
      </c>
      <c r="AA18" s="15">
        <f>+[5]울산!$Q$85</f>
        <v>96053.017375599418</v>
      </c>
      <c r="AB18" s="16">
        <f>+[4]울산!$Q$89</f>
        <v>79706.615151209931</v>
      </c>
      <c r="AC18" s="11">
        <f>+[4]울산!$R$89</f>
        <v>82948.249396919651</v>
      </c>
      <c r="AD18" s="17">
        <f>+[5]울산!$Q$89</f>
        <v>74906.545284780572</v>
      </c>
      <c r="AE18" s="16">
        <f t="shared" si="6"/>
        <v>18296.116848790058</v>
      </c>
      <c r="AF18" s="11">
        <f t="shared" si="6"/>
        <v>21195.833828047835</v>
      </c>
      <c r="AG18" s="17">
        <f t="shared" si="6"/>
        <v>21146.472090818846</v>
      </c>
      <c r="AH18" s="18"/>
      <c r="AI18" s="19"/>
      <c r="AJ18" s="97"/>
    </row>
    <row r="19" spans="2:38" s="8" customFormat="1" ht="19.5" customHeight="1">
      <c r="B19" s="8" t="s">
        <v>93</v>
      </c>
      <c r="G19" s="9"/>
      <c r="H19" s="80"/>
      <c r="I19" s="81" t="s">
        <v>31</v>
      </c>
      <c r="J19" s="46">
        <f>+IFERROR(HLOOKUP($B19,'[1]1월'!$D$6:$BN$259,2,),)/1000</f>
        <v>15.5</v>
      </c>
      <c r="K19" s="47">
        <f>+IFERROR(HLOOKUP($B19,'[2]1월'!$F$6:$CP$99,2,),)/1000</f>
        <v>22.998999999999999</v>
      </c>
      <c r="L19" s="48">
        <f t="shared" si="0"/>
        <v>7.4989999999999988</v>
      </c>
      <c r="M19" s="49">
        <f>+IFERROR(HLOOKUP($B19,'[3]1월'!$F$6:$CC$57,2,),)/1000</f>
        <v>20.146000000000001</v>
      </c>
      <c r="N19" s="50">
        <f t="shared" si="1"/>
        <v>2.852999999999998</v>
      </c>
      <c r="O19" s="46">
        <f>+IFERROR(HLOOKUP($B19,'[1]1월'!$D$6:$BN$259,3,),)/1000</f>
        <v>1565.4993999999999</v>
      </c>
      <c r="P19" s="47">
        <f>+IFERROR(HLOOKUP($B19,'[2]1월'!$F$6:$CP$99,3,),)/1000</f>
        <v>2225.2768960000003</v>
      </c>
      <c r="Q19" s="48">
        <f t="shared" si="2"/>
        <v>659.77749600000038</v>
      </c>
      <c r="R19" s="49">
        <f>+IFERROR(HLOOKUP($B19,'[3]1월'!$F$6:$CC$57,3,),)/1000</f>
        <v>1851.2000999999998</v>
      </c>
      <c r="S19" s="50">
        <f t="shared" si="3"/>
        <v>374.07679600000051</v>
      </c>
      <c r="T19" s="46">
        <f>+IFERROR(HLOOKUP($B19,'[1]1월'!$D$6:$BN$259,16,),)/1000</f>
        <v>135.48480522833327</v>
      </c>
      <c r="U19" s="47">
        <f>+IFERROR(HLOOKUP($B19,'[2]1월'!$F$6:$CP$99,16,),)/1000</f>
        <v>76.583958000000067</v>
      </c>
      <c r="V19" s="48">
        <f t="shared" si="4"/>
        <v>-58.900847228333205</v>
      </c>
      <c r="W19" s="49">
        <f>+IFERROR(HLOOKUP($B19,'[3]1월'!$F$6:$CC$57,16,),)/1000</f>
        <v>241.78052399999962</v>
      </c>
      <c r="X19" s="50">
        <f t="shared" si="5"/>
        <v>-165.19656599999956</v>
      </c>
      <c r="Y19" s="46">
        <f>+[4]아산!$Q$85</f>
        <v>100999.96129032258</v>
      </c>
      <c r="Z19" s="47">
        <f>+[4]아산!$R$85</f>
        <v>96755.376146789</v>
      </c>
      <c r="AA19" s="51">
        <f>+[5]아산!$Q$85</f>
        <v>91745.374120656576</v>
      </c>
      <c r="AB19" s="52">
        <f>+[4]아산!$Q$89</f>
        <v>77854.206026763524</v>
      </c>
      <c r="AC19" s="47">
        <f>+[4]아산!$R$89</f>
        <v>82780.118874733686</v>
      </c>
      <c r="AD19" s="53">
        <f>+[5]아산!$Q$89</f>
        <v>67815.42383894333</v>
      </c>
      <c r="AE19" s="52">
        <f t="shared" si="6"/>
        <v>23145.755263559055</v>
      </c>
      <c r="AF19" s="47">
        <f t="shared" si="6"/>
        <v>13975.257272055314</v>
      </c>
      <c r="AG19" s="53">
        <f t="shared" si="6"/>
        <v>23929.950281713245</v>
      </c>
      <c r="AH19" s="18"/>
      <c r="AI19" s="19"/>
      <c r="AJ19" s="97"/>
    </row>
    <row r="20" spans="2:38" s="8" customFormat="1" ht="19.5" customHeight="1">
      <c r="B20" s="8" t="s">
        <v>89</v>
      </c>
      <c r="G20" s="9"/>
      <c r="H20" s="80"/>
      <c r="I20" s="81" t="s">
        <v>89</v>
      </c>
      <c r="J20" s="46">
        <f>+IFERROR(HLOOKUP($B20,'[1]1월'!$D$6:$BN$259,2,),)/1000</f>
        <v>10</v>
      </c>
      <c r="K20" s="47">
        <f>+IFERROR(HLOOKUP($B20,'[2]1월'!$F$6:$CP$99,2,),)/1000</f>
        <v>6.5670000000000002</v>
      </c>
      <c r="L20" s="48">
        <f t="shared" si="0"/>
        <v>-3.4329999999999998</v>
      </c>
      <c r="M20" s="49">
        <f>+IFERROR(HLOOKUP($B20,'[3]1월'!$F$6:$CC$57,2,),)/1000</f>
        <v>8.2629999999999999</v>
      </c>
      <c r="N20" s="50">
        <f t="shared" si="1"/>
        <v>-1.6959999999999997</v>
      </c>
      <c r="O20" s="46">
        <f>+IFERROR(HLOOKUP($B20,'[1]1월'!$D$6:$BN$259,3,),)/1000</f>
        <v>1006.5890930000002</v>
      </c>
      <c r="P20" s="47">
        <f>+IFERROR(HLOOKUP($B20,'[2]1월'!$F$6:$CP$99,3,),)/1000</f>
        <v>648.20873600000004</v>
      </c>
      <c r="Q20" s="48">
        <f t="shared" si="2"/>
        <v>-358.38035700000012</v>
      </c>
      <c r="R20" s="49">
        <f>+IFERROR(HLOOKUP($B20,'[3]1월'!$F$6:$CC$57,3,),)/1000</f>
        <v>717.62855000000002</v>
      </c>
      <c r="S20" s="50">
        <f t="shared" si="3"/>
        <v>-69.419813999999974</v>
      </c>
      <c r="T20" s="46">
        <f>+IFERROR(HLOOKUP($B20,'[1]1월'!$D$6:$BN$259,16,),)/1000</f>
        <v>109.56879884617983</v>
      </c>
      <c r="U20" s="47">
        <f>+IFERROR(HLOOKUP($B20,'[2]1월'!$F$6:$CP$99,16,),)/1000</f>
        <v>24.564713999999988</v>
      </c>
      <c r="V20" s="48">
        <f t="shared" si="4"/>
        <v>-85.004084846179836</v>
      </c>
      <c r="W20" s="49">
        <f>+IFERROR(HLOOKUP($B20,'[3]1월'!$F$6:$CC$57,16,),)/1000</f>
        <v>14.677471999999964</v>
      </c>
      <c r="X20" s="50">
        <f t="shared" si="5"/>
        <v>9.8872420000000236</v>
      </c>
      <c r="Y20" s="46">
        <f>+[4]전주!$Q$85</f>
        <v>100658.9093</v>
      </c>
      <c r="Z20" s="47">
        <f>+[4]전주!$R$85</f>
        <v>98706.979747220961</v>
      </c>
      <c r="AA20" s="51">
        <f>+[5]전주!$Q$85</f>
        <v>86834.353921438975</v>
      </c>
      <c r="AB20" s="52">
        <f>+[4]전주!$Q$89</f>
        <v>74727.497433629949</v>
      </c>
      <c r="AC20" s="47">
        <f>+[4]전주!$R$89</f>
        <v>74181.954012486662</v>
      </c>
      <c r="AD20" s="53">
        <f>+[5]전주!$Q$89</f>
        <v>65096.895384208437</v>
      </c>
      <c r="AE20" s="52">
        <f t="shared" si="6"/>
        <v>25931.41186637005</v>
      </c>
      <c r="AF20" s="47">
        <f t="shared" si="6"/>
        <v>24525.025734734299</v>
      </c>
      <c r="AG20" s="53">
        <f t="shared" si="6"/>
        <v>21737.458537230537</v>
      </c>
      <c r="AH20" s="18"/>
      <c r="AI20" s="19"/>
      <c r="AJ20" s="97"/>
    </row>
    <row r="21" spans="2:38" s="8" customFormat="1" ht="19.5" customHeight="1">
      <c r="B21" s="8" t="s">
        <v>90</v>
      </c>
      <c r="G21" s="9"/>
      <c r="H21" s="80"/>
      <c r="I21" s="81" t="s">
        <v>90</v>
      </c>
      <c r="J21" s="46">
        <f>+IFERROR(HLOOKUP($B21,'[1]1월'!$D$6:$BN$259,2,),)/1000</f>
        <v>4</v>
      </c>
      <c r="K21" s="47">
        <f>+IFERROR(HLOOKUP($B21,'[2]1월'!$F$6:$CP$99,2,),)/1000</f>
        <v>7.3630000000000004</v>
      </c>
      <c r="L21" s="48">
        <f t="shared" si="0"/>
        <v>3.3630000000000004</v>
      </c>
      <c r="M21" s="49">
        <f>+IFERROR(HLOOKUP($B21,'[3]1월'!$F$6:$CC$57,2,),)/1000</f>
        <v>6.52</v>
      </c>
      <c r="N21" s="50">
        <f t="shared" si="1"/>
        <v>0.84300000000000086</v>
      </c>
      <c r="O21" s="46">
        <f>+IFERROR(HLOOKUP($B21,'[1]1월'!$D$6:$BN$259,3,),)/1000</f>
        <v>434.23396499999996</v>
      </c>
      <c r="P21" s="47">
        <f>+IFERROR(HLOOKUP($B21,'[2]1월'!$F$6:$CP$99,3,),)/1000</f>
        <v>752.76157999999998</v>
      </c>
      <c r="Q21" s="48">
        <f t="shared" si="2"/>
        <v>318.52761500000003</v>
      </c>
      <c r="R21" s="49">
        <f>+IFERROR(HLOOKUP($B21,'[3]1월'!$F$6:$CC$57,3,),)/1000</f>
        <v>582.53435000000002</v>
      </c>
      <c r="S21" s="50">
        <f t="shared" si="3"/>
        <v>170.22722999999996</v>
      </c>
      <c r="T21" s="46">
        <f>+IFERROR(HLOOKUP($B21,'[1]1월'!$D$6:$BN$259,16,),)/1000</f>
        <v>58.095789637149736</v>
      </c>
      <c r="U21" s="47">
        <f>+IFERROR(HLOOKUP($B21,'[2]1월'!$F$6:$CP$99,16,),)/1000</f>
        <v>157.32963699999999</v>
      </c>
      <c r="V21" s="48">
        <f t="shared" si="4"/>
        <v>99.233847362850256</v>
      </c>
      <c r="W21" s="49">
        <f>+IFERROR(HLOOKUP($B21,'[3]1월'!$F$6:$CC$57,16,),)/1000</f>
        <v>86.060697999999945</v>
      </c>
      <c r="X21" s="50">
        <f t="shared" si="5"/>
        <v>71.268939000000046</v>
      </c>
      <c r="Y21" s="46">
        <f>+[4]군산!$Q$85</f>
        <v>108558.49124999999</v>
      </c>
      <c r="Z21" s="47">
        <f>+[4]군산!$R$85</f>
        <v>102235.71641993751</v>
      </c>
      <c r="AA21" s="51">
        <f>+[5]군산!$Q$85</f>
        <v>89327.018489984577</v>
      </c>
      <c r="AB21" s="52">
        <f>+[4]군산!$Q$89</f>
        <v>70400.341559139779</v>
      </c>
      <c r="AC21" s="47">
        <f>+[4]군산!$R$89</f>
        <v>69601.844221105523</v>
      </c>
      <c r="AD21" s="53">
        <f>+[5]군산!$Q$89</f>
        <v>62541.22808366656</v>
      </c>
      <c r="AE21" s="52">
        <f t="shared" si="6"/>
        <v>38158.149690860213</v>
      </c>
      <c r="AF21" s="47">
        <f t="shared" si="6"/>
        <v>32633.872198831988</v>
      </c>
      <c r="AG21" s="53">
        <f t="shared" si="6"/>
        <v>26785.790406318018</v>
      </c>
      <c r="AH21" s="18"/>
      <c r="AI21" s="19"/>
      <c r="AJ21" s="97"/>
    </row>
    <row r="22" spans="2:38" s="8" customFormat="1" ht="19.5" customHeight="1">
      <c r="B22" s="8" t="s">
        <v>91</v>
      </c>
      <c r="G22" s="9"/>
      <c r="H22" s="80"/>
      <c r="I22" s="81" t="s">
        <v>91</v>
      </c>
      <c r="J22" s="46">
        <f>+IFERROR(HLOOKUP($B22,'[1]1월'!$D$6:$BN$259,2,),)/1000</f>
        <v>4</v>
      </c>
      <c r="K22" s="47">
        <f>+IFERROR(HLOOKUP($B22,'[2]1월'!$F$6:$CP$99,2,),)/1000</f>
        <v>3.5329999999999999</v>
      </c>
      <c r="L22" s="48">
        <f t="shared" si="0"/>
        <v>-0.46700000000000008</v>
      </c>
      <c r="M22" s="49">
        <f>+IFERROR(HLOOKUP($B22,'[3]1월'!$F$6:$CC$57,2,),)/1000</f>
        <v>1.8129999999999999</v>
      </c>
      <c r="N22" s="50">
        <f t="shared" si="1"/>
        <v>1.72</v>
      </c>
      <c r="O22" s="46">
        <f>+IFERROR(HLOOKUP($B22,'[1]1월'!$D$6:$BN$259,3,),)/1000</f>
        <v>431.6</v>
      </c>
      <c r="P22" s="47">
        <f>+IFERROR(HLOOKUP($B22,'[2]1월'!$F$6:$CP$99,3,),)/1000</f>
        <v>412.27509999999995</v>
      </c>
      <c r="Q22" s="48">
        <f t="shared" si="2"/>
        <v>-19.324900000000071</v>
      </c>
      <c r="R22" s="49">
        <f>+IFERROR(HLOOKUP($B22,'[3]1월'!$F$6:$CC$57,3,),)/1000</f>
        <v>154.21270000000001</v>
      </c>
      <c r="S22" s="50">
        <f t="shared" si="3"/>
        <v>258.06239999999991</v>
      </c>
      <c r="T22" s="46">
        <f>+IFERROR(HLOOKUP($B22,'[1]1월'!$D$6:$BN$259,16,),)/1000</f>
        <v>34.35700043011272</v>
      </c>
      <c r="U22" s="47">
        <f>+IFERROR(HLOOKUP($B22,'[2]1월'!$F$6:$CP$99,16,),)/1000</f>
        <v>53.424534000000008</v>
      </c>
      <c r="V22" s="48">
        <f t="shared" si="4"/>
        <v>19.067533569887289</v>
      </c>
      <c r="W22" s="49">
        <f>+IFERROR(HLOOKUP($B22,'[3]1월'!$F$6:$CC$57,16,),)/1000</f>
        <v>-48.466116000000007</v>
      </c>
      <c r="X22" s="50">
        <f t="shared" si="5"/>
        <v>101.89065000000002</v>
      </c>
      <c r="Y22" s="46">
        <f>+[4]원주!$Q$85</f>
        <v>107900</v>
      </c>
      <c r="Z22" s="47">
        <f>+[4]원주!$R$85</f>
        <v>116692.64081517122</v>
      </c>
      <c r="AA22" s="51">
        <f>+[5]원주!$Q$85</f>
        <v>85059.40430226145</v>
      </c>
      <c r="AB22" s="52">
        <f>+[4]원주!$Q$89</f>
        <v>75438.970731258625</v>
      </c>
      <c r="AC22" s="47">
        <f>+[4]원주!$R$89</f>
        <v>76321.153410699117</v>
      </c>
      <c r="AD22" s="53">
        <f>+[5]원주!$Q$89</f>
        <v>65788.766355140193</v>
      </c>
      <c r="AE22" s="52">
        <f t="shared" si="6"/>
        <v>32461.029268741375</v>
      </c>
      <c r="AF22" s="47">
        <f t="shared" si="6"/>
        <v>40371.487404472107</v>
      </c>
      <c r="AG22" s="53">
        <f t="shared" si="6"/>
        <v>19270.637947121257</v>
      </c>
      <c r="AH22" s="18"/>
      <c r="AI22" s="19"/>
      <c r="AJ22" s="97"/>
    </row>
    <row r="23" spans="2:38" s="8" customFormat="1" ht="19.5" customHeight="1">
      <c r="B23" s="8" t="s">
        <v>92</v>
      </c>
      <c r="H23" s="80"/>
      <c r="I23" s="81" t="s">
        <v>92</v>
      </c>
      <c r="J23" s="46">
        <f>+IFERROR(HLOOKUP($B23,'[1]1월'!$D$6:$BN$259,2,),)/1000</f>
        <v>4</v>
      </c>
      <c r="K23" s="47">
        <f>+IFERROR(HLOOKUP($B23,'[2]1월'!$F$6:$CP$99,2,),)/1000</f>
        <v>3.2614999999999998</v>
      </c>
      <c r="L23" s="48">
        <f t="shared" si="0"/>
        <v>-0.73850000000000016</v>
      </c>
      <c r="M23" s="49">
        <f>+IFERROR(HLOOKUP($B23,'[3]1월'!$F$6:$CC$57,2,),)/1000</f>
        <v>6.3280000000000003</v>
      </c>
      <c r="N23" s="50">
        <f t="shared" si="1"/>
        <v>-3.0665000000000004</v>
      </c>
      <c r="O23" s="46">
        <f>+IFERROR(HLOOKUP($B23,'[1]1월'!$D$6:$BN$259,3,),)/1000</f>
        <v>506.8</v>
      </c>
      <c r="P23" s="47">
        <f>+IFERROR(HLOOKUP($B23,'[2]1월'!$F$6:$CP$99,3,),)/1000</f>
        <v>419.74929900000001</v>
      </c>
      <c r="Q23" s="48">
        <f t="shared" si="2"/>
        <v>-87.050701000000004</v>
      </c>
      <c r="R23" s="49">
        <f>+IFERROR(HLOOKUP($B23,'[3]1월'!$F$6:$CC$57,3,),)/1000</f>
        <v>738.13421499999993</v>
      </c>
      <c r="S23" s="50">
        <f t="shared" si="3"/>
        <v>-318.38491599999992</v>
      </c>
      <c r="T23" s="46">
        <f>+IFERROR(HLOOKUP($B23,'[1]1월'!$D$6:$BN$259,16,),)/1000</f>
        <v>42.978794866642524</v>
      </c>
      <c r="U23" s="47">
        <f>+IFERROR(HLOOKUP($B23,'[2]1월'!$F$6:$CP$99,16,),)/1000</f>
        <v>35.375496999999989</v>
      </c>
      <c r="V23" s="48">
        <f t="shared" si="4"/>
        <v>-7.603297866642535</v>
      </c>
      <c r="W23" s="49">
        <f>+IFERROR(HLOOKUP($B23,'[3]1월'!$F$6:$CC$57,16,),)/1000</f>
        <v>175.67345800000012</v>
      </c>
      <c r="X23" s="50">
        <f t="shared" si="5"/>
        <v>-140.29796100000013</v>
      </c>
      <c r="Y23" s="46">
        <f>+[4]제주!$Q$85</f>
        <v>126700</v>
      </c>
      <c r="Z23" s="47">
        <f>+[4]제주!$R$85</f>
        <v>128698.23670090448</v>
      </c>
      <c r="AA23" s="51">
        <f>+[5]제주!$Q$85</f>
        <v>116650.12267804917</v>
      </c>
      <c r="AB23" s="52">
        <f>+[4]제주!$Q$89</f>
        <v>89935.469322780293</v>
      </c>
      <c r="AC23" s="47">
        <f>+[4]제주!$R$89</f>
        <v>90773.835965046761</v>
      </c>
      <c r="AD23" s="53">
        <f>+[5]제주!$Q$89</f>
        <v>75659.130819698039</v>
      </c>
      <c r="AE23" s="52">
        <f t="shared" si="6"/>
        <v>36764.530677219707</v>
      </c>
      <c r="AF23" s="47">
        <f t="shared" si="6"/>
        <v>37924.400735857722</v>
      </c>
      <c r="AG23" s="53">
        <f t="shared" si="6"/>
        <v>40990.991858351132</v>
      </c>
      <c r="AH23" s="18"/>
      <c r="AI23" s="19"/>
      <c r="AJ23" s="97"/>
    </row>
    <row r="24" spans="2:38" s="8" customFormat="1" ht="19.5" customHeight="1">
      <c r="G24" s="96"/>
      <c r="H24" s="80"/>
      <c r="I24" s="84" t="s">
        <v>55</v>
      </c>
      <c r="J24" s="23">
        <f>SUM(J7:J10)</f>
        <v>93</v>
      </c>
      <c r="K24" s="20">
        <f>SUM(K7:K10)</f>
        <v>102.26400000000001</v>
      </c>
      <c r="L24" s="21">
        <f t="shared" si="0"/>
        <v>9.26400000000001</v>
      </c>
      <c r="M24" s="25">
        <f>SUM(M7:M10)</f>
        <v>93.376000000000005</v>
      </c>
      <c r="N24" s="22">
        <f t="shared" si="1"/>
        <v>8.8880000000000052</v>
      </c>
      <c r="O24" s="23">
        <f>SUM(O7:O10)</f>
        <v>8982.3395673302512</v>
      </c>
      <c r="P24" s="20">
        <f>SUM(P7:P10)</f>
        <v>9926.1807560000016</v>
      </c>
      <c r="Q24" s="21">
        <f t="shared" si="2"/>
        <v>943.84118866975041</v>
      </c>
      <c r="R24" s="25">
        <f>SUM(R7:R10)</f>
        <v>8282.4477530000004</v>
      </c>
      <c r="S24" s="22">
        <f t="shared" si="3"/>
        <v>1643.7330030000012</v>
      </c>
      <c r="T24" s="23">
        <f>SUM(T7:T10)</f>
        <v>581.00835686061487</v>
      </c>
      <c r="U24" s="20">
        <f>SUM(U7:U10)</f>
        <v>486.07576500000073</v>
      </c>
      <c r="V24" s="21">
        <f t="shared" si="4"/>
        <v>-94.932591860614139</v>
      </c>
      <c r="W24" s="25">
        <f>SUM(W7:W10)</f>
        <v>407.54562299999969</v>
      </c>
      <c r="X24" s="22">
        <f t="shared" si="5"/>
        <v>78.530142000001035</v>
      </c>
      <c r="Y24" s="23">
        <f>+[4]수도권!$Q$85</f>
        <v>96584.296422905929</v>
      </c>
      <c r="Z24" s="20">
        <f>+[4]수도권!$R$85</f>
        <v>97064.272432136422</v>
      </c>
      <c r="AA24" s="24">
        <f>+[5]수도권!$Q$85</f>
        <v>88709.414893847017</v>
      </c>
      <c r="AB24" s="29">
        <f>+[4]수도권!$Q$89</f>
        <v>79517.081103248129</v>
      </c>
      <c r="AC24" s="20">
        <f>+[4]수도권!$R$89</f>
        <v>82325.824173460802</v>
      </c>
      <c r="AD24" s="30">
        <f>+[5]수도권!$Q$89</f>
        <v>73361.249187022622</v>
      </c>
      <c r="AE24" s="29">
        <f t="shared" si="6"/>
        <v>17067.2153196578</v>
      </c>
      <c r="AF24" s="20">
        <f t="shared" si="6"/>
        <v>14738.44825867562</v>
      </c>
      <c r="AG24" s="30">
        <f t="shared" si="6"/>
        <v>15348.165706824395</v>
      </c>
      <c r="AH24" s="18"/>
      <c r="AI24" s="19"/>
      <c r="AJ24" s="97"/>
    </row>
    <row r="25" spans="2:38" s="8" customFormat="1" ht="19.5" customHeight="1">
      <c r="H25" s="80"/>
      <c r="I25" s="84" t="s">
        <v>56</v>
      </c>
      <c r="J25" s="23">
        <f>SUM(J11:J18)</f>
        <v>110.5</v>
      </c>
      <c r="K25" s="20">
        <f>SUM(K11:K18)</f>
        <v>132.89800000000002</v>
      </c>
      <c r="L25" s="21">
        <f t="shared" si="0"/>
        <v>22.398000000000025</v>
      </c>
      <c r="M25" s="25">
        <f>SUM(M11:M18)</f>
        <v>132.13500000000002</v>
      </c>
      <c r="N25" s="22">
        <f t="shared" si="1"/>
        <v>0.76300000000000523</v>
      </c>
      <c r="O25" s="23">
        <f>SUM(O11:O18)</f>
        <v>11247.531874</v>
      </c>
      <c r="P25" s="20">
        <f>SUM(P11:P18)</f>
        <v>13491.193515999999</v>
      </c>
      <c r="Q25" s="21">
        <f t="shared" si="2"/>
        <v>2243.6616419999991</v>
      </c>
      <c r="R25" s="25">
        <f>SUM(R11:R18)</f>
        <v>12461.697900000001</v>
      </c>
      <c r="S25" s="22">
        <f t="shared" si="3"/>
        <v>1029.4956159999983</v>
      </c>
      <c r="T25" s="23">
        <f>SUM(T11:T18)</f>
        <v>1299.2460233558454</v>
      </c>
      <c r="U25" s="20">
        <f>SUM(U11:U18)</f>
        <v>1491.2351849999998</v>
      </c>
      <c r="V25" s="21">
        <f t="shared" si="4"/>
        <v>191.98916164415436</v>
      </c>
      <c r="W25" s="25">
        <f>SUM(W11:W18)</f>
        <v>1664.1376749999999</v>
      </c>
      <c r="X25" s="22">
        <f t="shared" si="5"/>
        <v>-172.90249000000017</v>
      </c>
      <c r="Y25" s="23">
        <f>+[4]영남권!$Q$85</f>
        <v>101787.61876923079</v>
      </c>
      <c r="Z25" s="20">
        <f>+[4]영남권!$R$85</f>
        <v>101515.92429601311</v>
      </c>
      <c r="AA25" s="24">
        <f>+[5]영남권!$Q$85</f>
        <v>94314.373104912069</v>
      </c>
      <c r="AB25" s="29">
        <f>+[4]영남권!$Q$89</f>
        <v>75914.681575337541</v>
      </c>
      <c r="AC25" s="20">
        <f>+[4]영남권!$R$89</f>
        <v>79377.390849466741</v>
      </c>
      <c r="AD25" s="30">
        <f>+[5]영남권!$Q$89</f>
        <v>70465.974911066762</v>
      </c>
      <c r="AE25" s="29">
        <f t="shared" si="6"/>
        <v>25872.937193893245</v>
      </c>
      <c r="AF25" s="20">
        <f t="shared" si="6"/>
        <v>22138.533446546367</v>
      </c>
      <c r="AG25" s="30">
        <f t="shared" si="6"/>
        <v>23848.398193845307</v>
      </c>
      <c r="AH25" s="18"/>
      <c r="AI25" s="19"/>
      <c r="AJ25" s="97"/>
    </row>
    <row r="26" spans="2:38" s="8" customFormat="1" ht="19.5" customHeight="1">
      <c r="H26" s="80"/>
      <c r="I26" s="84" t="s">
        <v>170</v>
      </c>
      <c r="J26" s="23">
        <f>SUM(J19:J23)</f>
        <v>37.5</v>
      </c>
      <c r="K26" s="20">
        <f>SUM(K19:K23)</f>
        <v>43.723500000000001</v>
      </c>
      <c r="L26" s="21">
        <f t="shared" si="0"/>
        <v>6.2235000000000014</v>
      </c>
      <c r="M26" s="25">
        <f>SUM(M19:M23)</f>
        <v>43.070000000000007</v>
      </c>
      <c r="N26" s="22">
        <f t="shared" si="1"/>
        <v>0.65349999999999397</v>
      </c>
      <c r="O26" s="23">
        <f>SUM(O19:O23)</f>
        <v>3944.7224580000002</v>
      </c>
      <c r="P26" s="20">
        <f>SUM(P19:P23)</f>
        <v>4458.2716110000001</v>
      </c>
      <c r="Q26" s="21">
        <f t="shared" si="2"/>
        <v>513.54915299999993</v>
      </c>
      <c r="R26" s="25">
        <f>SUM(R19:R23)</f>
        <v>4043.7099149999999</v>
      </c>
      <c r="S26" s="22">
        <f t="shared" si="3"/>
        <v>414.56169600000021</v>
      </c>
      <c r="T26" s="23">
        <f>SUM(T19:T23)</f>
        <v>380.4851890084181</v>
      </c>
      <c r="U26" s="20">
        <f>SUM(U19:U23)</f>
        <v>347.27834000000007</v>
      </c>
      <c r="V26" s="21">
        <f t="shared" si="4"/>
        <v>-33.206849008418033</v>
      </c>
      <c r="W26" s="25">
        <f>SUM(W19:W23)</f>
        <v>469.72603599999968</v>
      </c>
      <c r="X26" s="22">
        <f t="shared" si="5"/>
        <v>-122.44769599999961</v>
      </c>
      <c r="Y26" s="23">
        <f>+[4]중부권!$Q$85</f>
        <v>105192.59887999999</v>
      </c>
      <c r="Z26" s="20">
        <f>+[4]중부권!$R$85</f>
        <v>101965.1128340595</v>
      </c>
      <c r="AA26" s="24">
        <f>+[5]중부권!$Q$85</f>
        <v>94006.132589400164</v>
      </c>
      <c r="AB26" s="29">
        <f>+[4]중부권!$Q$89</f>
        <v>77256.381178769312</v>
      </c>
      <c r="AC26" s="20">
        <f>+[4]중부권!$R$89</f>
        <v>79343.893466899943</v>
      </c>
      <c r="AD26" s="30">
        <f>+[5]중부권!$Q$89</f>
        <v>67597.806117095897</v>
      </c>
      <c r="AE26" s="29">
        <f t="shared" si="6"/>
        <v>27936.217701230678</v>
      </c>
      <c r="AF26" s="20">
        <f t="shared" si="6"/>
        <v>22621.21936715956</v>
      </c>
      <c r="AG26" s="30">
        <f t="shared" si="6"/>
        <v>26408.326472304267</v>
      </c>
      <c r="AH26" s="18"/>
      <c r="AI26" s="19"/>
      <c r="AJ26" s="97"/>
    </row>
    <row r="27" spans="2:38" s="3" customFormat="1" ht="19.5" customHeight="1">
      <c r="B27" s="26"/>
      <c r="G27" s="9">
        <f>+K27/J27</f>
        <v>1.1572012448132782</v>
      </c>
      <c r="H27" s="664" t="s">
        <v>115</v>
      </c>
      <c r="I27" s="665"/>
      <c r="J27" s="666">
        <f>SUM(J24:J26)</f>
        <v>241</v>
      </c>
      <c r="K27" s="667">
        <f>SUM(K24:K26)</f>
        <v>278.88550000000004</v>
      </c>
      <c r="L27" s="668">
        <f t="shared" si="0"/>
        <v>37.885500000000036</v>
      </c>
      <c r="M27" s="669">
        <f>SUM(M24:M26)</f>
        <v>268.58100000000002</v>
      </c>
      <c r="N27" s="670">
        <f t="shared" si="1"/>
        <v>10.304500000000019</v>
      </c>
      <c r="O27" s="666">
        <f>SUM(O24:O26)</f>
        <v>24174.593899330252</v>
      </c>
      <c r="P27" s="667">
        <f>SUM(P24:P26)</f>
        <v>27875.645883000001</v>
      </c>
      <c r="Q27" s="668">
        <f t="shared" si="2"/>
        <v>3701.0519836697495</v>
      </c>
      <c r="R27" s="669">
        <f>SUM(R24:R26)</f>
        <v>24787.855567999999</v>
      </c>
      <c r="S27" s="670">
        <f t="shared" si="3"/>
        <v>3087.790315000002</v>
      </c>
      <c r="T27" s="666">
        <f>SUM(T24:T26)</f>
        <v>2260.7395692248783</v>
      </c>
      <c r="U27" s="667">
        <f>SUM(U24:U26)</f>
        <v>2324.5892900000008</v>
      </c>
      <c r="V27" s="668">
        <f t="shared" si="4"/>
        <v>63.849720775122478</v>
      </c>
      <c r="W27" s="669">
        <f>SUM(W24:W26)</f>
        <v>2541.409333999999</v>
      </c>
      <c r="X27" s="670">
        <f t="shared" si="5"/>
        <v>-216.82004399999823</v>
      </c>
      <c r="Y27" s="666">
        <f>+[4]합계!$Q$85</f>
        <v>100309.51825448238</v>
      </c>
      <c r="Z27" s="667">
        <f>+[4]합계!$R$85</f>
        <v>99953.912734626982</v>
      </c>
      <c r="AA27" s="671">
        <f>+[5]합계!$Q$85</f>
        <v>92313.001486539186</v>
      </c>
      <c r="AB27" s="672">
        <f>+[4]합계!$Q$89</f>
        <v>77513.589837679334</v>
      </c>
      <c r="AC27" s="667">
        <f>+[4]합계!$R$89</f>
        <v>80453.280019643586</v>
      </c>
      <c r="AD27" s="673">
        <f>+[5]합계!$Q$89</f>
        <v>71029.870126559981</v>
      </c>
      <c r="AE27" s="672">
        <f t="shared" si="6"/>
        <v>22795.928416803043</v>
      </c>
      <c r="AF27" s="667">
        <f t="shared" si="6"/>
        <v>19500.632714983396</v>
      </c>
      <c r="AG27" s="673">
        <f t="shared" si="6"/>
        <v>21283.131359979205</v>
      </c>
      <c r="AH27" s="27"/>
      <c r="AI27" s="28"/>
      <c r="AJ27" s="97"/>
      <c r="AL27" s="26"/>
    </row>
    <row r="28" spans="2:38" s="8" customFormat="1" ht="19.5" customHeight="1">
      <c r="B28" s="8" t="s">
        <v>3</v>
      </c>
      <c r="E28" s="8" t="s">
        <v>213</v>
      </c>
      <c r="H28" s="724" t="s">
        <v>3</v>
      </c>
      <c r="I28" s="725"/>
      <c r="J28" s="182">
        <f>+IFERROR(HLOOKUP($B28,'[1]1월'!$D$6:$BN$259,2,),)</f>
        <v>6900</v>
      </c>
      <c r="K28" s="183">
        <f>+IFERROR(HLOOKUP($E28,'[2]1월'!$F$6:$CP$99,2,),)</f>
        <v>6425.0929999999998</v>
      </c>
      <c r="L28" s="184">
        <f>+K28-J28</f>
        <v>-474.90700000000015</v>
      </c>
      <c r="M28" s="185">
        <f>+IFERROR(HLOOKUP($E28,'[3]1월'!$F$6:$CC$57,2,),)</f>
        <v>6946.7870000000003</v>
      </c>
      <c r="N28" s="186">
        <f>+K28-M28</f>
        <v>-521.69400000000041</v>
      </c>
      <c r="O28" s="182">
        <f>+IFERROR(HLOOKUP($B28,'[1]1월'!$D$6:$BN$259,3,),)/1000</f>
        <v>8447.9431578947388</v>
      </c>
      <c r="P28" s="183">
        <f>+IFERROR(HLOOKUP($E28,'[2]1월'!$F$6:$CP$99,3,),)/1000</f>
        <v>7407.9571670000005</v>
      </c>
      <c r="Q28" s="184">
        <f>+P28-O28</f>
        <v>-1039.9859908947383</v>
      </c>
      <c r="R28" s="185">
        <f>+IFERROR(HLOOKUP($E28,'[3]1월'!$F$6:$CC$57,3,),)/1000</f>
        <v>8813.6342919999988</v>
      </c>
      <c r="S28" s="186">
        <f t="shared" si="3"/>
        <v>-1405.6771249999983</v>
      </c>
      <c r="T28" s="182">
        <f>+IFERROR(HLOOKUP($B28,'[1]1월'!$D$6:$BN$259,16,),)/1000</f>
        <v>94.750483031580856</v>
      </c>
      <c r="U28" s="183">
        <f>+IFERROR(HLOOKUP($E28,'[2]1월'!$F$6:$CP$99,16,),)/1000</f>
        <v>75.267211000000415</v>
      </c>
      <c r="V28" s="184">
        <f t="shared" si="4"/>
        <v>-19.483272031580441</v>
      </c>
      <c r="W28" s="185">
        <f>+IFERROR(HLOOKUP($E28,'[3]1월'!$F$6:$CC$57,16,),)/1000</f>
        <v>74.398933999999372</v>
      </c>
      <c r="X28" s="186">
        <f t="shared" si="5"/>
        <v>0.86827700000104358</v>
      </c>
      <c r="Y28" s="684" t="s">
        <v>174</v>
      </c>
      <c r="Z28" s="685"/>
      <c r="AA28" s="685"/>
      <c r="AB28" s="685"/>
      <c r="AC28" s="685"/>
      <c r="AD28" s="685"/>
      <c r="AE28" s="685"/>
      <c r="AF28" s="685"/>
      <c r="AG28" s="686"/>
      <c r="AH28" s="18"/>
      <c r="AI28" s="19"/>
    </row>
    <row r="29" spans="2:38" s="8" customFormat="1" ht="19.5" customHeight="1">
      <c r="B29" s="8" t="s">
        <v>205</v>
      </c>
      <c r="F29" s="79" t="s">
        <v>61</v>
      </c>
      <c r="H29" s="86" t="s">
        <v>1</v>
      </c>
      <c r="I29" s="79" t="s">
        <v>216</v>
      </c>
      <c r="J29" s="56">
        <f>+IFERROR(HLOOKUP($B29,'[1]1월'!$D$6:$BN$259,2,),)/1000</f>
        <v>24.586870682990952</v>
      </c>
      <c r="K29" s="57">
        <f>+IFERROR(HLOOKUP($F29,'[2]1월'!$F$6:$CP$99,2,),)/1000</f>
        <v>27.204999999999998</v>
      </c>
      <c r="L29" s="38">
        <f t="shared" si="0"/>
        <v>2.6181293170090463</v>
      </c>
      <c r="M29" s="38">
        <f>+IFERROR(HLOOKUP($F29,'[3]1월'!$F$6:$CC$57,2,),)/1000</f>
        <v>32.145000000000003</v>
      </c>
      <c r="N29" s="58">
        <f t="shared" si="1"/>
        <v>-4.9400000000000048</v>
      </c>
      <c r="O29" s="56">
        <f>+IFERROR(HLOOKUP($B29,'[1]1월'!$D$6:$BN$259,3,),)/1000</f>
        <v>697.84314324381148</v>
      </c>
      <c r="P29" s="57">
        <f>+IFERROR(HLOOKUP($F29,'[2]1월'!$F$6:$CP$99,3,),)/1000</f>
        <v>780.04600000000005</v>
      </c>
      <c r="Q29" s="38">
        <f t="shared" si="2"/>
        <v>82.202856756188567</v>
      </c>
      <c r="R29" s="38">
        <f>+IFERROR(HLOOKUP($F29,'[3]1월'!$F$6:$CC$57,3,),)/1000</f>
        <v>905.48199999999997</v>
      </c>
      <c r="S29" s="58">
        <f t="shared" si="3"/>
        <v>-125.43599999999992</v>
      </c>
      <c r="T29" s="56">
        <f>+IFERROR(HLOOKUP($B29,'[1]1월'!$D$6:$BN$259,21,),)/1000</f>
        <v>16.821420535828889</v>
      </c>
      <c r="U29" s="57">
        <f>+IFERROR(HLOOKUP($F29,'[2]1월'!$F$6:$CP$99,21,),)/1000</f>
        <v>57.434467096316673</v>
      </c>
      <c r="V29" s="38">
        <f t="shared" si="4"/>
        <v>40.613046560487788</v>
      </c>
      <c r="W29" s="38">
        <f>+IFERROR(HLOOKUP($F29,'[3]1월'!$F$6:$CC$57,16,),)/1000</f>
        <v>13.998208999999951</v>
      </c>
      <c r="X29" s="58">
        <f t="shared" si="5"/>
        <v>43.43625809631672</v>
      </c>
      <c r="Y29" s="621"/>
      <c r="Z29" s="622"/>
      <c r="AA29" s="622"/>
      <c r="AB29" s="622"/>
      <c r="AC29" s="622"/>
      <c r="AD29" s="622"/>
      <c r="AE29" s="622"/>
      <c r="AF29" s="622"/>
      <c r="AG29" s="51"/>
      <c r="AH29" s="18"/>
      <c r="AI29" s="19"/>
    </row>
    <row r="30" spans="2:38" s="8" customFormat="1" ht="19.5" customHeight="1">
      <c r="B30" s="8" t="s">
        <v>206</v>
      </c>
      <c r="F30" s="81" t="s">
        <v>62</v>
      </c>
      <c r="H30" s="85"/>
      <c r="I30" s="81" t="s">
        <v>217</v>
      </c>
      <c r="J30" s="54">
        <f>+IFERROR(HLOOKUP($B30,'[1]1월'!$D$6:$BN$259,2,),)/1000</f>
        <v>12.3718</v>
      </c>
      <c r="K30" s="59">
        <f>+IFERROR(HLOOKUP($F30,'[2]1월'!$F$6:$CP$99,2,),)/1000</f>
        <v>27.872</v>
      </c>
      <c r="L30" s="48">
        <f t="shared" si="0"/>
        <v>15.5002</v>
      </c>
      <c r="M30" s="48">
        <f>+IFERROR(HLOOKUP($F30,'[3]1월'!$F$6:$CC$57,2,),)/1000</f>
        <v>33.74</v>
      </c>
      <c r="N30" s="60">
        <f t="shared" si="1"/>
        <v>-5.8680000000000021</v>
      </c>
      <c r="O30" s="54">
        <f>+IFERROR(HLOOKUP($B30,'[1]1월'!$D$6:$BN$259,3,),)/1000</f>
        <v>192.91300000000001</v>
      </c>
      <c r="P30" s="59">
        <f>+IFERROR(HLOOKUP($F30,'[2]1월'!$F$6:$CP$99,3,),)/1000</f>
        <v>373.31200000000001</v>
      </c>
      <c r="Q30" s="48">
        <f t="shared" si="2"/>
        <v>180.399</v>
      </c>
      <c r="R30" s="48">
        <f>+IFERROR(HLOOKUP($F30,'[3]1월'!$F$6:$CC$57,3,),)/1000</f>
        <v>393.346</v>
      </c>
      <c r="S30" s="60">
        <f t="shared" si="3"/>
        <v>-20.033999999999992</v>
      </c>
      <c r="T30" s="54">
        <f>+IFERROR(HLOOKUP($B30,'[1]1월'!$D$6:$BN$259,21,),)/1000</f>
        <v>65.721530370126814</v>
      </c>
      <c r="U30" s="59">
        <f>+IFERROR(HLOOKUP($F30,'[2]1월'!$F$6:$CP$99,21,),)/1000</f>
        <v>54.476101695418166</v>
      </c>
      <c r="V30" s="48">
        <f t="shared" si="4"/>
        <v>-11.245428674708648</v>
      </c>
      <c r="W30" s="48">
        <f>+IFERROR(HLOOKUP($F30,'[3]1월'!$F$6:$CC$57,16,),)/1000</f>
        <v>13.770076999999992</v>
      </c>
      <c r="X30" s="60">
        <f t="shared" si="5"/>
        <v>40.706024695418172</v>
      </c>
      <c r="Y30" s="663"/>
      <c r="Z30" s="622"/>
      <c r="AA30" s="622"/>
      <c r="AB30" s="622"/>
      <c r="AC30" s="622"/>
      <c r="AD30" s="622"/>
      <c r="AE30" s="622"/>
      <c r="AF30" s="622"/>
      <c r="AG30" s="51"/>
      <c r="AH30" s="18"/>
      <c r="AI30" s="19"/>
      <c r="AJ30" s="99"/>
      <c r="AK30" s="99"/>
      <c r="AL30" s="99"/>
    </row>
    <row r="31" spans="2:38" s="8" customFormat="1" ht="19.5" customHeight="1">
      <c r="B31" s="8" t="s">
        <v>176</v>
      </c>
      <c r="F31" s="83" t="s">
        <v>176</v>
      </c>
      <c r="H31" s="85"/>
      <c r="I31" s="83" t="s">
        <v>218</v>
      </c>
      <c r="J31" s="54">
        <f>+IFERROR(HLOOKUP($B31,'[1]1월'!$D$6:$BN$259,2,),)/1000</f>
        <v>39.67029996559782</v>
      </c>
      <c r="K31" s="59">
        <f>+IFERROR(HLOOKUP($F31,'[2]1월'!$F$6:$CP$99,2,),)/1000</f>
        <v>29.44</v>
      </c>
      <c r="L31" s="48">
        <f t="shared" si="0"/>
        <v>-10.230299965597819</v>
      </c>
      <c r="M31" s="48">
        <f>+IFERROR(HLOOKUP($F31,'[3]1월'!$F$6:$CC$57,2,),)/1000</f>
        <v>0</v>
      </c>
      <c r="N31" s="60">
        <f t="shared" si="1"/>
        <v>29.44</v>
      </c>
      <c r="O31" s="54">
        <f>+IFERROR(HLOOKUP($B31,'[1]1월'!$D$6:$BN$259,3,),)/1000</f>
        <v>709.40685182383004</v>
      </c>
      <c r="P31" s="59">
        <f>+IFERROR(HLOOKUP($F31,'[2]1월'!$F$6:$CP$99,3,),)/1000</f>
        <v>566.16200000000003</v>
      </c>
      <c r="Q31" s="48">
        <f t="shared" si="2"/>
        <v>-143.24485182383</v>
      </c>
      <c r="R31" s="48">
        <f>+IFERROR(HLOOKUP($F31,'[3]1월'!$F$6:$CC$57,3,),)/1000</f>
        <v>0</v>
      </c>
      <c r="S31" s="60">
        <f t="shared" si="3"/>
        <v>566.16200000000003</v>
      </c>
      <c r="T31" s="54">
        <f>+IFERROR(HLOOKUP($B31,'[1]1월'!$D$6:$BN$259,21,),)/1000</f>
        <v>-55.517927057580778</v>
      </c>
      <c r="U31" s="59">
        <f>+IFERROR(HLOOKUP($F31,'[2]1월'!$F$6:$CP$99,21,),)/1000</f>
        <v>72.163163450000042</v>
      </c>
      <c r="V31" s="48">
        <f t="shared" si="4"/>
        <v>127.68109050758082</v>
      </c>
      <c r="W31" s="48">
        <f>+IFERROR(HLOOKUP($F31,'[3]1월'!$F$6:$CC$57,16,),)/1000</f>
        <v>-9.333730000000001</v>
      </c>
      <c r="X31" s="60">
        <f t="shared" si="5"/>
        <v>81.496893450000044</v>
      </c>
      <c r="Y31" s="663"/>
      <c r="Z31" s="622"/>
      <c r="AA31" s="622"/>
      <c r="AB31" s="622"/>
      <c r="AC31" s="622"/>
      <c r="AD31" s="622"/>
      <c r="AE31" s="622"/>
      <c r="AF31" s="622"/>
      <c r="AG31" s="51"/>
      <c r="AH31" s="18"/>
      <c r="AI31" s="19"/>
      <c r="AJ31" s="99"/>
      <c r="AK31" s="99"/>
      <c r="AL31" s="99"/>
    </row>
    <row r="32" spans="2:38" s="3" customFormat="1" ht="19.5" customHeight="1">
      <c r="H32" s="161" t="s">
        <v>42</v>
      </c>
      <c r="I32" s="162"/>
      <c r="J32" s="163">
        <f>SUM(J29:J31)</f>
        <v>76.628970648588776</v>
      </c>
      <c r="K32" s="167">
        <f>SUM(K29:K31)</f>
        <v>84.516999999999996</v>
      </c>
      <c r="L32" s="165">
        <f t="shared" si="0"/>
        <v>7.8880293514112196</v>
      </c>
      <c r="M32" s="165">
        <f>SUM(M29:M31)</f>
        <v>65.885000000000005</v>
      </c>
      <c r="N32" s="166">
        <f t="shared" si="1"/>
        <v>18.631999999999991</v>
      </c>
      <c r="O32" s="163">
        <f>SUM(O29:O31)</f>
        <v>1600.1629950676415</v>
      </c>
      <c r="P32" s="167">
        <f>SUM(P29:P31)</f>
        <v>1719.5200000000002</v>
      </c>
      <c r="Q32" s="165">
        <f t="shared" si="2"/>
        <v>119.35700493235868</v>
      </c>
      <c r="R32" s="165">
        <f>SUM(R29:R31)</f>
        <v>1298.828</v>
      </c>
      <c r="S32" s="166">
        <f t="shared" si="3"/>
        <v>420.69200000000023</v>
      </c>
      <c r="T32" s="163">
        <f>SUM(T29:T31)</f>
        <v>27.025023848374929</v>
      </c>
      <c r="U32" s="167">
        <f>SUM(U29:U31)</f>
        <v>184.07373224173489</v>
      </c>
      <c r="V32" s="165">
        <f t="shared" si="4"/>
        <v>157.04870839335996</v>
      </c>
      <c r="W32" s="165">
        <f>SUM(W29:W31)</f>
        <v>18.434555999999944</v>
      </c>
      <c r="X32" s="166">
        <f t="shared" si="5"/>
        <v>165.63917624173496</v>
      </c>
      <c r="Y32" s="663"/>
      <c r="Z32" s="622"/>
      <c r="AA32" s="622"/>
      <c r="AB32" s="622"/>
      <c r="AC32" s="622"/>
      <c r="AD32" s="622"/>
      <c r="AE32" s="622"/>
      <c r="AF32" s="622"/>
      <c r="AG32" s="51"/>
      <c r="AH32" s="27"/>
      <c r="AI32" s="28"/>
    </row>
    <row r="33" spans="2:38" s="8" customFormat="1" ht="19.5" customHeight="1">
      <c r="B33" s="8" t="s">
        <v>209</v>
      </c>
      <c r="C33" s="8" t="s">
        <v>208</v>
      </c>
      <c r="D33" t="s">
        <v>207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(IFERROR(HLOOKUP($B33,'[1]1월'!$D$6:$BN$259,3,),)++IFERROR(HLOOKUP($C33,'[1]1월'!$D$6:$BN$259,3,),)+IFERROR(HLOOKUP($D33,'[1]1월'!$D$6:$BN$259,3,),))/1000</f>
        <v>90.84</v>
      </c>
      <c r="P33" s="47">
        <f>+IFERROR(HLOOKUP($E33,'[2]1월'!$F$6:$CP$99,3,),)/1000</f>
        <v>90.84</v>
      </c>
      <c r="Q33" s="49">
        <f t="shared" si="2"/>
        <v>0</v>
      </c>
      <c r="R33" s="48">
        <f>+IFERROR(HLOOKUP($E33,'[3]1월'!$F$6:$CC$57,3,),)/1000</f>
        <v>78.34</v>
      </c>
      <c r="S33" s="60">
        <f t="shared" si="3"/>
        <v>12.5</v>
      </c>
      <c r="T33" s="46">
        <f>(IFERROR(HLOOKUP($B33,'[1]1월'!$D$6:$BN$259,21,),)++IFERROR(HLOOKUP($C33,'[1]1월'!$D$6:$BN$259,21,),)+IFERROR(HLOOKUP($D33,'[1]1월'!$D$6:$BN$259,21,),))/1000</f>
        <v>72.165959000000001</v>
      </c>
      <c r="U33" s="47">
        <f>+IFERROR(HLOOKUP($E33,'[2]1월'!$F$6:$CP$99,16,),)/1000</f>
        <v>71.796579999999992</v>
      </c>
      <c r="V33" s="49">
        <f t="shared" si="4"/>
        <v>-0.36937900000000923</v>
      </c>
      <c r="W33" s="48">
        <f>+IFERROR(HLOOKUP($E33,'[3]1월'!$F$6:$CC$57,16,),)/1000</f>
        <v>59.685200999999999</v>
      </c>
      <c r="X33" s="60">
        <f t="shared" si="5"/>
        <v>12.111378999999992</v>
      </c>
      <c r="Y33" s="663"/>
      <c r="Z33" s="622"/>
      <c r="AA33" s="622"/>
      <c r="AB33" s="622"/>
      <c r="AC33" s="622"/>
      <c r="AD33" s="622"/>
      <c r="AE33" s="622"/>
      <c r="AF33" s="622"/>
      <c r="AG33" s="51"/>
      <c r="AH33" s="18"/>
      <c r="AI33" s="19"/>
    </row>
    <row r="34" spans="2:38" s="8" customFormat="1" ht="19.5" customHeight="1">
      <c r="B34" s="8" t="s">
        <v>210</v>
      </c>
      <c r="C34" s="8" t="s">
        <v>211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7">+K34-M34</f>
        <v>0</v>
      </c>
      <c r="O34" s="46">
        <f>(+IFERROR(HLOOKUP($B34,'[1]1월'!$D$6:$BN$259,3,),)+IFERROR(HLOOKUP($C34,'[1]1월'!$D$6:$BN$259,3,),))/1000</f>
        <v>72.297500333333332</v>
      </c>
      <c r="P34" s="47">
        <f>+IFERROR(HLOOKUP($E34,'[2]1월'!$F$6:$CP$99,3,),)/1000</f>
        <v>71.933111000000011</v>
      </c>
      <c r="Q34" s="49">
        <f>+P34-O34</f>
        <v>-0.36438933333332102</v>
      </c>
      <c r="R34" s="48">
        <f>+IFERROR(HLOOKUP($E34,'[3]1월'!$F$6:$CC$57,3,),)/1000</f>
        <v>94.115918000000008</v>
      </c>
      <c r="S34" s="60">
        <f t="shared" si="3"/>
        <v>-22.182806999999997</v>
      </c>
      <c r="T34" s="46">
        <f>(+IFERROR(HLOOKUP($B34,'[1]1월'!$D$6:$BN$259,21,),)+IFERROR(HLOOKUP($C34,'[1]1월'!$D$6:$BN$259,21,),))/1000</f>
        <v>62.030473333333333</v>
      </c>
      <c r="U34" s="47">
        <f>+IFERROR(HLOOKUP($E34,'[2]1월'!$F$6:$CP$99,16,),)/1000</f>
        <v>61.824293999999995</v>
      </c>
      <c r="V34" s="49">
        <f t="shared" si="4"/>
        <v>-0.20617933333333838</v>
      </c>
      <c r="W34" s="48">
        <f>+IFERROR(HLOOKUP($E34,'[3]1월'!$F$6:$CC$57,16,),)/1000</f>
        <v>39.911628000000007</v>
      </c>
      <c r="X34" s="60">
        <f t="shared" si="5"/>
        <v>21.912665999999987</v>
      </c>
      <c r="Y34" s="663"/>
      <c r="Z34" s="622"/>
      <c r="AA34" s="622"/>
      <c r="AB34" s="622"/>
      <c r="AC34" s="622"/>
      <c r="AD34" s="622"/>
      <c r="AE34" s="622"/>
      <c r="AF34" s="622"/>
      <c r="AG34" s="51"/>
      <c r="AH34" s="18"/>
      <c r="AI34" s="19"/>
    </row>
    <row r="35" spans="2:38" s="8" customFormat="1" ht="19.5" customHeight="1">
      <c r="B35" s="8" t="s">
        <v>212</v>
      </c>
      <c r="D35"/>
      <c r="E35"/>
      <c r="F35"/>
      <c r="G35"/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7"/>
        <v>0</v>
      </c>
      <c r="O35" s="46"/>
      <c r="P35" s="47"/>
      <c r="Q35" s="49">
        <f t="shared" ref="Q35:Q40" si="8">+P35-O35</f>
        <v>0</v>
      </c>
      <c r="R35" s="48"/>
      <c r="S35" s="60">
        <f t="shared" si="3"/>
        <v>0</v>
      </c>
      <c r="T35" s="46">
        <f>-'[1]1월'!$Z$22/1000</f>
        <v>-1461.2949846539102</v>
      </c>
      <c r="U35" s="47">
        <f>+-'[2]1월'!$Z$22/1000</f>
        <v>-1549.2991472438964</v>
      </c>
      <c r="V35" s="49">
        <f t="shared" si="4"/>
        <v>-88.004162589986208</v>
      </c>
      <c r="W35" s="48">
        <f>+-'[3]1월'!$Z$22/1000</f>
        <v>-1236.277392</v>
      </c>
      <c r="X35" s="60">
        <f t="shared" si="5"/>
        <v>-313.02175524389645</v>
      </c>
      <c r="Y35" s="663"/>
      <c r="Z35" s="622"/>
      <c r="AA35" s="622"/>
      <c r="AB35" s="622"/>
      <c r="AC35" s="622"/>
      <c r="AD35" s="622"/>
      <c r="AE35" s="622"/>
      <c r="AF35" s="622"/>
      <c r="AG35" s="51"/>
      <c r="AH35" s="18"/>
      <c r="AI35" s="19"/>
      <c r="AK35" s="631"/>
      <c r="AL35" s="99"/>
    </row>
    <row r="36" spans="2:38" s="8" customFormat="1" ht="19.5" customHeight="1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7"/>
        <v>0</v>
      </c>
      <c r="O36" s="46"/>
      <c r="P36" s="47"/>
      <c r="Q36" s="49">
        <f t="shared" si="8"/>
        <v>0</v>
      </c>
      <c r="R36" s="48"/>
      <c r="S36" s="60">
        <f t="shared" si="3"/>
        <v>0</v>
      </c>
      <c r="T36" s="46">
        <f>+'[1]1월'!$AS$26/1000</f>
        <v>0</v>
      </c>
      <c r="U36" s="47">
        <f>-'[2]1월'!$BD$26/1000</f>
        <v>0</v>
      </c>
      <c r="V36" s="49">
        <f t="shared" si="4"/>
        <v>0</v>
      </c>
      <c r="W36" s="48">
        <f>-'[3]1월'!$BD$26/1000</f>
        <v>0</v>
      </c>
      <c r="X36" s="60">
        <f t="shared" si="5"/>
        <v>0</v>
      </c>
      <c r="Y36" s="663"/>
      <c r="Z36" s="622"/>
      <c r="AA36" s="622"/>
      <c r="AB36" s="622"/>
      <c r="AC36" s="622"/>
      <c r="AD36" s="622"/>
      <c r="AE36" s="622"/>
      <c r="AF36" s="622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7"/>
        <v>0</v>
      </c>
      <c r="O37" s="46"/>
      <c r="P37" s="47"/>
      <c r="Q37" s="49">
        <f t="shared" si="8"/>
        <v>0</v>
      </c>
      <c r="R37" s="48"/>
      <c r="S37" s="60">
        <f t="shared" si="3"/>
        <v>0</v>
      </c>
      <c r="T37" s="46"/>
      <c r="U37" s="47">
        <f>-'[2]1월'!$BE$26/1000</f>
        <v>0</v>
      </c>
      <c r="V37" s="49">
        <f t="shared" si="4"/>
        <v>0</v>
      </c>
      <c r="W37" s="48">
        <f>-'[3]1월'!$BE$26/1000</f>
        <v>0</v>
      </c>
      <c r="X37" s="60">
        <f t="shared" si="5"/>
        <v>0</v>
      </c>
      <c r="Y37" s="621"/>
      <c r="Z37" s="622"/>
      <c r="AA37" s="622"/>
      <c r="AB37" s="622"/>
      <c r="AC37" s="622"/>
      <c r="AD37" s="622"/>
      <c r="AE37" s="622"/>
      <c r="AF37" s="622"/>
      <c r="AG37" s="51"/>
      <c r="AH37" s="18"/>
      <c r="AI37" s="19"/>
      <c r="AK37" s="99"/>
      <c r="AL37" s="99"/>
    </row>
    <row r="38" spans="2:38" s="8" customFormat="1" ht="19.5" customHeight="1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7"/>
        <v>0</v>
      </c>
      <c r="O38" s="46"/>
      <c r="P38" s="47"/>
      <c r="Q38" s="49">
        <f t="shared" si="8"/>
        <v>0</v>
      </c>
      <c r="R38" s="48"/>
      <c r="S38" s="60">
        <f t="shared" si="3"/>
        <v>0</v>
      </c>
      <c r="T38" s="46">
        <f>SUM('[1]1월'!$AM$26:$AQ$26)/1000</f>
        <v>-35.76748444445964</v>
      </c>
      <c r="U38" s="47">
        <f>+'[2]1월'!$BF$26/1000</f>
        <v>-36.069286999999996</v>
      </c>
      <c r="V38" s="49">
        <f t="shared" si="4"/>
        <v>-0.3018025555403554</v>
      </c>
      <c r="W38" s="48">
        <f>+'[3]1월'!$BF$26/1000</f>
        <v>-8.2008430000000008</v>
      </c>
      <c r="X38" s="60">
        <f>+U38-W38</f>
        <v>-27.868443999999997</v>
      </c>
      <c r="Y38" s="621"/>
      <c r="Z38" s="622"/>
      <c r="AA38" s="622"/>
      <c r="AB38" s="622"/>
      <c r="AC38" s="622"/>
      <c r="AD38" s="622"/>
      <c r="AE38" s="622"/>
      <c r="AF38" s="622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7"/>
        <v>0</v>
      </c>
      <c r="O39" s="46">
        <f>IFERROR(HLOOKUP($B39,'[1]1월'!$D$6:$BN$259,3,),)/1000</f>
        <v>1.77</v>
      </c>
      <c r="P39" s="47">
        <f>+('[2]1월'!$F$8-SUM('[2]1월'!$Z$8,'[2]1월'!$AH$8,'[2]1월'!$AN$8,'[2]1월'!$AO$8,'[2]1월'!$BA$8,'[2]1월'!$BD$8,'[2]1월'!$BE$8,'[2]1월'!$BF$8))/1000</f>
        <v>1.70239999999851</v>
      </c>
      <c r="Q39" s="55">
        <f t="shared" si="8"/>
        <v>-6.7600000001490024E-2</v>
      </c>
      <c r="R39" s="61">
        <f>+('[3]1월'!$F$8-SUM('[3]1월'!$Z$8,'[3]1월'!$AH$8,'[3]1월'!$AN$8,'[3]1월'!$AO$8,'[3]1월'!$BA$8,'[3]1월'!$BD$8,'[3]1월'!$BE$8,'[3]1월'!$BF$8))/1000</f>
        <v>1.6661000000014901</v>
      </c>
      <c r="S39" s="62">
        <f t="shared" si="3"/>
        <v>3.6299999997019938E-2</v>
      </c>
      <c r="T39" s="46">
        <f>+('[1]1월'!$E$26-'[1]1월'!$Z$26-'[1]1월'!$AA$26-'[1]1월'!$AE$26-'[1]1월'!$AL$26-'[1]1월'!$AM$26-'[1]1월'!$AN$26-'[1]1월'!$AO$26-'[1]1월'!$AP$26-'[1]1월'!$AQ$26-'[1]1월'!$AS$26)/1000</f>
        <v>-15.985408000000403</v>
      </c>
      <c r="U39" s="47">
        <f>+('[2]1월'!$F$26-SUM('[2]1월'!$Z$26,'[2]1월'!$AH$26,'[2]1월'!$AN$26,'[2]1월'!$AO$26,'[2]1월'!$BA$26,'[2]1월'!$BD$26,'[2]1월'!$BE$26,'[2]1월'!$BF$26))/1000</f>
        <v>-17.114136000001338</v>
      </c>
      <c r="V39" s="49">
        <f t="shared" si="4"/>
        <v>-1.128728000000935</v>
      </c>
      <c r="W39" s="61">
        <f>+('[3]1월'!$F$26-SUM('[3]1월'!$Z$26,'[3]1월'!$AH$26,'[3]1월'!$AN$26,'[3]1월'!$AO$26,'[3]1월'!$BA$26,'[3]1월'!$BD$26,'[3]1월'!$BE$26,'[3]1월'!$BF$26))/1000</f>
        <v>-17.003695999999529</v>
      </c>
      <c r="X39" s="60">
        <f t="shared" si="5"/>
        <v>-0.11044000000180887</v>
      </c>
      <c r="Y39" s="630"/>
      <c r="Z39" s="622"/>
      <c r="AA39" s="622"/>
      <c r="AB39" s="622"/>
      <c r="AC39" s="622"/>
      <c r="AD39" s="622"/>
      <c r="AE39" s="622"/>
      <c r="AF39" s="622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7"/>
        <v>0</v>
      </c>
      <c r="O40" s="46"/>
      <c r="P40" s="47"/>
      <c r="Q40" s="55">
        <f t="shared" si="8"/>
        <v>0</v>
      </c>
      <c r="R40" s="61"/>
      <c r="S40" s="62">
        <f t="shared" si="3"/>
        <v>0</v>
      </c>
      <c r="T40" s="46"/>
      <c r="U40" s="47"/>
      <c r="V40" s="49">
        <f t="shared" si="4"/>
        <v>0</v>
      </c>
      <c r="W40" s="61"/>
      <c r="X40" s="60"/>
      <c r="Y40" s="621"/>
      <c r="Z40" s="622"/>
      <c r="AA40" s="622"/>
      <c r="AB40" s="622"/>
      <c r="AC40" s="622"/>
      <c r="AD40" s="622"/>
      <c r="AE40" s="622"/>
      <c r="AF40" s="622"/>
      <c r="AG40" s="51"/>
      <c r="AH40" s="31"/>
    </row>
    <row r="41" spans="2:38" s="3" customFormat="1" ht="19.5" customHeight="1">
      <c r="D41" s="692"/>
      <c r="H41" s="161" t="s">
        <v>118</v>
      </c>
      <c r="I41" s="162"/>
      <c r="J41" s="681">
        <f>SUM(J33:J40)</f>
        <v>0</v>
      </c>
      <c r="K41" s="682">
        <f>SUM(K33:K40)</f>
        <v>0</v>
      </c>
      <c r="L41" s="682">
        <f>+K41-J41</f>
        <v>0</v>
      </c>
      <c r="M41" s="682">
        <f>SUM(M33:M40)</f>
        <v>0</v>
      </c>
      <c r="N41" s="683">
        <f t="shared" si="7"/>
        <v>0</v>
      </c>
      <c r="O41" s="163">
        <f>SUM(O33:O40)</f>
        <v>164.90750033333333</v>
      </c>
      <c r="P41" s="164">
        <f>SUM(P33:P40)</f>
        <v>164.47551099999853</v>
      </c>
      <c r="Q41" s="168">
        <f t="shared" si="2"/>
        <v>-0.43198933333479772</v>
      </c>
      <c r="R41" s="169">
        <f>SUM(R33:R40)</f>
        <v>174.12201800000148</v>
      </c>
      <c r="S41" s="170">
        <f>+P41-R41</f>
        <v>-9.6465070000029414</v>
      </c>
      <c r="T41" s="163">
        <f>SUM(T33:T40)</f>
        <v>-1378.8514447650368</v>
      </c>
      <c r="U41" s="164">
        <f>SUM(U33:U40)</f>
        <v>-1468.8616962438978</v>
      </c>
      <c r="V41" s="168">
        <f>+U41-T41</f>
        <v>-90.010251478860937</v>
      </c>
      <c r="W41" s="169">
        <f>SUM(W33:W40)</f>
        <v>-1161.8851019999995</v>
      </c>
      <c r="X41" s="170">
        <f>+U41-W41</f>
        <v>-306.97659424389826</v>
      </c>
      <c r="Y41" s="623"/>
      <c r="Z41" s="624"/>
      <c r="AA41" s="624"/>
      <c r="AB41" s="624"/>
      <c r="AC41" s="624"/>
      <c r="AD41" s="624"/>
      <c r="AE41" s="624"/>
      <c r="AF41" s="624"/>
      <c r="AG41" s="625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99">
        <f>+P43/O43</f>
        <v>1.0808428153694496</v>
      </c>
      <c r="H43" s="674" t="s">
        <v>41</v>
      </c>
      <c r="I43" s="675"/>
      <c r="J43" s="687"/>
      <c r="K43" s="688"/>
      <c r="L43" s="688"/>
      <c r="M43" s="688"/>
      <c r="N43" s="689"/>
      <c r="O43" s="676">
        <f>+O27+O32+O28+O41</f>
        <v>34387.607552625966</v>
      </c>
      <c r="P43" s="677">
        <f>+P27+P32+P28+P41</f>
        <v>37167.598560999999</v>
      </c>
      <c r="Q43" s="678">
        <f t="shared" si="2"/>
        <v>2779.9910083740324</v>
      </c>
      <c r="R43" s="679">
        <f>+R27+R32+R28+R41</f>
        <v>35074.439877999997</v>
      </c>
      <c r="S43" s="680">
        <f>+P43-R43</f>
        <v>2093.1586830000015</v>
      </c>
      <c r="T43" s="676">
        <f>+T27+T32+T28+T41</f>
        <v>1003.6636313397971</v>
      </c>
      <c r="U43" s="677">
        <f>+U27+U32+U28+U41</f>
        <v>1115.0685369978382</v>
      </c>
      <c r="V43" s="678">
        <f>+U43-T43</f>
        <v>111.40490565804112</v>
      </c>
      <c r="W43" s="679">
        <f>+W27+W32+W28+W41</f>
        <v>1472.3577219999991</v>
      </c>
      <c r="X43" s="680">
        <f>+U43-W43</f>
        <v>-357.28918500216082</v>
      </c>
      <c r="Y43" s="726"/>
      <c r="Z43" s="727"/>
      <c r="AA43" s="727"/>
      <c r="AB43" s="727"/>
      <c r="AC43" s="727"/>
      <c r="AD43" s="727"/>
      <c r="AE43" s="727"/>
      <c r="AF43" s="727"/>
      <c r="AG43" s="728"/>
      <c r="AH43" s="26"/>
    </row>
    <row r="44" spans="2:38" s="34" customFormat="1">
      <c r="G44" s="696">
        <f>+U43/T43</f>
        <v>1.1109982489943628</v>
      </c>
      <c r="T44" s="696">
        <f>+T43/O43</f>
        <v>2.9186782761895094E-2</v>
      </c>
      <c r="U44" s="696">
        <f>+U43/P43</f>
        <v>3.000109181570533E-2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723" t="s">
        <v>101</v>
      </c>
      <c r="J46" s="153">
        <f>+'[1]1월'!$Z$7/1000</f>
        <v>241</v>
      </c>
      <c r="K46" s="154">
        <f>+'[2]1월'!$AI$7/1000</f>
        <v>278.88549999999998</v>
      </c>
      <c r="L46" s="154"/>
      <c r="M46" s="154">
        <f>+'[3]1월'!$Z$7/1000</f>
        <v>268.58100000000002</v>
      </c>
      <c r="N46" s="154"/>
      <c r="O46" s="154">
        <f>+'[1]1월'!$E$8/1000</f>
        <v>34387.607552625959</v>
      </c>
      <c r="P46" s="154">
        <f>+'[2]1월'!$F$8/1000</f>
        <v>37167.598560999999</v>
      </c>
      <c r="Q46" s="154"/>
      <c r="R46" s="154">
        <f>+'[3]1월'!$F$8/1000</f>
        <v>35074.439877999997</v>
      </c>
      <c r="S46" s="154"/>
      <c r="T46" s="159">
        <f>+'[1]1월'!$E$26/1000</f>
        <v>1003.663631339801</v>
      </c>
      <c r="U46" s="154">
        <f>+'[2]1월'!$F$26/1000</f>
        <v>1115.0685369978371</v>
      </c>
      <c r="V46" s="154"/>
      <c r="W46" s="154">
        <f>+'[3]1월'!$F$26/1000</f>
        <v>1472.3577219999991</v>
      </c>
      <c r="X46" s="155"/>
      <c r="AC46" s="35"/>
      <c r="AF46" s="35"/>
    </row>
    <row r="47" spans="2:38" s="34" customFormat="1" ht="17.25" thickBot="1">
      <c r="I47" s="723"/>
      <c r="J47" s="158">
        <f>+J46-J27</f>
        <v>0</v>
      </c>
      <c r="K47" s="156">
        <f>+K46-K27</f>
        <v>0</v>
      </c>
      <c r="L47" s="156"/>
      <c r="M47" s="156">
        <f>+M46-M27</f>
        <v>0</v>
      </c>
      <c r="N47" s="156"/>
      <c r="O47" s="160">
        <f>+O46-O43</f>
        <v>0</v>
      </c>
      <c r="P47" s="160">
        <f>+P46-P43</f>
        <v>0</v>
      </c>
      <c r="Q47" s="156"/>
      <c r="R47" s="160">
        <f>+R46-R43</f>
        <v>0</v>
      </c>
      <c r="S47" s="156"/>
      <c r="T47" s="160">
        <f>+T46-T43</f>
        <v>3.865352482534945E-12</v>
      </c>
      <c r="U47" s="160">
        <f>+U46-U43</f>
        <v>0</v>
      </c>
      <c r="V47" s="156"/>
      <c r="W47" s="156">
        <f>+W46-W43</f>
        <v>0</v>
      </c>
      <c r="X47" s="157"/>
      <c r="AC47" s="35"/>
      <c r="AF47" s="35"/>
      <c r="AG47" s="34" t="s">
        <v>102</v>
      </c>
    </row>
    <row r="48" spans="2:38">
      <c r="T48" s="693"/>
      <c r="U48" s="693"/>
      <c r="V48" s="693"/>
    </row>
    <row r="49" spans="10:33">
      <c r="T49" s="693"/>
      <c r="U49" s="693"/>
      <c r="V49" s="693"/>
    </row>
    <row r="50" spans="10:33">
      <c r="T50" s="693"/>
      <c r="U50" s="693"/>
      <c r="V50" s="693"/>
    </row>
    <row r="51" spans="10:33">
      <c r="T51" s="694"/>
      <c r="U51" s="694"/>
      <c r="V51" s="693"/>
    </row>
    <row r="52" spans="10:33">
      <c r="T52" s="694"/>
      <c r="U52" s="694"/>
      <c r="V52" s="693"/>
    </row>
    <row r="54" spans="10:33">
      <c r="J54" s="633"/>
      <c r="K54" s="633"/>
      <c r="L54" s="633"/>
      <c r="M54" s="633"/>
      <c r="N54" s="633"/>
      <c r="O54" s="633"/>
      <c r="P54" s="633"/>
      <c r="Q54" s="633"/>
      <c r="R54" s="633"/>
      <c r="S54" s="633"/>
      <c r="T54" s="633"/>
      <c r="U54" s="633"/>
      <c r="V54" s="633"/>
      <c r="W54" s="633"/>
      <c r="X54" s="633"/>
      <c r="Y54" s="633"/>
      <c r="Z54" s="633"/>
      <c r="AA54" s="633"/>
      <c r="AB54" s="633"/>
      <c r="AC54" s="633"/>
      <c r="AD54" s="633"/>
      <c r="AE54" s="633"/>
      <c r="AF54" s="633"/>
      <c r="AG54" s="633"/>
    </row>
    <row r="55" spans="10:33">
      <c r="J55" s="633"/>
      <c r="K55" s="633"/>
      <c r="L55" s="633"/>
      <c r="M55" s="633"/>
      <c r="N55" s="633"/>
      <c r="O55" s="633"/>
      <c r="P55" s="633"/>
      <c r="Q55" s="633"/>
      <c r="R55" s="633"/>
      <c r="S55" s="633"/>
      <c r="T55" s="633"/>
      <c r="U55" s="633"/>
      <c r="V55" s="633"/>
      <c r="W55" s="633"/>
      <c r="X55" s="633"/>
      <c r="Y55" s="633"/>
      <c r="Z55" s="633"/>
      <c r="AA55" s="633"/>
      <c r="AB55" s="633"/>
      <c r="AC55" s="633"/>
      <c r="AD55" s="633"/>
      <c r="AE55" s="633"/>
      <c r="AF55" s="633"/>
      <c r="AG55" s="633"/>
    </row>
    <row r="56" spans="10:33">
      <c r="J56" s="633"/>
      <c r="K56" s="633"/>
      <c r="L56" s="633"/>
      <c r="M56" s="633"/>
      <c r="N56" s="633"/>
      <c r="O56" s="633"/>
      <c r="P56" s="633"/>
      <c r="Q56" s="633"/>
      <c r="R56" s="633"/>
      <c r="S56" s="633"/>
      <c r="T56" s="633"/>
      <c r="U56" s="633"/>
      <c r="V56" s="633"/>
      <c r="W56" s="633"/>
      <c r="X56" s="633"/>
      <c r="Y56" s="633"/>
      <c r="Z56" s="633"/>
      <c r="AA56" s="633"/>
      <c r="AB56" s="633"/>
      <c r="AC56" s="633"/>
      <c r="AD56" s="633"/>
      <c r="AE56" s="633"/>
      <c r="AF56" s="633"/>
      <c r="AG56" s="633"/>
    </row>
    <row r="57" spans="10:33">
      <c r="J57" s="633"/>
      <c r="K57" s="633"/>
      <c r="L57" s="633"/>
      <c r="M57" s="633"/>
      <c r="N57" s="633"/>
      <c r="O57" s="633"/>
      <c r="P57" s="633"/>
      <c r="Q57" s="633"/>
      <c r="R57" s="633"/>
      <c r="S57" s="633"/>
      <c r="T57" s="633"/>
      <c r="U57" s="633"/>
      <c r="V57" s="633"/>
      <c r="W57" s="633"/>
      <c r="X57" s="633"/>
      <c r="Y57" s="633"/>
      <c r="Z57" s="633"/>
      <c r="AA57" s="633"/>
      <c r="AB57" s="633"/>
      <c r="AC57" s="633"/>
      <c r="AD57" s="633"/>
      <c r="AE57" s="633"/>
      <c r="AF57" s="633"/>
      <c r="AG57" s="633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/>
    <row r="2" spans="4:26" ht="9.9499999999999993" hidden="1" customHeight="1"/>
    <row r="3" spans="4:26" ht="9.9499999999999993" customHeight="1"/>
    <row r="4" spans="4:26" ht="31.5">
      <c r="D4" s="198" t="s">
        <v>199</v>
      </c>
      <c r="F4" s="198"/>
      <c r="I4" s="198"/>
      <c r="J4" s="198"/>
    </row>
    <row r="5" spans="4:26" ht="21.95" customHeight="1">
      <c r="W5" s="200" t="s">
        <v>149</v>
      </c>
    </row>
    <row r="6" spans="4:26" ht="24" customHeight="1" thickBot="1">
      <c r="D6" s="729" t="s">
        <v>11</v>
      </c>
      <c r="E6" s="473" t="s">
        <v>143</v>
      </c>
      <c r="F6" s="474"/>
      <c r="G6" s="475"/>
      <c r="H6" s="473" t="s">
        <v>144</v>
      </c>
      <c r="I6" s="474"/>
      <c r="J6" s="474"/>
      <c r="K6" s="475"/>
      <c r="L6" s="473" t="s">
        <v>145</v>
      </c>
      <c r="M6" s="474"/>
      <c r="N6" s="474"/>
      <c r="O6" s="475"/>
      <c r="P6" s="473" t="s">
        <v>146</v>
      </c>
      <c r="Q6" s="474"/>
      <c r="R6" s="474"/>
      <c r="S6" s="475"/>
      <c r="T6" s="473" t="s">
        <v>147</v>
      </c>
      <c r="U6" s="474"/>
      <c r="V6" s="474"/>
      <c r="W6" s="475"/>
    </row>
    <row r="7" spans="4:26" ht="24" customHeight="1">
      <c r="D7" s="730"/>
      <c r="E7" s="476" t="s">
        <v>12</v>
      </c>
      <c r="F7" s="477" t="s">
        <v>13</v>
      </c>
      <c r="G7" s="478" t="s">
        <v>37</v>
      </c>
      <c r="H7" s="476" t="s">
        <v>15</v>
      </c>
      <c r="I7" s="477" t="s">
        <v>16</v>
      </c>
      <c r="J7" s="479" t="s">
        <v>37</v>
      </c>
      <c r="K7" s="480" t="s">
        <v>148</v>
      </c>
      <c r="L7" s="476" t="s">
        <v>15</v>
      </c>
      <c r="M7" s="477" t="s">
        <v>16</v>
      </c>
      <c r="N7" s="479" t="s">
        <v>37</v>
      </c>
      <c r="O7" s="480" t="s">
        <v>148</v>
      </c>
      <c r="P7" s="476" t="s">
        <v>15</v>
      </c>
      <c r="Q7" s="477" t="s">
        <v>16</v>
      </c>
      <c r="R7" s="479" t="s">
        <v>37</v>
      </c>
      <c r="S7" s="480" t="s">
        <v>148</v>
      </c>
      <c r="T7" s="476" t="s">
        <v>15</v>
      </c>
      <c r="U7" s="477" t="s">
        <v>16</v>
      </c>
      <c r="V7" s="479" t="s">
        <v>37</v>
      </c>
      <c r="W7" s="480" t="s">
        <v>148</v>
      </c>
    </row>
    <row r="8" spans="4:26" ht="24" customHeight="1">
      <c r="D8" s="504" t="s">
        <v>41</v>
      </c>
      <c r="E8" s="494">
        <f>+[4]합계!$H$86/1000</f>
        <v>2260.739569224882</v>
      </c>
      <c r="F8" s="496">
        <f>+[4]합계!$I$86/1000</f>
        <v>2324.5892899999972</v>
      </c>
      <c r="G8" s="495">
        <f>+F8-E8</f>
        <v>63.849720775115202</v>
      </c>
      <c r="H8" s="494">
        <f>+[4]합계!$T$5/1000</f>
        <v>241</v>
      </c>
      <c r="I8" s="496">
        <f>+[4]합계!$U$5/1000</f>
        <v>278.88549999999998</v>
      </c>
      <c r="J8" s="495">
        <f>+I8-H8</f>
        <v>37.885499999999979</v>
      </c>
      <c r="K8" s="498">
        <f>+[4]합계!$M$86/1000</f>
        <v>510.81971463059637</v>
      </c>
      <c r="L8" s="494">
        <f>+[4]합계!$Q$85</f>
        <v>100309.51825448238</v>
      </c>
      <c r="M8" s="496">
        <f>+[4]합계!$R$85</f>
        <v>99953.912734626982</v>
      </c>
      <c r="N8" s="495">
        <f>+M8-L8</f>
        <v>-355.60551985539496</v>
      </c>
      <c r="O8" s="498">
        <f>+[4]합계!$K$86/1000</f>
        <v>-99.168955941393477</v>
      </c>
      <c r="P8" s="494">
        <f>+[4]합계!$Q$50</f>
        <v>86822.72367171089</v>
      </c>
      <c r="Q8" s="496">
        <f>+[4]합계!$R$50</f>
        <v>87977.461421686443</v>
      </c>
      <c r="R8" s="495">
        <f>+Q8-P8</f>
        <v>1154.737749975553</v>
      </c>
      <c r="S8" s="498">
        <f>+[4]합계!$L$56/1000</f>
        <v>-258.43677900713323</v>
      </c>
      <c r="T8" s="494">
        <f>+([4]합계!$H$80+[4]합계!$H$85)/1000</f>
        <v>989.5779252230459</v>
      </c>
      <c r="U8" s="496">
        <f>+([4]합계!$I$80+[4]합계!$I$85)/1000</f>
        <v>1078.94218413</v>
      </c>
      <c r="V8" s="495">
        <f>+U8-T8</f>
        <v>89.364258906954092</v>
      </c>
      <c r="W8" s="503">
        <f>+([4]합계!$L$80+[4]합계!$L$85)/1000</f>
        <v>-89.36425890695412</v>
      </c>
      <c r="Y8" s="6">
        <f>+G8-K8-O8-S8-W8</f>
        <v>-3.694822225952521E-13</v>
      </c>
      <c r="Z8" s="6">
        <f>+Y8*1000000</f>
        <v>-3.694822225952521E-7</v>
      </c>
    </row>
    <row r="9" spans="4:26" ht="24" customHeight="1">
      <c r="D9" s="505" t="s">
        <v>19</v>
      </c>
      <c r="E9" s="499">
        <f>+[4]수도권!$H$86/1000</f>
        <v>581.00835686061646</v>
      </c>
      <c r="F9" s="513">
        <f>+[4]수도권!$I$86/1000</f>
        <v>486.07576499999908</v>
      </c>
      <c r="G9" s="500">
        <f t="shared" ref="G9:G28" si="0">+F9-E9</f>
        <v>-94.932591860617379</v>
      </c>
      <c r="H9" s="499">
        <f>+[4]수도권!$T$5/1000</f>
        <v>93</v>
      </c>
      <c r="I9" s="513">
        <f>+[4]수도권!$U$5/1000</f>
        <v>102.264</v>
      </c>
      <c r="J9" s="500">
        <f t="shared" ref="J9:J28" si="1">+I9-H9</f>
        <v>9.2639999999999958</v>
      </c>
      <c r="K9" s="516">
        <f>+[4]수도권!$M$86/1000</f>
        <v>88.679507635489102</v>
      </c>
      <c r="L9" s="499">
        <f>+[4]수도권!$Q$85</f>
        <v>96584.296422905929</v>
      </c>
      <c r="M9" s="513">
        <f>+[4]수도권!$R$85</f>
        <v>97064.272432136422</v>
      </c>
      <c r="N9" s="500">
        <f t="shared" ref="N9:N28" si="2">+M9-L9</f>
        <v>479.97600923049322</v>
      </c>
      <c r="O9" s="516">
        <f>+[4]수도권!$K$86/1000</f>
        <v>49.08426660794715</v>
      </c>
      <c r="P9" s="499">
        <f>+[4]수도권!$Q$50</f>
        <v>87011.810710957623</v>
      </c>
      <c r="Q9" s="513">
        <f>+[4]수도권!$R$50</f>
        <v>89127.41711146303</v>
      </c>
      <c r="R9" s="500">
        <f t="shared" ref="R9:R28" si="3">+Q9-P9</f>
        <v>2115.6064005054068</v>
      </c>
      <c r="S9" s="516">
        <f>+[4]수도권!$L$56/1000</f>
        <v>-216.31974597463051</v>
      </c>
      <c r="T9" s="499">
        <f>+([4]수도권!$H$80+[4]수도권!$H$85)/1000</f>
        <v>309.23281435057777</v>
      </c>
      <c r="U9" s="513">
        <f>+([4]수도권!$I$80+[4]수도권!$I$85)/1000</f>
        <v>325.60943448</v>
      </c>
      <c r="V9" s="500">
        <f t="shared" ref="V9:V28" si="4">+U9-T9</f>
        <v>16.376620129422236</v>
      </c>
      <c r="W9" s="516">
        <f>+([4]수도권!$L$80+[4]수도권!$L$85)/1000</f>
        <v>-16.376620129422253</v>
      </c>
      <c r="Y9" s="6">
        <f t="shared" ref="Y9:Y28" si="5">+G9-K9-O9-S9-W9</f>
        <v>-8.6330942394852173E-13</v>
      </c>
      <c r="Z9" s="6">
        <f t="shared" ref="Z9:Z28" si="6">+Y9*1000000</f>
        <v>-8.6330942394852173E-7</v>
      </c>
    </row>
    <row r="10" spans="4:26" ht="24" customHeight="1">
      <c r="D10" s="506" t="s">
        <v>20</v>
      </c>
      <c r="E10" s="501">
        <f>+[4]영남권!$H$86/1000</f>
        <v>1299.2460233558456</v>
      </c>
      <c r="F10" s="514">
        <f>+[4]영남권!$I$86/1000</f>
        <v>1491.2351849999984</v>
      </c>
      <c r="G10" s="511">
        <f t="shared" si="0"/>
        <v>191.98916164415277</v>
      </c>
      <c r="H10" s="501">
        <f>+[4]영남권!$T$5/1000</f>
        <v>110.5</v>
      </c>
      <c r="I10" s="514">
        <f>+[4]영남권!$U$5/1000</f>
        <v>132.898</v>
      </c>
      <c r="J10" s="511">
        <f t="shared" si="1"/>
        <v>22.397999999999996</v>
      </c>
      <c r="K10" s="517">
        <f>+[4]영남권!$M$86/1000</f>
        <v>364.06439745531299</v>
      </c>
      <c r="L10" s="501">
        <f>+[4]영남권!$Q$85</f>
        <v>101787.61876923079</v>
      </c>
      <c r="M10" s="514">
        <f>+[4]영남권!$R$85</f>
        <v>101515.92429601311</v>
      </c>
      <c r="N10" s="511">
        <f t="shared" si="2"/>
        <v>-271.69447321767802</v>
      </c>
      <c r="O10" s="517">
        <f>+[4]영남권!$K$86/1000</f>
        <v>-36.104391768004369</v>
      </c>
      <c r="P10" s="501">
        <f>+[4]영남권!$Q$50</f>
        <v>85525.812396707188</v>
      </c>
      <c r="Q10" s="514">
        <f>+[4]영남권!$R$50</f>
        <v>86528.671939166918</v>
      </c>
      <c r="R10" s="511">
        <f t="shared" si="3"/>
        <v>1002.8595424597297</v>
      </c>
      <c r="S10" s="517">
        <f>+[4]영남권!$L$56/1000</f>
        <v>-69.643650721166324</v>
      </c>
      <c r="T10" s="501">
        <f>+([4]영남권!$H$80+[4]영남권!$H$85)/1000</f>
        <v>497.68358080800965</v>
      </c>
      <c r="U10" s="514">
        <f>+([4]영남권!$I$80+[4]영남권!$I$85)/1000</f>
        <v>564.01077413000007</v>
      </c>
      <c r="V10" s="511">
        <f t="shared" si="4"/>
        <v>66.327193321990421</v>
      </c>
      <c r="W10" s="517">
        <f>+([4]영남권!$L$80+[4]영남권!$L$85)/1000</f>
        <v>-66.32719332199045</v>
      </c>
      <c r="Y10" s="6">
        <f t="shared" si="5"/>
        <v>9.3791641120333225E-13</v>
      </c>
      <c r="Z10" s="6">
        <f t="shared" si="6"/>
        <v>9.3791641120333225E-7</v>
      </c>
    </row>
    <row r="11" spans="4:26" ht="24" customHeight="1">
      <c r="D11" s="507" t="s">
        <v>57</v>
      </c>
      <c r="E11" s="502">
        <f>+[4]중부권!$H$86/1000</f>
        <v>380.48518900841793</v>
      </c>
      <c r="F11" s="515">
        <f>+[4]중부권!$I$86/1000</f>
        <v>347.27834000000058</v>
      </c>
      <c r="G11" s="512">
        <f t="shared" si="0"/>
        <v>-33.20684900841735</v>
      </c>
      <c r="H11" s="502">
        <f>+[4]중부권!$T$5/1000</f>
        <v>37.5</v>
      </c>
      <c r="I11" s="515">
        <f>+[4]중부권!$U$5/1000</f>
        <v>43.723500000000001</v>
      </c>
      <c r="J11" s="512">
        <f t="shared" si="1"/>
        <v>6.2235000000000014</v>
      </c>
      <c r="K11" s="518">
        <f>+[4]중부권!$M$86/1000</f>
        <v>93.459829497334553</v>
      </c>
      <c r="L11" s="502">
        <f>+[4]중부권!$Q$85</f>
        <v>105192.59887999999</v>
      </c>
      <c r="M11" s="515">
        <f>+[4]중부권!$R$85</f>
        <v>101965.1128340595</v>
      </c>
      <c r="N11" s="512">
        <f t="shared" si="2"/>
        <v>-3227.4860459404881</v>
      </c>
      <c r="O11" s="518">
        <f>+[4]중부권!$K$86/1000</f>
        <v>-141.11698612967893</v>
      </c>
      <c r="P11" s="502">
        <f>+[4]중부권!$Q$50</f>
        <v>90175.353038056623</v>
      </c>
      <c r="Q11" s="515">
        <f>+[4]중부권!$R$50</f>
        <v>89692.52973801273</v>
      </c>
      <c r="R11" s="512">
        <f t="shared" si="3"/>
        <v>-482.82330004389223</v>
      </c>
      <c r="S11" s="518">
        <f>+[4]중부권!$L$56/1000</f>
        <v>21.110753079468516</v>
      </c>
      <c r="T11" s="502">
        <f>+([4]중부권!$H$80+[4]중부권!$H$85)/1000</f>
        <v>182.66153006445856</v>
      </c>
      <c r="U11" s="515">
        <f>+([4]중부권!$I$80+[4]중부권!$I$85)/1000</f>
        <v>189.32197552000002</v>
      </c>
      <c r="V11" s="512">
        <f t="shared" si="4"/>
        <v>6.6604454555414634</v>
      </c>
      <c r="W11" s="518">
        <f>+([4]중부권!$L$80+[4]중부권!$L$85)/1000</f>
        <v>-6.66044545554149</v>
      </c>
      <c r="Y11" s="6">
        <f t="shared" si="5"/>
        <v>0</v>
      </c>
      <c r="Z11" s="6">
        <f t="shared" si="6"/>
        <v>0</v>
      </c>
    </row>
    <row r="12" spans="4:26" ht="24" customHeight="1">
      <c r="D12" s="508" t="s">
        <v>22</v>
      </c>
      <c r="E12" s="481">
        <f>+[4]안양!$H$86/1000</f>
        <v>326.8929349364729</v>
      </c>
      <c r="F12" s="482">
        <f>+[4]안양!$I$86/1000</f>
        <v>337.22639400000014</v>
      </c>
      <c r="G12" s="483">
        <f t="shared" si="0"/>
        <v>10.333459063527243</v>
      </c>
      <c r="H12" s="481">
        <f>+[4]안양!$T$5/1000</f>
        <v>37</v>
      </c>
      <c r="I12" s="482">
        <f>+[4]안양!$U$5/1000</f>
        <v>45.761000000000003</v>
      </c>
      <c r="J12" s="484">
        <f t="shared" si="1"/>
        <v>8.7610000000000028</v>
      </c>
      <c r="K12" s="74">
        <f>+[4]안양!$M$86/1000</f>
        <v>100.03439532330923</v>
      </c>
      <c r="L12" s="481">
        <f>+[4]안양!$Q$85</f>
        <v>96804.104054054071</v>
      </c>
      <c r="M12" s="482">
        <f>+[4]안양!$R$85</f>
        <v>95522.364021765272</v>
      </c>
      <c r="N12" s="484">
        <f t="shared" si="2"/>
        <v>-1281.7400322887988</v>
      </c>
      <c r="O12" s="74">
        <f>+[4]안양!$K$86/1000</f>
        <v>-58.653705617567731</v>
      </c>
      <c r="P12" s="481">
        <f>+[4]안양!$Q$50</f>
        <v>85385.955974689947</v>
      </c>
      <c r="Q12" s="482">
        <f>+[4]안양!$R$50</f>
        <v>85871.274310182853</v>
      </c>
      <c r="R12" s="484">
        <f t="shared" si="3"/>
        <v>485.31833549290604</v>
      </c>
      <c r="S12" s="74">
        <f>+[4]안양!$L$56/1000</f>
        <v>-22.146386212214033</v>
      </c>
      <c r="T12" s="481">
        <f>+([4]안양!$H$80+[4]안양!$H$85)/1000</f>
        <v>95.578543999999994</v>
      </c>
      <c r="U12" s="482">
        <f>+([4]안양!$I$80+[4]안양!$I$85)/1000</f>
        <v>104.47938842999999</v>
      </c>
      <c r="V12" s="484">
        <f t="shared" si="4"/>
        <v>8.9008444299999923</v>
      </c>
      <c r="W12" s="74">
        <f>+([4]안양!$L$80+[4]안양!$L$85)/1000</f>
        <v>-8.9008444300000011</v>
      </c>
      <c r="Y12" s="6">
        <f t="shared" si="5"/>
        <v>-2.1849189124623081E-13</v>
      </c>
      <c r="Z12" s="6">
        <f t="shared" si="6"/>
        <v>-2.1849189124623081E-7</v>
      </c>
    </row>
    <row r="13" spans="4:26" ht="24" customHeight="1">
      <c r="D13" s="509" t="s">
        <v>23</v>
      </c>
      <c r="E13" s="486">
        <f>+[4]인천!$H$86/1000</f>
        <v>125.23471203982687</v>
      </c>
      <c r="F13" s="487">
        <f>+[4]인천!$I$86/1000</f>
        <v>102.9246220000005</v>
      </c>
      <c r="G13" s="203">
        <f t="shared" si="0"/>
        <v>-22.310090039826378</v>
      </c>
      <c r="H13" s="486">
        <f>+[4]인천!$T$5/1000</f>
        <v>28</v>
      </c>
      <c r="I13" s="487">
        <f>+[4]인천!$U$5/1000</f>
        <v>28.34</v>
      </c>
      <c r="J13" s="179">
        <f t="shared" si="1"/>
        <v>0.33999999999999986</v>
      </c>
      <c r="K13" s="488">
        <f>+[4]인천!$M$86/1000</f>
        <v>2.6844659436295113</v>
      </c>
      <c r="L13" s="486">
        <f>+[4]인천!$Q$85</f>
        <v>97848.2689285714</v>
      </c>
      <c r="M13" s="487">
        <f>+[4]인천!$R$85</f>
        <v>97629.192942836991</v>
      </c>
      <c r="N13" s="179">
        <f t="shared" si="2"/>
        <v>-219.07598573440919</v>
      </c>
      <c r="O13" s="488">
        <f>+[4]인천!$K$86/1000</f>
        <v>-6.2086134357131559</v>
      </c>
      <c r="P13" s="486">
        <f>+[4]인천!$Q$50</f>
        <v>89952.780859072838</v>
      </c>
      <c r="Q13" s="487">
        <f>+[4]인천!$R$50</f>
        <v>90549.026705708035</v>
      </c>
      <c r="R13" s="179">
        <f t="shared" si="3"/>
        <v>596.24584663519636</v>
      </c>
      <c r="S13" s="488">
        <f>+[4]인천!$L$56/1000</f>
        <v>-16.929467633875355</v>
      </c>
      <c r="T13" s="486">
        <f>+([4]인천!$H$80+[4]인천!$H$85)/1000</f>
        <v>95.838953906133341</v>
      </c>
      <c r="U13" s="487">
        <f>+([4]인천!$I$80+[4]인천!$I$85)/1000</f>
        <v>97.695428820000004</v>
      </c>
      <c r="V13" s="179">
        <f t="shared" si="4"/>
        <v>1.8564749138666627</v>
      </c>
      <c r="W13" s="488">
        <f>+([4]인천!$L$80+[4]인천!$L$85)/1000</f>
        <v>-1.8564749138666468</v>
      </c>
      <c r="Y13" s="6">
        <f t="shared" si="5"/>
        <v>-7.3363537467230344E-13</v>
      </c>
      <c r="Z13" s="6">
        <f t="shared" si="6"/>
        <v>-7.3363537467230344E-7</v>
      </c>
    </row>
    <row r="14" spans="4:26" ht="24" customHeight="1">
      <c r="D14" s="509" t="s">
        <v>24</v>
      </c>
      <c r="E14" s="486">
        <f>+[4]파주!$H$86/1000</f>
        <v>141.96630346721631</v>
      </c>
      <c r="F14" s="487">
        <f>+[4]파주!$I$86/1000</f>
        <v>116.27631100000002</v>
      </c>
      <c r="G14" s="203">
        <f t="shared" si="0"/>
        <v>-25.689992467216285</v>
      </c>
      <c r="H14" s="486">
        <f>+[4]파주!$T$5/1000</f>
        <v>20</v>
      </c>
      <c r="I14" s="487">
        <f>+[4]파주!$U$5/1000</f>
        <v>22.882000000000001</v>
      </c>
      <c r="J14" s="179">
        <f t="shared" si="1"/>
        <v>2.8820000000000014</v>
      </c>
      <c r="K14" s="488">
        <f>+[4]파주!$M$86/1000</f>
        <v>30.005396848270351</v>
      </c>
      <c r="L14" s="486">
        <f>+[4]파주!$Q$85</f>
        <v>95930.984366512566</v>
      </c>
      <c r="M14" s="487">
        <f>+[4]파주!$R$85</f>
        <v>100573.67922384407</v>
      </c>
      <c r="N14" s="179">
        <f t="shared" si="2"/>
        <v>4642.6948573315021</v>
      </c>
      <c r="O14" s="488">
        <f>+[4]파주!$K$86/1000</f>
        <v>106.23414372545942</v>
      </c>
      <c r="P14" s="486">
        <f>+[4]파주!$Q$50</f>
        <v>85519.673870929531</v>
      </c>
      <c r="Q14" s="487">
        <f>+[4]파주!$R$50</f>
        <v>92299.253518049125</v>
      </c>
      <c r="R14" s="179">
        <f t="shared" si="3"/>
        <v>6779.5796471195936</v>
      </c>
      <c r="S14" s="488">
        <f>+[4]파주!$L$56/1000</f>
        <v>-155.13033744539084</v>
      </c>
      <c r="T14" s="486">
        <f>+([4]파주!$H$80+[4]파주!$H$85)/1000</f>
        <v>66.259906444444439</v>
      </c>
      <c r="U14" s="487">
        <f>+([4]파주!$I$80+[4]파주!$I$85)/1000</f>
        <v>73.059102039999999</v>
      </c>
      <c r="V14" s="179">
        <f t="shared" si="4"/>
        <v>6.7991955955555596</v>
      </c>
      <c r="W14" s="488">
        <f>+([4]파주!$L$80+[4]파주!$L$85)/1000</f>
        <v>-6.7991955955555587</v>
      </c>
      <c r="Y14" s="6">
        <f t="shared" si="5"/>
        <v>3.2596148002994596E-13</v>
      </c>
      <c r="Z14" s="6">
        <f t="shared" si="6"/>
        <v>3.2596148002994596E-7</v>
      </c>
    </row>
    <row r="15" spans="4:26" ht="24" customHeight="1">
      <c r="D15" s="509" t="s">
        <v>178</v>
      </c>
      <c r="E15" s="486">
        <f>+[4]김포!$H$86/1000</f>
        <v>-13.085593582901252</v>
      </c>
      <c r="F15" s="487">
        <f>+[4]김포!$I$86/1000</f>
        <v>-70.351561999999973</v>
      </c>
      <c r="G15" s="203">
        <f t="shared" si="0"/>
        <v>-57.265968417098719</v>
      </c>
      <c r="H15" s="486">
        <f>+[4]김포!$T$5/1000</f>
        <v>8</v>
      </c>
      <c r="I15" s="487">
        <f>+[4]김포!$U$5/1000</f>
        <v>5.2809999999999997</v>
      </c>
      <c r="J15" s="179">
        <f t="shared" si="1"/>
        <v>-2.7190000000000003</v>
      </c>
      <c r="K15" s="488">
        <f>+[4]김포!$M$86/1000</f>
        <v>-13.074928854761412</v>
      </c>
      <c r="L15" s="486">
        <f>+[4]김포!$Q$85</f>
        <v>92777.0625</v>
      </c>
      <c r="M15" s="487">
        <f>+[4]김포!$R$85</f>
        <v>92187.767468282531</v>
      </c>
      <c r="N15" s="179">
        <f t="shared" si="2"/>
        <v>-589.2950317174691</v>
      </c>
      <c r="O15" s="488">
        <f>+[4]김포!$K$86/1000</f>
        <v>-3.1120670624999542</v>
      </c>
      <c r="P15" s="486">
        <f>+[4]김포!$Q$50</f>
        <v>87968.335447862686</v>
      </c>
      <c r="Q15" s="497">
        <f>+[4]김포!$R$50</f>
        <v>95960.690912525984</v>
      </c>
      <c r="R15" s="179">
        <f t="shared" si="3"/>
        <v>7992.3554646632983</v>
      </c>
      <c r="S15" s="488">
        <f>+[4]김포!$L$56/1000</f>
        <v>-42.258867309837328</v>
      </c>
      <c r="T15" s="486">
        <f>+([4]김포!$H$80+[4]김포!$H$85)/1000</f>
        <v>51.555409999999995</v>
      </c>
      <c r="U15" s="487">
        <f>+([4]김포!$I$80+[4]김포!$I$85)/1000</f>
        <v>50.375515190000009</v>
      </c>
      <c r="V15" s="179">
        <f t="shared" si="4"/>
        <v>-1.1798948099999862</v>
      </c>
      <c r="W15" s="488">
        <f>+([4]김포!$L$80+[4]김포!$L$85)/1000</f>
        <v>1.1798948099999929</v>
      </c>
      <c r="Y15" s="6">
        <f t="shared" si="5"/>
        <v>-2.0872192862952943E-14</v>
      </c>
      <c r="Z15" s="6">
        <f t="shared" si="6"/>
        <v>-2.0872192862952943E-8</v>
      </c>
    </row>
    <row r="16" spans="4:26" ht="24" customHeight="1">
      <c r="D16" s="510" t="s">
        <v>25</v>
      </c>
      <c r="E16" s="489">
        <f>+[4]부산!$H$86/1000</f>
        <v>245.36511118332857</v>
      </c>
      <c r="F16" s="490">
        <f>+[4]부산!$I$86/1000</f>
        <v>298.81115099999994</v>
      </c>
      <c r="G16" s="491">
        <f t="shared" si="0"/>
        <v>53.446039816671373</v>
      </c>
      <c r="H16" s="489">
        <f>+[4]부산!$T$5/1000</f>
        <v>18</v>
      </c>
      <c r="I16" s="490">
        <f>+[4]부산!$U$5/1000</f>
        <v>23.815000000000001</v>
      </c>
      <c r="J16" s="492">
        <f t="shared" si="1"/>
        <v>5.8150000000000013</v>
      </c>
      <c r="K16" s="493">
        <f>+[4]부산!$M$86/1000</f>
        <v>111.6878479928365</v>
      </c>
      <c r="L16" s="489">
        <f>+[4]부산!$Q$85</f>
        <v>107599.67944444448</v>
      </c>
      <c r="M16" s="490">
        <f>+[4]부산!$R$85</f>
        <v>105738.43653159773</v>
      </c>
      <c r="N16" s="492">
        <f t="shared" si="2"/>
        <v>-1861.2429128467484</v>
      </c>
      <c r="O16" s="493">
        <f>+[4]부산!$K$86/1000</f>
        <v>-44.32549996944531</v>
      </c>
      <c r="P16" s="489">
        <f>+[4]부산!$Q$50</f>
        <v>88392.826823148425</v>
      </c>
      <c r="Q16" s="490">
        <f>+[4]부산!$R$50</f>
        <v>89109.081977524329</v>
      </c>
      <c r="R16" s="492">
        <f t="shared" si="3"/>
        <v>716.25515437590366</v>
      </c>
      <c r="S16" s="493">
        <f>+[4]부산!$L$56/1000</f>
        <v>23.514306073280022</v>
      </c>
      <c r="T16" s="489">
        <f>+([4]부산!$H$80+[4]부산!$H$85)/1000</f>
        <v>100.35823600000001</v>
      </c>
      <c r="U16" s="490">
        <f>+([4]부산!$I$80+[4]부산!$I$85)/1000</f>
        <v>137.78885028000002</v>
      </c>
      <c r="V16" s="492">
        <f t="shared" si="4"/>
        <v>37.430614280000015</v>
      </c>
      <c r="W16" s="493">
        <f>+([4]부산!$L$80+[4]부산!$L$85)/1000</f>
        <v>-37.43061428</v>
      </c>
      <c r="Y16" s="6">
        <f t="shared" si="5"/>
        <v>1.7053025658242404E-13</v>
      </c>
      <c r="Z16" s="6">
        <f t="shared" si="6"/>
        <v>1.7053025658242404E-7</v>
      </c>
    </row>
    <row r="17" spans="4:26" ht="24" customHeight="1">
      <c r="D17" s="509" t="s">
        <v>26</v>
      </c>
      <c r="E17" s="486">
        <f>+[4]서부산!$H$86/1000</f>
        <v>313.84241896257396</v>
      </c>
      <c r="F17" s="487">
        <f>+[4]서부산!$I$86/1000</f>
        <v>198.08840199999986</v>
      </c>
      <c r="G17" s="203">
        <f t="shared" si="0"/>
        <v>-115.7540169625741</v>
      </c>
      <c r="H17" s="486">
        <f>+[4]서부산!$T$5/1000</f>
        <v>21</v>
      </c>
      <c r="I17" s="487">
        <f>+[4]서부산!$U$5/1000</f>
        <v>23.91</v>
      </c>
      <c r="J17" s="179">
        <f t="shared" si="1"/>
        <v>2.91</v>
      </c>
      <c r="K17" s="488">
        <f>+[4]서부산!$M$86/1000</f>
        <v>53.92107628592494</v>
      </c>
      <c r="L17" s="486">
        <f>+[4]서부산!$Q$85</f>
        <v>103101.68190476191</v>
      </c>
      <c r="M17" s="487">
        <f>+[4]서부산!$R$85</f>
        <v>97803.693015474695</v>
      </c>
      <c r="N17" s="179">
        <f t="shared" si="2"/>
        <v>-5297.9888892872114</v>
      </c>
      <c r="O17" s="488">
        <f>+[4]서부산!$K$86/1000</f>
        <v>-126.67491434285722</v>
      </c>
      <c r="P17" s="486">
        <f>+[4]서부산!$Q$50</f>
        <v>84572.102425062621</v>
      </c>
      <c r="Q17" s="487">
        <f>+[4]서부산!$R$50</f>
        <v>86048.368632371406</v>
      </c>
      <c r="R17" s="179">
        <f t="shared" si="3"/>
        <v>1476.2662073087849</v>
      </c>
      <c r="S17" s="488">
        <f>+[4]서부산!$L$56/1000</f>
        <v>-19.570197566753247</v>
      </c>
      <c r="T17" s="486">
        <f>+([4]서부산!$H$80+[4]서부산!$H$85)/1000</f>
        <v>75.278750111111123</v>
      </c>
      <c r="U17" s="487">
        <f>+([4]서부산!$I$80+[4]서부산!$I$85)/1000</f>
        <v>98.708731449999988</v>
      </c>
      <c r="V17" s="179">
        <f t="shared" si="4"/>
        <v>23.429981338888865</v>
      </c>
      <c r="W17" s="488">
        <f>+([4]서부산!$L$80+[4]서부산!$L$85)/1000</f>
        <v>-23.429981338888886</v>
      </c>
      <c r="Y17" s="6">
        <f t="shared" si="5"/>
        <v>3.3040237212844659E-13</v>
      </c>
      <c r="Z17" s="6">
        <f t="shared" si="6"/>
        <v>3.3040237212844659E-7</v>
      </c>
    </row>
    <row r="18" spans="4:26" ht="24" customHeight="1">
      <c r="D18" s="509" t="s">
        <v>27</v>
      </c>
      <c r="E18" s="486">
        <f>+[4]김해!$H$86/1000</f>
        <v>74.513101129674411</v>
      </c>
      <c r="F18" s="487">
        <f>+[4]김해!$I$86/1000</f>
        <v>82.439169000000035</v>
      </c>
      <c r="G18" s="203">
        <f t="shared" si="0"/>
        <v>7.9260678703256247</v>
      </c>
      <c r="H18" s="486">
        <f>+[4]김해!$T$5/1000</f>
        <v>10</v>
      </c>
      <c r="I18" s="487">
        <f>+[4]김해!$U$5/1000</f>
        <v>12.339</v>
      </c>
      <c r="J18" s="179">
        <f t="shared" si="1"/>
        <v>2.3390000000000004</v>
      </c>
      <c r="K18" s="488">
        <f>+[4]김해!$M$86/1000</f>
        <v>28.542542016297492</v>
      </c>
      <c r="L18" s="486">
        <f>+[4]김해!$Q$85</f>
        <v>100999.6</v>
      </c>
      <c r="M18" s="487">
        <f>+[4]김해!$R$85</f>
        <v>99339.806927881902</v>
      </c>
      <c r="N18" s="179">
        <f t="shared" si="2"/>
        <v>-1659.7930721181037</v>
      </c>
      <c r="O18" s="488">
        <f>+[4]김해!$K$86/1000</f>
        <v>-20.460269199999864</v>
      </c>
      <c r="P18" s="486">
        <f>+[4]김해!$Q$50</f>
        <v>88745.649842588115</v>
      </c>
      <c r="Q18" s="487">
        <f>+[4]김해!$R$50</f>
        <v>88633.743733268449</v>
      </c>
      <c r="R18" s="179">
        <f t="shared" si="3"/>
        <v>-111.90610931966512</v>
      </c>
      <c r="S18" s="488">
        <f>+[4]김해!$L$56/1000</f>
        <v>4.0398365495837956</v>
      </c>
      <c r="T18" s="486">
        <f>+([4]김해!$H$80+[4]김해!$H$85)/1000</f>
        <v>48.026400444444441</v>
      </c>
      <c r="U18" s="487">
        <f>+([4]김해!$I$80+[4]김해!$I$85)/1000</f>
        <v>52.222441940000003</v>
      </c>
      <c r="V18" s="179">
        <f t="shared" si="4"/>
        <v>4.1960414955555621</v>
      </c>
      <c r="W18" s="488">
        <f>+([4]김해!$L$80+[4]김해!$L$85)/1000</f>
        <v>-4.1960414955555549</v>
      </c>
      <c r="Y18" s="6">
        <f t="shared" si="5"/>
        <v>-2.4424906541753444E-13</v>
      </c>
      <c r="Z18" s="6">
        <f t="shared" si="6"/>
        <v>-2.4424906541753444E-7</v>
      </c>
    </row>
    <row r="19" spans="4:26" ht="24" customHeight="1">
      <c r="D19" s="509" t="s">
        <v>28</v>
      </c>
      <c r="E19" s="486">
        <f>+[4]정관!$H$86/1000</f>
        <v>244.37138401418812</v>
      </c>
      <c r="F19" s="487">
        <f>+[4]정관!$I$86/1000</f>
        <v>256.96584100000001</v>
      </c>
      <c r="G19" s="203">
        <f t="shared" si="0"/>
        <v>12.594456985811888</v>
      </c>
      <c r="H19" s="486">
        <f>+[4]정관!$T$5/1000</f>
        <v>18</v>
      </c>
      <c r="I19" s="487">
        <f>+[4]정관!$U$5/1000</f>
        <v>21.517499999999998</v>
      </c>
      <c r="J19" s="179">
        <f t="shared" si="1"/>
        <v>3.5174999999999983</v>
      </c>
      <c r="K19" s="488">
        <f>+[4]정관!$M$86/1000</f>
        <v>61.528302292772565</v>
      </c>
      <c r="L19" s="486">
        <f>+[4]정관!$Q$85</f>
        <v>104000</v>
      </c>
      <c r="M19" s="487">
        <f>+[4]정관!$R$85</f>
        <v>103083.79923318229</v>
      </c>
      <c r="N19" s="179">
        <f t="shared" si="2"/>
        <v>-916.20076681771025</v>
      </c>
      <c r="O19" s="488">
        <f>+[4]정관!$K$86/1000</f>
        <v>-19.714350000000081</v>
      </c>
      <c r="P19" s="486">
        <f>+[4]정관!$Q$50</f>
        <v>86507.945332545089</v>
      </c>
      <c r="Q19" s="487">
        <f>+[4]정관!$R$50</f>
        <v>87902.653014789539</v>
      </c>
      <c r="R19" s="179">
        <f t="shared" si="3"/>
        <v>1394.7076822444506</v>
      </c>
      <c r="S19" s="488">
        <f>+[4]정관!$L$56/1000</f>
        <v>-27.120096586960692</v>
      </c>
      <c r="T19" s="486">
        <f>+([4]정관!$H$80+[4]정관!$H$85)/1000</f>
        <v>70.485600000000005</v>
      </c>
      <c r="U19" s="487">
        <f>+([4]정관!$I$80+[4]정관!$I$85)/1000</f>
        <v>72.584998720000002</v>
      </c>
      <c r="V19" s="179">
        <f t="shared" si="4"/>
        <v>2.0993987199999964</v>
      </c>
      <c r="W19" s="488">
        <f>+([4]정관!$L$80+[4]정관!$L$85)/1000</f>
        <v>-2.0993987199999919</v>
      </c>
      <c r="Y19" s="6">
        <f t="shared" si="5"/>
        <v>8.7929663550312398E-14</v>
      </c>
      <c r="Z19" s="6">
        <f t="shared" si="6"/>
        <v>8.7929663550312398E-8</v>
      </c>
    </row>
    <row r="20" spans="4:26" ht="24" customHeight="1">
      <c r="D20" s="509" t="s">
        <v>29</v>
      </c>
      <c r="E20" s="486">
        <f>+[4]양산!$H$86/1000</f>
        <v>120.73506793330618</v>
      </c>
      <c r="F20" s="487">
        <f>+[4]양산!$I$86/1000</f>
        <v>152.26054899999991</v>
      </c>
      <c r="G20" s="203">
        <f t="shared" si="0"/>
        <v>31.525481066693729</v>
      </c>
      <c r="H20" s="486">
        <f>+[4]양산!$T$5/1000</f>
        <v>11</v>
      </c>
      <c r="I20" s="487">
        <f>+[4]양산!$U$5/1000</f>
        <v>13.864000000000001</v>
      </c>
      <c r="J20" s="179">
        <f t="shared" si="1"/>
        <v>2.8640000000000008</v>
      </c>
      <c r="K20" s="488">
        <f>+[4]양산!$M$86/1000</f>
        <v>43.195143784655635</v>
      </c>
      <c r="L20" s="486">
        <f>+[4]양산!$Q$85</f>
        <v>96280.787636363631</v>
      </c>
      <c r="M20" s="487">
        <f>+[4]양산!$R$85</f>
        <v>94627.517311021351</v>
      </c>
      <c r="N20" s="179">
        <f t="shared" si="2"/>
        <v>-1653.2703253422806</v>
      </c>
      <c r="O20" s="488">
        <f>+[4]양산!$K$86/1000</f>
        <v>-22.920939790545376</v>
      </c>
      <c r="P20" s="486">
        <f>+[4]양산!$Q$50</f>
        <v>81198.68435959841</v>
      </c>
      <c r="Q20" s="487">
        <f>+[4]양산!$R$50</f>
        <v>81030.002885170237</v>
      </c>
      <c r="R20" s="179">
        <f t="shared" si="3"/>
        <v>-168.68147442817281</v>
      </c>
      <c r="S20" s="488">
        <f>+[4]양산!$L$56/1000</f>
        <v>3.3981992414724203</v>
      </c>
      <c r="T20" s="486">
        <f>+([4]양산!$H$80+[4]양산!$H$85)/1000</f>
        <v>45.168068111111111</v>
      </c>
      <c r="U20" s="487">
        <f>+([4]양산!$I$80+[4]양산!$I$85)/1000</f>
        <v>37.314990279999996</v>
      </c>
      <c r="V20" s="179">
        <f t="shared" si="4"/>
        <v>-7.8530778311111149</v>
      </c>
      <c r="W20" s="488">
        <f>+([4]양산!$L$80+[4]양산!$L$85)/1000</f>
        <v>7.8530778311111078</v>
      </c>
      <c r="Y20" s="6">
        <f t="shared" si="5"/>
        <v>-5.8619775700208265E-14</v>
      </c>
      <c r="Z20" s="6">
        <f t="shared" si="6"/>
        <v>-5.8619775700208265E-8</v>
      </c>
    </row>
    <row r="21" spans="4:26" ht="24" customHeight="1">
      <c r="D21" s="509" t="s">
        <v>30</v>
      </c>
      <c r="E21" s="486">
        <f>+[4]창원!$H$86/1000</f>
        <v>182.43935946104097</v>
      </c>
      <c r="F21" s="487">
        <f>+[4]창원!$I$86/1000</f>
        <v>299.90022700000003</v>
      </c>
      <c r="G21" s="203">
        <f t="shared" si="0"/>
        <v>117.46086753895906</v>
      </c>
      <c r="H21" s="486">
        <f>+[4]창원!$T$5/1000</f>
        <v>14</v>
      </c>
      <c r="I21" s="487">
        <f>+[4]창원!$U$5/1000</f>
        <v>17.315000000000001</v>
      </c>
      <c r="J21" s="179">
        <f t="shared" si="1"/>
        <v>3.3150000000000013</v>
      </c>
      <c r="K21" s="488">
        <f>+[4]창원!$M$86/1000</f>
        <v>60.013351970834599</v>
      </c>
      <c r="L21" s="486">
        <f>+[4]창원!$Q$85</f>
        <v>99586</v>
      </c>
      <c r="M21" s="487">
        <f>+[4]창원!$R$85</f>
        <v>106478.26162287036</v>
      </c>
      <c r="N21" s="179">
        <f t="shared" si="2"/>
        <v>6892.2616228703555</v>
      </c>
      <c r="O21" s="488">
        <f>+[4]창원!$K$86/1000</f>
        <v>119.33951000000022</v>
      </c>
      <c r="P21" s="486">
        <f>+[4]창원!$Q$50</f>
        <v>81482.424744846285</v>
      </c>
      <c r="Q21" s="487">
        <f>+[4]창원!$R$50</f>
        <v>84742.956539305102</v>
      </c>
      <c r="R21" s="179">
        <f t="shared" si="3"/>
        <v>3260.5317944588169</v>
      </c>
      <c r="S21" s="488">
        <f>+[4]창원!$L$56/1000</f>
        <v>-55.862999622986571</v>
      </c>
      <c r="T21" s="486">
        <f>+([4]창원!$H$80+[4]창원!$H$85)/1000</f>
        <v>71.010694111111107</v>
      </c>
      <c r="U21" s="487">
        <f>+([4]창원!$I$80+[4]창원!$I$85)/1000</f>
        <v>77.039688920000017</v>
      </c>
      <c r="V21" s="179">
        <f t="shared" si="4"/>
        <v>6.0289948088889105</v>
      </c>
      <c r="W21" s="488">
        <f>+([4]창원!$L$80+[4]창원!$L$85)/1000</f>
        <v>-6.0289948088888972</v>
      </c>
      <c r="Y21" s="6">
        <f t="shared" si="5"/>
        <v>-2.8332891588433995E-13</v>
      </c>
      <c r="Z21" s="6">
        <f t="shared" si="6"/>
        <v>-2.8332891588433995E-7</v>
      </c>
    </row>
    <row r="22" spans="4:26" ht="24" customHeight="1">
      <c r="D22" s="509" t="s">
        <v>95</v>
      </c>
      <c r="E22" s="486">
        <f>+[4]대구!$H$86/1000</f>
        <v>168.26380013560521</v>
      </c>
      <c r="F22" s="487">
        <f>+[4]대구!$I$86/1000</f>
        <v>205.45768099999998</v>
      </c>
      <c r="G22" s="203">
        <f t="shared" si="0"/>
        <v>37.193880864394771</v>
      </c>
      <c r="H22" s="486">
        <f>+[4]대구!$T$5/1000</f>
        <v>13.5</v>
      </c>
      <c r="I22" s="487">
        <f>+[4]대구!$U$5/1000</f>
        <v>14.7545</v>
      </c>
      <c r="J22" s="179">
        <f t="shared" si="1"/>
        <v>1.2545000000000002</v>
      </c>
      <c r="K22" s="488">
        <f>+[4]대구!$M$86/1000</f>
        <v>20.191409097143087</v>
      </c>
      <c r="L22" s="486">
        <f>+[4]대구!$Q$85</f>
        <v>97799.999999999985</v>
      </c>
      <c r="M22" s="487">
        <f>+[4]대구!$R$85</f>
        <v>99938.046019858346</v>
      </c>
      <c r="N22" s="179">
        <f t="shared" si="2"/>
        <v>2138.0460198583605</v>
      </c>
      <c r="O22" s="488">
        <f>+[4]대구!$K$86/1000</f>
        <v>31.545800000000177</v>
      </c>
      <c r="P22" s="486">
        <f>+[4]대구!$Q$50</f>
        <v>81704.815386892718</v>
      </c>
      <c r="Q22" s="487">
        <f>+[4]대구!$R$50</f>
        <v>82689.084414924248</v>
      </c>
      <c r="R22" s="179">
        <f t="shared" si="3"/>
        <v>984.26902803152916</v>
      </c>
      <c r="S22" s="488">
        <f>+[4]대구!$L$56/1000</f>
        <v>-14.522373434091548</v>
      </c>
      <c r="T22" s="486">
        <f>+([4]대구!$H$80+[4]대구!$H$85)/1000</f>
        <v>49.021192141342972</v>
      </c>
      <c r="U22" s="487">
        <f>+([4]대구!$I$80+[4]대구!$I$85)/1000</f>
        <v>49.042146940000009</v>
      </c>
      <c r="V22" s="179">
        <f t="shared" si="4"/>
        <v>2.0954798657037088E-2</v>
      </c>
      <c r="W22" s="488">
        <f>+([4]대구!$L$80+[4]대구!$L$85)/1000</f>
        <v>-2.0954798657026912E-2</v>
      </c>
      <c r="Y22" s="6">
        <f t="shared" si="5"/>
        <v>8.2194667738733074E-14</v>
      </c>
      <c r="Z22" s="6">
        <f t="shared" si="6"/>
        <v>8.2194667738733074E-8</v>
      </c>
    </row>
    <row r="23" spans="4:26" ht="24" customHeight="1">
      <c r="D23" s="509" t="s">
        <v>97</v>
      </c>
      <c r="E23" s="486">
        <f>+[4]울산!$H$86/1000</f>
        <v>-50.284219463871992</v>
      </c>
      <c r="F23" s="487">
        <f>+[4]울산!$I$86/1000</f>
        <v>-2.6878350000000046</v>
      </c>
      <c r="G23" s="203">
        <f t="shared" si="0"/>
        <v>47.596384463871985</v>
      </c>
      <c r="H23" s="486">
        <f>+[4]울산!$T$5/1000</f>
        <v>5</v>
      </c>
      <c r="I23" s="487">
        <f>+[4]울산!$U$5/1000</f>
        <v>5.383</v>
      </c>
      <c r="J23" s="179">
        <f t="shared" si="1"/>
        <v>0.38300000000000001</v>
      </c>
      <c r="K23" s="488">
        <f>+[4]울산!$M$86/1000</f>
        <v>-0.91533779544370919</v>
      </c>
      <c r="L23" s="486">
        <f>+[4]울산!$Q$85</f>
        <v>98002.731999999989</v>
      </c>
      <c r="M23" s="487">
        <f>+[4]울산!$R$85</f>
        <v>104144.08322496749</v>
      </c>
      <c r="N23" s="179">
        <f t="shared" si="2"/>
        <v>6141.3512249674968</v>
      </c>
      <c r="O23" s="488">
        <f>+[4]울산!$K$86/1000</f>
        <v>33.05889364400003</v>
      </c>
      <c r="P23" s="486">
        <f>+[4]울산!$Q$50</f>
        <v>100392.64791499662</v>
      </c>
      <c r="Q23" s="487">
        <f>+[4]울산!$R$50</f>
        <v>97334.367043978476</v>
      </c>
      <c r="R23" s="179">
        <f t="shared" si="3"/>
        <v>-3058.2808710181416</v>
      </c>
      <c r="S23" s="488">
        <f>+[4]울산!$L$56/1000</f>
        <v>16.427114326426807</v>
      </c>
      <c r="T23" s="486">
        <f>+([4]울산!$H$80+[4]울산!$H$85)/1000</f>
        <v>38.334639888888887</v>
      </c>
      <c r="U23" s="487">
        <f>+([4]울산!$I$80+[4]울산!$I$85)/1000</f>
        <v>39.308925600000002</v>
      </c>
      <c r="V23" s="179">
        <f t="shared" si="4"/>
        <v>0.97428571111111495</v>
      </c>
      <c r="W23" s="488">
        <f>+([4]울산!$L$80+[4]울산!$L$85)/1000</f>
        <v>-0.97428571111110973</v>
      </c>
      <c r="Y23" s="6">
        <f t="shared" si="5"/>
        <v>-3.0087043967341742E-14</v>
      </c>
      <c r="Z23" s="6">
        <f t="shared" si="6"/>
        <v>-3.0087043967341742E-8</v>
      </c>
    </row>
    <row r="24" spans="4:26" ht="24" customHeight="1">
      <c r="D24" s="510" t="s">
        <v>31</v>
      </c>
      <c r="E24" s="489">
        <f>+[4]아산!$H$86/1000</f>
        <v>135.48480522833327</v>
      </c>
      <c r="F24" s="490">
        <f>+[4]아산!$I$86/1000</f>
        <v>76.583958000000067</v>
      </c>
      <c r="G24" s="491">
        <f t="shared" si="0"/>
        <v>-58.900847228333205</v>
      </c>
      <c r="H24" s="489">
        <f>+[4]아산!$T$5/1000</f>
        <v>15.5</v>
      </c>
      <c r="I24" s="490">
        <f>+[4]아산!$U$5/1000</f>
        <v>22.998999999999999</v>
      </c>
      <c r="J24" s="492">
        <f t="shared" si="1"/>
        <v>7.4989999999999988</v>
      </c>
      <c r="K24" s="493">
        <f>+[4]아산!$M$86/1000</f>
        <v>101.21595478569506</v>
      </c>
      <c r="L24" s="489">
        <f>+[4]아산!$Q$85</f>
        <v>100999.96129032258</v>
      </c>
      <c r="M24" s="490">
        <f>+[4]아산!$R$85</f>
        <v>96755.376146789</v>
      </c>
      <c r="N24" s="492">
        <f t="shared" si="2"/>
        <v>-4244.585143533579</v>
      </c>
      <c r="O24" s="493">
        <f>+[4]아산!$K$86/1000</f>
        <v>-97.621213716128779</v>
      </c>
      <c r="P24" s="489">
        <f>+[4]아산!$Q$50</f>
        <v>87502.701017526881</v>
      </c>
      <c r="Q24" s="490">
        <f>+[4]아산!$R$50</f>
        <v>89931.855950258701</v>
      </c>
      <c r="R24" s="492">
        <f t="shared" si="3"/>
        <v>2429.1549327318207</v>
      </c>
      <c r="S24" s="493">
        <f>+[4]아산!$L$56/1000</f>
        <v>-55.868123777899399</v>
      </c>
      <c r="T24" s="489">
        <f>+([4]아산!$H$80+[4]아산!$H$85)/1000</f>
        <v>73.722728999999987</v>
      </c>
      <c r="U24" s="490">
        <f>+([4]아산!$I$80+[4]아산!$I$85)/1000</f>
        <v>80.350193520000005</v>
      </c>
      <c r="V24" s="492">
        <f t="shared" si="4"/>
        <v>6.627464520000018</v>
      </c>
      <c r="W24" s="493">
        <f>+([4]아산!$L$80+[4]아산!$L$85)/1000</f>
        <v>-6.6274645200000064</v>
      </c>
      <c r="Y24" s="6">
        <f t="shared" si="5"/>
        <v>-9.681144774731365E-14</v>
      </c>
      <c r="Z24" s="6">
        <f t="shared" si="6"/>
        <v>-9.681144774731365E-8</v>
      </c>
    </row>
    <row r="25" spans="4:26" ht="24" customHeight="1">
      <c r="D25" s="509" t="s">
        <v>34</v>
      </c>
      <c r="E25" s="486">
        <f>+[4]전주!$H$86/1000</f>
        <v>109.56879884617983</v>
      </c>
      <c r="F25" s="487">
        <f>+[4]전주!$I$86/1000</f>
        <v>24.564713999999988</v>
      </c>
      <c r="G25" s="203">
        <f t="shared" si="0"/>
        <v>-85.004084846179836</v>
      </c>
      <c r="H25" s="486">
        <f>+[4]전주!$T$5/1000</f>
        <v>10</v>
      </c>
      <c r="I25" s="487">
        <f>+[4]전주!$U$5/1000</f>
        <v>6.5670000000000002</v>
      </c>
      <c r="J25" s="179">
        <f t="shared" si="1"/>
        <v>-3.4329999999999998</v>
      </c>
      <c r="K25" s="488">
        <f>+[4]전주!$M$86/1000</f>
        <v>-54.179514972693575</v>
      </c>
      <c r="L25" s="486">
        <f>+[4]전주!$Q$85</f>
        <v>100658.9093</v>
      </c>
      <c r="M25" s="487">
        <f>+[4]전주!$R$85</f>
        <v>98706.979747220961</v>
      </c>
      <c r="N25" s="179">
        <f t="shared" si="2"/>
        <v>-1951.9295527790382</v>
      </c>
      <c r="O25" s="488">
        <f>+[4]전주!$K$86/1000</f>
        <v>-12.818321373099943</v>
      </c>
      <c r="P25" s="486">
        <f>+[4]전주!$Q$50</f>
        <v>84876.935815382021</v>
      </c>
      <c r="Q25" s="487">
        <f>+[4]전주!$R$50</f>
        <v>87450.786356022538</v>
      </c>
      <c r="R25" s="179">
        <f t="shared" si="3"/>
        <v>2573.8505406405166</v>
      </c>
      <c r="S25" s="488">
        <f>+[4]전주!$L$56/1000</f>
        <v>-16.90246970038632</v>
      </c>
      <c r="T25" s="486">
        <f>+([4]전주!$H$80+[4]전주!$H$85)/1000</f>
        <v>48.250936000000003</v>
      </c>
      <c r="U25" s="487">
        <f>+([4]전주!$I$80+[4]전주!$I$85)/1000</f>
        <v>49.354714800000004</v>
      </c>
      <c r="V25" s="179">
        <f t="shared" si="4"/>
        <v>1.1037788000000006</v>
      </c>
      <c r="W25" s="488">
        <f>+([4]전주!$L$80+[4]전주!$L$85)/1000</f>
        <v>-1.1037787999999968</v>
      </c>
      <c r="Y25" s="6">
        <f t="shared" si="5"/>
        <v>-3.7747582837255322E-15</v>
      </c>
      <c r="Z25" s="6">
        <f t="shared" si="6"/>
        <v>-3.7747582837255322E-9</v>
      </c>
    </row>
    <row r="26" spans="4:26" ht="24" customHeight="1">
      <c r="D26" s="485" t="s">
        <v>33</v>
      </c>
      <c r="E26" s="486">
        <f>+[4]군산!$H$86/1000</f>
        <v>58.095789637149736</v>
      </c>
      <c r="F26" s="487">
        <f>+[4]군산!$I$86/1000</f>
        <v>157.32963699999999</v>
      </c>
      <c r="G26" s="203">
        <f t="shared" si="0"/>
        <v>99.233847362850256</v>
      </c>
      <c r="H26" s="486">
        <f>+[4]군산!$T$5/1000</f>
        <v>4</v>
      </c>
      <c r="I26" s="487">
        <f>+[4]군산!$U$5/1000</f>
        <v>7.3630000000000004</v>
      </c>
      <c r="J26" s="179">
        <f t="shared" si="1"/>
        <v>3.3630000000000004</v>
      </c>
      <c r="K26" s="488">
        <f>+[4]군산!$M$86/1000</f>
        <v>66.017880876266986</v>
      </c>
      <c r="L26" s="486">
        <f>+[4]군산!$Q$85</f>
        <v>108558.49124999999</v>
      </c>
      <c r="M26" s="487">
        <f>+[4]군산!$R$85</f>
        <v>102235.71641993751</v>
      </c>
      <c r="N26" s="179">
        <f t="shared" si="2"/>
        <v>-6322.7748300624808</v>
      </c>
      <c r="O26" s="488">
        <f>+[4]군산!$K$86/1000</f>
        <v>-46.554591073750046</v>
      </c>
      <c r="P26" s="486">
        <f>+[4]군산!$Q$50</f>
        <v>88927.839785157004</v>
      </c>
      <c r="Q26" s="487">
        <f>+[4]군산!$R$50</f>
        <v>78215.423061252208</v>
      </c>
      <c r="R26" s="179">
        <f t="shared" si="3"/>
        <v>-10712.416723904797</v>
      </c>
      <c r="S26" s="488">
        <f>+[4]군산!$L$56/1000</f>
        <v>78.875528798111119</v>
      </c>
      <c r="T26" s="486">
        <f>+([4]군산!$H$80+[4]군산!$H$85)/1000</f>
        <v>20.426816222222222</v>
      </c>
      <c r="U26" s="487">
        <f>+([4]군산!$I$80+[4]군산!$I$85)/1000</f>
        <v>19.53178746</v>
      </c>
      <c r="V26" s="179">
        <f t="shared" si="4"/>
        <v>-0.89502876222222127</v>
      </c>
      <c r="W26" s="488">
        <f>+([4]군산!$L$80+[4]군산!$L$85)/1000</f>
        <v>0.8950287622222195</v>
      </c>
      <c r="Y26" s="6">
        <f t="shared" si="5"/>
        <v>-2.3092638912203256E-14</v>
      </c>
      <c r="Z26" s="6">
        <f t="shared" si="6"/>
        <v>-2.3092638912203256E-8</v>
      </c>
    </row>
    <row r="27" spans="4:26" ht="24" customHeight="1">
      <c r="D27" s="485" t="s">
        <v>32</v>
      </c>
      <c r="E27" s="486">
        <f>+[4]원주!$H$86/1000</f>
        <v>34.35700043011272</v>
      </c>
      <c r="F27" s="487">
        <f>+[4]원주!$I$86/1000</f>
        <v>53.424534000000008</v>
      </c>
      <c r="G27" s="203">
        <f t="shared" si="0"/>
        <v>19.067533569887289</v>
      </c>
      <c r="H27" s="486">
        <f>+[4]원주!$T$5/1000</f>
        <v>4</v>
      </c>
      <c r="I27" s="487">
        <f>+[4]원주!$U$5/1000</f>
        <v>3.5329999999999999</v>
      </c>
      <c r="J27" s="179">
        <f t="shared" si="1"/>
        <v>-0.46700000000000008</v>
      </c>
      <c r="K27" s="488">
        <f>+[4]원주!$M$86/1000</f>
        <v>-5.7525509989656642</v>
      </c>
      <c r="L27" s="486">
        <f>+[4]원주!$Q$85</f>
        <v>107900</v>
      </c>
      <c r="M27" s="487">
        <f>+[4]원주!$R$85</f>
        <v>116692.64081517122</v>
      </c>
      <c r="N27" s="179">
        <f t="shared" si="2"/>
        <v>8792.6408151712239</v>
      </c>
      <c r="O27" s="488">
        <f>+[4]원주!$K$86/1000</f>
        <v>31.064399999999932</v>
      </c>
      <c r="P27" s="486">
        <f>+[4]원주!$Q$50</f>
        <v>95581.903642471822</v>
      </c>
      <c r="Q27" s="487">
        <f>+[4]원주!$R$50</f>
        <v>97427.902349278243</v>
      </c>
      <c r="R27" s="179">
        <f t="shared" si="3"/>
        <v>1845.998706806422</v>
      </c>
      <c r="S27" s="488">
        <f>+[4]원주!$L$56/1000</f>
        <v>-6.521908461147043</v>
      </c>
      <c r="T27" s="486">
        <f>+([4]원주!$H$80+[4]원주!$H$85)/1000</f>
        <v>14.915385000000001</v>
      </c>
      <c r="U27" s="487">
        <f>+([4]원주!$I$80+[4]원주!$I$85)/1000</f>
        <v>14.637791969999999</v>
      </c>
      <c r="V27" s="179">
        <f t="shared" si="4"/>
        <v>-0.27759303000000202</v>
      </c>
      <c r="W27" s="488">
        <f>+([4]원주!$L$80+[4]원주!$L$85)/1000</f>
        <v>0.27759303000000091</v>
      </c>
      <c r="Y27" s="6">
        <f t="shared" si="5"/>
        <v>6.2394533983933798E-14</v>
      </c>
      <c r="Z27" s="6">
        <f t="shared" si="6"/>
        <v>6.2394533983933798E-8</v>
      </c>
    </row>
    <row r="28" spans="4:26" ht="24" customHeight="1" thickBot="1">
      <c r="D28" s="534" t="s">
        <v>35</v>
      </c>
      <c r="E28" s="557">
        <f>+[4]제주!$H$86/1000</f>
        <v>42.978794866642524</v>
      </c>
      <c r="F28" s="690">
        <f>+[4]제주!$I$86/1000</f>
        <v>35.375496999999989</v>
      </c>
      <c r="G28" s="212">
        <f t="shared" si="0"/>
        <v>-7.603297866642535</v>
      </c>
      <c r="H28" s="557">
        <f>+[4]제주!$T$5/1000</f>
        <v>4</v>
      </c>
      <c r="I28" s="690">
        <f>+[4]제주!$U$5/1000</f>
        <v>3.2614999999999998</v>
      </c>
      <c r="J28" s="213">
        <f t="shared" si="1"/>
        <v>-0.73850000000000016</v>
      </c>
      <c r="K28" s="691">
        <f>+[4]제주!$M$86/1000</f>
        <v>-12.614403189126751</v>
      </c>
      <c r="L28" s="557">
        <f>+[4]제주!$Q$85</f>
        <v>126700</v>
      </c>
      <c r="M28" s="690">
        <f>+[4]제주!$R$85</f>
        <v>128698.23670090448</v>
      </c>
      <c r="N28" s="213">
        <f t="shared" si="2"/>
        <v>1998.2367009044829</v>
      </c>
      <c r="O28" s="691">
        <f>+[4]제주!$K$86/1000</f>
        <v>6.5172489999999703</v>
      </c>
      <c r="P28" s="557">
        <f>+[4]제주!$Q$50</f>
        <v>109618.88532278029</v>
      </c>
      <c r="Q28" s="690">
        <f>+[4]제주!$R$50</f>
        <v>110049.46067760236</v>
      </c>
      <c r="R28" s="213">
        <f t="shared" si="3"/>
        <v>430.57535482206731</v>
      </c>
      <c r="S28" s="691">
        <f>+[4]제주!$L$56/1000</f>
        <v>-1.404319749752118</v>
      </c>
      <c r="T28" s="557">
        <f>+([4]제주!$H$80+[4]제주!$H$85)/1000</f>
        <v>25.345663842236316</v>
      </c>
      <c r="U28" s="690">
        <f>+([4]제주!$I$80+[4]제주!$I$85)/1000</f>
        <v>25.447487769999999</v>
      </c>
      <c r="V28" s="213">
        <f t="shared" si="4"/>
        <v>0.10182392776368232</v>
      </c>
      <c r="W28" s="691">
        <f>+([4]제주!$L$80+[4]제주!$L$85)/1000</f>
        <v>-0.10182392776368351</v>
      </c>
      <c r="Y28" s="6">
        <f t="shared" si="5"/>
        <v>4.7156722970953524E-14</v>
      </c>
      <c r="Z28" s="6">
        <f t="shared" si="6"/>
        <v>4.7156722970953524E-8</v>
      </c>
    </row>
    <row r="29" spans="4:26" ht="24" customHeight="1"/>
    <row r="30" spans="4:26" ht="24" customHeight="1"/>
    <row r="31" spans="4:26" ht="24" customHeight="1"/>
    <row r="32" spans="4:26" ht="21.95" customHeight="1">
      <c r="F32" s="626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98" t="s">
        <v>200</v>
      </c>
      <c r="F4" s="198"/>
      <c r="I4" s="198"/>
    </row>
    <row r="5" spans="4:22" ht="21.95" customHeight="1">
      <c r="V5" s="200" t="s">
        <v>150</v>
      </c>
    </row>
    <row r="6" spans="4:22" ht="24" customHeight="1" thickBot="1">
      <c r="D6" s="729" t="s">
        <v>11</v>
      </c>
      <c r="E6" s="473" t="s">
        <v>21</v>
      </c>
      <c r="F6" s="474"/>
      <c r="G6" s="475"/>
      <c r="H6" s="473" t="s">
        <v>45</v>
      </c>
      <c r="I6" s="474"/>
      <c r="J6" s="475"/>
      <c r="K6" s="473" t="s">
        <v>46</v>
      </c>
      <c r="L6" s="474"/>
      <c r="M6" s="475"/>
      <c r="N6" s="473" t="s">
        <v>103</v>
      </c>
      <c r="O6" s="474"/>
      <c r="P6" s="475"/>
      <c r="Q6" s="473" t="s">
        <v>104</v>
      </c>
      <c r="R6" s="474"/>
      <c r="S6" s="475"/>
      <c r="T6" s="473" t="s">
        <v>69</v>
      </c>
      <c r="U6" s="474"/>
      <c r="V6" s="475"/>
    </row>
    <row r="7" spans="4:22" ht="24" customHeight="1">
      <c r="D7" s="730"/>
      <c r="E7" s="476" t="s">
        <v>12</v>
      </c>
      <c r="F7" s="477" t="s">
        <v>13</v>
      </c>
      <c r="G7" s="478" t="s">
        <v>36</v>
      </c>
      <c r="H7" s="476" t="s">
        <v>15</v>
      </c>
      <c r="I7" s="477" t="s">
        <v>16</v>
      </c>
      <c r="J7" s="478" t="s">
        <v>36</v>
      </c>
      <c r="K7" s="476" t="s">
        <v>15</v>
      </c>
      <c r="L7" s="477" t="s">
        <v>16</v>
      </c>
      <c r="M7" s="478" t="s">
        <v>36</v>
      </c>
      <c r="N7" s="476" t="s">
        <v>15</v>
      </c>
      <c r="O7" s="477" t="s">
        <v>16</v>
      </c>
      <c r="P7" s="478" t="s">
        <v>36</v>
      </c>
      <c r="Q7" s="476" t="s">
        <v>15</v>
      </c>
      <c r="R7" s="477" t="s">
        <v>16</v>
      </c>
      <c r="S7" s="478" t="s">
        <v>36</v>
      </c>
      <c r="T7" s="476" t="s">
        <v>15</v>
      </c>
      <c r="U7" s="477" t="s">
        <v>16</v>
      </c>
      <c r="V7" s="478" t="s">
        <v>36</v>
      </c>
    </row>
    <row r="8" spans="4:22" ht="24" customHeight="1">
      <c r="D8" s="504" t="s">
        <v>47</v>
      </c>
      <c r="E8" s="494">
        <f>+[4]합계!$Q$85</f>
        <v>100309.51825448238</v>
      </c>
      <c r="F8" s="496">
        <f>+[4]합계!$R$85</f>
        <v>99953.912734626982</v>
      </c>
      <c r="G8" s="521">
        <f>+F8-E8</f>
        <v>-355.60551985539496</v>
      </c>
      <c r="H8" s="494">
        <f>+[4]합계!$Q$20</f>
        <v>59974.004992094691</v>
      </c>
      <c r="I8" s="496">
        <f>+[4]합계!$R$20</f>
        <v>62585.340287448722</v>
      </c>
      <c r="J8" s="521">
        <f>+I8-H8</f>
        <v>2611.3352953540307</v>
      </c>
      <c r="K8" s="494">
        <f>+[4]합계!$Q$21</f>
        <v>17215.559949319086</v>
      </c>
      <c r="L8" s="496">
        <f>+[4]합계!$R$21</f>
        <v>17575.007034768783</v>
      </c>
      <c r="M8" s="521">
        <f>+L8-K8</f>
        <v>359.44708544969762</v>
      </c>
      <c r="N8" s="494">
        <f>+[4]합계!$Q$22</f>
        <v>324.02489626556019</v>
      </c>
      <c r="O8" s="496">
        <f>+[4]합계!$R$22</f>
        <v>292.93269742608118</v>
      </c>
      <c r="P8" s="521">
        <f>+O8-N8</f>
        <v>-31.092198839479011</v>
      </c>
      <c r="Q8" s="494">
        <f>H8+K8+N8</f>
        <v>77513.589837679334</v>
      </c>
      <c r="R8" s="496">
        <f>I8+L8+O8</f>
        <v>80453.280019643586</v>
      </c>
      <c r="S8" s="521">
        <f>+R8-Q8</f>
        <v>2939.6901819642517</v>
      </c>
      <c r="T8" s="494">
        <f>+E8-Q8</f>
        <v>22795.928416803043</v>
      </c>
      <c r="U8" s="496">
        <f>+F8-R8</f>
        <v>19500.632714983396</v>
      </c>
      <c r="V8" s="521">
        <f>+U8-T8</f>
        <v>-3295.2957018196466</v>
      </c>
    </row>
    <row r="9" spans="4:22" ht="24" customHeight="1">
      <c r="D9" s="505" t="s">
        <v>19</v>
      </c>
      <c r="E9" s="499">
        <f>+[4]수도권!$Q$85</f>
        <v>96584.296422905929</v>
      </c>
      <c r="F9" s="513">
        <f>+[4]수도권!$R$85</f>
        <v>97064.272432136422</v>
      </c>
      <c r="G9" s="522">
        <f t="shared" ref="G9:G28" si="0">+F9-E9</f>
        <v>479.97600923049322</v>
      </c>
      <c r="H9" s="499">
        <f>+[4]수도권!$Q$20</f>
        <v>62070.386302594285</v>
      </c>
      <c r="I9" s="513">
        <f>+[4]수도권!$R$20</f>
        <v>64371.083973644592</v>
      </c>
      <c r="J9" s="522">
        <f t="shared" ref="J9:J28" si="1">+I9-H9</f>
        <v>2300.6976710503077</v>
      </c>
      <c r="K9" s="499">
        <f>+[4]수도권!$Q$21</f>
        <v>16999.49049957858</v>
      </c>
      <c r="L9" s="513">
        <f>+[4]수도권!$R$21</f>
        <v>17567.014898234502</v>
      </c>
      <c r="M9" s="522">
        <f t="shared" ref="M9:M28" si="2">+L9-K9</f>
        <v>567.52439865592169</v>
      </c>
      <c r="N9" s="499">
        <f>+[4]수도권!$Q$22</f>
        <v>447.2043010752688</v>
      </c>
      <c r="O9" s="513">
        <f>+[4]수도권!$R$22</f>
        <v>387.72530158171548</v>
      </c>
      <c r="P9" s="522">
        <f t="shared" ref="P9:P28" si="3">+O9-N9</f>
        <v>-59.478999493553317</v>
      </c>
      <c r="Q9" s="499">
        <f t="shared" ref="Q9:Q28" si="4">H9+K9+N9</f>
        <v>79517.081103248129</v>
      </c>
      <c r="R9" s="513">
        <f t="shared" ref="R9:R28" si="5">I9+L9+O9</f>
        <v>82325.824173460802</v>
      </c>
      <c r="S9" s="522">
        <f t="shared" ref="S9:S28" si="6">+R9-Q9</f>
        <v>2808.743070212673</v>
      </c>
      <c r="T9" s="499">
        <f t="shared" ref="T9:T28" si="7">+E9-Q9</f>
        <v>17067.2153196578</v>
      </c>
      <c r="U9" s="513">
        <f t="shared" ref="U9:U28" si="8">+F9-R9</f>
        <v>14738.44825867562</v>
      </c>
      <c r="V9" s="522">
        <f t="shared" ref="V9:V28" si="9">+U9-T9</f>
        <v>-2328.7670609821798</v>
      </c>
    </row>
    <row r="10" spans="4:22" ht="24" customHeight="1">
      <c r="D10" s="506" t="s">
        <v>20</v>
      </c>
      <c r="E10" s="501">
        <f>+[4]영남권!$Q$85</f>
        <v>101787.61876923079</v>
      </c>
      <c r="F10" s="514">
        <f>+[4]영남권!$R$85</f>
        <v>101515.92429601311</v>
      </c>
      <c r="G10" s="523">
        <f t="shared" si="0"/>
        <v>-271.69447321767802</v>
      </c>
      <c r="H10" s="501">
        <f>+[4]영남권!$Q$20</f>
        <v>58157.110535848406</v>
      </c>
      <c r="I10" s="514">
        <f>+[4]영남권!$R$20</f>
        <v>61593.662499811966</v>
      </c>
      <c r="J10" s="523">
        <f t="shared" si="1"/>
        <v>3436.5519639635604</v>
      </c>
      <c r="K10" s="501">
        <f>+[4]영남권!$Q$21</f>
        <v>17537.209048538909</v>
      </c>
      <c r="L10" s="514">
        <f>+[4]영남권!$R$21</f>
        <v>17556.827361343017</v>
      </c>
      <c r="M10" s="523">
        <f t="shared" si="2"/>
        <v>19.618312804108427</v>
      </c>
      <c r="N10" s="501">
        <f>+[4]영남권!$Q$22</f>
        <v>220.36199095022624</v>
      </c>
      <c r="O10" s="514">
        <f>+[4]영남권!$R$22</f>
        <v>226.90098831174694</v>
      </c>
      <c r="P10" s="523">
        <f t="shared" si="3"/>
        <v>6.5389973615206998</v>
      </c>
      <c r="Q10" s="501">
        <f t="shared" si="4"/>
        <v>75914.681575337541</v>
      </c>
      <c r="R10" s="514">
        <f t="shared" si="5"/>
        <v>79377.390849466741</v>
      </c>
      <c r="S10" s="523">
        <f t="shared" si="6"/>
        <v>3462.7092741291999</v>
      </c>
      <c r="T10" s="501">
        <f t="shared" si="7"/>
        <v>25872.937193893245</v>
      </c>
      <c r="U10" s="514">
        <f t="shared" si="8"/>
        <v>22138.533446546367</v>
      </c>
      <c r="V10" s="523">
        <f t="shared" si="9"/>
        <v>-3734.4037473468779</v>
      </c>
    </row>
    <row r="11" spans="4:22" ht="24" customHeight="1">
      <c r="D11" s="507" t="s">
        <v>57</v>
      </c>
      <c r="E11" s="502">
        <f>+[4]중부권!$Q$85</f>
        <v>105192.59887999999</v>
      </c>
      <c r="F11" s="515">
        <f>+[4]중부권!$R$85</f>
        <v>101965.1128340595</v>
      </c>
      <c r="G11" s="524">
        <f t="shared" si="0"/>
        <v>-3227.4860459404881</v>
      </c>
      <c r="H11" s="502">
        <f>+[4]중부권!$Q$20</f>
        <v>60128.761673128167</v>
      </c>
      <c r="I11" s="515">
        <f>+[4]중부권!$R$20</f>
        <v>61422.959964321235</v>
      </c>
      <c r="J11" s="524">
        <f t="shared" si="1"/>
        <v>1294.1982911930681</v>
      </c>
      <c r="K11" s="502">
        <f>+[4]중부권!$Q$21</f>
        <v>16803.619505641138</v>
      </c>
      <c r="L11" s="515">
        <f>+[4]중부권!$R$21</f>
        <v>17648.985739933905</v>
      </c>
      <c r="M11" s="524">
        <f t="shared" si="2"/>
        <v>845.36623429276733</v>
      </c>
      <c r="N11" s="502">
        <f>+[4]중부권!$Q$22</f>
        <v>324</v>
      </c>
      <c r="O11" s="515">
        <f>+[4]중부권!$R$22</f>
        <v>271.94776264480197</v>
      </c>
      <c r="P11" s="524">
        <f t="shared" si="3"/>
        <v>-52.052237355198031</v>
      </c>
      <c r="Q11" s="502">
        <f t="shared" si="4"/>
        <v>77256.381178769312</v>
      </c>
      <c r="R11" s="515">
        <f t="shared" si="5"/>
        <v>79343.893466899943</v>
      </c>
      <c r="S11" s="524">
        <f t="shared" si="6"/>
        <v>2087.5122881306306</v>
      </c>
      <c r="T11" s="502">
        <f t="shared" si="7"/>
        <v>27936.217701230678</v>
      </c>
      <c r="U11" s="515">
        <f t="shared" si="8"/>
        <v>22621.21936715956</v>
      </c>
      <c r="V11" s="524">
        <f t="shared" si="9"/>
        <v>-5314.9983340711187</v>
      </c>
    </row>
    <row r="12" spans="4:22" ht="24" customHeight="1">
      <c r="D12" s="519" t="s">
        <v>22</v>
      </c>
      <c r="E12" s="525">
        <f>+[4]안양!$Q$85</f>
        <v>96804.104054054071</v>
      </c>
      <c r="F12" s="526">
        <f>+[4]안양!$R$85</f>
        <v>95522.364021765272</v>
      </c>
      <c r="G12" s="527">
        <f t="shared" si="0"/>
        <v>-1281.7400322887988</v>
      </c>
      <c r="H12" s="525">
        <f>+[4]안양!$Q$20</f>
        <v>62921.790698924735</v>
      </c>
      <c r="I12" s="526">
        <f>+[4]안양!$R$20</f>
        <v>64524.862386122826</v>
      </c>
      <c r="J12" s="527">
        <f t="shared" si="1"/>
        <v>1603.0716871980912</v>
      </c>
      <c r="K12" s="525">
        <f>+[4]안양!$Q$21</f>
        <v>16659.719779516359</v>
      </c>
      <c r="L12" s="526">
        <f>+[4]안양!$R$21</f>
        <v>16321.051689860835</v>
      </c>
      <c r="M12" s="527">
        <f t="shared" si="2"/>
        <v>-338.66808965552445</v>
      </c>
      <c r="N12" s="525">
        <f>+[4]안양!$Q$22</f>
        <v>310.81081081081078</v>
      </c>
      <c r="O12" s="526">
        <f>+[4]안양!$R$22</f>
        <v>261.68824416140518</v>
      </c>
      <c r="P12" s="527">
        <f t="shared" si="3"/>
        <v>-49.122566649405599</v>
      </c>
      <c r="Q12" s="525">
        <f t="shared" si="4"/>
        <v>79892.321289251908</v>
      </c>
      <c r="R12" s="526">
        <f t="shared" si="5"/>
        <v>81107.602320145059</v>
      </c>
      <c r="S12" s="527">
        <f t="shared" si="6"/>
        <v>1215.2810308931512</v>
      </c>
      <c r="T12" s="525">
        <f t="shared" si="7"/>
        <v>16911.782764802163</v>
      </c>
      <c r="U12" s="526">
        <f t="shared" si="8"/>
        <v>14414.761701620213</v>
      </c>
      <c r="V12" s="527">
        <f t="shared" si="9"/>
        <v>-2497.02106318195</v>
      </c>
    </row>
    <row r="13" spans="4:22" ht="24" customHeight="1">
      <c r="D13" s="485" t="s">
        <v>23</v>
      </c>
      <c r="E13" s="528">
        <f>+[4]인천!$Q$85</f>
        <v>97848.2689285714</v>
      </c>
      <c r="F13" s="529">
        <f>+[4]인천!$R$85</f>
        <v>97629.192942836991</v>
      </c>
      <c r="G13" s="530">
        <f t="shared" si="0"/>
        <v>-219.07598573440919</v>
      </c>
      <c r="H13" s="528">
        <f>+[4]인천!$Q$20</f>
        <v>64232.820060919541</v>
      </c>
      <c r="I13" s="529">
        <f>+[4]인천!$R$20</f>
        <v>65677.078952938682</v>
      </c>
      <c r="J13" s="530">
        <f t="shared" si="1"/>
        <v>1444.2588920191411</v>
      </c>
      <c r="K13" s="528">
        <f>+[4]인천!$Q$21</f>
        <v>16877.17332351497</v>
      </c>
      <c r="L13" s="529">
        <f>+[4]인천!$R$21</f>
        <v>17730.639208353914</v>
      </c>
      <c r="M13" s="530">
        <f t="shared" si="2"/>
        <v>853.46588483894448</v>
      </c>
      <c r="N13" s="528">
        <f>+[4]인천!$Q$22</f>
        <v>757.14285714285711</v>
      </c>
      <c r="O13" s="529">
        <f>+[4]인천!$R$22</f>
        <v>655.72701615748258</v>
      </c>
      <c r="P13" s="530">
        <f t="shared" si="3"/>
        <v>-101.41584098537453</v>
      </c>
      <c r="Q13" s="528">
        <f t="shared" si="4"/>
        <v>81867.136241577362</v>
      </c>
      <c r="R13" s="529">
        <f t="shared" si="5"/>
        <v>84063.445177450078</v>
      </c>
      <c r="S13" s="530">
        <f t="shared" si="6"/>
        <v>2196.3089358727157</v>
      </c>
      <c r="T13" s="528">
        <f t="shared" si="7"/>
        <v>15981.132686994039</v>
      </c>
      <c r="U13" s="529">
        <f t="shared" si="8"/>
        <v>13565.747765386914</v>
      </c>
      <c r="V13" s="530">
        <f t="shared" si="9"/>
        <v>-2415.3849216071249</v>
      </c>
    </row>
    <row r="14" spans="4:22" ht="24" customHeight="1">
      <c r="D14" s="485" t="s">
        <v>24</v>
      </c>
      <c r="E14" s="528">
        <f>+[4]파주!$Q$85</f>
        <v>95930.984366512566</v>
      </c>
      <c r="F14" s="529">
        <f>+[4]파주!$R$85</f>
        <v>100573.67922384407</v>
      </c>
      <c r="G14" s="530">
        <f t="shared" si="0"/>
        <v>4642.6948573315021</v>
      </c>
      <c r="H14" s="528">
        <f>+[4]파주!$Q$20</f>
        <v>59872.472744301078</v>
      </c>
      <c r="I14" s="529">
        <f>+[4]파주!$R$20</f>
        <v>64317.385718031641</v>
      </c>
      <c r="J14" s="530">
        <f t="shared" si="1"/>
        <v>4444.912973730563</v>
      </c>
      <c r="K14" s="528">
        <f>+[4]파주!$Q$21</f>
        <v>17735.202499999999</v>
      </c>
      <c r="L14" s="529">
        <f>+[4]파주!$R$21</f>
        <v>19555.668516738046</v>
      </c>
      <c r="M14" s="530">
        <f t="shared" si="2"/>
        <v>1820.4660167380462</v>
      </c>
      <c r="N14" s="528">
        <f>+[4]파주!$Q$22</f>
        <v>252.5</v>
      </c>
      <c r="O14" s="529">
        <f>+[4]파주!$R$22</f>
        <v>213.71916790490343</v>
      </c>
      <c r="P14" s="530">
        <f t="shared" si="3"/>
        <v>-38.780832095096571</v>
      </c>
      <c r="Q14" s="528">
        <f t="shared" si="4"/>
        <v>77860.175244301077</v>
      </c>
      <c r="R14" s="529">
        <f t="shared" si="5"/>
        <v>84086.773402674589</v>
      </c>
      <c r="S14" s="530">
        <f t="shared" si="6"/>
        <v>6226.598158373512</v>
      </c>
      <c r="T14" s="528">
        <f t="shared" si="7"/>
        <v>18070.809122211489</v>
      </c>
      <c r="U14" s="529">
        <f t="shared" si="8"/>
        <v>16486.905821169479</v>
      </c>
      <c r="V14" s="530">
        <f t="shared" si="9"/>
        <v>-1583.9033010420098</v>
      </c>
    </row>
    <row r="15" spans="4:22" ht="24" customHeight="1">
      <c r="D15" s="485" t="s">
        <v>178</v>
      </c>
      <c r="E15" s="528">
        <f>+[4]김포!$Q$85</f>
        <v>92777.0625</v>
      </c>
      <c r="F15" s="529">
        <f>+[4]김포!$R$85</f>
        <v>92187.767468282531</v>
      </c>
      <c r="G15" s="530">
        <f t="shared" si="0"/>
        <v>-589.2950317174691</v>
      </c>
      <c r="H15" s="528">
        <f>+[4]김포!$Q$20</f>
        <v>56058.906711160547</v>
      </c>
      <c r="I15" s="529">
        <f>+[4]김포!$R$20</f>
        <v>56279.281692801807</v>
      </c>
      <c r="J15" s="530">
        <f t="shared" si="1"/>
        <v>220.37498164126009</v>
      </c>
      <c r="K15" s="528">
        <f>+[4]김포!$Q$21</f>
        <v>17159.760195035458</v>
      </c>
      <c r="L15" s="529">
        <f>+[4]김포!$R$21</f>
        <v>18868.546570942755</v>
      </c>
      <c r="M15" s="530">
        <f t="shared" si="2"/>
        <v>1708.786375907297</v>
      </c>
      <c r="N15" s="528">
        <f>+[4]김포!$Q$22</f>
        <v>480</v>
      </c>
      <c r="O15" s="529">
        <f>+[4]김포!$R$22</f>
        <v>794.66389571131674</v>
      </c>
      <c r="P15" s="530">
        <f t="shared" si="3"/>
        <v>314.66389571131674</v>
      </c>
      <c r="Q15" s="528">
        <f t="shared" si="4"/>
        <v>73698.666906196013</v>
      </c>
      <c r="R15" s="529">
        <f t="shared" si="5"/>
        <v>75942.492159455884</v>
      </c>
      <c r="S15" s="530">
        <f t="shared" si="6"/>
        <v>2243.8252532598708</v>
      </c>
      <c r="T15" s="528">
        <f t="shared" si="7"/>
        <v>19078.395593803987</v>
      </c>
      <c r="U15" s="529">
        <f t="shared" si="8"/>
        <v>16245.275308826647</v>
      </c>
      <c r="V15" s="530">
        <f t="shared" si="9"/>
        <v>-2833.1202849773399</v>
      </c>
    </row>
    <row r="16" spans="4:22" ht="24" customHeight="1">
      <c r="D16" s="520" t="s">
        <v>25</v>
      </c>
      <c r="E16" s="531">
        <f>+[4]부산!$Q$85</f>
        <v>107599.67944444448</v>
      </c>
      <c r="F16" s="532">
        <f>+[4]부산!$R$85</f>
        <v>105738.43653159773</v>
      </c>
      <c r="G16" s="533">
        <f t="shared" si="0"/>
        <v>-1861.2429128467484</v>
      </c>
      <c r="H16" s="531">
        <f>+[4]부산!$Q$20</f>
        <v>58914.549627930246</v>
      </c>
      <c r="I16" s="532">
        <f>+[4]부산!$R$20</f>
        <v>63217.394666219392</v>
      </c>
      <c r="J16" s="533">
        <f t="shared" si="1"/>
        <v>4302.845038289146</v>
      </c>
      <c r="K16" s="531">
        <f>+[4]부산!$Q$21</f>
        <v>19166.051388888893</v>
      </c>
      <c r="L16" s="532">
        <f>+[4]부산!$R$21</f>
        <v>19677.189072458907</v>
      </c>
      <c r="M16" s="533">
        <f t="shared" si="2"/>
        <v>511.13768357001391</v>
      </c>
      <c r="N16" s="531">
        <f>+[4]부산!$Q$22</f>
        <v>277.77777777777777</v>
      </c>
      <c r="O16" s="532">
        <f>+[4]부산!$R$22</f>
        <v>99.150746393827575</v>
      </c>
      <c r="P16" s="533">
        <f t="shared" si="3"/>
        <v>-178.6270313839502</v>
      </c>
      <c r="Q16" s="531">
        <f t="shared" si="4"/>
        <v>78358.378794596923</v>
      </c>
      <c r="R16" s="532">
        <f t="shared" si="5"/>
        <v>82993.734485072127</v>
      </c>
      <c r="S16" s="533">
        <f t="shared" si="6"/>
        <v>4635.355690475204</v>
      </c>
      <c r="T16" s="531">
        <f t="shared" si="7"/>
        <v>29241.300649847559</v>
      </c>
      <c r="U16" s="532">
        <f t="shared" si="8"/>
        <v>22744.702046525606</v>
      </c>
      <c r="V16" s="533">
        <f t="shared" si="9"/>
        <v>-6496.5986033219524</v>
      </c>
    </row>
    <row r="17" spans="4:22" ht="24" customHeight="1">
      <c r="D17" s="485" t="s">
        <v>26</v>
      </c>
      <c r="E17" s="528">
        <f>+[4]서부산!$Q$85</f>
        <v>103101.68190476191</v>
      </c>
      <c r="F17" s="529">
        <f>+[4]서부산!$R$85</f>
        <v>97803.693015474695</v>
      </c>
      <c r="G17" s="530">
        <f t="shared" si="0"/>
        <v>-5297.9888892872114</v>
      </c>
      <c r="H17" s="528">
        <f>+[4]서부산!$Q$20</f>
        <v>61075.684303642229</v>
      </c>
      <c r="I17" s="529">
        <f>+[4]서부산!$R$20</f>
        <v>63189.636930154753</v>
      </c>
      <c r="J17" s="530">
        <f t="shared" si="1"/>
        <v>2113.9526265125241</v>
      </c>
      <c r="K17" s="528">
        <f>+[4]서부산!$Q$21</f>
        <v>16197.467010309278</v>
      </c>
      <c r="L17" s="529">
        <f>+[4]서부산!$R$21</f>
        <v>16429.292639063155</v>
      </c>
      <c r="M17" s="530">
        <f t="shared" si="2"/>
        <v>231.82562875387703</v>
      </c>
      <c r="N17" s="528">
        <f>+[4]서부산!$Q$22</f>
        <v>95.238095238095227</v>
      </c>
      <c r="O17" s="529">
        <f>+[4]서부산!$R$22</f>
        <v>266.13881221246339</v>
      </c>
      <c r="P17" s="530">
        <f t="shared" si="3"/>
        <v>170.90071697436815</v>
      </c>
      <c r="Q17" s="528">
        <f t="shared" si="4"/>
        <v>77368.389409189593</v>
      </c>
      <c r="R17" s="529">
        <f t="shared" si="5"/>
        <v>79885.068381430363</v>
      </c>
      <c r="S17" s="530">
        <f t="shared" si="6"/>
        <v>2516.6789722407702</v>
      </c>
      <c r="T17" s="528">
        <f t="shared" si="7"/>
        <v>25733.292495572314</v>
      </c>
      <c r="U17" s="529">
        <f t="shared" si="8"/>
        <v>17918.624634044332</v>
      </c>
      <c r="V17" s="530">
        <f t="shared" si="9"/>
        <v>-7814.6678615279816</v>
      </c>
    </row>
    <row r="18" spans="4:22" ht="24" customHeight="1">
      <c r="D18" s="485" t="s">
        <v>27</v>
      </c>
      <c r="E18" s="528">
        <f>+[4]김해!$Q$85</f>
        <v>100999.6</v>
      </c>
      <c r="F18" s="529">
        <f>+[4]김해!$R$85</f>
        <v>99339.806927881902</v>
      </c>
      <c r="G18" s="530">
        <f t="shared" si="0"/>
        <v>-1659.7930721181037</v>
      </c>
      <c r="H18" s="528">
        <f>+[4]김해!$Q$20</f>
        <v>58704.152991954274</v>
      </c>
      <c r="I18" s="529">
        <f>+[4]김해!$R$20</f>
        <v>61549.013141883675</v>
      </c>
      <c r="J18" s="530">
        <f t="shared" si="1"/>
        <v>2844.8601499294018</v>
      </c>
      <c r="K18" s="528">
        <f>+[4]김해!$Q$21</f>
        <v>17691.448391812868</v>
      </c>
      <c r="L18" s="529">
        <f>+[4]김해!$R$21</f>
        <v>18711.871663827369</v>
      </c>
      <c r="M18" s="530">
        <f t="shared" si="2"/>
        <v>1020.423272014501</v>
      </c>
      <c r="N18" s="528">
        <f>+[4]김해!$Q$22</f>
        <v>350</v>
      </c>
      <c r="O18" s="529">
        <f>+[4]김해!$R$22</f>
        <v>422.91400989697416</v>
      </c>
      <c r="P18" s="530">
        <f t="shared" si="3"/>
        <v>72.914009896974164</v>
      </c>
      <c r="Q18" s="528">
        <f t="shared" si="4"/>
        <v>76745.601383767149</v>
      </c>
      <c r="R18" s="529">
        <f t="shared" si="5"/>
        <v>80683.798815608025</v>
      </c>
      <c r="S18" s="530">
        <f t="shared" si="6"/>
        <v>3938.1974318408757</v>
      </c>
      <c r="T18" s="528">
        <f t="shared" si="7"/>
        <v>24253.998616232857</v>
      </c>
      <c r="U18" s="529">
        <f t="shared" si="8"/>
        <v>18656.008112273877</v>
      </c>
      <c r="V18" s="530">
        <f t="shared" si="9"/>
        <v>-5597.9905039589794</v>
      </c>
    </row>
    <row r="19" spans="4:22" ht="24" customHeight="1">
      <c r="D19" s="485" t="s">
        <v>28</v>
      </c>
      <c r="E19" s="528">
        <f>+[4]정관!$Q$85</f>
        <v>104000</v>
      </c>
      <c r="F19" s="529">
        <f>+[4]정관!$R$85</f>
        <v>103083.79923318229</v>
      </c>
      <c r="G19" s="530">
        <f t="shared" si="0"/>
        <v>-916.20076681771025</v>
      </c>
      <c r="H19" s="528">
        <f>+[4]정관!$Q$20</f>
        <v>60102.917332545097</v>
      </c>
      <c r="I19" s="529">
        <f>+[4]정관!$R$20</f>
        <v>63871.841192449683</v>
      </c>
      <c r="J19" s="530">
        <f t="shared" si="1"/>
        <v>3768.9238599045857</v>
      </c>
      <c r="K19" s="528">
        <f>+[4]정관!$Q$21</f>
        <v>18577.502777777776</v>
      </c>
      <c r="L19" s="529">
        <f>+[4]정관!$R$21</f>
        <v>17842.802488913654</v>
      </c>
      <c r="M19" s="530">
        <f t="shared" si="2"/>
        <v>-734.70028886412183</v>
      </c>
      <c r="N19" s="528">
        <f>+[4]정관!$Q$22</f>
        <v>250</v>
      </c>
      <c r="O19" s="529">
        <f>+[4]정관!$R$22</f>
        <v>247.88154442664438</v>
      </c>
      <c r="P19" s="530">
        <f t="shared" si="3"/>
        <v>-2.1184555733556181</v>
      </c>
      <c r="Q19" s="528">
        <f t="shared" si="4"/>
        <v>78930.42011032287</v>
      </c>
      <c r="R19" s="529">
        <f t="shared" si="5"/>
        <v>81962.525225789985</v>
      </c>
      <c r="S19" s="530">
        <f t="shared" si="6"/>
        <v>3032.105115467115</v>
      </c>
      <c r="T19" s="528">
        <f t="shared" si="7"/>
        <v>25069.57988967713</v>
      </c>
      <c r="U19" s="529">
        <f t="shared" si="8"/>
        <v>21121.274007392305</v>
      </c>
      <c r="V19" s="530">
        <f t="shared" si="9"/>
        <v>-3948.3058822848252</v>
      </c>
    </row>
    <row r="20" spans="4:22" ht="24" customHeight="1">
      <c r="D20" s="485" t="s">
        <v>29</v>
      </c>
      <c r="E20" s="528">
        <f>+[4]양산!$Q$85</f>
        <v>96280.787636363631</v>
      </c>
      <c r="F20" s="529">
        <f>+[4]양산!$R$85</f>
        <v>94627.517311021351</v>
      </c>
      <c r="G20" s="530">
        <f t="shared" si="0"/>
        <v>-1653.2703253422806</v>
      </c>
      <c r="H20" s="528">
        <f>+[4]양산!$Q$20</f>
        <v>54686.901900268262</v>
      </c>
      <c r="I20" s="529">
        <f>+[4]양산!$R$20</f>
        <v>57005.473889209468</v>
      </c>
      <c r="J20" s="530">
        <f t="shared" si="1"/>
        <v>2318.5719889412067</v>
      </c>
      <c r="K20" s="528">
        <f>+[4]양산!$Q$21</f>
        <v>17018.113277511966</v>
      </c>
      <c r="L20" s="529">
        <f>+[4]양산!$R$21</f>
        <v>16485.468407386037</v>
      </c>
      <c r="M20" s="530">
        <f t="shared" si="2"/>
        <v>-532.64487012592872</v>
      </c>
      <c r="N20" s="528">
        <f>+[4]양산!$Q$22</f>
        <v>86.36363636363636</v>
      </c>
      <c r="O20" s="529">
        <f>+[4]양산!$R$22</f>
        <v>48.64166185804963</v>
      </c>
      <c r="P20" s="530">
        <f t="shared" si="3"/>
        <v>-37.721974505586729</v>
      </c>
      <c r="Q20" s="528">
        <f t="shared" si="4"/>
        <v>71791.378814143856</v>
      </c>
      <c r="R20" s="529">
        <f t="shared" si="5"/>
        <v>73539.583958453557</v>
      </c>
      <c r="S20" s="530">
        <f t="shared" si="6"/>
        <v>1748.2051443097007</v>
      </c>
      <c r="T20" s="528">
        <f t="shared" si="7"/>
        <v>24489.408822219775</v>
      </c>
      <c r="U20" s="529">
        <f t="shared" si="8"/>
        <v>21087.933352567794</v>
      </c>
      <c r="V20" s="530">
        <f t="shared" si="9"/>
        <v>-3401.4754696519813</v>
      </c>
    </row>
    <row r="21" spans="4:22" ht="24" customHeight="1">
      <c r="D21" s="485" t="s">
        <v>30</v>
      </c>
      <c r="E21" s="528">
        <f>+[4]창원!$Q$85</f>
        <v>99586</v>
      </c>
      <c r="F21" s="529">
        <f>+[4]창원!$R$85</f>
        <v>106478.26162287036</v>
      </c>
      <c r="G21" s="530">
        <f t="shared" si="0"/>
        <v>6892.2616228703555</v>
      </c>
      <c r="H21" s="528">
        <f>+[4]창원!$Q$20</f>
        <v>55903.538197997783</v>
      </c>
      <c r="I21" s="529">
        <f>+[4]창원!$R$20</f>
        <v>61643.991400207786</v>
      </c>
      <c r="J21" s="530">
        <f t="shared" si="1"/>
        <v>5740.4532022100029</v>
      </c>
      <c r="K21" s="528">
        <f>+[4]창원!$Q$21</f>
        <v>16224.150891590678</v>
      </c>
      <c r="L21" s="529">
        <f>+[4]창원!$R$21</f>
        <v>15415.192369848784</v>
      </c>
      <c r="M21" s="530">
        <f t="shared" si="2"/>
        <v>-808.95852174189349</v>
      </c>
      <c r="N21" s="528">
        <f>+[4]창원!$Q$22</f>
        <v>192.85714285714286</v>
      </c>
      <c r="O21" s="529">
        <f>+[4]창원!$R$22</f>
        <v>228.58645965600832</v>
      </c>
      <c r="P21" s="530">
        <f t="shared" si="3"/>
        <v>35.729316798865455</v>
      </c>
      <c r="Q21" s="528">
        <f t="shared" si="4"/>
        <v>72320.546232445602</v>
      </c>
      <c r="R21" s="529">
        <f t="shared" si="5"/>
        <v>77287.77022971258</v>
      </c>
      <c r="S21" s="530">
        <f t="shared" si="6"/>
        <v>4967.2239972669777</v>
      </c>
      <c r="T21" s="528">
        <f t="shared" si="7"/>
        <v>27265.453767554398</v>
      </c>
      <c r="U21" s="529">
        <f t="shared" si="8"/>
        <v>29190.491393157776</v>
      </c>
      <c r="V21" s="530">
        <f t="shared" si="9"/>
        <v>1925.0376256033778</v>
      </c>
    </row>
    <row r="22" spans="4:22" ht="24" customHeight="1">
      <c r="D22" s="485" t="s">
        <v>95</v>
      </c>
      <c r="E22" s="528">
        <f>+[4]대구!$Q$85</f>
        <v>97799.999999999985</v>
      </c>
      <c r="F22" s="529">
        <f>+[4]대구!$R$85</f>
        <v>99938.046019858346</v>
      </c>
      <c r="G22" s="530">
        <f t="shared" si="0"/>
        <v>2138.0460198583605</v>
      </c>
      <c r="H22" s="528">
        <f>+[4]대구!$Q$20</f>
        <v>54506.921623775437</v>
      </c>
      <c r="I22" s="529">
        <f>+[4]대구!$R$20</f>
        <v>58044.415805347511</v>
      </c>
      <c r="J22" s="530">
        <f t="shared" si="1"/>
        <v>3537.494181572074</v>
      </c>
      <c r="K22" s="528">
        <f>+[4]대구!$Q$21</f>
        <v>16608.326701388891</v>
      </c>
      <c r="L22" s="529">
        <f>+[4]대구!$R$21</f>
        <v>16154.351757091057</v>
      </c>
      <c r="M22" s="530">
        <f t="shared" si="2"/>
        <v>-453.97494429783364</v>
      </c>
      <c r="N22" s="528">
        <f>+[4]대구!$Q$22</f>
        <v>325.92592592592598</v>
      </c>
      <c r="O22" s="529">
        <f>+[4]대구!$R$22</f>
        <v>281.09234470839408</v>
      </c>
      <c r="P22" s="530">
        <f t="shared" si="3"/>
        <v>-44.833581217531901</v>
      </c>
      <c r="Q22" s="528">
        <f t="shared" si="4"/>
        <v>71441.174251090255</v>
      </c>
      <c r="R22" s="529">
        <f t="shared" si="5"/>
        <v>74479.859907146965</v>
      </c>
      <c r="S22" s="530">
        <f t="shared" si="6"/>
        <v>3038.6856560567103</v>
      </c>
      <c r="T22" s="528">
        <f t="shared" si="7"/>
        <v>26358.82574890973</v>
      </c>
      <c r="U22" s="529">
        <f t="shared" si="8"/>
        <v>25458.186112711381</v>
      </c>
      <c r="V22" s="530">
        <f t="shared" si="9"/>
        <v>-900.63963619834976</v>
      </c>
    </row>
    <row r="23" spans="4:22" ht="24" customHeight="1">
      <c r="D23" s="485" t="s">
        <v>97</v>
      </c>
      <c r="E23" s="528">
        <f>+[4]울산!$Q$85</f>
        <v>98002.731999999989</v>
      </c>
      <c r="F23" s="529">
        <f>+[4]울산!$R$85</f>
        <v>104144.08322496749</v>
      </c>
      <c r="G23" s="530">
        <f t="shared" si="0"/>
        <v>6141.3512249674968</v>
      </c>
      <c r="H23" s="528">
        <f>+[4]울산!$Q$20</f>
        <v>58873.302206154985</v>
      </c>
      <c r="I23" s="529">
        <f>+[4]울산!$R$20</f>
        <v>59684.620152161806</v>
      </c>
      <c r="J23" s="530">
        <f t="shared" si="1"/>
        <v>811.31794600682042</v>
      </c>
      <c r="K23" s="528">
        <f>+[4]울산!$Q$21</f>
        <v>20573.312945054946</v>
      </c>
      <c r="L23" s="529">
        <f>+[4]울산!$R$21</f>
        <v>22872.885136388941</v>
      </c>
      <c r="M23" s="530">
        <f t="shared" si="2"/>
        <v>2299.5721913339949</v>
      </c>
      <c r="N23" s="528">
        <f>+[4]울산!$Q$22</f>
        <v>260</v>
      </c>
      <c r="O23" s="529">
        <f>+[4]울산!$R$22</f>
        <v>390.74410836889956</v>
      </c>
      <c r="P23" s="530">
        <f t="shared" si="3"/>
        <v>130.74410836889956</v>
      </c>
      <c r="Q23" s="528">
        <f t="shared" si="4"/>
        <v>79706.615151209931</v>
      </c>
      <c r="R23" s="529">
        <f t="shared" si="5"/>
        <v>82948.249396919651</v>
      </c>
      <c r="S23" s="530">
        <f t="shared" si="6"/>
        <v>3241.6342457097198</v>
      </c>
      <c r="T23" s="528">
        <f t="shared" si="7"/>
        <v>18296.116848790058</v>
      </c>
      <c r="U23" s="529">
        <f t="shared" si="8"/>
        <v>21195.833828047835</v>
      </c>
      <c r="V23" s="530">
        <f t="shared" si="9"/>
        <v>2899.716979257777</v>
      </c>
    </row>
    <row r="24" spans="4:22" ht="24" customHeight="1">
      <c r="D24" s="520" t="s">
        <v>31</v>
      </c>
      <c r="E24" s="531">
        <f>+[4]아산!$Q$85</f>
        <v>100999.96129032258</v>
      </c>
      <c r="F24" s="532">
        <f>+[4]아산!$R$85</f>
        <v>96755.376146789</v>
      </c>
      <c r="G24" s="533">
        <f t="shared" si="0"/>
        <v>-4244.585143533579</v>
      </c>
      <c r="H24" s="531">
        <f>+[4]아산!$Q$20</f>
        <v>58322.794210245564</v>
      </c>
      <c r="I24" s="532">
        <f>+[4]아산!$R$20</f>
        <v>61918.340536545074</v>
      </c>
      <c r="J24" s="533">
        <f t="shared" si="1"/>
        <v>3595.5463262995108</v>
      </c>
      <c r="K24" s="531">
        <f>+[4]아산!$Q$21</f>
        <v>19144.315042324411</v>
      </c>
      <c r="L24" s="532">
        <f>+[4]아산!$R$21</f>
        <v>20656.875298926039</v>
      </c>
      <c r="M24" s="533">
        <f t="shared" si="2"/>
        <v>1512.5602566016278</v>
      </c>
      <c r="N24" s="531">
        <f>+[4]아산!$Q$22</f>
        <v>387.09677419354836</v>
      </c>
      <c r="O24" s="532">
        <f>+[4]아산!$R$22</f>
        <v>204.90303926257661</v>
      </c>
      <c r="P24" s="533">
        <f t="shared" si="3"/>
        <v>-182.19373493097174</v>
      </c>
      <c r="Q24" s="531">
        <f t="shared" si="4"/>
        <v>77854.206026763524</v>
      </c>
      <c r="R24" s="532">
        <f t="shared" si="5"/>
        <v>82780.118874733686</v>
      </c>
      <c r="S24" s="533">
        <f t="shared" si="6"/>
        <v>4925.9128479701612</v>
      </c>
      <c r="T24" s="531">
        <f t="shared" si="7"/>
        <v>23145.755263559055</v>
      </c>
      <c r="U24" s="532">
        <f t="shared" si="8"/>
        <v>13975.257272055314</v>
      </c>
      <c r="V24" s="533">
        <f t="shared" si="9"/>
        <v>-9170.4979915037402</v>
      </c>
    </row>
    <row r="25" spans="4:22" ht="24" customHeight="1">
      <c r="D25" s="485" t="s">
        <v>34</v>
      </c>
      <c r="E25" s="528">
        <f>+[4]전주!$Q$85</f>
        <v>100658.9093</v>
      </c>
      <c r="F25" s="529">
        <f>+[4]전주!$R$85</f>
        <v>98706.979747220961</v>
      </c>
      <c r="G25" s="530">
        <f t="shared" si="0"/>
        <v>-1951.9295527790382</v>
      </c>
      <c r="H25" s="528">
        <f>+[4]전주!$Q$20</f>
        <v>58495.271127178334</v>
      </c>
      <c r="I25" s="529">
        <f>+[4]전주!$R$20</f>
        <v>58328.204202832341</v>
      </c>
      <c r="J25" s="530">
        <f t="shared" si="1"/>
        <v>-167.06692434599245</v>
      </c>
      <c r="K25" s="528">
        <f>+[4]전주!$Q$21</f>
        <v>15932.226306451616</v>
      </c>
      <c r="L25" s="529">
        <f>+[4]전주!$R$21</f>
        <v>15625.583523678999</v>
      </c>
      <c r="M25" s="530">
        <f t="shared" si="2"/>
        <v>-306.64278277261656</v>
      </c>
      <c r="N25" s="528">
        <f>+[4]전주!$Q$22</f>
        <v>300</v>
      </c>
      <c r="O25" s="529">
        <f>+[4]전주!$R$22</f>
        <v>228.16628597533119</v>
      </c>
      <c r="P25" s="530">
        <f t="shared" si="3"/>
        <v>-71.833714024668808</v>
      </c>
      <c r="Q25" s="528">
        <f t="shared" si="4"/>
        <v>74727.497433629949</v>
      </c>
      <c r="R25" s="529">
        <f t="shared" si="5"/>
        <v>74181.954012486662</v>
      </c>
      <c r="S25" s="530">
        <f t="shared" si="6"/>
        <v>-545.54342114328756</v>
      </c>
      <c r="T25" s="528">
        <f t="shared" si="7"/>
        <v>25931.41186637005</v>
      </c>
      <c r="U25" s="529">
        <f t="shared" si="8"/>
        <v>24525.025734734299</v>
      </c>
      <c r="V25" s="530">
        <f t="shared" si="9"/>
        <v>-1406.3861316357506</v>
      </c>
    </row>
    <row r="26" spans="4:22" ht="24" customHeight="1">
      <c r="D26" s="485" t="s">
        <v>33</v>
      </c>
      <c r="E26" s="528">
        <f>+[4]군산!$Q$85</f>
        <v>108558.49124999999</v>
      </c>
      <c r="F26" s="529">
        <f>+[4]군산!$R$85</f>
        <v>102235.71641993751</v>
      </c>
      <c r="G26" s="530">
        <f t="shared" si="0"/>
        <v>-6322.7748300624808</v>
      </c>
      <c r="H26" s="528">
        <f>+[4]군산!$Q$20</f>
        <v>57626.266559139782</v>
      </c>
      <c r="I26" s="529">
        <f>+[4]군산!$R$20</f>
        <v>56813.06505500475</v>
      </c>
      <c r="J26" s="530">
        <f t="shared" si="1"/>
        <v>-813.20150413503143</v>
      </c>
      <c r="K26" s="528">
        <f>+[4]군산!$Q$21</f>
        <v>12661.575000000001</v>
      </c>
      <c r="L26" s="529">
        <f>+[4]군산!$R$21</f>
        <v>12734.884286296347</v>
      </c>
      <c r="M26" s="530">
        <f t="shared" si="2"/>
        <v>73.309286296345817</v>
      </c>
      <c r="N26" s="528">
        <f>+[4]군산!$Q$22</f>
        <v>112.5</v>
      </c>
      <c r="O26" s="529">
        <f>+[4]군산!$R$22</f>
        <v>53.894879804427539</v>
      </c>
      <c r="P26" s="530">
        <f t="shared" si="3"/>
        <v>-58.605120195572461</v>
      </c>
      <c r="Q26" s="528">
        <f t="shared" si="4"/>
        <v>70400.341559139779</v>
      </c>
      <c r="R26" s="529">
        <f t="shared" si="5"/>
        <v>69601.844221105523</v>
      </c>
      <c r="S26" s="530">
        <f t="shared" si="6"/>
        <v>-798.49733803425625</v>
      </c>
      <c r="T26" s="528">
        <f t="shared" si="7"/>
        <v>38158.149690860213</v>
      </c>
      <c r="U26" s="529">
        <f t="shared" si="8"/>
        <v>32633.872198831988</v>
      </c>
      <c r="V26" s="530">
        <f t="shared" si="9"/>
        <v>-5524.2774920282245</v>
      </c>
    </row>
    <row r="27" spans="4:22" ht="24" customHeight="1">
      <c r="D27" s="485" t="s">
        <v>32</v>
      </c>
      <c r="E27" s="528">
        <f>+[4]원주!$Q$85</f>
        <v>107900</v>
      </c>
      <c r="F27" s="529">
        <f>+[4]원주!$R$85</f>
        <v>116692.64081517122</v>
      </c>
      <c r="G27" s="530">
        <f t="shared" si="0"/>
        <v>8792.6408151712239</v>
      </c>
      <c r="H27" s="528">
        <f>+[4]원주!$Q$20</f>
        <v>58995.309677419362</v>
      </c>
      <c r="I27" s="529">
        <f>+[4]원주!$R$20</f>
        <v>62199.964619303712</v>
      </c>
      <c r="J27" s="530">
        <f t="shared" si="1"/>
        <v>3204.6549418843497</v>
      </c>
      <c r="K27" s="528">
        <f>+[4]원주!$Q$21</f>
        <v>15768.661053839265</v>
      </c>
      <c r="L27" s="529">
        <f>+[4]원주!$R$21</f>
        <v>13016.581092555902</v>
      </c>
      <c r="M27" s="530">
        <f t="shared" si="2"/>
        <v>-2752.0799612833634</v>
      </c>
      <c r="N27" s="528">
        <f>+[4]원주!$Q$22</f>
        <v>675</v>
      </c>
      <c r="O27" s="529">
        <f>+[4]원주!$R$22</f>
        <v>1104.6076988395132</v>
      </c>
      <c r="P27" s="530">
        <f t="shared" si="3"/>
        <v>429.6076988395132</v>
      </c>
      <c r="Q27" s="528">
        <f t="shared" si="4"/>
        <v>75438.970731258625</v>
      </c>
      <c r="R27" s="529">
        <f t="shared" si="5"/>
        <v>76321.153410699117</v>
      </c>
      <c r="S27" s="530">
        <f t="shared" si="6"/>
        <v>882.18267944049148</v>
      </c>
      <c r="T27" s="528">
        <f t="shared" si="7"/>
        <v>32461.029268741375</v>
      </c>
      <c r="U27" s="529">
        <f t="shared" si="8"/>
        <v>40371.487404472107</v>
      </c>
      <c r="V27" s="530">
        <f t="shared" si="9"/>
        <v>7910.4581357307325</v>
      </c>
    </row>
    <row r="28" spans="4:22" ht="24" customHeight="1">
      <c r="D28" s="534" t="s">
        <v>35</v>
      </c>
      <c r="E28" s="535">
        <f>+[4]제주!$Q$85</f>
        <v>126700</v>
      </c>
      <c r="F28" s="536">
        <f>+[4]제주!$R$85</f>
        <v>128698.23670090448</v>
      </c>
      <c r="G28" s="537">
        <f t="shared" si="0"/>
        <v>1998.2367009044829</v>
      </c>
      <c r="H28" s="535">
        <f>+[4]제주!$Q$20</f>
        <v>74846.559066370042</v>
      </c>
      <c r="I28" s="536">
        <f>+[4]제주!$R$20</f>
        <v>73726.348612601578</v>
      </c>
      <c r="J28" s="537">
        <f t="shared" si="1"/>
        <v>-1120.2104537684645</v>
      </c>
      <c r="K28" s="535">
        <f>+[4]제주!$Q$21</f>
        <v>15088.910256410256</v>
      </c>
      <c r="L28" s="536">
        <f>+[4]제주!$R$21</f>
        <v>16624.317645255251</v>
      </c>
      <c r="M28" s="537">
        <f t="shared" si="2"/>
        <v>1535.4073888449948</v>
      </c>
      <c r="N28" s="535">
        <f>+[4]제주!$Q$22</f>
        <v>0</v>
      </c>
      <c r="O28" s="536">
        <f>+[4]제주!$R$22</f>
        <v>423.16970718994321</v>
      </c>
      <c r="P28" s="537">
        <f t="shared" si="3"/>
        <v>423.16970718994321</v>
      </c>
      <c r="Q28" s="535">
        <f t="shared" si="4"/>
        <v>89935.469322780293</v>
      </c>
      <c r="R28" s="536">
        <f t="shared" si="5"/>
        <v>90773.835965046761</v>
      </c>
      <c r="S28" s="537">
        <f t="shared" si="6"/>
        <v>838.36664226646826</v>
      </c>
      <c r="T28" s="535">
        <f t="shared" si="7"/>
        <v>36764.530677219707</v>
      </c>
      <c r="U28" s="536">
        <f t="shared" si="8"/>
        <v>37924.400735857722</v>
      </c>
      <c r="V28" s="537">
        <f t="shared" si="9"/>
        <v>1159.8700586380146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98" t="s">
        <v>201</v>
      </c>
      <c r="F4" s="198"/>
      <c r="I4" s="198"/>
    </row>
    <row r="5" spans="4:22" ht="21.95" customHeight="1"/>
    <row r="6" spans="4:22" ht="24" customHeight="1" thickBot="1">
      <c r="D6" s="729" t="s">
        <v>11</v>
      </c>
      <c r="E6" s="473" t="s">
        <v>156</v>
      </c>
      <c r="F6" s="474"/>
      <c r="G6" s="475"/>
      <c r="H6" s="473" t="s">
        <v>155</v>
      </c>
      <c r="I6" s="474"/>
      <c r="J6" s="475"/>
      <c r="K6" s="473" t="s">
        <v>154</v>
      </c>
      <c r="L6" s="474"/>
      <c r="M6" s="475"/>
      <c r="N6" s="473" t="s">
        <v>153</v>
      </c>
      <c r="O6" s="474"/>
      <c r="P6" s="475"/>
      <c r="Q6" s="473" t="s">
        <v>152</v>
      </c>
      <c r="R6" s="474"/>
      <c r="S6" s="475"/>
      <c r="T6" s="473" t="s">
        <v>151</v>
      </c>
      <c r="U6" s="474"/>
      <c r="V6" s="475"/>
    </row>
    <row r="7" spans="4:22" ht="24" customHeight="1">
      <c r="D7" s="730"/>
      <c r="E7" s="476" t="s">
        <v>12</v>
      </c>
      <c r="F7" s="477" t="s">
        <v>13</v>
      </c>
      <c r="G7" s="478" t="s">
        <v>36</v>
      </c>
      <c r="H7" s="476" t="s">
        <v>15</v>
      </c>
      <c r="I7" s="477" t="s">
        <v>16</v>
      </c>
      <c r="J7" s="478" t="s">
        <v>36</v>
      </c>
      <c r="K7" s="476" t="s">
        <v>15</v>
      </c>
      <c r="L7" s="477" t="s">
        <v>16</v>
      </c>
      <c r="M7" s="478" t="s">
        <v>36</v>
      </c>
      <c r="N7" s="476" t="s">
        <v>15</v>
      </c>
      <c r="O7" s="477" t="s">
        <v>16</v>
      </c>
      <c r="P7" s="478" t="s">
        <v>36</v>
      </c>
      <c r="Q7" s="476" t="s">
        <v>15</v>
      </c>
      <c r="R7" s="477" t="s">
        <v>16</v>
      </c>
      <c r="S7" s="478" t="s">
        <v>36</v>
      </c>
      <c r="T7" s="476" t="s">
        <v>15</v>
      </c>
      <c r="U7" s="477" t="s">
        <v>16</v>
      </c>
      <c r="V7" s="478" t="s">
        <v>36</v>
      </c>
    </row>
    <row r="8" spans="4:22" ht="24" customHeight="1">
      <c r="D8" s="504" t="s">
        <v>47</v>
      </c>
      <c r="E8" s="578">
        <f>+[4]합계!$G$9</f>
        <v>100355.80814861927</v>
      </c>
      <c r="F8" s="579">
        <f>+[4]합계!$H$9</f>
        <v>100327.44703679108</v>
      </c>
      <c r="G8" s="580">
        <f>+F8-E8</f>
        <v>-28.361111828184221</v>
      </c>
      <c r="H8" s="578">
        <f>+[4]합계!$G$10</f>
        <v>92284.996383734382</v>
      </c>
      <c r="I8" s="579">
        <f>+[4]합계!$H$10</f>
        <v>93078.409987859457</v>
      </c>
      <c r="J8" s="580">
        <f>+I8-H8</f>
        <v>793.41360412507493</v>
      </c>
      <c r="K8" s="578">
        <f>+[4]합계!$G$12</f>
        <v>64267.167113685915</v>
      </c>
      <c r="L8" s="579">
        <f>+[4]합계!$H$12</f>
        <v>60657.46882207389</v>
      </c>
      <c r="M8" s="580">
        <f>+L8-K8</f>
        <v>-3609.6982916120251</v>
      </c>
      <c r="N8" s="578">
        <f>+[4]합계!$G$13</f>
        <v>39197.403154687425</v>
      </c>
      <c r="O8" s="579">
        <f>+[4]합계!$H$13</f>
        <v>38431.083969387015</v>
      </c>
      <c r="P8" s="580">
        <f>+O8-N8</f>
        <v>-766.31918530041003</v>
      </c>
      <c r="Q8" s="578">
        <f>+[4]합계!$G$16</f>
        <v>12717.304253843991</v>
      </c>
      <c r="R8" s="579">
        <f>+[4]합계!$H$16</f>
        <v>12984.326756437496</v>
      </c>
      <c r="S8" s="580">
        <f>+R8-Q8</f>
        <v>267.02250259350512</v>
      </c>
      <c r="T8" s="578">
        <f>+[4]합계!$G$17</f>
        <v>15960.451279243263</v>
      </c>
      <c r="U8" s="579">
        <f>+[4]합계!$H$17</f>
        <v>16073.503195990483</v>
      </c>
      <c r="V8" s="580">
        <f>+U8-T8</f>
        <v>113.05191674721937</v>
      </c>
    </row>
    <row r="9" spans="4:22" ht="24" customHeight="1">
      <c r="D9" s="505" t="s">
        <v>19</v>
      </c>
      <c r="E9" s="581">
        <f>+[4]수도권!$G$9</f>
        <v>100000.00000000001</v>
      </c>
      <c r="F9" s="582">
        <f>+[4]수도권!$H$9</f>
        <v>99964.217103842748</v>
      </c>
      <c r="G9" s="583">
        <f t="shared" ref="G9:G28" si="0">+F9-E9</f>
        <v>-35.782896157266805</v>
      </c>
      <c r="H9" s="581">
        <f>+[4]수도권!$G$10</f>
        <v>93394.30818572588</v>
      </c>
      <c r="I9" s="582">
        <f>+[4]수도권!$H$10</f>
        <v>81094.802244654449</v>
      </c>
      <c r="J9" s="583">
        <f t="shared" ref="J9:J28" si="1">+I9-H9</f>
        <v>-12299.505941071431</v>
      </c>
      <c r="K9" s="581">
        <f>+[4]수도권!$G$12</f>
        <v>64304.237641497268</v>
      </c>
      <c r="L9" s="582">
        <f>+[4]수도권!$H$12</f>
        <v>61006.328860034082</v>
      </c>
      <c r="M9" s="583">
        <f t="shared" ref="M9:M28" si="2">+L9-K9</f>
        <v>-3297.9087814631857</v>
      </c>
      <c r="N9" s="581">
        <f>+[4]수도권!$G$13</f>
        <v>45135.247953753162</v>
      </c>
      <c r="O9" s="582">
        <f>+[4]수도권!$H$13</f>
        <v>42862.496214260369</v>
      </c>
      <c r="P9" s="583">
        <f t="shared" ref="P9:P28" si="3">+O9-N9</f>
        <v>-2272.7517394927927</v>
      </c>
      <c r="Q9" s="581">
        <f>+[4]수도권!$G$16</f>
        <v>15389.292096716152</v>
      </c>
      <c r="R9" s="582">
        <f>+[4]수도권!$H$16</f>
        <v>15747.195995434999</v>
      </c>
      <c r="S9" s="583">
        <f t="shared" ref="S9:S28" si="4">+R9-Q9</f>
        <v>357.9038987188469</v>
      </c>
      <c r="T9" s="581">
        <f>+[4]수도권!$G$17</f>
        <v>14820.948646645142</v>
      </c>
      <c r="U9" s="582">
        <f>+[4]수도권!$H$17</f>
        <v>14949.585684770027</v>
      </c>
      <c r="V9" s="583">
        <f t="shared" ref="V9:V28" si="5">+U9-T9</f>
        <v>128.63703812488529</v>
      </c>
    </row>
    <row r="10" spans="4:22" ht="24" customHeight="1">
      <c r="D10" s="506" t="s">
        <v>20</v>
      </c>
      <c r="E10" s="584">
        <f>+[4]영남권!$G$9</f>
        <v>99999.999999999985</v>
      </c>
      <c r="F10" s="585">
        <f>+[4]영남권!$H$9</f>
        <v>99982.728895400214</v>
      </c>
      <c r="G10" s="586">
        <f t="shared" si="0"/>
        <v>-17.271104599771206</v>
      </c>
      <c r="H10" s="584">
        <f>+[4]영남권!$G$10</f>
        <v>92100.000000000015</v>
      </c>
      <c r="I10" s="585">
        <f>+[4]영남권!$H$10</f>
        <v>93061.967291669178</v>
      </c>
      <c r="J10" s="586">
        <f t="shared" si="1"/>
        <v>961.96729166916339</v>
      </c>
      <c r="K10" s="584">
        <f>+[4]영남권!$G$12</f>
        <v>64111.379001615547</v>
      </c>
      <c r="L10" s="585">
        <f>+[4]영남권!$H$12</f>
        <v>60910.959118182574</v>
      </c>
      <c r="M10" s="586">
        <f t="shared" si="2"/>
        <v>-3200.4198834329727</v>
      </c>
      <c r="N10" s="584">
        <f>+[4]영남권!$G$13</f>
        <v>35389.719231199248</v>
      </c>
      <c r="O10" s="585">
        <f>+[4]영남권!$H$13</f>
        <v>35487.050560950927</v>
      </c>
      <c r="P10" s="586">
        <f t="shared" si="3"/>
        <v>97.331329751679732</v>
      </c>
      <c r="Q10" s="584">
        <f>+[4]영남권!$G$16</f>
        <v>10369.978900172591</v>
      </c>
      <c r="R10" s="585">
        <f>+[4]영남권!$H$16</f>
        <v>11101.537197825892</v>
      </c>
      <c r="S10" s="586">
        <f t="shared" si="4"/>
        <v>731.55829765330054</v>
      </c>
      <c r="T10" s="584">
        <f>+[4]영남권!$G$17</f>
        <v>17357.616891726677</v>
      </c>
      <c r="U10" s="585">
        <f>+[4]영남권!$H$17</f>
        <v>17490.025099158829</v>
      </c>
      <c r="V10" s="586">
        <f t="shared" si="5"/>
        <v>132.40820743215227</v>
      </c>
    </row>
    <row r="11" spans="4:22" ht="24" customHeight="1">
      <c r="D11" s="507" t="s">
        <v>57</v>
      </c>
      <c r="E11" s="587">
        <f>+[4]중부권!$G$9</f>
        <v>102029.94893340614</v>
      </c>
      <c r="F11" s="588">
        <f>+[4]중부권!$H$9</f>
        <v>102008.62736610173</v>
      </c>
      <c r="G11" s="589">
        <f t="shared" si="0"/>
        <v>-21.321567304403288</v>
      </c>
      <c r="H11" s="587">
        <f>+[4]중부권!$G$10</f>
        <v>95000</v>
      </c>
      <c r="I11" s="588">
        <f>+[4]중부권!$H$10</f>
        <v>94984.292253837179</v>
      </c>
      <c r="J11" s="589">
        <f t="shared" si="1"/>
        <v>-15.707746162821422</v>
      </c>
      <c r="K11" s="587">
        <f>+[4]중부권!$G$12</f>
        <v>64761.666666666672</v>
      </c>
      <c r="L11" s="588">
        <f>+[4]중부권!$H$12</f>
        <v>59084.425825883482</v>
      </c>
      <c r="M11" s="589">
        <f t="shared" si="2"/>
        <v>-5677.2408407831899</v>
      </c>
      <c r="N11" s="587">
        <f>+[4]중부권!$G$13</f>
        <v>39810.981893125281</v>
      </c>
      <c r="O11" s="588">
        <f>+[4]중부권!$H$13</f>
        <v>38879.310563107982</v>
      </c>
      <c r="P11" s="589">
        <f t="shared" si="3"/>
        <v>-931.67133001729962</v>
      </c>
      <c r="Q11" s="587">
        <f>+[4]중부권!$G$16</f>
        <v>12585.81248452095</v>
      </c>
      <c r="R11" s="588">
        <f>+[4]중부권!$H$16</f>
        <v>12138.235300200089</v>
      </c>
      <c r="S11" s="589">
        <f t="shared" si="4"/>
        <v>-447.5771843208604</v>
      </c>
      <c r="T11" s="587">
        <f>+[4]중부권!$G$17</f>
        <v>14589.056016773076</v>
      </c>
      <c r="U11" s="588">
        <f>+[4]중부권!$H$17</f>
        <v>14323.149750992035</v>
      </c>
      <c r="V11" s="589">
        <f t="shared" si="5"/>
        <v>-265.90626578104093</v>
      </c>
    </row>
    <row r="12" spans="4:22" ht="24" customHeight="1">
      <c r="D12" s="519" t="s">
        <v>22</v>
      </c>
      <c r="E12" s="590">
        <f>+[4]안양!$G$9</f>
        <v>100000</v>
      </c>
      <c r="F12" s="591">
        <f>+[4]안양!$H$9</f>
        <v>99930.158219506426</v>
      </c>
      <c r="G12" s="592">
        <f t="shared" si="0"/>
        <v>-69.841780493574333</v>
      </c>
      <c r="H12" s="590">
        <f>+[4]안양!$G$10</f>
        <v>87100</v>
      </c>
      <c r="I12" s="591">
        <f>+[4]안양!$H$10</f>
        <v>81094.802244654449</v>
      </c>
      <c r="J12" s="592">
        <f t="shared" si="1"/>
        <v>-6005.1977553455508</v>
      </c>
      <c r="K12" s="590">
        <f>+[4]안양!$G$12</f>
        <v>64000</v>
      </c>
      <c r="L12" s="591">
        <f>+[4]안양!$H$12</f>
        <v>63531.922170487371</v>
      </c>
      <c r="M12" s="592">
        <f t="shared" si="2"/>
        <v>-468.07782951262925</v>
      </c>
      <c r="N12" s="590">
        <f>+[4]안양!$G$13</f>
        <v>45000</v>
      </c>
      <c r="O12" s="591">
        <f>+[4]안양!$H$13</f>
        <v>41138.135386691763</v>
      </c>
      <c r="P12" s="592">
        <f t="shared" si="3"/>
        <v>-3861.8646133082366</v>
      </c>
      <c r="Q12" s="590">
        <f>+[4]안양!$G$16</f>
        <v>15333.333333333334</v>
      </c>
      <c r="R12" s="591">
        <f>+[4]안양!$H$16</f>
        <v>16043.110351541041</v>
      </c>
      <c r="S12" s="592">
        <f t="shared" si="4"/>
        <v>709.77701820770744</v>
      </c>
      <c r="T12" s="590">
        <f>+[4]안양!$G$17</f>
        <v>15161.290322580646</v>
      </c>
      <c r="U12" s="591">
        <f>+[4]안양!$H$17</f>
        <v>15262.486692131959</v>
      </c>
      <c r="V12" s="592">
        <f t="shared" si="5"/>
        <v>101.19636955131318</v>
      </c>
    </row>
    <row r="13" spans="4:22" ht="24" customHeight="1">
      <c r="D13" s="485" t="s">
        <v>23</v>
      </c>
      <c r="E13" s="593">
        <f>+[4]인천!$G$9</f>
        <v>100000.00000000001</v>
      </c>
      <c r="F13" s="594">
        <f>+[4]인천!$H$9</f>
        <v>99994.236421226044</v>
      </c>
      <c r="G13" s="595">
        <f t="shared" si="0"/>
        <v>-5.7635787739709485</v>
      </c>
      <c r="H13" s="593">
        <f>+[4]인천!$G$10</f>
        <v>99500</v>
      </c>
      <c r="I13" s="594">
        <f>+[4]인천!$H$10</f>
        <v>0</v>
      </c>
      <c r="J13" s="595">
        <f t="shared" si="1"/>
        <v>-99500</v>
      </c>
      <c r="K13" s="593">
        <f>+[4]인천!$G$12</f>
        <v>64500</v>
      </c>
      <c r="L13" s="594">
        <f>+[4]인천!$H$12</f>
        <v>63252.184347260445</v>
      </c>
      <c r="M13" s="595">
        <f t="shared" si="2"/>
        <v>-1247.8156527395549</v>
      </c>
      <c r="N13" s="593">
        <f>+[4]인천!$G$13</f>
        <v>45000</v>
      </c>
      <c r="O13" s="594">
        <f>+[4]인천!$H$13</f>
        <v>44284.510862040916</v>
      </c>
      <c r="P13" s="595">
        <f t="shared" si="3"/>
        <v>-715.48913795908447</v>
      </c>
      <c r="Q13" s="593">
        <f>+[4]인천!$G$16</f>
        <v>15733.333333333332</v>
      </c>
      <c r="R13" s="594">
        <f>+[4]인천!$H$16</f>
        <v>15797.357720557788</v>
      </c>
      <c r="S13" s="595">
        <f t="shared" si="4"/>
        <v>64.024387224455495</v>
      </c>
      <c r="T13" s="593">
        <f>+[4]인천!$G$17</f>
        <v>15504.161508615734</v>
      </c>
      <c r="U13" s="594">
        <f>+[4]인천!$H$17</f>
        <v>15652.971172941961</v>
      </c>
      <c r="V13" s="595">
        <f t="shared" si="5"/>
        <v>148.80966432622699</v>
      </c>
    </row>
    <row r="14" spans="4:22" ht="24" customHeight="1">
      <c r="D14" s="485" t="s">
        <v>24</v>
      </c>
      <c r="E14" s="593">
        <f>+[4]파주!$G$9</f>
        <v>100000.00000000001</v>
      </c>
      <c r="F14" s="594">
        <f>+[4]파주!$H$9</f>
        <v>99991.234065252123</v>
      </c>
      <c r="G14" s="595">
        <f t="shared" si="0"/>
        <v>-8.7659347478911513</v>
      </c>
      <c r="H14" s="593">
        <f>+[4]파주!$G$10</f>
        <v>0</v>
      </c>
      <c r="I14" s="594">
        <f>+[4]파주!$H$10</f>
        <v>0</v>
      </c>
      <c r="J14" s="595">
        <f t="shared" si="1"/>
        <v>0</v>
      </c>
      <c r="K14" s="593">
        <f>+[4]파주!$G$12</f>
        <v>64500</v>
      </c>
      <c r="L14" s="594">
        <f>+[4]파주!$H$12</f>
        <v>59952.220600288303</v>
      </c>
      <c r="M14" s="595">
        <f t="shared" si="2"/>
        <v>-4547.7793997116969</v>
      </c>
      <c r="N14" s="593">
        <f>+[4]파주!$G$13</f>
        <v>45000.000000000007</v>
      </c>
      <c r="O14" s="594">
        <f>+[4]파주!$H$13</f>
        <v>43614.307252158571</v>
      </c>
      <c r="P14" s="595">
        <f t="shared" si="3"/>
        <v>-1385.6927478414364</v>
      </c>
      <c r="Q14" s="593">
        <f>+[4]파주!$G$16</f>
        <v>15266.666666666668</v>
      </c>
      <c r="R14" s="594">
        <f>+[4]파주!$H$16</f>
        <v>15369.650090258765</v>
      </c>
      <c r="S14" s="595">
        <f t="shared" si="4"/>
        <v>102.9834235920971</v>
      </c>
      <c r="T14" s="593">
        <f>+[4]파주!$G$17</f>
        <v>13419.35483870968</v>
      </c>
      <c r="U14" s="594">
        <f>+[4]파주!$H$17</f>
        <v>13541.62660927286</v>
      </c>
      <c r="V14" s="595">
        <f t="shared" si="5"/>
        <v>122.27177056318033</v>
      </c>
    </row>
    <row r="15" spans="4:22" ht="24" customHeight="1">
      <c r="D15" s="485" t="s">
        <v>178</v>
      </c>
      <c r="E15" s="593">
        <f>+[4]김포!$G$9</f>
        <v>100000</v>
      </c>
      <c r="F15" s="594">
        <f>+[4]김포!$H$9</f>
        <v>99984.265443381417</v>
      </c>
      <c r="G15" s="595">
        <f t="shared" si="0"/>
        <v>-15.734556618583156</v>
      </c>
      <c r="H15" s="593">
        <f>+[4]김포!$G$10</f>
        <v>0</v>
      </c>
      <c r="I15" s="594">
        <f>+[4]김포!$H$10</f>
        <v>0</v>
      </c>
      <c r="J15" s="595">
        <f t="shared" si="1"/>
        <v>0</v>
      </c>
      <c r="K15" s="593">
        <f>+[4]김포!$G$12</f>
        <v>64300</v>
      </c>
      <c r="L15" s="594">
        <f>+[4]김포!$H$12</f>
        <v>49924.564494106235</v>
      </c>
      <c r="M15" s="595">
        <f t="shared" si="2"/>
        <v>-14375.435505893765</v>
      </c>
      <c r="N15" s="593">
        <f>+[4]김포!$G$13</f>
        <v>46000</v>
      </c>
      <c r="O15" s="594">
        <f>+[4]김포!$H$13</f>
        <v>46365.125951948954</v>
      </c>
      <c r="P15" s="595">
        <f t="shared" si="3"/>
        <v>365.12595194895403</v>
      </c>
      <c r="Q15" s="593">
        <f>+[4]김포!$G$16</f>
        <v>14666.666666666666</v>
      </c>
      <c r="R15" s="594">
        <f>+[4]김포!$H$16</f>
        <v>14599.99864492545</v>
      </c>
      <c r="S15" s="595">
        <f t="shared" si="4"/>
        <v>-66.668021741215853</v>
      </c>
      <c r="T15" s="593">
        <f>+[4]김포!$G$17</f>
        <v>14463.872387759448</v>
      </c>
      <c r="U15" s="594">
        <f>+[4]김포!$H$17</f>
        <v>14716.071541715877</v>
      </c>
      <c r="V15" s="595">
        <f t="shared" si="5"/>
        <v>252.19915395642965</v>
      </c>
    </row>
    <row r="16" spans="4:22" ht="24" customHeight="1">
      <c r="D16" s="520" t="s">
        <v>25</v>
      </c>
      <c r="E16" s="596">
        <f>+[4]부산!$G$9</f>
        <v>100000</v>
      </c>
      <c r="F16" s="597">
        <f>+[4]부산!$H$9</f>
        <v>99988.517788902944</v>
      </c>
      <c r="G16" s="598">
        <f t="shared" si="0"/>
        <v>-11.482211097056279</v>
      </c>
      <c r="H16" s="596">
        <f>+[4]부산!$G$10</f>
        <v>92100.000000000015</v>
      </c>
      <c r="I16" s="597">
        <f>+[4]부산!$H$10</f>
        <v>92332.307555519656</v>
      </c>
      <c r="J16" s="598">
        <f t="shared" si="1"/>
        <v>232.30755551964103</v>
      </c>
      <c r="K16" s="596">
        <f>+[4]부산!$G$12</f>
        <v>65000</v>
      </c>
      <c r="L16" s="597">
        <f>+[4]부산!$H$12</f>
        <v>60961.804652435159</v>
      </c>
      <c r="M16" s="598">
        <f t="shared" si="2"/>
        <v>-4038.1953475648406</v>
      </c>
      <c r="N16" s="596">
        <f>+[4]부산!$G$13</f>
        <v>36500</v>
      </c>
      <c r="O16" s="597">
        <f>+[4]부산!$H$13</f>
        <v>36499.997077387117</v>
      </c>
      <c r="P16" s="598">
        <f t="shared" si="3"/>
        <v>-2.9226128826849163E-3</v>
      </c>
      <c r="Q16" s="596">
        <f>+[4]부산!$G$16</f>
        <v>10753.733119254752</v>
      </c>
      <c r="R16" s="597">
        <f>+[4]부산!$H$16</f>
        <v>11811.264512384587</v>
      </c>
      <c r="S16" s="598">
        <f t="shared" si="4"/>
        <v>1057.5313931298351</v>
      </c>
      <c r="T16" s="596">
        <f>+[4]부산!$G$17</f>
        <v>17404.086839942382</v>
      </c>
      <c r="U16" s="597">
        <f>+[4]부산!$H$17</f>
        <v>18096.38742182951</v>
      </c>
      <c r="V16" s="598">
        <f t="shared" si="5"/>
        <v>692.30058188712792</v>
      </c>
    </row>
    <row r="17" spans="4:25" ht="24" customHeight="1">
      <c r="D17" s="485" t="s">
        <v>26</v>
      </c>
      <c r="E17" s="593">
        <f>+[4]서부산!$G$9</f>
        <v>100000</v>
      </c>
      <c r="F17" s="594">
        <f>+[4]서부산!$H$9</f>
        <v>99987.454893899092</v>
      </c>
      <c r="G17" s="595">
        <f t="shared" si="0"/>
        <v>-12.545106100908015</v>
      </c>
      <c r="H17" s="593">
        <f>+[4]서부산!$G$10</f>
        <v>92100.000000000015</v>
      </c>
      <c r="I17" s="594">
        <f>+[4]서부산!$H$10</f>
        <v>92564.852406626655</v>
      </c>
      <c r="J17" s="595">
        <f t="shared" si="1"/>
        <v>464.85240662664</v>
      </c>
      <c r="K17" s="593">
        <f>+[4]서부산!$G$12</f>
        <v>65000</v>
      </c>
      <c r="L17" s="594">
        <f>+[4]서부산!$H$12</f>
        <v>59956.555236338958</v>
      </c>
      <c r="M17" s="595">
        <f t="shared" si="2"/>
        <v>-5043.4447636610421</v>
      </c>
      <c r="N17" s="593">
        <f>+[4]서부산!$G$13</f>
        <v>35200</v>
      </c>
      <c r="O17" s="594">
        <f>+[4]서부산!$H$13</f>
        <v>35366.81787892033</v>
      </c>
      <c r="P17" s="595">
        <f t="shared" si="3"/>
        <v>166.81787892033026</v>
      </c>
      <c r="Q17" s="593">
        <f>+[4]서부산!$G$16</f>
        <v>10666.666666666668</v>
      </c>
      <c r="R17" s="594">
        <f>+[4]서부산!$H$16</f>
        <v>11461.824414387924</v>
      </c>
      <c r="S17" s="595">
        <f t="shared" si="4"/>
        <v>795.15774772125587</v>
      </c>
      <c r="T17" s="593">
        <f>+[4]서부산!$G$17</f>
        <v>17856.126162368473</v>
      </c>
      <c r="U17" s="594">
        <f>+[4]서부산!$H$17</f>
        <v>18477.195706272771</v>
      </c>
      <c r="V17" s="595">
        <f t="shared" si="5"/>
        <v>621.06954390429746</v>
      </c>
    </row>
    <row r="18" spans="4:25" ht="24" customHeight="1">
      <c r="D18" s="485" t="s">
        <v>27</v>
      </c>
      <c r="E18" s="593">
        <f>+[4]김해!$G$9</f>
        <v>100000</v>
      </c>
      <c r="F18" s="594">
        <f>+[4]김해!$H$9</f>
        <v>100139.57380870076</v>
      </c>
      <c r="G18" s="595">
        <f t="shared" si="0"/>
        <v>139.57380870076304</v>
      </c>
      <c r="H18" s="593">
        <f>+[4]김해!$G$10</f>
        <v>92100</v>
      </c>
      <c r="I18" s="594">
        <f>+[4]김해!$H$10</f>
        <v>92070.726730257476</v>
      </c>
      <c r="J18" s="595">
        <f t="shared" si="1"/>
        <v>-29.273269742523553</v>
      </c>
      <c r="K18" s="593">
        <f>+[4]김해!$G$12</f>
        <v>64000</v>
      </c>
      <c r="L18" s="594">
        <f>+[4]김해!$H$12</f>
        <v>61094.850855912868</v>
      </c>
      <c r="M18" s="595">
        <f t="shared" si="2"/>
        <v>-2905.1491440871323</v>
      </c>
      <c r="N18" s="593">
        <f>+[4]김해!$G$13</f>
        <v>35000</v>
      </c>
      <c r="O18" s="594">
        <f>+[4]김해!$H$13</f>
        <v>34999.610148169217</v>
      </c>
      <c r="P18" s="595">
        <f t="shared" si="3"/>
        <v>-0.3898518307833001</v>
      </c>
      <c r="Q18" s="593">
        <f>+[4]김해!$G$16</f>
        <v>9533.3333333333339</v>
      </c>
      <c r="R18" s="594">
        <f>+[4]김해!$H$16</f>
        <v>9835.9920438107092</v>
      </c>
      <c r="S18" s="595">
        <f t="shared" si="4"/>
        <v>302.65871047737528</v>
      </c>
      <c r="T18" s="593">
        <f>+[4]김해!$G$17</f>
        <v>17730.479017177098</v>
      </c>
      <c r="U18" s="594">
        <f>+[4]김해!$H$17</f>
        <v>16953.546163329811</v>
      </c>
      <c r="V18" s="595">
        <f t="shared" si="5"/>
        <v>-776.93285384728733</v>
      </c>
    </row>
    <row r="19" spans="4:25" ht="24" customHeight="1">
      <c r="D19" s="485" t="s">
        <v>28</v>
      </c>
      <c r="E19" s="593">
        <f>+[4]정관!$G$9</f>
        <v>100000</v>
      </c>
      <c r="F19" s="594">
        <f>+[4]정관!$H$9</f>
        <v>99993.478059448171</v>
      </c>
      <c r="G19" s="595">
        <f t="shared" si="0"/>
        <v>-6.5219405518291751</v>
      </c>
      <c r="H19" s="593">
        <f>+[4]정관!$G$10</f>
        <v>92100.000000000015</v>
      </c>
      <c r="I19" s="594">
        <f>+[4]정관!$H$10</f>
        <v>91892.582550839128</v>
      </c>
      <c r="J19" s="595">
        <f t="shared" si="1"/>
        <v>-207.41744916088646</v>
      </c>
      <c r="K19" s="593">
        <f>+[4]정관!$G$12</f>
        <v>63500</v>
      </c>
      <c r="L19" s="594">
        <f>+[4]정관!$H$12</f>
        <v>60990.287799943391</v>
      </c>
      <c r="M19" s="595">
        <f t="shared" si="2"/>
        <v>-2509.7122000566087</v>
      </c>
      <c r="N19" s="593">
        <f>+[4]정관!$G$13</f>
        <v>35500</v>
      </c>
      <c r="O19" s="594">
        <f>+[4]정관!$H$13</f>
        <v>35500.008005710668</v>
      </c>
      <c r="P19" s="595">
        <f t="shared" si="3"/>
        <v>8.0057106679305434E-3</v>
      </c>
      <c r="Q19" s="593">
        <f>+[4]정관!$G$16</f>
        <v>10733.333333333332</v>
      </c>
      <c r="R19" s="594">
        <f>+[4]정관!$H$16</f>
        <v>11856.517959213612</v>
      </c>
      <c r="S19" s="595">
        <f t="shared" si="4"/>
        <v>1123.1846258802798</v>
      </c>
      <c r="T19" s="593">
        <f>+[4]정관!$G$17</f>
        <v>18315.171013635976</v>
      </c>
      <c r="U19" s="594">
        <f>+[4]정관!$H$17</f>
        <v>18943.114045724553</v>
      </c>
      <c r="V19" s="595">
        <f t="shared" si="5"/>
        <v>627.94303208857673</v>
      </c>
    </row>
    <row r="20" spans="4:25" ht="24" customHeight="1">
      <c r="D20" s="485" t="s">
        <v>29</v>
      </c>
      <c r="E20" s="593">
        <f>+[4]양산!$G$9</f>
        <v>100000.00000000001</v>
      </c>
      <c r="F20" s="594">
        <f>+[4]양산!$H$9</f>
        <v>99892.442064257586</v>
      </c>
      <c r="G20" s="595">
        <f t="shared" si="0"/>
        <v>-107.55793574242853</v>
      </c>
      <c r="H20" s="593">
        <f>+[4]양산!$G$10</f>
        <v>92100.000000000015</v>
      </c>
      <c r="I20" s="594">
        <f>+[4]양산!$H$10</f>
        <v>100935.5871993516</v>
      </c>
      <c r="J20" s="595">
        <f t="shared" si="1"/>
        <v>8835.5871993515902</v>
      </c>
      <c r="K20" s="593">
        <f>+[4]양산!$G$12</f>
        <v>63000.000000000007</v>
      </c>
      <c r="L20" s="594">
        <f>+[4]양산!$H$12</f>
        <v>62814.478926087155</v>
      </c>
      <c r="M20" s="595">
        <f t="shared" si="2"/>
        <v>-185.52107391285244</v>
      </c>
      <c r="N20" s="593">
        <f>+[4]양산!$G$13</f>
        <v>36000</v>
      </c>
      <c r="O20" s="594">
        <f>+[4]양산!$H$13</f>
        <v>36000.004940882733</v>
      </c>
      <c r="P20" s="595">
        <f t="shared" si="3"/>
        <v>4.9408827326260507E-3</v>
      </c>
      <c r="Q20" s="593">
        <f>+[4]양산!$G$16</f>
        <v>9066.6666666666661</v>
      </c>
      <c r="R20" s="594">
        <f>+[4]양산!$H$16</f>
        <v>9498.7454825421046</v>
      </c>
      <c r="S20" s="595">
        <f t="shared" si="4"/>
        <v>432.07881587543852</v>
      </c>
      <c r="T20" s="593">
        <f>+[4]양산!$G$17</f>
        <v>17567.089206960824</v>
      </c>
      <c r="U20" s="594">
        <f>+[4]양산!$H$17</f>
        <v>17726.513221568344</v>
      </c>
      <c r="V20" s="595">
        <f t="shared" si="5"/>
        <v>159.4240146075208</v>
      </c>
    </row>
    <row r="21" spans="4:25" ht="24" customHeight="1">
      <c r="D21" s="485" t="s">
        <v>30</v>
      </c>
      <c r="E21" s="593">
        <f>+[4]창원!$G$9</f>
        <v>100000</v>
      </c>
      <c r="F21" s="594">
        <f>+[4]창원!$H$9</f>
        <v>99976.492457391025</v>
      </c>
      <c r="G21" s="595">
        <f t="shared" si="0"/>
        <v>-23.5075426089752</v>
      </c>
      <c r="H21" s="593">
        <f>+[4]창원!$G$10</f>
        <v>0</v>
      </c>
      <c r="I21" s="594">
        <f>+[4]창원!$H$10</f>
        <v>97800.002065733715</v>
      </c>
      <c r="J21" s="595">
        <f t="shared" si="1"/>
        <v>97800.002065733715</v>
      </c>
      <c r="K21" s="593">
        <f>+[4]창원!$G$12</f>
        <v>65000</v>
      </c>
      <c r="L21" s="594">
        <f>+[4]창원!$H$12</f>
        <v>60455.580625549395</v>
      </c>
      <c r="M21" s="595">
        <f t="shared" si="2"/>
        <v>-4544.4193744506047</v>
      </c>
      <c r="N21" s="593">
        <f>+[4]창원!$G$13</f>
        <v>33000</v>
      </c>
      <c r="O21" s="594">
        <f>+[4]창원!$H$13</f>
        <v>32999.991490001645</v>
      </c>
      <c r="P21" s="595">
        <f t="shared" si="3"/>
        <v>-8.5099983552936465E-3</v>
      </c>
      <c r="Q21" s="593">
        <f>+[4]창원!$G$16</f>
        <v>10400</v>
      </c>
      <c r="R21" s="594">
        <f>+[4]창원!$H$16</f>
        <v>11448.83070904367</v>
      </c>
      <c r="S21" s="595">
        <f t="shared" si="4"/>
        <v>1048.8307090436701</v>
      </c>
      <c r="T21" s="593">
        <f>+[4]창원!$G$17</f>
        <v>17019.516244032919</v>
      </c>
      <c r="U21" s="594">
        <f>+[4]창원!$H$17</f>
        <v>15735.662235968031</v>
      </c>
      <c r="V21" s="595">
        <f t="shared" si="5"/>
        <v>-1283.8540080648872</v>
      </c>
      <c r="Y21" s="577"/>
    </row>
    <row r="22" spans="4:25" ht="24" customHeight="1">
      <c r="D22" s="485" t="s">
        <v>95</v>
      </c>
      <c r="E22" s="593">
        <f>+[4]대구!$G$9</f>
        <v>100000</v>
      </c>
      <c r="F22" s="594">
        <f>+[4]대구!$H$9</f>
        <v>99984.373815745508</v>
      </c>
      <c r="G22" s="595">
        <f t="shared" si="0"/>
        <v>-15.626184254491818</v>
      </c>
      <c r="H22" s="593">
        <f>+[4]대구!$G$10</f>
        <v>0</v>
      </c>
      <c r="I22" s="594">
        <f>+[4]대구!$H$10</f>
        <v>0</v>
      </c>
      <c r="J22" s="595">
        <f t="shared" si="1"/>
        <v>0</v>
      </c>
      <c r="K22" s="593">
        <f>+[4]대구!$G$12</f>
        <v>62500</v>
      </c>
      <c r="L22" s="594">
        <f>+[4]대구!$H$12</f>
        <v>59812.64646424081</v>
      </c>
      <c r="M22" s="595">
        <f t="shared" si="2"/>
        <v>-2687.35353575919</v>
      </c>
      <c r="N22" s="593">
        <f>+[4]대구!$G$13</f>
        <v>35500</v>
      </c>
      <c r="O22" s="594">
        <f>+[4]대구!$H$13</f>
        <v>35562.570747371064</v>
      </c>
      <c r="P22" s="595">
        <f t="shared" si="3"/>
        <v>62.570747371064499</v>
      </c>
      <c r="Q22" s="593">
        <f>+[4]대구!$G$16</f>
        <v>10466.666666666666</v>
      </c>
      <c r="R22" s="594">
        <f>+[4]대구!$H$16</f>
        <v>10488.846097694593</v>
      </c>
      <c r="S22" s="595">
        <f t="shared" si="4"/>
        <v>22.179431027927421</v>
      </c>
      <c r="T22" s="593">
        <f>+[4]대구!$G$17</f>
        <v>14718.131256952165</v>
      </c>
      <c r="U22" s="594">
        <f>+[4]대구!$H$17</f>
        <v>14897.310269624328</v>
      </c>
      <c r="V22" s="595">
        <f t="shared" si="5"/>
        <v>179.17901267216257</v>
      </c>
    </row>
    <row r="23" spans="4:25" ht="24" customHeight="1">
      <c r="D23" s="485" t="s">
        <v>97</v>
      </c>
      <c r="E23" s="593">
        <f>+[4]울산!$G$9</f>
        <v>100000</v>
      </c>
      <c r="F23" s="594">
        <f>+[4]울산!$H$9</f>
        <v>99869.230846154154</v>
      </c>
      <c r="G23" s="595">
        <f t="shared" si="0"/>
        <v>-130.76915384584572</v>
      </c>
      <c r="H23" s="593">
        <f>+[4]울산!$G$10</f>
        <v>0</v>
      </c>
      <c r="I23" s="594">
        <f>+[4]울산!$H$10</f>
        <v>0</v>
      </c>
      <c r="J23" s="595">
        <f t="shared" si="1"/>
        <v>0</v>
      </c>
      <c r="K23" s="593">
        <f>+[4]울산!$G$12</f>
        <v>61300</v>
      </c>
      <c r="L23" s="594">
        <f>+[4]울산!$H$12</f>
        <v>57270.425430748102</v>
      </c>
      <c r="M23" s="595">
        <f t="shared" si="2"/>
        <v>-4029.5745692518976</v>
      </c>
      <c r="N23" s="593">
        <f>+[4]울산!$G$13</f>
        <v>37000</v>
      </c>
      <c r="O23" s="594">
        <f>+[4]울산!$H$13</f>
        <v>37000.019937396595</v>
      </c>
      <c r="P23" s="595">
        <f t="shared" si="3"/>
        <v>1.9937396595196333E-2</v>
      </c>
      <c r="Q23" s="593">
        <f>+[4]울산!$G$16</f>
        <v>10546.666666666666</v>
      </c>
      <c r="R23" s="594">
        <f>+[4]울산!$H$16</f>
        <v>10047.837624987331</v>
      </c>
      <c r="S23" s="595">
        <f t="shared" si="4"/>
        <v>-498.82904167933521</v>
      </c>
      <c r="T23" s="593">
        <f>+[4]울산!$G$17</f>
        <v>18681.831625905899</v>
      </c>
      <c r="U23" s="594">
        <f>+[4]울산!$H$17</f>
        <v>18304.302707391114</v>
      </c>
      <c r="V23" s="595">
        <f t="shared" si="5"/>
        <v>-377.52891851478489</v>
      </c>
    </row>
    <row r="24" spans="4:25" ht="24" customHeight="1">
      <c r="D24" s="520" t="s">
        <v>31</v>
      </c>
      <c r="E24" s="596">
        <f>+[4]아산!$G$9</f>
        <v>100000</v>
      </c>
      <c r="F24" s="597">
        <f>+[4]아산!$H$9</f>
        <v>100964.52703356012</v>
      </c>
      <c r="G24" s="598">
        <f t="shared" si="0"/>
        <v>964.52703356012353</v>
      </c>
      <c r="H24" s="596">
        <f>+[4]아산!$G$10</f>
        <v>0</v>
      </c>
      <c r="I24" s="597">
        <f>+[4]아산!$H$10</f>
        <v>0</v>
      </c>
      <c r="J24" s="598">
        <f t="shared" si="1"/>
        <v>0</v>
      </c>
      <c r="K24" s="596">
        <f>+[4]아산!$G$12</f>
        <v>64500</v>
      </c>
      <c r="L24" s="597">
        <f>+[4]아산!$H$12</f>
        <v>62187.696468414433</v>
      </c>
      <c r="M24" s="598">
        <f t="shared" si="2"/>
        <v>-2312.3035315855668</v>
      </c>
      <c r="N24" s="596">
        <f>+[4]아산!$G$13</f>
        <v>42000</v>
      </c>
      <c r="O24" s="597">
        <f>+[4]아산!$H$13</f>
        <v>39367.265677712072</v>
      </c>
      <c r="P24" s="598">
        <f t="shared" si="3"/>
        <v>-2632.7343222879281</v>
      </c>
      <c r="Q24" s="596">
        <f>+[4]아산!$G$16</f>
        <v>10933.333333333334</v>
      </c>
      <c r="R24" s="597">
        <f>+[4]아산!$H$16</f>
        <v>10831.55929653641</v>
      </c>
      <c r="S24" s="598">
        <f t="shared" si="4"/>
        <v>-101.77403679692361</v>
      </c>
      <c r="T24" s="596">
        <f>+[4]아산!$G$17</f>
        <v>13742.393404847009</v>
      </c>
      <c r="U24" s="597">
        <f>+[4]아산!$H$17</f>
        <v>13635.385237322405</v>
      </c>
      <c r="V24" s="598">
        <f t="shared" si="5"/>
        <v>-107.00816752460378</v>
      </c>
    </row>
    <row r="25" spans="4:25" ht="24" customHeight="1">
      <c r="D25" s="485" t="s">
        <v>34</v>
      </c>
      <c r="E25" s="593">
        <f>+[4]전주!$G$9</f>
        <v>100000.00000000001</v>
      </c>
      <c r="F25" s="594">
        <f>+[4]전주!$H$9</f>
        <v>99889.600430471372</v>
      </c>
      <c r="G25" s="595">
        <f t="shared" si="0"/>
        <v>-110.39956952864304</v>
      </c>
      <c r="H25" s="593">
        <f>+[4]전주!$G$10</f>
        <v>0</v>
      </c>
      <c r="I25" s="594">
        <f>+[4]전주!$H$10</f>
        <v>0</v>
      </c>
      <c r="J25" s="595">
        <f t="shared" si="1"/>
        <v>0</v>
      </c>
      <c r="K25" s="593">
        <f>+[4]전주!$G$12</f>
        <v>65000</v>
      </c>
      <c r="L25" s="594">
        <f>+[4]전주!$H$12</f>
        <v>62568.322063339372</v>
      </c>
      <c r="M25" s="595">
        <f t="shared" si="2"/>
        <v>-2431.6779366606279</v>
      </c>
      <c r="N25" s="593">
        <f>+[4]전주!$G$13</f>
        <v>36000</v>
      </c>
      <c r="O25" s="594">
        <f>+[4]전주!$H$13</f>
        <v>36000.009942192512</v>
      </c>
      <c r="P25" s="595">
        <f t="shared" si="3"/>
        <v>9.9421925115166232E-3</v>
      </c>
      <c r="Q25" s="593">
        <f>+[4]전주!$G$16</f>
        <v>12533.333333333334</v>
      </c>
      <c r="R25" s="594">
        <f>+[4]전주!$H$16</f>
        <v>12514.789976292486</v>
      </c>
      <c r="S25" s="595">
        <f t="shared" si="4"/>
        <v>-18.543357040847695</v>
      </c>
      <c r="T25" s="593">
        <f>+[4]전주!$G$17</f>
        <v>14400.080087080278</v>
      </c>
      <c r="U25" s="594">
        <f>+[4]전주!$H$17</f>
        <v>14689.861471488413</v>
      </c>
      <c r="V25" s="595">
        <f t="shared" si="5"/>
        <v>289.78138440813564</v>
      </c>
    </row>
    <row r="26" spans="4:25" ht="24" customHeight="1">
      <c r="D26" s="485" t="s">
        <v>33</v>
      </c>
      <c r="E26" s="593">
        <f>+[4]군산!$G$9</f>
        <v>100000</v>
      </c>
      <c r="F26" s="594">
        <f>+[4]군산!$H$9</f>
        <v>99997.740328575805</v>
      </c>
      <c r="G26" s="595">
        <f t="shared" si="0"/>
        <v>-2.2596714241954032</v>
      </c>
      <c r="H26" s="593">
        <f>+[4]군산!$G$10</f>
        <v>95000</v>
      </c>
      <c r="I26" s="594">
        <f>+[4]군산!$H$10</f>
        <v>94984.292253837179</v>
      </c>
      <c r="J26" s="595">
        <f t="shared" si="1"/>
        <v>-15.707746162821422</v>
      </c>
      <c r="K26" s="593">
        <f>+[4]군산!$G$12</f>
        <v>64900.000000000007</v>
      </c>
      <c r="L26" s="594">
        <f>+[4]군산!$H$12</f>
        <v>48380.215628769882</v>
      </c>
      <c r="M26" s="595">
        <f t="shared" si="2"/>
        <v>-16519.784371230126</v>
      </c>
      <c r="N26" s="593">
        <f>+[4]군산!$G$13</f>
        <v>37500</v>
      </c>
      <c r="O26" s="594">
        <f>+[4]군산!$H$13</f>
        <v>35690.16059051</v>
      </c>
      <c r="P26" s="595">
        <f t="shared" si="3"/>
        <v>-1809.8394094899995</v>
      </c>
      <c r="Q26" s="593">
        <f>+[4]군산!$G$16</f>
        <v>13666.666666666664</v>
      </c>
      <c r="R26" s="594">
        <f>+[4]군산!$H$16</f>
        <v>13874.241737956259</v>
      </c>
      <c r="S26" s="595">
        <f t="shared" si="4"/>
        <v>207.57507128959514</v>
      </c>
      <c r="T26" s="593">
        <f>+[4]군산!$G$17</f>
        <v>14837.329653268931</v>
      </c>
      <c r="U26" s="594">
        <f>+[4]군산!$H$17</f>
        <v>14929.195074307439</v>
      </c>
      <c r="V26" s="595">
        <f t="shared" si="5"/>
        <v>91.86542103850843</v>
      </c>
    </row>
    <row r="27" spans="4:25" ht="24" customHeight="1">
      <c r="D27" s="485" t="s">
        <v>32</v>
      </c>
      <c r="E27" s="593">
        <f>+[4]원주!$G$9</f>
        <v>100000</v>
      </c>
      <c r="F27" s="594">
        <f>+[4]원주!$H$9</f>
        <v>100995.29875689223</v>
      </c>
      <c r="G27" s="595">
        <f t="shared" si="0"/>
        <v>995.29875689222536</v>
      </c>
      <c r="H27" s="593">
        <f>+[4]원주!$G$10</f>
        <v>0</v>
      </c>
      <c r="I27" s="594">
        <f>+[4]원주!$H$10</f>
        <v>0</v>
      </c>
      <c r="J27" s="595">
        <f t="shared" si="1"/>
        <v>0</v>
      </c>
      <c r="K27" s="593">
        <f>+[4]원주!$G$12</f>
        <v>64000</v>
      </c>
      <c r="L27" s="594">
        <f>+[4]원주!$H$12</f>
        <v>57360.268003562349</v>
      </c>
      <c r="M27" s="595">
        <f t="shared" si="2"/>
        <v>-6639.7319964376511</v>
      </c>
      <c r="N27" s="593">
        <f>+[4]원주!$G$13</f>
        <v>49000</v>
      </c>
      <c r="O27" s="594">
        <f>+[4]원주!$H$13</f>
        <v>49000.009736910593</v>
      </c>
      <c r="P27" s="595">
        <f t="shared" si="3"/>
        <v>9.7369105933466926E-3</v>
      </c>
      <c r="Q27" s="593">
        <f>+[4]원주!$G$16</f>
        <v>13666.666666666666</v>
      </c>
      <c r="R27" s="594">
        <f>+[4]원주!$H$16</f>
        <v>13580.781146309344</v>
      </c>
      <c r="S27" s="595">
        <f t="shared" si="4"/>
        <v>-85.885520357322093</v>
      </c>
      <c r="T27" s="593">
        <f>+[4]원주!$G$17</f>
        <v>13419.354838709676</v>
      </c>
      <c r="U27" s="594">
        <f>+[4]원주!$H$17</f>
        <v>13250.503666040309</v>
      </c>
      <c r="V27" s="595">
        <f t="shared" si="5"/>
        <v>-168.85117266936686</v>
      </c>
    </row>
    <row r="28" spans="4:25" ht="24" customHeight="1">
      <c r="D28" s="534" t="s">
        <v>35</v>
      </c>
      <c r="E28" s="599">
        <f>+[4]제주!$G$9</f>
        <v>116999.99999999999</v>
      </c>
      <c r="F28" s="600">
        <f>+[4]제주!$H$9</f>
        <v>116854.90169641502</v>
      </c>
      <c r="G28" s="601">
        <f t="shared" si="0"/>
        <v>-145.09830358496401</v>
      </c>
      <c r="H28" s="599">
        <f>+[4]제주!$G$10</f>
        <v>0</v>
      </c>
      <c r="I28" s="600">
        <f>+[4]제주!$H$10</f>
        <v>0</v>
      </c>
      <c r="J28" s="601">
        <f t="shared" si="1"/>
        <v>0</v>
      </c>
      <c r="K28" s="599">
        <f>+[4]제주!$G$12</f>
        <v>0</v>
      </c>
      <c r="L28" s="600">
        <f>+[4]제주!$H$12</f>
        <v>0</v>
      </c>
      <c r="M28" s="601">
        <f t="shared" si="2"/>
        <v>0</v>
      </c>
      <c r="N28" s="599">
        <f>+[4]제주!$G$13</f>
        <v>0</v>
      </c>
      <c r="O28" s="600">
        <f>+[4]제주!$H$13</f>
        <v>0</v>
      </c>
      <c r="P28" s="601">
        <f t="shared" si="3"/>
        <v>0</v>
      </c>
      <c r="Q28" s="599">
        <f>+[4]제주!$G$16</f>
        <v>18143.333333333336</v>
      </c>
      <c r="R28" s="600">
        <f>+[4]제주!$H$16</f>
        <v>17821.38543445303</v>
      </c>
      <c r="S28" s="601">
        <f t="shared" si="4"/>
        <v>-321.94789888030573</v>
      </c>
      <c r="T28" s="599">
        <f>+[4]제주!$G$17</f>
        <v>18593.79179380419</v>
      </c>
      <c r="U28" s="600">
        <f>+[4]제주!$H$17</f>
        <v>17128.773200581854</v>
      </c>
      <c r="V28" s="601">
        <f t="shared" si="5"/>
        <v>-1465.0185932223358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98" t="s">
        <v>202</v>
      </c>
      <c r="F4" s="198"/>
      <c r="I4" s="198"/>
    </row>
    <row r="5" spans="4:22" ht="21.95" customHeight="1">
      <c r="V5" s="200" t="s">
        <v>157</v>
      </c>
    </row>
    <row r="6" spans="4:22" ht="24" customHeight="1" thickBot="1">
      <c r="D6" s="729" t="s">
        <v>11</v>
      </c>
      <c r="E6" s="473" t="s">
        <v>158</v>
      </c>
      <c r="F6" s="474"/>
      <c r="G6" s="475"/>
      <c r="H6" s="473" t="s">
        <v>159</v>
      </c>
      <c r="I6" s="474"/>
      <c r="J6" s="475"/>
      <c r="K6" s="473" t="s">
        <v>160</v>
      </c>
      <c r="L6" s="474"/>
      <c r="M6" s="475"/>
      <c r="N6" s="473" t="s">
        <v>161</v>
      </c>
      <c r="O6" s="474"/>
      <c r="P6" s="475"/>
      <c r="Q6" s="473" t="s">
        <v>162</v>
      </c>
      <c r="R6" s="474"/>
      <c r="S6" s="475"/>
      <c r="T6" s="473" t="s">
        <v>163</v>
      </c>
      <c r="U6" s="474"/>
      <c r="V6" s="475"/>
    </row>
    <row r="7" spans="4:22" ht="24" customHeight="1">
      <c r="D7" s="730"/>
      <c r="E7" s="476" t="s">
        <v>12</v>
      </c>
      <c r="F7" s="477" t="s">
        <v>13</v>
      </c>
      <c r="G7" s="478" t="s">
        <v>36</v>
      </c>
      <c r="H7" s="476" t="s">
        <v>15</v>
      </c>
      <c r="I7" s="477" t="s">
        <v>16</v>
      </c>
      <c r="J7" s="478" t="s">
        <v>36</v>
      </c>
      <c r="K7" s="476" t="s">
        <v>15</v>
      </c>
      <c r="L7" s="477" t="s">
        <v>16</v>
      </c>
      <c r="M7" s="478" t="s">
        <v>36</v>
      </c>
      <c r="N7" s="476" t="s">
        <v>15</v>
      </c>
      <c r="O7" s="477" t="s">
        <v>16</v>
      </c>
      <c r="P7" s="478" t="s">
        <v>36</v>
      </c>
      <c r="Q7" s="476" t="s">
        <v>15</v>
      </c>
      <c r="R7" s="477" t="s">
        <v>16</v>
      </c>
      <c r="S7" s="478" t="s">
        <v>36</v>
      </c>
      <c r="T7" s="476" t="s">
        <v>15</v>
      </c>
      <c r="U7" s="477" t="s">
        <v>16</v>
      </c>
      <c r="V7" s="478" t="s">
        <v>36</v>
      </c>
    </row>
    <row r="8" spans="4:22" ht="24" customHeight="1">
      <c r="D8" s="504" t="s">
        <v>47</v>
      </c>
      <c r="E8" s="494">
        <f>+[4]합계!$E$9</f>
        <v>274.06256243559346</v>
      </c>
      <c r="F8" s="496">
        <f>+[4]합계!$F$9</f>
        <v>295.71114167576263</v>
      </c>
      <c r="G8" s="521">
        <f>+F8-E8</f>
        <v>21.64857924016917</v>
      </c>
      <c r="H8" s="494">
        <f>+[4]합계!$E$15</f>
        <v>353.19895705098776</v>
      </c>
      <c r="I8" s="496">
        <f>+[4]합계!$F$15</f>
        <v>377.6774782728703</v>
      </c>
      <c r="J8" s="521">
        <f>+I8-H8</f>
        <v>24.478521221882545</v>
      </c>
      <c r="K8" s="565">
        <f>+([4]합계!$E$10*0.4+[4]합계!$E$11+[4]합계!$E$12+[4]합계!$E$13+[4]합계!$E$14)/[4]합계!$E$15</f>
        <v>0.1897691611969729</v>
      </c>
      <c r="L8" s="566">
        <f>+([4]합계!$F$10*0.4+[4]합계!$F$11+[4]합계!$F$12+[4]합계!$F$13+[4]합계!$F$14)/[4]합계!$F$15</f>
        <v>0.17167584872514813</v>
      </c>
      <c r="M8" s="567">
        <f>+L8-K8</f>
        <v>-1.8093312471824774E-2</v>
      </c>
      <c r="N8" s="494">
        <f>+[4]합계!$E$16</f>
        <v>828.67194326162587</v>
      </c>
      <c r="O8" s="496">
        <f>+[4]합계!$F$16</f>
        <v>830.35937654921747</v>
      </c>
      <c r="P8" s="521">
        <f>+O8-N8</f>
        <v>1.6874332875916025</v>
      </c>
      <c r="Q8" s="494">
        <f>+[4]합계!$E$17</f>
        <v>900.27021060001914</v>
      </c>
      <c r="R8" s="496">
        <f>+[4]합계!$F$17</f>
        <v>885.32035782866694</v>
      </c>
      <c r="S8" s="521">
        <f>+R8-Q8</f>
        <v>-14.949852771352198</v>
      </c>
      <c r="T8" s="494">
        <f>+[4]합계!$E$19</f>
        <v>3.1456180876474749</v>
      </c>
      <c r="U8" s="496">
        <f>+[4]합계!$F$19</f>
        <v>3.2159522746947276</v>
      </c>
      <c r="V8" s="521">
        <f>+U8-T8</f>
        <v>7.0334187047252694E-2</v>
      </c>
    </row>
    <row r="9" spans="4:22" ht="24" customHeight="1">
      <c r="D9" s="505" t="s">
        <v>19</v>
      </c>
      <c r="E9" s="499">
        <f>+[4]수도권!$E$9</f>
        <v>296.1722473118279</v>
      </c>
      <c r="F9" s="513">
        <f>+[4]수도권!$F$9</f>
        <v>329.520830253974</v>
      </c>
      <c r="G9" s="522">
        <f t="shared" ref="G9:G28" si="0">+F9-E9</f>
        <v>33.348582942146095</v>
      </c>
      <c r="H9" s="499">
        <f>+[4]수도권!$E$15</f>
        <v>357.73378494623654</v>
      </c>
      <c r="I9" s="513">
        <f>+[4]수도권!$F$15</f>
        <v>381.45000293272352</v>
      </c>
      <c r="J9" s="522">
        <f t="shared" ref="J9:J28" si="1">+I9-H9</f>
        <v>23.716217986486981</v>
      </c>
      <c r="K9" s="571">
        <f>+([4]수도권!$E$10*0.4+[4]수도권!$E$11+[4]수도권!$E$12+[4]수도권!$E$13+[4]수도권!$E$14)/[4]수도권!$E$15</f>
        <v>0.16124613238858884</v>
      </c>
      <c r="L9" s="572">
        <f>+([4]수도권!$F$10*0.4+[4]수도권!$F$11+[4]수도권!$F$12+[4]수도권!$F$13+[4]수도권!$F$14)/[4]수도권!$F$15</f>
        <v>0.1357541356703556</v>
      </c>
      <c r="M9" s="568">
        <f t="shared" ref="M9:M28" si="2">+L9-K9</f>
        <v>-2.549199671823324E-2</v>
      </c>
      <c r="N9" s="499">
        <f>+[4]수도권!$E$16</f>
        <v>861.40374193548382</v>
      </c>
      <c r="O9" s="513">
        <f>+[4]수도권!$F$16</f>
        <v>838.64728933270794</v>
      </c>
      <c r="P9" s="522">
        <f t="shared" ref="P9:P28" si="3">+O9-N9</f>
        <v>-22.75645260277588</v>
      </c>
      <c r="Q9" s="499">
        <f>+[4]수도권!$E$17</f>
        <v>874.70507526881727</v>
      </c>
      <c r="R9" s="513">
        <f>+[4]수도권!$F$17</f>
        <v>870.3596516315713</v>
      </c>
      <c r="S9" s="522">
        <f t="shared" ref="S9:S28" si="4">+R9-Q9</f>
        <v>-4.3454236372459718</v>
      </c>
      <c r="T9" s="499">
        <f>+[4]수도권!$E$19</f>
        <v>3.1094778494623658</v>
      </c>
      <c r="U9" s="513">
        <f>+[4]수도권!$F$19</f>
        <v>3.2021376620329645</v>
      </c>
      <c r="V9" s="522">
        <f t="shared" ref="V9:V28" si="5">+U9-T9</f>
        <v>9.2659812570598632E-2</v>
      </c>
    </row>
    <row r="10" spans="4:22" ht="24" customHeight="1">
      <c r="D10" s="506" t="s">
        <v>20</v>
      </c>
      <c r="E10" s="501">
        <f>+[4]영남권!$E$9</f>
        <v>243.69247553826278</v>
      </c>
      <c r="F10" s="514">
        <f>+[4]영남권!$F$9</f>
        <v>259.05183544684621</v>
      </c>
      <c r="G10" s="523">
        <f t="shared" si="0"/>
        <v>15.359359908583428</v>
      </c>
      <c r="H10" s="501">
        <f>+[4]영남권!$E$15</f>
        <v>348.66395157726771</v>
      </c>
      <c r="I10" s="514">
        <f>+[4]영남권!$F$15</f>
        <v>373.35790514012359</v>
      </c>
      <c r="J10" s="523">
        <f t="shared" si="1"/>
        <v>24.693953562855882</v>
      </c>
      <c r="K10" s="573">
        <f>+([4]영남권!$E$10*0.4+[4]영남권!$E$11+[4]영남권!$E$12+[4]영남권!$E$13+[4]영남권!$E$14)/[4]영남권!$E$15</f>
        <v>0.23533127784204624</v>
      </c>
      <c r="L10" s="574">
        <f>+([4]영남권!$F$10*0.4+[4]영남권!$F$11+[4]영남권!$F$12+[4]영남권!$F$13+[4]영남권!$F$14)/[4]영남권!$F$15</f>
        <v>0.21289048914749242</v>
      </c>
      <c r="M10" s="569">
        <f t="shared" si="2"/>
        <v>-2.244078869455382E-2</v>
      </c>
      <c r="N10" s="501">
        <f>+[4]영남권!$E$16</f>
        <v>809.99955046200785</v>
      </c>
      <c r="O10" s="514">
        <f>+[4]영남권!$F$16</f>
        <v>824.28223295275063</v>
      </c>
      <c r="P10" s="523">
        <f t="shared" si="3"/>
        <v>14.282682490742786</v>
      </c>
      <c r="Q10" s="501">
        <f>+[4]영남권!$E$17</f>
        <v>910.94270366157991</v>
      </c>
      <c r="R10" s="514">
        <f>+[4]영남권!$F$17</f>
        <v>894.26130842246187</v>
      </c>
      <c r="S10" s="523">
        <f t="shared" si="4"/>
        <v>-16.681395239118046</v>
      </c>
      <c r="T10" s="501">
        <f>+[4]영남권!$E$19</f>
        <v>3.2382399920637241</v>
      </c>
      <c r="U10" s="514">
        <f>+[4]영남권!$F$19</f>
        <v>3.3639778419603772</v>
      </c>
      <c r="V10" s="523">
        <f t="shared" si="5"/>
        <v>0.12573784989665304</v>
      </c>
    </row>
    <row r="11" spans="4:22" ht="24" customHeight="1">
      <c r="D11" s="507" t="s">
        <v>57</v>
      </c>
      <c r="E11" s="502">
        <f>+[4]중부권!$E$9</f>
        <v>308.72106666666667</v>
      </c>
      <c r="F11" s="515">
        <f>+[4]중부권!$F$9</f>
        <v>328.08442187839495</v>
      </c>
      <c r="G11" s="524">
        <f t="shared" si="0"/>
        <v>19.363355211728276</v>
      </c>
      <c r="H11" s="502">
        <f>+[4]중부권!$E$15</f>
        <v>355.31573333333336</v>
      </c>
      <c r="I11" s="515">
        <f>+[4]중부권!$F$15</f>
        <v>381.98632566011412</v>
      </c>
      <c r="J11" s="524">
        <f t="shared" si="1"/>
        <v>26.670592326780763</v>
      </c>
      <c r="K11" s="575">
        <f>+([4]중부권!$E$10*0.4+[4]중부권!$E$11+[4]중부권!$E$12+[4]중부권!$E$13+[4]중부권!$E$14)/[4]중부권!$E$15</f>
        <v>0.12924467553364744</v>
      </c>
      <c r="L11" s="576">
        <f>+([4]중부권!$F$10*0.4+[4]중부권!$F$11+[4]중부권!$F$12+[4]중부권!$F$13+[4]중부권!$F$14)/[4]중부권!$F$15</f>
        <v>0.13310485519886633</v>
      </c>
      <c r="M11" s="570">
        <f t="shared" si="2"/>
        <v>3.8601796652188991E-3</v>
      </c>
      <c r="N11" s="502">
        <f>+[4]중부권!$E$16</f>
        <v>802.51839999999993</v>
      </c>
      <c r="O11" s="515">
        <f>+[4]중부권!$F$16</f>
        <v>829.44858028291412</v>
      </c>
      <c r="P11" s="524">
        <f t="shared" si="3"/>
        <v>26.930180282914193</v>
      </c>
      <c r="Q11" s="502">
        <f>+[4]중부권!$E$17</f>
        <v>932.22346666666658</v>
      </c>
      <c r="R11" s="515">
        <f>+[4]중부권!$F$17</f>
        <v>893.13435566686121</v>
      </c>
      <c r="S11" s="524">
        <f t="shared" si="4"/>
        <v>-39.089110999805371</v>
      </c>
      <c r="T11" s="502">
        <f>+[4]중부권!$E$19</f>
        <v>2.9623200000000001</v>
      </c>
      <c r="U11" s="515">
        <f>+[4]중부권!$F$19</f>
        <v>2.7981577412604208</v>
      </c>
      <c r="V11" s="524">
        <f t="shared" si="5"/>
        <v>-0.16416225873957924</v>
      </c>
    </row>
    <row r="12" spans="4:22" ht="24" customHeight="1">
      <c r="D12" s="519" t="s">
        <v>22</v>
      </c>
      <c r="E12" s="481">
        <f>+[4]안양!$E$9</f>
        <v>299.89999999999998</v>
      </c>
      <c r="F12" s="482">
        <f>+[4]안양!$F$9</f>
        <v>332.63808839272082</v>
      </c>
      <c r="G12" s="483">
        <f t="shared" si="0"/>
        <v>32.73808839272084</v>
      </c>
      <c r="H12" s="481">
        <f>+[4]안양!$E$15</f>
        <v>366</v>
      </c>
      <c r="I12" s="482">
        <f>+[4]안양!$F$15</f>
        <v>374.20721626286257</v>
      </c>
      <c r="J12" s="483">
        <f t="shared" si="1"/>
        <v>8.2072162628625733</v>
      </c>
      <c r="K12" s="539">
        <f>+([4]안양!$E$10*0.4+[4]안양!$E$11+[4]안양!$E$12+[4]안양!$E$13+[4]안양!$E$14)/[4]안양!$E$15</f>
        <v>0.16748633879781422</v>
      </c>
      <c r="L12" s="540">
        <f>+([4]안양!$F$10*0.4+[4]안양!$F$11+[4]안양!$F$12+[4]안양!$F$13+[4]안양!$F$14)/[4]안양!$F$15</f>
        <v>0.11021537327739772</v>
      </c>
      <c r="M12" s="541">
        <f t="shared" si="2"/>
        <v>-5.7270965520416495E-2</v>
      </c>
      <c r="N12" s="481">
        <f>+[4]안양!$E$16</f>
        <v>848</v>
      </c>
      <c r="O12" s="482">
        <f>+[4]안양!$F$16</f>
        <v>820.61881458501784</v>
      </c>
      <c r="P12" s="483">
        <f t="shared" si="3"/>
        <v>-27.381185414982156</v>
      </c>
      <c r="Q12" s="481">
        <f>+[4]안양!$E$17</f>
        <v>875</v>
      </c>
      <c r="R12" s="482">
        <f>+[4]안양!$F$17</f>
        <v>882.39005527275799</v>
      </c>
      <c r="S12" s="483">
        <f t="shared" si="4"/>
        <v>7.3900552727579907</v>
      </c>
      <c r="T12" s="542">
        <f>+[4]안양!$E$19</f>
        <v>3.29</v>
      </c>
      <c r="U12" s="543">
        <f>+[4]안양!$F$19</f>
        <v>3.1280088698577777</v>
      </c>
      <c r="V12" s="544">
        <f t="shared" si="5"/>
        <v>-0.16199113014222233</v>
      </c>
    </row>
    <row r="13" spans="4:22" ht="24" customHeight="1">
      <c r="D13" s="485" t="s">
        <v>23</v>
      </c>
      <c r="E13" s="486">
        <f>+[4]인천!$E$9</f>
        <v>300.26299999999998</v>
      </c>
      <c r="F13" s="487">
        <f>+[4]인천!$F$9</f>
        <v>340.4205228250903</v>
      </c>
      <c r="G13" s="203">
        <f t="shared" si="0"/>
        <v>40.157522825090325</v>
      </c>
      <c r="H13" s="486">
        <f>+[4]인천!$E$15</f>
        <v>366.154</v>
      </c>
      <c r="I13" s="487">
        <f>+[4]인천!$F$15</f>
        <v>384.71487652578884</v>
      </c>
      <c r="J13" s="203">
        <f t="shared" si="1"/>
        <v>18.560876525788842</v>
      </c>
      <c r="K13" s="545">
        <f>+([4]인천!$E$10*0.4+[4]인천!$E$11+[4]인천!$E$12+[4]인천!$E$13+[4]인천!$E$14)/[4]인천!$E$15</f>
        <v>0.16209627643013599</v>
      </c>
      <c r="L13" s="546">
        <f>+([4]인천!$F$10*0.4+[4]인천!$F$11+[4]인천!$F$12+[4]인천!$F$13+[4]인천!$F$14)/[4]인천!$F$15</f>
        <v>0.11513553648016865</v>
      </c>
      <c r="M13" s="547">
        <f t="shared" si="2"/>
        <v>-4.6960739949967342E-2</v>
      </c>
      <c r="N13" s="486">
        <f>+[4]인천!$E$16</f>
        <v>886.33600000000001</v>
      </c>
      <c r="O13" s="487">
        <f>+[4]인천!$F$16</f>
        <v>866.77820503774774</v>
      </c>
      <c r="P13" s="203">
        <f t="shared" si="3"/>
        <v>-19.557794962252274</v>
      </c>
      <c r="Q13" s="486">
        <f>+[4]인천!$E$17</f>
        <v>852.53399999999999</v>
      </c>
      <c r="R13" s="487">
        <f>+[4]인천!$F$17</f>
        <v>838.72027799336695</v>
      </c>
      <c r="S13" s="203">
        <f t="shared" si="4"/>
        <v>-13.813722006633043</v>
      </c>
      <c r="T13" s="548">
        <f>+[4]인천!$E$19</f>
        <v>3.2949999999999999</v>
      </c>
      <c r="U13" s="549">
        <f>+[4]인천!$F$19</f>
        <v>3.2421470401467571</v>
      </c>
      <c r="V13" s="550">
        <f t="shared" si="5"/>
        <v>-5.2852959853242787E-2</v>
      </c>
    </row>
    <row r="14" spans="4:22" ht="24" customHeight="1">
      <c r="D14" s="485" t="s">
        <v>24</v>
      </c>
      <c r="E14" s="486">
        <f>+[4]파주!$E$9</f>
        <v>300.41774999999996</v>
      </c>
      <c r="F14" s="487">
        <f>+[4]파주!$F$9</f>
        <v>324.9990595227689</v>
      </c>
      <c r="G14" s="203">
        <f t="shared" si="0"/>
        <v>24.581309522768947</v>
      </c>
      <c r="H14" s="486">
        <f>+[4]파주!$E$15</f>
        <v>344.94649999999996</v>
      </c>
      <c r="I14" s="487">
        <f>+[4]파주!$F$15</f>
        <v>405.32062844156974</v>
      </c>
      <c r="J14" s="203">
        <f t="shared" si="1"/>
        <v>60.374128441569781</v>
      </c>
      <c r="K14" s="545">
        <f>+([4]파주!$E$10*0.4+[4]파주!$E$11+[4]파주!$E$12+[4]파주!$E$13+[4]파주!$E$14)/[4]파주!$E$15</f>
        <v>0.1290888587070749</v>
      </c>
      <c r="L14" s="546">
        <f>+([4]파주!$F$10*0.4+[4]파주!$F$11+[4]파주!$F$12+[4]파주!$F$13+[4]파주!$F$14)/[4]파주!$F$15</f>
        <v>0.1981679768622481</v>
      </c>
      <c r="M14" s="547">
        <f t="shared" si="2"/>
        <v>6.9079118155173203E-2</v>
      </c>
      <c r="N14" s="486">
        <f>+[4]파주!$E$16</f>
        <v>875.05700000000002</v>
      </c>
      <c r="O14" s="487">
        <f>+[4]파주!$F$16</f>
        <v>839.8798537715237</v>
      </c>
      <c r="P14" s="203">
        <f t="shared" si="3"/>
        <v>-35.177146228476317</v>
      </c>
      <c r="Q14" s="486">
        <f>+[4]파주!$E$17</f>
        <v>879.08100000000002</v>
      </c>
      <c r="R14" s="487">
        <f>+[4]파주!$F$17</f>
        <v>876.44743483961247</v>
      </c>
      <c r="S14" s="203">
        <f t="shared" si="4"/>
        <v>-2.6335651603875476</v>
      </c>
      <c r="T14" s="548">
        <f>+[4]파주!$E$19</f>
        <v>2.7595719999999999</v>
      </c>
      <c r="U14" s="549">
        <f>+[4]파주!$F$19</f>
        <v>3.4832829298138277</v>
      </c>
      <c r="V14" s="550">
        <f t="shared" si="5"/>
        <v>0.72371092981382779</v>
      </c>
    </row>
    <row r="15" spans="4:22" ht="24" customHeight="1">
      <c r="D15" s="485" t="s">
        <v>178</v>
      </c>
      <c r="E15" s="486">
        <f>+[4]김포!$E$9</f>
        <v>254</v>
      </c>
      <c r="F15" s="487">
        <f>+[4]김포!$F$9</f>
        <v>263.73927262422052</v>
      </c>
      <c r="G15" s="203">
        <f t="shared" si="0"/>
        <v>9.7392726242205185</v>
      </c>
      <c r="H15" s="486">
        <f>+[4]김포!$E$15</f>
        <v>322</v>
      </c>
      <c r="I15" s="487">
        <f>+[4]김포!$F$15</f>
        <v>323.40547515586616</v>
      </c>
      <c r="J15" s="203">
        <f t="shared" si="1"/>
        <v>1.4054751558661565</v>
      </c>
      <c r="K15" s="545">
        <f>+([4]김포!$E$10*0.4+[4]김포!$E$11+[4]김포!$E$12+[4]김포!$E$13+[4]김포!$E$14)/[4]김포!$E$15</f>
        <v>0.21118012422360249</v>
      </c>
      <c r="L15" s="546">
        <f>+([4]김포!$F$10*0.4+[4]김포!$F$11+[4]김포!$F$12+[4]김포!$F$13+[4]김포!$F$14)/[4]김포!$F$15</f>
        <v>0.18449348299650556</v>
      </c>
      <c r="M15" s="547">
        <f t="shared" si="2"/>
        <v>-2.6686641227096936E-2</v>
      </c>
      <c r="N15" s="486">
        <f>+[4]김포!$E$16</f>
        <v>802</v>
      </c>
      <c r="O15" s="487">
        <f>+[4]김포!$F$16</f>
        <v>838.57453259021361</v>
      </c>
      <c r="P15" s="203">
        <f t="shared" si="3"/>
        <v>36.574532590213607</v>
      </c>
      <c r="Q15" s="486">
        <f>+[4]김포!$E$17</f>
        <v>940</v>
      </c>
      <c r="R15" s="487">
        <f>+[4]김포!$F$17</f>
        <v>909.4454940487434</v>
      </c>
      <c r="S15" s="203">
        <f t="shared" si="4"/>
        <v>-30.554505951256601</v>
      </c>
      <c r="T15" s="548">
        <f>+[4]김포!$E$19</f>
        <v>2.5</v>
      </c>
      <c r="U15" s="549">
        <f>+[4]김포!$F$19</f>
        <v>2.4135159644813875</v>
      </c>
      <c r="V15" s="550">
        <f t="shared" si="5"/>
        <v>-8.6484035518612501E-2</v>
      </c>
    </row>
    <row r="16" spans="4:22" ht="24" customHeight="1">
      <c r="D16" s="520" t="s">
        <v>25</v>
      </c>
      <c r="E16" s="489">
        <f>+[4]부산!$E$9</f>
        <v>230.93036372100192</v>
      </c>
      <c r="F16" s="490">
        <f>+[4]부산!$F$9</f>
        <v>239.2416223582689</v>
      </c>
      <c r="G16" s="491">
        <f t="shared" si="0"/>
        <v>8.3112586372669739</v>
      </c>
      <c r="H16" s="489">
        <f>+[4]부산!$E$15</f>
        <v>356.48470273822647</v>
      </c>
      <c r="I16" s="490">
        <f>+[4]부산!$F$15</f>
        <v>377.43154771888624</v>
      </c>
      <c r="J16" s="491">
        <f t="shared" si="1"/>
        <v>20.946844980659762</v>
      </c>
      <c r="K16" s="551">
        <f>+([4]부산!$E$10*0.4+[4]부산!$E$11+[4]부산!$E$12+[4]부산!$E$13+[4]부산!$E$14)/[4]부산!$E$15</f>
        <v>0.28336799922803835</v>
      </c>
      <c r="L16" s="552">
        <f>+([4]부산!$F$10*0.4+[4]부산!$F$11+[4]부산!$F$12+[4]부산!$F$13+[4]부산!$F$14)/[4]부산!$F$15</f>
        <v>0.22422511760945624</v>
      </c>
      <c r="M16" s="553">
        <f t="shared" si="2"/>
        <v>-5.914288161858211E-2</v>
      </c>
      <c r="N16" s="489">
        <f>+[4]부산!$E$16</f>
        <v>850.35406788538</v>
      </c>
      <c r="O16" s="490">
        <f>+[4]부산!$F$16</f>
        <v>886.48922341496143</v>
      </c>
      <c r="P16" s="491">
        <f t="shared" si="3"/>
        <v>36.135155529581425</v>
      </c>
      <c r="Q16" s="489">
        <f>+[4]부산!$E$17</f>
        <v>881.56011188997502</v>
      </c>
      <c r="R16" s="490">
        <f>+[4]부산!$F$17</f>
        <v>828.09879235155972</v>
      </c>
      <c r="S16" s="491">
        <f t="shared" si="4"/>
        <v>-53.461319538415296</v>
      </c>
      <c r="T16" s="554">
        <f>+[4]부산!$E$19</f>
        <v>2.864313451280085</v>
      </c>
      <c r="U16" s="555">
        <f>+[4]부산!$F$19</f>
        <v>3.520101476014764</v>
      </c>
      <c r="V16" s="556">
        <f t="shared" si="5"/>
        <v>0.65578802473467901</v>
      </c>
    </row>
    <row r="17" spans="4:22" ht="24" customHeight="1">
      <c r="D17" s="485" t="s">
        <v>26</v>
      </c>
      <c r="E17" s="486">
        <f>+[4]서부산!$E$9</f>
        <v>238.6</v>
      </c>
      <c r="F17" s="487">
        <f>+[4]서부산!$F$9</f>
        <v>280.23011459640315</v>
      </c>
      <c r="G17" s="203">
        <f t="shared" si="0"/>
        <v>41.63011459640316</v>
      </c>
      <c r="H17" s="486">
        <f>+[4]서부산!$E$15</f>
        <v>350.2</v>
      </c>
      <c r="I17" s="487">
        <f>+[4]서부산!$F$15</f>
        <v>367.31598787118361</v>
      </c>
      <c r="J17" s="203">
        <f t="shared" si="1"/>
        <v>17.11598787118362</v>
      </c>
      <c r="K17" s="545">
        <f>+([4]서부산!$E$10*0.4+[4]서부산!$E$11+[4]서부산!$E$12+[4]서부산!$E$13+[4]서부산!$E$14)/[4]서부산!$E$15</f>
        <v>0.21707595659623072</v>
      </c>
      <c r="L17" s="546">
        <f>+([4]서부산!$F$10*0.4+[4]서부산!$F$11+[4]서부산!$F$12+[4]서부산!$F$13+[4]서부산!$F$14)/[4]서부산!$F$15</f>
        <v>0.16342886879049084</v>
      </c>
      <c r="M17" s="547">
        <f t="shared" si="2"/>
        <v>-5.3647087805739874E-2</v>
      </c>
      <c r="N17" s="486">
        <f>+[4]서부산!$E$16</f>
        <v>818.3</v>
      </c>
      <c r="O17" s="487">
        <f>+[4]서부산!$F$16</f>
        <v>853.45043914680059</v>
      </c>
      <c r="P17" s="203">
        <f t="shared" si="3"/>
        <v>35.150439146800636</v>
      </c>
      <c r="Q17" s="486">
        <f>+[4]서부산!$E$17</f>
        <v>920.8</v>
      </c>
      <c r="R17" s="487">
        <f>+[4]서부산!$F$17</f>
        <v>882.38590547887952</v>
      </c>
      <c r="S17" s="203">
        <f t="shared" si="4"/>
        <v>-38.414094521120433</v>
      </c>
      <c r="T17" s="548">
        <f>+[4]서부산!$E$19</f>
        <v>4.5</v>
      </c>
      <c r="U17" s="549">
        <f>+[4]서부산!$F$19</f>
        <v>3.4039991635299018</v>
      </c>
      <c r="V17" s="550">
        <f t="shared" si="5"/>
        <v>-1.0960008364700982</v>
      </c>
    </row>
    <row r="18" spans="4:22" ht="24" customHeight="1">
      <c r="D18" s="485" t="s">
        <v>27</v>
      </c>
      <c r="E18" s="486">
        <f>+[4]김해!$E$9</f>
        <v>221.92</v>
      </c>
      <c r="F18" s="487">
        <f>+[4]김해!$F$9</f>
        <v>186.53768475703745</v>
      </c>
      <c r="G18" s="203">
        <f t="shared" si="0"/>
        <v>-35.382315242962534</v>
      </c>
      <c r="H18" s="486">
        <f>+[4]김해!$E$15</f>
        <v>342.99999999999994</v>
      </c>
      <c r="I18" s="487">
        <f>+[4]김해!$F$15</f>
        <v>373.75811227387044</v>
      </c>
      <c r="J18" s="203">
        <f t="shared" si="1"/>
        <v>30.758112273870495</v>
      </c>
      <c r="K18" s="545">
        <f>+([4]김해!$E$10*0.4+[4]김해!$E$11+[4]김해!$E$12+[4]김해!$E$13+[4]김해!$E$14)/[4]김해!$E$15</f>
        <v>0.17300291545189508</v>
      </c>
      <c r="L18" s="546">
        <f>+([4]김해!$F$10*0.4+[4]김해!$F$11+[4]김해!$F$12+[4]김해!$F$13+[4]김해!$F$14)/[4]김해!$F$15</f>
        <v>0.22714223578639725</v>
      </c>
      <c r="M18" s="547">
        <f t="shared" si="2"/>
        <v>5.4139320334502167E-2</v>
      </c>
      <c r="N18" s="486">
        <f>+[4]김해!$E$16</f>
        <v>830</v>
      </c>
      <c r="O18" s="487">
        <f>+[4]김해!$F$16</f>
        <v>785.10586517400793</v>
      </c>
      <c r="P18" s="203">
        <f t="shared" si="3"/>
        <v>-44.894134825992069</v>
      </c>
      <c r="Q18" s="486">
        <f>+[4]김해!$E$17</f>
        <v>890</v>
      </c>
      <c r="R18" s="487">
        <f>+[4]김해!$F$17</f>
        <v>934.35547984099901</v>
      </c>
      <c r="S18" s="203">
        <f t="shared" si="4"/>
        <v>44.35547984099901</v>
      </c>
      <c r="T18" s="548">
        <f>+[4]김해!$E$19</f>
        <v>3.3</v>
      </c>
      <c r="U18" s="549">
        <f>+[4]김해!$F$19</f>
        <v>3.5653078607933808</v>
      </c>
      <c r="V18" s="550">
        <f t="shared" si="5"/>
        <v>0.26530786079338098</v>
      </c>
    </row>
    <row r="19" spans="4:22" ht="24" customHeight="1">
      <c r="D19" s="485" t="s">
        <v>28</v>
      </c>
      <c r="E19" s="486">
        <f>+[4]정관!$E$9</f>
        <v>236</v>
      </c>
      <c r="F19" s="487">
        <f>+[4]정관!$F$9</f>
        <v>261.503381393513</v>
      </c>
      <c r="G19" s="203">
        <f t="shared" si="0"/>
        <v>25.503381393512996</v>
      </c>
      <c r="H19" s="486">
        <f>+[4]정관!$E$15</f>
        <v>360</v>
      </c>
      <c r="I19" s="487">
        <f>+[4]정관!$F$15</f>
        <v>373.81483411111878</v>
      </c>
      <c r="J19" s="203">
        <f t="shared" si="1"/>
        <v>13.814834111118785</v>
      </c>
      <c r="K19" s="545">
        <f>+([4]정관!$E$10*0.4+[4]정관!$E$11+[4]정관!$E$12+[4]정관!$E$13+[4]정관!$E$14)/[4]정관!$E$15</f>
        <v>0.24277777777777779</v>
      </c>
      <c r="L19" s="546">
        <f>+([4]정관!$F$10*0.4+[4]정관!$F$11+[4]정관!$F$12+[4]정관!$F$13+[4]정관!$F$14)/[4]정관!$F$15</f>
        <v>0.2000433698696267</v>
      </c>
      <c r="M19" s="547">
        <f t="shared" si="2"/>
        <v>-4.2734407908151084E-2</v>
      </c>
      <c r="N19" s="486">
        <f>+[4]정관!$E$16</f>
        <v>795</v>
      </c>
      <c r="O19" s="487">
        <f>+[4]정관!$F$16</f>
        <v>803.84342132757581</v>
      </c>
      <c r="P19" s="203">
        <f t="shared" si="3"/>
        <v>8.8434213275758111</v>
      </c>
      <c r="Q19" s="486">
        <f>+[4]정관!$E$17</f>
        <v>920</v>
      </c>
      <c r="R19" s="487">
        <f>+[4]정관!$F$17</f>
        <v>922.87896728657347</v>
      </c>
      <c r="S19" s="203">
        <f t="shared" si="4"/>
        <v>2.8789672865734701</v>
      </c>
      <c r="T19" s="548">
        <f>+[4]정관!$E$19</f>
        <v>3.06</v>
      </c>
      <c r="U19" s="549">
        <f>+[4]정관!$F$19</f>
        <v>3.2157855633721062</v>
      </c>
      <c r="V19" s="550">
        <f t="shared" si="5"/>
        <v>0.15578556337210614</v>
      </c>
    </row>
    <row r="20" spans="4:22" ht="24" customHeight="1">
      <c r="D20" s="485" t="s">
        <v>29</v>
      </c>
      <c r="E20" s="486">
        <f>+[4]양산!$E$9</f>
        <v>251.60654545454548</v>
      </c>
      <c r="F20" s="487">
        <f>+[4]양산!$F$9</f>
        <v>235.03751586843609</v>
      </c>
      <c r="G20" s="203">
        <f t="shared" si="0"/>
        <v>-16.569029586109394</v>
      </c>
      <c r="H20" s="486">
        <f>+[4]양산!$E$15</f>
        <v>332.25836363636364</v>
      </c>
      <c r="I20" s="487">
        <f>+[4]양산!$F$15</f>
        <v>363.40855741488735</v>
      </c>
      <c r="J20" s="203">
        <f t="shared" si="1"/>
        <v>31.150193778523715</v>
      </c>
      <c r="K20" s="545">
        <f>+([4]양산!$E$10*0.4+[4]양산!$E$11+[4]양산!$E$12+[4]양산!$E$13+[4]양산!$E$14)/[4]양산!$E$15</f>
        <v>0.22424498788182906</v>
      </c>
      <c r="L20" s="546">
        <f>+([4]양산!$F$10*0.4+[4]양산!$F$11+[4]양산!$F$12+[4]양산!$F$13+[4]양산!$F$14)/[4]양산!$F$15</f>
        <v>0.32561839198244541</v>
      </c>
      <c r="M20" s="547">
        <f t="shared" si="2"/>
        <v>0.10137340410061635</v>
      </c>
      <c r="N20" s="486">
        <f>+[4]양산!$E$16</f>
        <v>783.27272727272725</v>
      </c>
      <c r="O20" s="487">
        <f>+[4]양산!$F$16</f>
        <v>787.66120888632486</v>
      </c>
      <c r="P20" s="203">
        <f t="shared" si="3"/>
        <v>4.3884816135976052</v>
      </c>
      <c r="Q20" s="486">
        <f>+[4]양산!$E$17</f>
        <v>917.88820727272707</v>
      </c>
      <c r="R20" s="487">
        <f>+[4]양산!$F$17</f>
        <v>907.72792844777837</v>
      </c>
      <c r="S20" s="203">
        <f t="shared" si="4"/>
        <v>-10.160278824948705</v>
      </c>
      <c r="T20" s="548">
        <f>+[4]양산!$E$19</f>
        <v>2.4999888181818184</v>
      </c>
      <c r="U20" s="549">
        <f>+[4]양산!$F$19</f>
        <v>3.116637334102712</v>
      </c>
      <c r="V20" s="550">
        <f t="shared" si="5"/>
        <v>0.61664851592089365</v>
      </c>
    </row>
    <row r="21" spans="4:22" ht="24" customHeight="1">
      <c r="D21" s="485" t="s">
        <v>30</v>
      </c>
      <c r="E21" s="486">
        <f>+[4]창원!$E$9</f>
        <v>240.79999999999998</v>
      </c>
      <c r="F21" s="487">
        <f>+[4]창원!$F$9</f>
        <v>283.89236696294603</v>
      </c>
      <c r="G21" s="203">
        <f t="shared" si="0"/>
        <v>43.092366962946045</v>
      </c>
      <c r="H21" s="486">
        <f>+[4]창원!$E$15</f>
        <v>345.4</v>
      </c>
      <c r="I21" s="487">
        <f>+[4]창원!$F$15</f>
        <v>384.72254819346665</v>
      </c>
      <c r="J21" s="203">
        <f t="shared" si="1"/>
        <v>39.322548193466673</v>
      </c>
      <c r="K21" s="545">
        <f>+([4]창원!$E$10*0.4+[4]창원!$E$11+[4]창원!$E$12+[4]창원!$E$13+[4]창원!$E$14)/[4]창원!$E$15</f>
        <v>0.30283729009843657</v>
      </c>
      <c r="L21" s="546">
        <f>+([4]창원!$F$10*0.4+[4]창원!$F$11+[4]창원!$F$12+[4]창원!$F$13+[4]창원!$F$14)/[4]창원!$F$15</f>
        <v>0.18757330087832122</v>
      </c>
      <c r="M21" s="547">
        <f t="shared" si="2"/>
        <v>-0.11526398922011535</v>
      </c>
      <c r="N21" s="486">
        <f>+[4]창원!$E$16</f>
        <v>835.9</v>
      </c>
      <c r="O21" s="487">
        <f>+[4]창원!$F$16</f>
        <v>870.87873715802823</v>
      </c>
      <c r="P21" s="203">
        <f t="shared" si="3"/>
        <v>34.978737158028252</v>
      </c>
      <c r="Q21" s="486">
        <f>+[4]창원!$E$17</f>
        <v>880.19999999999993</v>
      </c>
      <c r="R21" s="487">
        <f>+[4]창원!$F$17</f>
        <v>844.25083689253142</v>
      </c>
      <c r="S21" s="203">
        <f t="shared" si="4"/>
        <v>-35.949163107468507</v>
      </c>
      <c r="T21" s="548">
        <f>+[4]창원!$E$19</f>
        <v>3.1</v>
      </c>
      <c r="U21" s="549">
        <f>+[4]창원!$F$19</f>
        <v>3.323334872446035</v>
      </c>
      <c r="V21" s="550">
        <f t="shared" si="5"/>
        <v>0.22333487244603489</v>
      </c>
    </row>
    <row r="22" spans="4:22" ht="24" customHeight="1">
      <c r="D22" s="485" t="s">
        <v>95</v>
      </c>
      <c r="E22" s="486">
        <f>+[4]대구!$E$9</f>
        <v>285.59999999999997</v>
      </c>
      <c r="F22" s="487">
        <f>+[4]대구!$F$9</f>
        <v>301.25799654342717</v>
      </c>
      <c r="G22" s="203">
        <f t="shared" si="0"/>
        <v>15.657996543427203</v>
      </c>
      <c r="H22" s="486">
        <f>+[4]대구!$E$15</f>
        <v>336</v>
      </c>
      <c r="I22" s="487">
        <f>+[4]대구!$F$15</f>
        <v>369.45320817377728</v>
      </c>
      <c r="J22" s="203">
        <f t="shared" si="1"/>
        <v>33.453208173777284</v>
      </c>
      <c r="K22" s="545">
        <f>+([4]대구!$E$10*0.4+[4]대구!$E$11+[4]대구!$E$12+[4]대구!$E$13+[4]대구!$E$14)/[4]대구!$E$15</f>
        <v>0.15000000000000002</v>
      </c>
      <c r="L22" s="546">
        <f>+([4]대구!$F$10*0.4+[4]대구!$F$11+[4]대구!$F$12+[4]대구!$F$13+[4]대구!$F$14)/[4]대구!$F$15</f>
        <v>0.18458416416910253</v>
      </c>
      <c r="M22" s="547">
        <f t="shared" si="2"/>
        <v>3.458416416910251E-2</v>
      </c>
      <c r="N22" s="486">
        <f>+[4]대구!$E$16</f>
        <v>776.34645215666831</v>
      </c>
      <c r="O22" s="487">
        <f>+[4]대구!$F$16</f>
        <v>759.02843200379505</v>
      </c>
      <c r="P22" s="203">
        <f t="shared" si="3"/>
        <v>-17.31802015287326</v>
      </c>
      <c r="Q22" s="486">
        <f>+[4]대구!$E$17</f>
        <v>948.86788596926158</v>
      </c>
      <c r="R22" s="487">
        <f>+[4]대구!$F$17</f>
        <v>967.80378867464128</v>
      </c>
      <c r="S22" s="203">
        <f t="shared" si="4"/>
        <v>18.935902705379704</v>
      </c>
      <c r="T22" s="548">
        <f>+[4]대구!$E$19</f>
        <v>2.6880000000000002</v>
      </c>
      <c r="U22" s="549">
        <f>+[4]대구!$F$19</f>
        <v>3.5753871700159277</v>
      </c>
      <c r="V22" s="550">
        <f t="shared" si="5"/>
        <v>0.88738717001592748</v>
      </c>
    </row>
    <row r="23" spans="4:22" ht="24" customHeight="1">
      <c r="D23" s="485" t="s">
        <v>97</v>
      </c>
      <c r="E23" s="486">
        <f>+[4]울산!$E$9</f>
        <v>259.79999999999995</v>
      </c>
      <c r="F23" s="487">
        <f>+[4]울산!$F$9</f>
        <v>275.18927259231759</v>
      </c>
      <c r="G23" s="203">
        <f t="shared" si="0"/>
        <v>15.389272592317639</v>
      </c>
      <c r="H23" s="486">
        <f>+[4]울산!$E$15</f>
        <v>363.99999999999994</v>
      </c>
      <c r="I23" s="487">
        <f>+[4]울산!$F$15</f>
        <v>379.14492855817394</v>
      </c>
      <c r="J23" s="203">
        <f t="shared" si="1"/>
        <v>15.144928558174001</v>
      </c>
      <c r="K23" s="545">
        <f>+([4]울산!$E$10*0.4+[4]울산!$E$11+[4]울산!$E$12+[4]울산!$E$13+[4]울산!$E$14)/[4]울산!$E$15</f>
        <v>0.2862637362637363</v>
      </c>
      <c r="L23" s="546">
        <f>+([4]울산!$F$10*0.4+[4]울산!$F$11+[4]울산!$F$12+[4]울산!$F$13+[4]울산!$F$14)/[4]울산!$F$15</f>
        <v>0.27418448233287113</v>
      </c>
      <c r="M23" s="547">
        <f t="shared" si="2"/>
        <v>-1.2079253930865175E-2</v>
      </c>
      <c r="N23" s="486">
        <f>+[4]울산!$E$16</f>
        <v>721</v>
      </c>
      <c r="O23" s="487">
        <f>+[4]울산!$F$16</f>
        <v>713.93393950640177</v>
      </c>
      <c r="P23" s="203">
        <f t="shared" si="3"/>
        <v>-7.0660604935982292</v>
      </c>
      <c r="Q23" s="486">
        <f>+[4]울산!$E$17</f>
        <v>953</v>
      </c>
      <c r="R23" s="487">
        <f>+[4]울산!$F$17</f>
        <v>958.45611430692168</v>
      </c>
      <c r="S23" s="203">
        <f t="shared" si="4"/>
        <v>5.4561143069216769</v>
      </c>
      <c r="T23" s="548">
        <f>+[4]울산!$E$19</f>
        <v>3.3</v>
      </c>
      <c r="U23" s="549">
        <f>+[4]울산!$F$19</f>
        <v>2.8153646316570802</v>
      </c>
      <c r="V23" s="550">
        <f t="shared" si="5"/>
        <v>-0.48463536834291965</v>
      </c>
    </row>
    <row r="24" spans="4:22" ht="24" customHeight="1">
      <c r="D24" s="520" t="s">
        <v>31</v>
      </c>
      <c r="E24" s="489">
        <f>+[4]아산!$E$9</f>
        <v>322.04774193548383</v>
      </c>
      <c r="F24" s="490">
        <f>+[4]아산!$F$9</f>
        <v>355.36393277968619</v>
      </c>
      <c r="G24" s="491">
        <f t="shared" si="0"/>
        <v>33.316190844202367</v>
      </c>
      <c r="H24" s="489">
        <f>+[4]아산!$E$15</f>
        <v>365.62193548387097</v>
      </c>
      <c r="I24" s="490">
        <f>+[4]아산!$F$15</f>
        <v>407.65564937606001</v>
      </c>
      <c r="J24" s="491">
        <f t="shared" si="1"/>
        <v>42.033713892189041</v>
      </c>
      <c r="K24" s="551">
        <f>+([4]아산!$E$10*0.4+[4]아산!$E$11+[4]아산!$E$12+[4]아산!$E$13+[4]아산!$E$14)/[4]아산!$E$15</f>
        <v>0.11917828040246051</v>
      </c>
      <c r="L24" s="552">
        <f>+([4]아산!$F$10*0.4+[4]아산!$F$11+[4]아산!$F$12+[4]아산!$F$13+[4]아산!$F$14)/[4]아산!$F$15</f>
        <v>0.12827423507170624</v>
      </c>
      <c r="M24" s="553">
        <f t="shared" si="2"/>
        <v>9.0959546692457316E-3</v>
      </c>
      <c r="N24" s="489">
        <f>+[4]아산!$E$16</f>
        <v>855.79612903225814</v>
      </c>
      <c r="O24" s="490">
        <f>+[4]아산!$F$16</f>
        <v>910.4417583373189</v>
      </c>
      <c r="P24" s="491">
        <f t="shared" si="3"/>
        <v>54.645629305060766</v>
      </c>
      <c r="Q24" s="489">
        <f>+[4]아산!$E$17</f>
        <v>863.06322580645156</v>
      </c>
      <c r="R24" s="490">
        <f>+[4]아산!$F$17</f>
        <v>808.81386147223793</v>
      </c>
      <c r="S24" s="491">
        <f t="shared" si="4"/>
        <v>-54.249364334213624</v>
      </c>
      <c r="T24" s="554">
        <f>+[4]아산!$E$19</f>
        <v>3.0358064516129031</v>
      </c>
      <c r="U24" s="555">
        <f>+[4]아산!$F$19</f>
        <v>3.2168898647767299</v>
      </c>
      <c r="V24" s="556">
        <f t="shared" si="5"/>
        <v>0.18108341316382681</v>
      </c>
    </row>
    <row r="25" spans="4:22" ht="24" customHeight="1">
      <c r="D25" s="485" t="s">
        <v>34</v>
      </c>
      <c r="E25" s="486">
        <f>+[4]전주!$E$9</f>
        <v>291.52999999999997</v>
      </c>
      <c r="F25" s="487">
        <f>+[4]전주!$F$9</f>
        <v>292.2658778742196</v>
      </c>
      <c r="G25" s="203">
        <f t="shared" si="0"/>
        <v>0.73587787421962503</v>
      </c>
      <c r="H25" s="486">
        <f>+[4]전주!$E$15</f>
        <v>356.72</v>
      </c>
      <c r="I25" s="487">
        <f>+[4]전주!$F$15</f>
        <v>355.76276838739153</v>
      </c>
      <c r="J25" s="203">
        <f t="shared" si="1"/>
        <v>-0.95723161260849565</v>
      </c>
      <c r="K25" s="545">
        <f>+([4]전주!$E$10*0.4+[4]전주!$E$11+[4]전주!$E$12+[4]전주!$E$13+[4]전주!$E$14)/[4]전주!$E$15</f>
        <v>0.18274837407490466</v>
      </c>
      <c r="L25" s="546">
        <f>+([4]전주!$F$10*0.4+[4]전주!$F$11+[4]전주!$F$12+[4]전주!$F$13+[4]전주!$F$14)/[4]전주!$F$15</f>
        <v>0.17848098833104961</v>
      </c>
      <c r="M25" s="547">
        <f t="shared" si="2"/>
        <v>-4.2673857438550455E-3</v>
      </c>
      <c r="N25" s="486">
        <f>+[4]전주!$E$16</f>
        <v>764.59999999999991</v>
      </c>
      <c r="O25" s="487">
        <f>+[4]전주!$F$16</f>
        <v>697.87345820009125</v>
      </c>
      <c r="P25" s="203">
        <f t="shared" si="3"/>
        <v>-66.726541799908659</v>
      </c>
      <c r="Q25" s="486">
        <f>+[4]전주!$E$17</f>
        <v>979.68999999999994</v>
      </c>
      <c r="R25" s="487">
        <f>+[4]전주!$F$17</f>
        <v>1042.5772803411003</v>
      </c>
      <c r="S25" s="203">
        <f t="shared" si="4"/>
        <v>62.887280341100336</v>
      </c>
      <c r="T25" s="548">
        <f>+[4]전주!$E$19</f>
        <v>2.92</v>
      </c>
      <c r="U25" s="549">
        <f>+[4]전주!$F$19</f>
        <v>1.8691183188670619</v>
      </c>
      <c r="V25" s="550">
        <f t="shared" si="5"/>
        <v>-1.050881681132938</v>
      </c>
    </row>
    <row r="26" spans="4:22" ht="24" customHeight="1">
      <c r="D26" s="485" t="s">
        <v>33</v>
      </c>
      <c r="E26" s="486">
        <f>+[4]군산!$E$9</f>
        <v>253.3</v>
      </c>
      <c r="F26" s="487">
        <f>+[4]군산!$F$9</f>
        <v>256.28140839331803</v>
      </c>
      <c r="G26" s="203">
        <f t="shared" si="0"/>
        <v>2.98140839331802</v>
      </c>
      <c r="H26" s="486">
        <f>+[4]군산!$E$15</f>
        <v>336.1</v>
      </c>
      <c r="I26" s="487">
        <f>+[4]군산!$F$15</f>
        <v>337.03240662773334</v>
      </c>
      <c r="J26" s="203">
        <f t="shared" si="1"/>
        <v>0.93240662773331451</v>
      </c>
      <c r="K26" s="545">
        <f>+([4]군산!$E$10*0.4+[4]군산!$E$11+[4]군산!$E$12+[4]군산!$E$13+[4]군산!$E$14)/[4]군산!$E$15</f>
        <v>0.22761083011008626</v>
      </c>
      <c r="L26" s="546">
        <f>+([4]군산!$F$10*0.4+[4]군산!$F$11+[4]군산!$F$12+[4]군산!$F$13+[4]군산!$F$14)/[4]군산!$F$15</f>
        <v>0.18572019827402697</v>
      </c>
      <c r="M26" s="547">
        <f t="shared" si="2"/>
        <v>-4.1890631836059289E-2</v>
      </c>
      <c r="N26" s="486">
        <f>+[4]군산!$E$16</f>
        <v>785</v>
      </c>
      <c r="O26" s="487">
        <f>+[4]군산!$F$16</f>
        <v>794.58780388428636</v>
      </c>
      <c r="P26" s="203">
        <f t="shared" si="3"/>
        <v>9.5878038842863589</v>
      </c>
      <c r="Q26" s="486">
        <f>+[4]군산!$E$17</f>
        <v>935</v>
      </c>
      <c r="R26" s="487">
        <f>+[4]군산!$F$17</f>
        <v>909.06899361673231</v>
      </c>
      <c r="S26" s="203">
        <f t="shared" si="4"/>
        <v>-25.931006383267686</v>
      </c>
      <c r="T26" s="548">
        <f>+[4]군산!$E$19</f>
        <v>2.84</v>
      </c>
      <c r="U26" s="549">
        <f>+[4]군산!$F$19</f>
        <v>2.376748607904386</v>
      </c>
      <c r="V26" s="550">
        <f t="shared" si="5"/>
        <v>-0.46325139209561383</v>
      </c>
    </row>
    <row r="27" spans="4:22" ht="24" customHeight="1">
      <c r="D27" s="485" t="s">
        <v>32</v>
      </c>
      <c r="E27" s="486">
        <f>+[4]원주!$E$9</f>
        <v>318.60000000000002</v>
      </c>
      <c r="F27" s="487">
        <f>+[4]원주!$F$9</f>
        <v>334.20889895273137</v>
      </c>
      <c r="G27" s="203">
        <f t="shared" si="0"/>
        <v>15.608898952731352</v>
      </c>
      <c r="H27" s="486">
        <f>+[4]원주!$E$15</f>
        <v>340.8</v>
      </c>
      <c r="I27" s="487">
        <f>+[4]원주!$F$15</f>
        <v>374.56242853099343</v>
      </c>
      <c r="J27" s="203">
        <f t="shared" si="1"/>
        <v>33.762428530993418</v>
      </c>
      <c r="K27" s="545">
        <f>+([4]원주!$E$10*0.4+[4]원주!$E$11+[4]원주!$E$12+[4]원주!$E$13+[4]원주!$E$14)/[4]원주!$E$15</f>
        <v>6.5140845070422532E-2</v>
      </c>
      <c r="L27" s="546">
        <f>+([4]원주!$F$10*0.4+[4]원주!$F$11+[4]원주!$F$12+[4]원주!$F$13+[4]원주!$F$14)/[4]원주!$F$15</f>
        <v>0.10773512371896378</v>
      </c>
      <c r="M27" s="547">
        <f t="shared" si="2"/>
        <v>4.2594278648541248E-2</v>
      </c>
      <c r="N27" s="486">
        <f>+[4]원주!$E$16</f>
        <v>818.7</v>
      </c>
      <c r="O27" s="487">
        <f>+[4]원주!$F$16</f>
        <v>823.17860175488261</v>
      </c>
      <c r="P27" s="203">
        <f t="shared" si="3"/>
        <v>4.4786017548825612</v>
      </c>
      <c r="Q27" s="486">
        <f>+[4]원주!$E$17</f>
        <v>964.6</v>
      </c>
      <c r="R27" s="487">
        <f>+[4]원주!$F$17</f>
        <v>960.26747806396816</v>
      </c>
      <c r="S27" s="203">
        <f t="shared" si="4"/>
        <v>-4.332521936031867</v>
      </c>
      <c r="T27" s="548">
        <f>+[4]원주!$E$19</f>
        <v>2.8479999999999999</v>
      </c>
      <c r="U27" s="549">
        <f>+[4]원주!$F$19</f>
        <v>3.0128474384375887</v>
      </c>
      <c r="V27" s="550">
        <f t="shared" si="5"/>
        <v>0.16484743843758887</v>
      </c>
    </row>
    <row r="28" spans="4:22" ht="24" customHeight="1">
      <c r="D28" s="534" t="s">
        <v>35</v>
      </c>
      <c r="E28" s="557">
        <f>+[4]제주!$E$9</f>
        <v>345.6</v>
      </c>
      <c r="F28" s="558">
        <f>+[4]제주!$F$9</f>
        <v>363.30340640809436</v>
      </c>
      <c r="G28" s="212">
        <f t="shared" si="0"/>
        <v>17.703406408094338</v>
      </c>
      <c r="H28" s="557">
        <f>+[4]제주!$E$15</f>
        <v>345.6</v>
      </c>
      <c r="I28" s="558">
        <f>+[4]제주!$F$15</f>
        <v>363.30340640809436</v>
      </c>
      <c r="J28" s="212">
        <f t="shared" si="1"/>
        <v>17.703406408094338</v>
      </c>
      <c r="K28" s="559">
        <f>+([4]제주!$E$10*0.4+[4]제주!$E$11+[4]제주!$E$12+[4]제주!$E$13+[4]제주!$E$14)/[4]제주!$E$15</f>
        <v>0</v>
      </c>
      <c r="L28" s="560">
        <f>+([4]제주!$F$10*0.4+[4]제주!$F$11+[4]제주!$F$12+[4]제주!$F$13+[4]제주!$F$14)/[4]제주!$F$15</f>
        <v>0</v>
      </c>
      <c r="M28" s="561">
        <f t="shared" si="2"/>
        <v>0</v>
      </c>
      <c r="N28" s="557">
        <f>+[4]제주!$E$16</f>
        <v>692.2</v>
      </c>
      <c r="O28" s="558">
        <f>+[4]제주!$F$16</f>
        <v>608.72911237160804</v>
      </c>
      <c r="P28" s="212">
        <f t="shared" si="3"/>
        <v>-83.470887628392006</v>
      </c>
      <c r="Q28" s="557">
        <f>+[4]제주!$E$17</f>
        <v>1046.4000000000001</v>
      </c>
      <c r="R28" s="558">
        <f>+[4]제주!$F$17</f>
        <v>1078.1373601103785</v>
      </c>
      <c r="S28" s="212">
        <f t="shared" si="4"/>
        <v>31.737360110378404</v>
      </c>
      <c r="T28" s="562">
        <f>+[4]제주!$E$19</f>
        <v>3.02</v>
      </c>
      <c r="U28" s="563">
        <f>+[4]제주!$F$19</f>
        <v>2.4348030047524141</v>
      </c>
      <c r="V28" s="564">
        <f t="shared" si="5"/>
        <v>-0.58519699524758595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E55"/>
  <sheetViews>
    <sheetView showGridLines="0" view="pageBreakPreview" topLeftCell="A4" zoomScale="60" zoomScaleNormal="70" workbookViewId="0">
      <pane ySplit="6" topLeftCell="A10" activePane="bottomLeft" state="frozenSplit"/>
      <selection pane="bottomLeft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19" width="10.25" style="6" hidden="1" customWidth="1"/>
    <col min="20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198" t="s">
        <v>214</v>
      </c>
      <c r="F6" s="198"/>
      <c r="G6" s="198"/>
      <c r="H6" s="198"/>
      <c r="I6" s="198"/>
      <c r="J6" s="198"/>
      <c r="K6" s="198"/>
      <c r="L6" s="198"/>
      <c r="M6" s="198"/>
    </row>
    <row r="7" spans="4:17" ht="21.95" customHeight="1" thickBot="1">
      <c r="D7" s="199"/>
      <c r="O7" s="200" t="s">
        <v>76</v>
      </c>
    </row>
    <row r="8" spans="4:17" ht="25.5" customHeight="1" thickTop="1">
      <c r="D8" s="731" t="s">
        <v>11</v>
      </c>
      <c r="E8" s="732"/>
      <c r="F8" s="741" t="s">
        <v>196</v>
      </c>
      <c r="G8" s="742"/>
      <c r="H8" s="742"/>
      <c r="I8" s="742"/>
      <c r="J8" s="743"/>
      <c r="K8" s="708" t="s">
        <v>197</v>
      </c>
      <c r="L8" s="708"/>
      <c r="M8" s="708"/>
      <c r="N8" s="708"/>
      <c r="O8" s="711"/>
      <c r="P8" s="201"/>
      <c r="Q8" s="201"/>
    </row>
    <row r="9" spans="4:17" ht="25.5" customHeight="1">
      <c r="D9" s="733"/>
      <c r="E9" s="734"/>
      <c r="F9" s="603" t="s">
        <v>12</v>
      </c>
      <c r="G9" s="392" t="s">
        <v>13</v>
      </c>
      <c r="H9" s="401" t="s">
        <v>71</v>
      </c>
      <c r="I9" s="392" t="s">
        <v>14</v>
      </c>
      <c r="J9" s="604" t="s">
        <v>72</v>
      </c>
      <c r="K9" s="401" t="s">
        <v>12</v>
      </c>
      <c r="L9" s="392" t="s">
        <v>13</v>
      </c>
      <c r="M9" s="401" t="s">
        <v>71</v>
      </c>
      <c r="N9" s="392" t="s">
        <v>14</v>
      </c>
      <c r="O9" s="402" t="s">
        <v>72</v>
      </c>
      <c r="P9" s="201"/>
      <c r="Q9" s="201"/>
    </row>
    <row r="10" spans="4:17" ht="25.5" customHeight="1">
      <c r="D10" s="71" t="s">
        <v>110</v>
      </c>
      <c r="E10" s="90" t="s">
        <v>86</v>
      </c>
      <c r="F10" s="605">
        <f>+IFERROR(HLOOKUP($F$8,[10]손익!$G$5:$AI$63,2,),)</f>
        <v>6900</v>
      </c>
      <c r="G10" s="393">
        <f>+'[6]1월'!$G$8</f>
        <v>6425.0929999999998</v>
      </c>
      <c r="H10" s="218">
        <f>+G10-F10</f>
        <v>-474.90700000000015</v>
      </c>
      <c r="I10" s="393">
        <f>+IFERROR(HLOOKUP($F$8,[7]월별!$E$2:$T$53,2,),)</f>
        <v>6946.7870000000003</v>
      </c>
      <c r="J10" s="606">
        <f>+G10-I10</f>
        <v>-521.69400000000041</v>
      </c>
      <c r="K10" s="218">
        <f>+F10</f>
        <v>6900</v>
      </c>
      <c r="L10" s="393">
        <f>+G10</f>
        <v>6425.0929999999998</v>
      </c>
      <c r="M10" s="218">
        <f>+L10-K10</f>
        <v>-474.90700000000015</v>
      </c>
      <c r="N10" s="393">
        <f>+I10</f>
        <v>6946.7870000000003</v>
      </c>
      <c r="O10" s="386">
        <f>+L10-N10</f>
        <v>-521.69400000000041</v>
      </c>
      <c r="P10" s="77"/>
      <c r="Q10" s="77"/>
    </row>
    <row r="11" spans="4:17" ht="25.5" customHeight="1">
      <c r="D11" s="72" t="s">
        <v>21</v>
      </c>
      <c r="E11" s="391" t="s">
        <v>122</v>
      </c>
      <c r="F11" s="607">
        <f>+F12/F10*1000</f>
        <v>976086.95652173914</v>
      </c>
      <c r="G11" s="394">
        <f t="shared" ref="G11" si="0">+G12/G10*1000</f>
        <v>920730.85338998202</v>
      </c>
      <c r="H11" s="228">
        <f t="shared" ref="H11:H28" si="1">+G11-F11</f>
        <v>-55356.103131757118</v>
      </c>
      <c r="I11" s="394">
        <f>+I12/I10*1000</f>
        <v>1098907.8680546847</v>
      </c>
      <c r="J11" s="608">
        <f t="shared" ref="J11:J28" si="2">+G11-I11</f>
        <v>-178177.0146647027</v>
      </c>
      <c r="K11" s="228">
        <f>+K12/K10*1000</f>
        <v>976086.95652173914</v>
      </c>
      <c r="L11" s="394">
        <f>+L12/L10*1000</f>
        <v>920730.85338998202</v>
      </c>
      <c r="M11" s="228">
        <f t="shared" ref="M11:M28" si="3">+L11-K11</f>
        <v>-55356.103131757118</v>
      </c>
      <c r="N11" s="394">
        <f>+I11</f>
        <v>1098907.8680546847</v>
      </c>
      <c r="O11" s="226">
        <f t="shared" ref="O11:O28" si="4">+L11-N11</f>
        <v>-178177.0146647027</v>
      </c>
      <c r="P11" s="77"/>
      <c r="Q11" s="77"/>
    </row>
    <row r="12" spans="4:17" ht="25.5" customHeight="1">
      <c r="D12" s="202" t="s">
        <v>77</v>
      </c>
      <c r="E12" s="91" t="s">
        <v>122</v>
      </c>
      <c r="F12" s="452">
        <f>+IFERROR(HLOOKUP($F$8,[10]손익!$G$5:$AI$63,22,),)</f>
        <v>6735000</v>
      </c>
      <c r="G12" s="395">
        <f>+'[6]1월'!$G$9</f>
        <v>5915781.3609999996</v>
      </c>
      <c r="H12" s="210">
        <f t="shared" si="1"/>
        <v>-819218.63900000043</v>
      </c>
      <c r="I12" s="395">
        <f>+IFERROR(HLOOKUP($F$8,[7]월별!$E$2:$T$53,5,),)</f>
        <v>7633878.892</v>
      </c>
      <c r="J12" s="453">
        <f t="shared" si="2"/>
        <v>-1718097.5310000004</v>
      </c>
      <c r="K12" s="210">
        <f t="shared" ref="K12:K13" si="5">+F12</f>
        <v>6735000</v>
      </c>
      <c r="L12" s="395">
        <f t="shared" ref="L12:L13" si="6">+G12</f>
        <v>5915781.3609999996</v>
      </c>
      <c r="M12" s="210">
        <f t="shared" si="3"/>
        <v>-819218.63900000043</v>
      </c>
      <c r="N12" s="395">
        <f>+I12</f>
        <v>7633878.892</v>
      </c>
      <c r="O12" s="233">
        <f t="shared" si="4"/>
        <v>-1718097.5310000004</v>
      </c>
      <c r="P12" s="77"/>
      <c r="Q12" s="77"/>
    </row>
    <row r="13" spans="4:17" ht="25.5" customHeight="1">
      <c r="D13" s="202"/>
      <c r="E13" s="92" t="s">
        <v>123</v>
      </c>
      <c r="F13" s="609">
        <f>+IFERROR(HLOOKUP($F$8,[10]손익!$G$5:$AI$63,23,),)</f>
        <v>1712943.157894738</v>
      </c>
      <c r="G13" s="396">
        <f>+'[6]1월'!$J$9</f>
        <v>1492175.8060000008</v>
      </c>
      <c r="H13" s="220">
        <f t="shared" si="1"/>
        <v>-220767.35189473722</v>
      </c>
      <c r="I13" s="396">
        <f>+IFERROR(HLOOKUP($F$8,[7]월별!$E$2:$T$53,6,),)</f>
        <v>1179755.3999999994</v>
      </c>
      <c r="J13" s="610">
        <f t="shared" si="2"/>
        <v>312420.40600000136</v>
      </c>
      <c r="K13" s="220">
        <f t="shared" si="5"/>
        <v>1712943.157894738</v>
      </c>
      <c r="L13" s="396">
        <f t="shared" si="6"/>
        <v>1492175.8060000008</v>
      </c>
      <c r="M13" s="220">
        <f t="shared" si="3"/>
        <v>-220767.35189473722</v>
      </c>
      <c r="N13" s="396">
        <f>+I13</f>
        <v>1179755.3999999994</v>
      </c>
      <c r="O13" s="387">
        <f t="shared" si="4"/>
        <v>312420.40600000136</v>
      </c>
      <c r="P13" s="77"/>
      <c r="Q13" s="77"/>
    </row>
    <row r="14" spans="4:17" ht="25.5" customHeight="1">
      <c r="D14" s="202"/>
      <c r="E14" s="94" t="s">
        <v>58</v>
      </c>
      <c r="F14" s="450">
        <f>SUM(F12:F13)</f>
        <v>8447943.157894738</v>
      </c>
      <c r="G14" s="397">
        <f>SUM(G12:G13)</f>
        <v>7407957.1670000004</v>
      </c>
      <c r="H14" s="219">
        <f t="shared" si="1"/>
        <v>-1039985.9908947377</v>
      </c>
      <c r="I14" s="397">
        <f>SUM(I12:I13)</f>
        <v>8813634.2919999994</v>
      </c>
      <c r="J14" s="451">
        <f t="shared" si="2"/>
        <v>-1405677.1249999991</v>
      </c>
      <c r="K14" s="219">
        <f>SUM(K12:K13)</f>
        <v>8447943.157894738</v>
      </c>
      <c r="L14" s="397">
        <f>SUM(L12:L13)</f>
        <v>7407957.1670000004</v>
      </c>
      <c r="M14" s="219">
        <f t="shared" si="3"/>
        <v>-1039985.9908947377</v>
      </c>
      <c r="N14" s="397">
        <f>SUM(N12:N13)</f>
        <v>8813634.2919999994</v>
      </c>
      <c r="O14" s="236">
        <f t="shared" si="4"/>
        <v>-1405677.1249999991</v>
      </c>
      <c r="P14" s="77"/>
      <c r="Q14" s="77"/>
    </row>
    <row r="15" spans="4:17" ht="25.5" customHeight="1">
      <c r="D15" s="71" t="s">
        <v>5</v>
      </c>
      <c r="E15" s="90" t="s">
        <v>122</v>
      </c>
      <c r="F15" s="605">
        <f>+IFERROR(HLOOKUP($F$8,[10]손익!$G$5:$AI$63,25,),)</f>
        <v>6578580</v>
      </c>
      <c r="G15" s="393">
        <f>+'[6]1월'!$G$11</f>
        <v>5751185.5190000003</v>
      </c>
      <c r="H15" s="218">
        <f t="shared" si="1"/>
        <v>-827394.48099999968</v>
      </c>
      <c r="I15" s="393">
        <f>+IFERROR(HLOOKUP($F$8,[7]월별!$E$2:$T$53,8,),)</f>
        <v>7485107.7220000001</v>
      </c>
      <c r="J15" s="606">
        <f t="shared" si="2"/>
        <v>-1733922.2029999997</v>
      </c>
      <c r="K15" s="218">
        <f>+F15</f>
        <v>6578580</v>
      </c>
      <c r="L15" s="393">
        <f>+G15</f>
        <v>5751185.5190000003</v>
      </c>
      <c r="M15" s="218">
        <f t="shared" si="3"/>
        <v>-827394.48099999968</v>
      </c>
      <c r="N15" s="393">
        <f>+I15</f>
        <v>7485107.7220000001</v>
      </c>
      <c r="O15" s="386">
        <f t="shared" si="4"/>
        <v>-1733922.2029999997</v>
      </c>
      <c r="P15" s="77"/>
      <c r="Q15" s="77"/>
    </row>
    <row r="16" spans="4:17" ht="25.5" customHeight="1">
      <c r="D16" s="202"/>
      <c r="E16" s="92" t="s">
        <v>123</v>
      </c>
      <c r="F16" s="609">
        <f>+IFERROR(HLOOKUP($F$8,[10]손익!$G$5:$AI$63,26,),)</f>
        <v>1653366.9948631572</v>
      </c>
      <c r="G16" s="396">
        <f>+'[6]1월'!$J$11</f>
        <v>1459339.4409999996</v>
      </c>
      <c r="H16" s="220">
        <f t="shared" si="1"/>
        <v>-194027.55386315752</v>
      </c>
      <c r="I16" s="396">
        <f>+IFERROR(HLOOKUP($F$8,[7]월별!$E$2:$T$53,9,),)</f>
        <v>1158746.892</v>
      </c>
      <c r="J16" s="610">
        <f t="shared" si="2"/>
        <v>300592.54899999965</v>
      </c>
      <c r="K16" s="220">
        <f>+F16</f>
        <v>1653366.9948631572</v>
      </c>
      <c r="L16" s="396">
        <f>+G16</f>
        <v>1459339.4409999996</v>
      </c>
      <c r="M16" s="220">
        <f t="shared" si="3"/>
        <v>-194027.55386315752</v>
      </c>
      <c r="N16" s="396">
        <f>+I16</f>
        <v>1158746.892</v>
      </c>
      <c r="O16" s="387">
        <f t="shared" si="4"/>
        <v>300592.54899999965</v>
      </c>
      <c r="P16" s="77"/>
      <c r="Q16" s="77"/>
    </row>
    <row r="17" spans="4:17" ht="25.5" customHeight="1">
      <c r="D17" s="72"/>
      <c r="E17" s="403" t="s">
        <v>43</v>
      </c>
      <c r="F17" s="611">
        <f>SUM(F15:F16)</f>
        <v>8231946.9948631572</v>
      </c>
      <c r="G17" s="404">
        <f>SUM(G15:G16)</f>
        <v>7210524.96</v>
      </c>
      <c r="H17" s="405">
        <f t="shared" si="1"/>
        <v>-1021422.0348631572</v>
      </c>
      <c r="I17" s="404">
        <f>SUM(I15:I16)</f>
        <v>8643854.6140000001</v>
      </c>
      <c r="J17" s="612">
        <f t="shared" si="2"/>
        <v>-1433329.6540000001</v>
      </c>
      <c r="K17" s="405">
        <f>SUM(K15:K16)</f>
        <v>8231946.9948631572</v>
      </c>
      <c r="L17" s="404">
        <f>SUM(L15:L16)</f>
        <v>7210524.96</v>
      </c>
      <c r="M17" s="405">
        <f t="shared" si="3"/>
        <v>-1021422.0348631572</v>
      </c>
      <c r="N17" s="404">
        <f>SUM(N15:N16)</f>
        <v>8643854.6140000001</v>
      </c>
      <c r="O17" s="406">
        <f t="shared" si="4"/>
        <v>-1433329.6540000001</v>
      </c>
      <c r="P17" s="77"/>
      <c r="Q17" s="77"/>
    </row>
    <row r="18" spans="4:17" ht="25.5" customHeight="1">
      <c r="D18" s="202" t="s">
        <v>18</v>
      </c>
      <c r="E18" s="91" t="s">
        <v>122</v>
      </c>
      <c r="F18" s="452">
        <f>+F12-F15</f>
        <v>156420</v>
      </c>
      <c r="G18" s="395">
        <f>+G12-G15</f>
        <v>164595.84199999925</v>
      </c>
      <c r="H18" s="210">
        <f t="shared" si="1"/>
        <v>8175.8419999992475</v>
      </c>
      <c r="I18" s="395">
        <f>+I12-I15</f>
        <v>148771.16999999993</v>
      </c>
      <c r="J18" s="453">
        <f t="shared" si="2"/>
        <v>15824.671999999322</v>
      </c>
      <c r="K18" s="210">
        <f>+K12-K15</f>
        <v>156420</v>
      </c>
      <c r="L18" s="395">
        <f>+L12-L15</f>
        <v>164595.84199999925</v>
      </c>
      <c r="M18" s="210">
        <f t="shared" si="3"/>
        <v>8175.8419999992475</v>
      </c>
      <c r="N18" s="395">
        <f>+N12-N15</f>
        <v>148771.16999999993</v>
      </c>
      <c r="O18" s="233">
        <f t="shared" si="4"/>
        <v>15824.671999999322</v>
      </c>
      <c r="P18" s="77"/>
      <c r="Q18" s="77"/>
    </row>
    <row r="19" spans="4:17" ht="25.5" customHeight="1">
      <c r="D19" s="202"/>
      <c r="E19" s="208" t="s">
        <v>9</v>
      </c>
      <c r="F19" s="613">
        <f>+F18/F12</f>
        <v>2.3224944320712693E-2</v>
      </c>
      <c r="G19" s="398">
        <f>+G18/G12</f>
        <v>2.7823178707229314E-2</v>
      </c>
      <c r="H19" s="211">
        <f t="shared" si="1"/>
        <v>4.5982343865166204E-3</v>
      </c>
      <c r="I19" s="398">
        <f>+I18/I12</f>
        <v>1.9488280087323125E-2</v>
      </c>
      <c r="J19" s="614">
        <f t="shared" si="2"/>
        <v>8.3348986199061892E-3</v>
      </c>
      <c r="K19" s="211">
        <f>+K18/K12</f>
        <v>2.3224944320712693E-2</v>
      </c>
      <c r="L19" s="398">
        <f>+L18/L12</f>
        <v>2.7823178707229314E-2</v>
      </c>
      <c r="M19" s="211">
        <f t="shared" si="3"/>
        <v>4.5982343865166204E-3</v>
      </c>
      <c r="N19" s="398">
        <f>+N18/N12</f>
        <v>1.9488280087323125E-2</v>
      </c>
      <c r="O19" s="388">
        <f t="shared" si="4"/>
        <v>8.3348986199061892E-3</v>
      </c>
      <c r="P19" s="77"/>
      <c r="Q19" s="77"/>
    </row>
    <row r="20" spans="4:17" ht="25.5" customHeight="1">
      <c r="D20" s="202"/>
      <c r="E20" s="93" t="s">
        <v>123</v>
      </c>
      <c r="F20" s="450">
        <f>+F13-F16</f>
        <v>59576.163031580858</v>
      </c>
      <c r="G20" s="397">
        <f>+G13-G16</f>
        <v>32836.365000001155</v>
      </c>
      <c r="H20" s="219">
        <f t="shared" si="1"/>
        <v>-26739.798031579703</v>
      </c>
      <c r="I20" s="397">
        <f>+I13-I16</f>
        <v>21008.507999999449</v>
      </c>
      <c r="J20" s="451">
        <f t="shared" si="2"/>
        <v>11827.857000001706</v>
      </c>
      <c r="K20" s="219">
        <f>+K13-K16</f>
        <v>59576.163031580858</v>
      </c>
      <c r="L20" s="397">
        <f>+L13-L16</f>
        <v>32836.365000001155</v>
      </c>
      <c r="M20" s="219">
        <f t="shared" si="3"/>
        <v>-26739.798031579703</v>
      </c>
      <c r="N20" s="397">
        <f>+N13-N16</f>
        <v>21008.507999999449</v>
      </c>
      <c r="O20" s="236">
        <f t="shared" si="4"/>
        <v>11827.857000001706</v>
      </c>
      <c r="P20" s="77"/>
      <c r="Q20" s="77"/>
    </row>
    <row r="21" spans="4:17" ht="25.5" customHeight="1">
      <c r="D21" s="202"/>
      <c r="E21" s="209" t="s">
        <v>9</v>
      </c>
      <c r="F21" s="615">
        <f>+F20/F13</f>
        <v>3.4780000000001095E-2</v>
      </c>
      <c r="G21" s="399">
        <f>+G20/G13</f>
        <v>2.2005694548837322E-2</v>
      </c>
      <c r="H21" s="221">
        <f t="shared" si="1"/>
        <v>-1.2774305451163773E-2</v>
      </c>
      <c r="I21" s="399">
        <f>+I20/I13</f>
        <v>1.7807511624866865E-2</v>
      </c>
      <c r="J21" s="616">
        <f t="shared" si="2"/>
        <v>4.1981829239704574E-3</v>
      </c>
      <c r="K21" s="221">
        <f>+K20/K13</f>
        <v>3.4780000000001095E-2</v>
      </c>
      <c r="L21" s="399">
        <f>+L20/L13</f>
        <v>2.2005694548837322E-2</v>
      </c>
      <c r="M21" s="221">
        <f t="shared" si="3"/>
        <v>-1.2774305451163773E-2</v>
      </c>
      <c r="N21" s="399">
        <f>+N20/N13</f>
        <v>1.7807511624866865E-2</v>
      </c>
      <c r="O21" s="389">
        <f t="shared" si="4"/>
        <v>4.1981829239704574E-3</v>
      </c>
      <c r="P21" s="77"/>
      <c r="Q21" s="77"/>
    </row>
    <row r="22" spans="4:17" ht="25.5" customHeight="1">
      <c r="D22" s="202"/>
      <c r="E22" s="94" t="s">
        <v>58</v>
      </c>
      <c r="F22" s="450">
        <f>SUM(F18,F20)</f>
        <v>215996.16303158086</v>
      </c>
      <c r="G22" s="397">
        <f>SUM(G18,G20)</f>
        <v>197432.2070000004</v>
      </c>
      <c r="H22" s="219">
        <f t="shared" si="1"/>
        <v>-18563.956031580456</v>
      </c>
      <c r="I22" s="397">
        <f>SUM(I18,I20)</f>
        <v>169779.67799999937</v>
      </c>
      <c r="J22" s="451">
        <f t="shared" si="2"/>
        <v>27652.529000001028</v>
      </c>
      <c r="K22" s="219">
        <f>+K14-K17</f>
        <v>215996.16303158086</v>
      </c>
      <c r="L22" s="397">
        <f>+L14-L17</f>
        <v>197432.2070000004</v>
      </c>
      <c r="M22" s="219">
        <f t="shared" si="3"/>
        <v>-18563.956031580456</v>
      </c>
      <c r="N22" s="397">
        <f>+N14-N17</f>
        <v>169779.67799999937</v>
      </c>
      <c r="O22" s="236">
        <f t="shared" si="4"/>
        <v>27652.529000001028</v>
      </c>
      <c r="P22" s="77"/>
      <c r="Q22" s="77"/>
    </row>
    <row r="23" spans="4:17" ht="25.5" customHeight="1">
      <c r="D23" s="202"/>
      <c r="E23" s="407" t="s">
        <v>9</v>
      </c>
      <c r="F23" s="613">
        <f>+F22/F14</f>
        <v>2.5567899664396886E-2</v>
      </c>
      <c r="G23" s="398">
        <f>+G22/G14</f>
        <v>2.6651369945751794E-2</v>
      </c>
      <c r="H23" s="211">
        <f t="shared" si="1"/>
        <v>1.0834702813549077E-3</v>
      </c>
      <c r="I23" s="398">
        <f>+I22/I14</f>
        <v>1.9263299607757241E-2</v>
      </c>
      <c r="J23" s="614">
        <f t="shared" si="2"/>
        <v>7.3880703379945525E-3</v>
      </c>
      <c r="K23" s="211">
        <f>+K22/K14</f>
        <v>2.5567899664396886E-2</v>
      </c>
      <c r="L23" s="398">
        <f>+L22/L14</f>
        <v>2.6651369945751794E-2</v>
      </c>
      <c r="M23" s="211">
        <f t="shared" si="3"/>
        <v>1.0834702813549077E-3</v>
      </c>
      <c r="N23" s="398">
        <f>+N22/N14</f>
        <v>1.9263299607757241E-2</v>
      </c>
      <c r="O23" s="388">
        <f t="shared" si="4"/>
        <v>7.3880703379945525E-3</v>
      </c>
      <c r="P23" s="77"/>
      <c r="Q23" s="77"/>
    </row>
    <row r="24" spans="4:17" ht="25.5" customHeight="1">
      <c r="D24" s="71" t="s">
        <v>124</v>
      </c>
      <c r="E24" s="90" t="s">
        <v>125</v>
      </c>
      <c r="F24" s="605">
        <f>+IFERROR(HLOOKUP($F$8,[10]판매4!$G$4:$U$50,7,),)</f>
        <v>82217.06</v>
      </c>
      <c r="G24" s="393">
        <f>+'[6]1월'!$M$19</f>
        <v>88392.314999999988</v>
      </c>
      <c r="H24" s="218">
        <f t="shared" si="1"/>
        <v>6175.2549999999901</v>
      </c>
      <c r="I24" s="393">
        <f>+IFERROR(HLOOKUP($F$8,[7]월별!$E$2:$T$53,17,),)</f>
        <v>91245.596999999994</v>
      </c>
      <c r="J24" s="606">
        <f t="shared" si="2"/>
        <v>-2853.2820000000065</v>
      </c>
      <c r="K24" s="218">
        <f>+F24</f>
        <v>82217.06</v>
      </c>
      <c r="L24" s="393">
        <f>+G24</f>
        <v>88392.314999999988</v>
      </c>
      <c r="M24" s="218">
        <f t="shared" si="3"/>
        <v>6175.2549999999901</v>
      </c>
      <c r="N24" s="393">
        <f>+I24</f>
        <v>91245.596999999994</v>
      </c>
      <c r="O24" s="386">
        <f t="shared" si="4"/>
        <v>-2853.2820000000065</v>
      </c>
      <c r="P24" s="77"/>
      <c r="Q24" s="77"/>
    </row>
    <row r="25" spans="4:17" ht="25.5" customHeight="1">
      <c r="D25" s="202"/>
      <c r="E25" s="92" t="s">
        <v>126</v>
      </c>
      <c r="F25" s="609">
        <f>+IFERROR(HLOOKUP($F$8,[10]판매4!$G$4:$U$50,31,),)+IFERROR(HLOOKUP($F$8,[10]판매4!$G$4:$U$50,34,),)</f>
        <v>39028.620000000003</v>
      </c>
      <c r="G25" s="396">
        <f>+'[6]1월'!$M$37+'[6]1월'!$M$40</f>
        <v>33772.680999999997</v>
      </c>
      <c r="H25" s="220">
        <f t="shared" si="1"/>
        <v>-5255.9390000000058</v>
      </c>
      <c r="I25" s="396">
        <f>+IFERROR(HLOOKUP($F$8,[7]월별!$E$2:$T$53,35,),)+IFERROR(HLOOKUP($F$8,[7]월별!$E$2:$T$53,38,),)</f>
        <v>4135.1470000000008</v>
      </c>
      <c r="J25" s="610">
        <f t="shared" si="2"/>
        <v>29637.533999999996</v>
      </c>
      <c r="K25" s="220">
        <f>+F25</f>
        <v>39028.620000000003</v>
      </c>
      <c r="L25" s="396">
        <f>+G25</f>
        <v>33772.680999999997</v>
      </c>
      <c r="M25" s="220">
        <f t="shared" si="3"/>
        <v>-5255.9390000000058</v>
      </c>
      <c r="N25" s="396">
        <f>+I25</f>
        <v>4135.1470000000008</v>
      </c>
      <c r="O25" s="387">
        <f t="shared" si="4"/>
        <v>29637.533999999996</v>
      </c>
      <c r="P25" s="77"/>
      <c r="Q25" s="77"/>
    </row>
    <row r="26" spans="4:17" ht="25.5" customHeight="1">
      <c r="D26" s="72"/>
      <c r="E26" s="403" t="s">
        <v>58</v>
      </c>
      <c r="F26" s="611">
        <f>SUM(F24:F25)</f>
        <v>121245.68</v>
      </c>
      <c r="G26" s="404">
        <f>SUM(G24:G25)</f>
        <v>122164.99599999998</v>
      </c>
      <c r="H26" s="405">
        <f t="shared" si="1"/>
        <v>919.31599999999162</v>
      </c>
      <c r="I26" s="404">
        <f>SUM(I24:I25)</f>
        <v>95380.743999999992</v>
      </c>
      <c r="J26" s="612">
        <f t="shared" si="2"/>
        <v>26784.251999999993</v>
      </c>
      <c r="K26" s="405">
        <f>SUM(K24:K25)</f>
        <v>121245.68</v>
      </c>
      <c r="L26" s="404">
        <f>SUM(L24:L25)</f>
        <v>122164.99599999998</v>
      </c>
      <c r="M26" s="405">
        <f t="shared" si="3"/>
        <v>919.31599999999162</v>
      </c>
      <c r="N26" s="404">
        <f>SUM(N24:N25)</f>
        <v>95380.743999999992</v>
      </c>
      <c r="O26" s="406">
        <f t="shared" si="4"/>
        <v>26784.251999999993</v>
      </c>
      <c r="P26" s="77"/>
      <c r="Q26" s="77"/>
    </row>
    <row r="27" spans="4:17" ht="25.5" customHeight="1">
      <c r="D27" s="202" t="s">
        <v>7</v>
      </c>
      <c r="E27" s="407"/>
      <c r="F27" s="452">
        <f>+F22-F26</f>
        <v>94750.483031580865</v>
      </c>
      <c r="G27" s="395">
        <f>+G22-G26</f>
        <v>75267.211000000418</v>
      </c>
      <c r="H27" s="210">
        <f t="shared" si="1"/>
        <v>-19483.272031580447</v>
      </c>
      <c r="I27" s="395">
        <f>+I22-I26</f>
        <v>74398.933999999383</v>
      </c>
      <c r="J27" s="453">
        <f t="shared" si="2"/>
        <v>868.27700000103505</v>
      </c>
      <c r="K27" s="210">
        <f>+K22-K26</f>
        <v>94750.483031580865</v>
      </c>
      <c r="L27" s="395">
        <f>+L22-L26</f>
        <v>75267.211000000418</v>
      </c>
      <c r="M27" s="210">
        <f t="shared" si="3"/>
        <v>-19483.272031580447</v>
      </c>
      <c r="N27" s="395">
        <f>+N22-N26</f>
        <v>74398.933999999383</v>
      </c>
      <c r="O27" s="233">
        <f t="shared" si="4"/>
        <v>868.27700000103505</v>
      </c>
      <c r="P27" s="77"/>
      <c r="Q27" s="77"/>
    </row>
    <row r="28" spans="4:17" ht="25.5" customHeight="1" thickBot="1">
      <c r="D28" s="202"/>
      <c r="E28" s="602" t="s">
        <v>10</v>
      </c>
      <c r="F28" s="617">
        <f>+F27/F14</f>
        <v>1.121580499071363E-2</v>
      </c>
      <c r="G28" s="618">
        <f>+G27/G14</f>
        <v>1.0160319411036954E-2</v>
      </c>
      <c r="H28" s="619">
        <f t="shared" si="1"/>
        <v>-1.0554855796766766E-3</v>
      </c>
      <c r="I28" s="618">
        <f>+I27/I14</f>
        <v>8.4413457076986005E-3</v>
      </c>
      <c r="J28" s="620">
        <f t="shared" si="2"/>
        <v>1.7189737033383532E-3</v>
      </c>
      <c r="K28" s="222">
        <f>+K27/K14</f>
        <v>1.121580499071363E-2</v>
      </c>
      <c r="L28" s="400">
        <f>+L27/L14</f>
        <v>1.0160319411036954E-2</v>
      </c>
      <c r="M28" s="222">
        <f t="shared" si="3"/>
        <v>-1.0554855796766766E-3</v>
      </c>
      <c r="N28" s="400">
        <f>+N27/N14</f>
        <v>8.4413457076986005E-3</v>
      </c>
      <c r="O28" s="390">
        <f t="shared" si="4"/>
        <v>1.7189737033383532E-3</v>
      </c>
      <c r="P28" s="77"/>
      <c r="Q28" s="77"/>
    </row>
    <row r="29" spans="4:17" ht="25.5" customHeight="1" thickTop="1">
      <c r="D29" s="735" t="s">
        <v>129</v>
      </c>
      <c r="E29" s="736"/>
      <c r="F29" s="179"/>
      <c r="G29" s="179"/>
      <c r="H29" s="179"/>
      <c r="I29" s="179"/>
      <c r="J29" s="179"/>
      <c r="K29" s="179"/>
      <c r="L29" s="179"/>
      <c r="M29" s="179"/>
      <c r="N29" s="75"/>
      <c r="O29" s="203"/>
      <c r="P29" s="77"/>
      <c r="Q29" s="77"/>
    </row>
    <row r="30" spans="4:17" ht="25.5" customHeight="1">
      <c r="D30" s="737"/>
      <c r="E30" s="738"/>
      <c r="F30" s="179"/>
      <c r="G30" s="179"/>
      <c r="H30" s="179"/>
      <c r="I30" s="179"/>
      <c r="J30" s="179"/>
      <c r="K30" s="179"/>
      <c r="L30" s="179"/>
      <c r="M30" s="179"/>
      <c r="N30" s="75"/>
      <c r="O30" s="203"/>
      <c r="P30" s="77"/>
      <c r="Q30" s="77"/>
    </row>
    <row r="31" spans="4:17" ht="25.5" customHeight="1">
      <c r="D31" s="737"/>
      <c r="E31" s="738"/>
      <c r="F31" s="179"/>
      <c r="G31" s="179"/>
      <c r="H31" s="179"/>
      <c r="I31" s="179"/>
      <c r="J31" s="179"/>
      <c r="K31" s="179"/>
      <c r="L31" s="179"/>
      <c r="M31" s="179"/>
      <c r="N31" s="75"/>
      <c r="O31" s="203"/>
      <c r="P31" s="77"/>
      <c r="Q31" s="77"/>
    </row>
    <row r="32" spans="4:17" ht="25.5" customHeight="1">
      <c r="D32" s="737"/>
      <c r="E32" s="738"/>
      <c r="F32" s="179"/>
      <c r="G32" s="179"/>
      <c r="H32" s="179"/>
      <c r="I32" s="179"/>
      <c r="J32" s="179"/>
      <c r="K32" s="179"/>
      <c r="L32" s="179"/>
      <c r="M32" s="179"/>
      <c r="N32" s="75"/>
      <c r="O32" s="203"/>
      <c r="P32" s="77"/>
      <c r="Q32" s="77"/>
    </row>
    <row r="33" spans="4:31" ht="25.5" customHeight="1">
      <c r="D33" s="737"/>
      <c r="E33" s="738"/>
      <c r="F33" s="179"/>
      <c r="G33" s="179"/>
      <c r="H33" s="179"/>
      <c r="I33" s="179"/>
      <c r="J33" s="179"/>
      <c r="K33" s="179"/>
      <c r="L33" s="179"/>
      <c r="M33" s="179"/>
      <c r="N33" s="75"/>
      <c r="O33" s="203"/>
      <c r="P33" s="77"/>
      <c r="Q33" s="77"/>
    </row>
    <row r="34" spans="4:31" ht="25.5" customHeight="1">
      <c r="D34" s="739"/>
      <c r="E34" s="740"/>
      <c r="F34" s="213"/>
      <c r="G34" s="213"/>
      <c r="H34" s="213"/>
      <c r="I34" s="213"/>
      <c r="J34" s="213"/>
      <c r="K34" s="213"/>
      <c r="L34" s="213"/>
      <c r="M34" s="213"/>
      <c r="N34" s="181"/>
      <c r="O34" s="212"/>
      <c r="R34" s="6" t="s">
        <v>164</v>
      </c>
    </row>
    <row r="35" spans="4:31" ht="21.95" customHeight="1"/>
    <row r="36" spans="4:31" ht="21.95" customHeight="1">
      <c r="F36" s="6">
        <f>+IFERROR(HLOOKUP($F$8,[10]손익!$G$5:$AJ$65,17,),)</f>
        <v>94750.48303158085</v>
      </c>
      <c r="G36" s="6">
        <f>+'[6]1월'!$M$41</f>
        <v>75267.211000000418</v>
      </c>
      <c r="I36" s="6">
        <f>+IFERROR(HLOOKUP($F$8,[7]월별!$E$2:$T$53,39,),)</f>
        <v>74398.933999999368</v>
      </c>
      <c r="K36" s="6">
        <f>+'[6]1월'!$V$41</f>
        <v>94750.48303158085</v>
      </c>
      <c r="L36" s="6">
        <f>+'[6]1월'!$W$41</f>
        <v>75267.211000000418</v>
      </c>
      <c r="N36" s="6">
        <f>+'[7]1월'!$W$41</f>
        <v>74398.933999999368</v>
      </c>
      <c r="R36" s="538"/>
      <c r="S36" s="627" t="s">
        <v>180</v>
      </c>
      <c r="T36" s="627" t="s">
        <v>179</v>
      </c>
      <c r="U36" s="627" t="s">
        <v>181</v>
      </c>
      <c r="V36" s="627" t="s">
        <v>173</v>
      </c>
      <c r="W36" s="627" t="s">
        <v>182</v>
      </c>
      <c r="X36" s="627" t="s">
        <v>183</v>
      </c>
      <c r="Y36" s="627" t="s">
        <v>185</v>
      </c>
      <c r="Z36" s="627" t="s">
        <v>189</v>
      </c>
      <c r="AA36" s="627" t="s">
        <v>190</v>
      </c>
      <c r="AB36" s="627" t="s">
        <v>191</v>
      </c>
      <c r="AC36" s="627" t="s">
        <v>192</v>
      </c>
      <c r="AD36" s="627" t="s">
        <v>193</v>
      </c>
      <c r="AE36" s="627" t="s">
        <v>180</v>
      </c>
    </row>
    <row r="37" spans="4:31" ht="21.95" customHeight="1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1</v>
      </c>
      <c r="L37" s="6" t="b">
        <f>+L27=L36</f>
        <v>1</v>
      </c>
      <c r="N37" s="6" t="b">
        <f>+N27=N36</f>
        <v>1</v>
      </c>
      <c r="R37" s="214" t="s">
        <v>121</v>
      </c>
      <c r="S37" s="224" t="s">
        <v>180</v>
      </c>
      <c r="T37" s="224" t="s">
        <v>179</v>
      </c>
      <c r="U37" s="224" t="s">
        <v>181</v>
      </c>
      <c r="V37" s="224" t="s">
        <v>173</v>
      </c>
      <c r="W37" s="224" t="s">
        <v>182</v>
      </c>
      <c r="X37" s="224" t="s">
        <v>183</v>
      </c>
      <c r="Y37" s="224" t="s">
        <v>185</v>
      </c>
      <c r="Z37" s="224" t="str">
        <f t="shared" ref="Z37:AE37" si="7">+Z36</f>
        <v>8월</v>
      </c>
      <c r="AA37" s="224" t="str">
        <f t="shared" si="7"/>
        <v>9월</v>
      </c>
      <c r="AB37" s="224" t="str">
        <f t="shared" si="7"/>
        <v>10월</v>
      </c>
      <c r="AC37" s="224" t="str">
        <f t="shared" si="7"/>
        <v>11월</v>
      </c>
      <c r="AD37" s="224" t="str">
        <f t="shared" si="7"/>
        <v>12월</v>
      </c>
      <c r="AE37" s="224" t="str">
        <f t="shared" si="7"/>
        <v>1월</v>
      </c>
    </row>
    <row r="38" spans="4:31" ht="21.95" customHeight="1">
      <c r="K38" s="628">
        <f>+K27-K36</f>
        <v>0</v>
      </c>
      <c r="L38" s="628">
        <f>+L27-L36</f>
        <v>0</v>
      </c>
      <c r="N38" s="99">
        <f>+N27-N36</f>
        <v>0</v>
      </c>
      <c r="R38" s="215" t="s">
        <v>127</v>
      </c>
      <c r="S38" s="74">
        <f>+IFERROR(HLOOKUP(S$36,[7]월별!$E$2:$S$67,42,),)</f>
        <v>1098907.8680546847</v>
      </c>
      <c r="T38" s="74">
        <f>+IFERROR(HLOOKUP(T$36,[7]월별!$E$2:$S$67,42,),)</f>
        <v>1027486.9738044508</v>
      </c>
      <c r="U38" s="74">
        <f>+IFERROR(HLOOKUP(U$36,[7]월별!$E$2:$S$67,42,),)</f>
        <v>1030973.3939193247</v>
      </c>
      <c r="V38" s="74">
        <f>+IFERROR(HLOOKUP(V$36,[7]월별!$E$2:$S$67,42,),)</f>
        <v>1048311.1321207784</v>
      </c>
      <c r="W38" s="74">
        <f>+IFERROR(HLOOKUP(W$36,[7]월별!$E$2:$S$67,42,),)</f>
        <v>1064717.6492676102</v>
      </c>
      <c r="X38" s="74">
        <f>+IFERROR(HLOOKUP(X$36,[7]월별!$E$2:$S$67,42,),)</f>
        <v>1043902.0889611768</v>
      </c>
      <c r="Y38" s="74">
        <f>+IFERROR(HLOOKUP(Y$36,[7]월별!$E$2:$S$67,42,),)</f>
        <v>1025254.3120930659</v>
      </c>
      <c r="Z38" s="74">
        <f>+IFERROR(HLOOKUP(Z$36,[7]월별!$E$2:$S$67,42,),)</f>
        <v>957693.63511625899</v>
      </c>
      <c r="AA38" s="74">
        <f>+IFERROR(HLOOKUP(AA$36,[7]월별!$E$2:$S$67,42,),)</f>
        <v>1007624.1816933632</v>
      </c>
      <c r="AB38" s="74">
        <f>+IFERROR(HLOOKUP(AB$36,[7]월별!$E$2:$S$67,42,),)</f>
        <v>964243.14311560732</v>
      </c>
      <c r="AC38" s="74">
        <f>+IFERROR(HLOOKUP(AC$36,[7]월별!$E$2:$S$67,42,),)</f>
        <v>985246.58044154115</v>
      </c>
      <c r="AD38" s="74">
        <f>+IFERROR(HLOOKUP(AD$36,[7]월별!$E$2:$S$67,42,),)</f>
        <v>951341.4287927025</v>
      </c>
      <c r="AE38" s="74">
        <f>+IFERROR(HLOOKUP(AE$36,[6]월별!$E$2:$S$67,42,),)</f>
        <v>920730.85338998202</v>
      </c>
    </row>
    <row r="39" spans="4:31" ht="21.95" customHeight="1">
      <c r="R39" s="216" t="s">
        <v>128</v>
      </c>
      <c r="S39" s="217">
        <f>+IFERROR(HLOOKUP(S$36,[7]월별!$E$2:$S$67,43,),)</f>
        <v>1.9263299607757241E-2</v>
      </c>
      <c r="T39" s="217">
        <f>+IFERROR(HLOOKUP(T$36,[7]월별!$E$2:$S$67,43,),)</f>
        <v>2.0328430506478493E-2</v>
      </c>
      <c r="U39" s="217">
        <f>+IFERROR(HLOOKUP(U$36,[7]월별!$E$2:$S$67,43,),)</f>
        <v>1.815970186077798E-2</v>
      </c>
      <c r="V39" s="217">
        <f>+IFERROR(HLOOKUP(V$36,[7]월별!$E$2:$S$67,43,),)</f>
        <v>2.0783119934692784E-2</v>
      </c>
      <c r="W39" s="217">
        <f>+IFERROR(HLOOKUP(W$36,[7]월별!$E$2:$S$67,43,),)</f>
        <v>1.8530156032889104E-2</v>
      </c>
      <c r="X39" s="217">
        <f>+IFERROR(HLOOKUP(X$36,[7]월별!$E$2:$S$67,43,),)</f>
        <v>2.338088905753952E-2</v>
      </c>
      <c r="Y39" s="217">
        <f>+IFERROR(HLOOKUP(Y$36,[7]월별!$E$2:$S$67,43,),)</f>
        <v>2.4066421287530761E-2</v>
      </c>
      <c r="Z39" s="217">
        <f>+IFERROR(HLOOKUP(Z$36,[7]월별!$E$2:$S$67,43,),)</f>
        <v>2.751551238666371E-2</v>
      </c>
      <c r="AA39" s="217">
        <f>+IFERROR(HLOOKUP(AA$36,[7]월별!$E$2:$S$67,43,),)</f>
        <v>1.6738202604907604E-2</v>
      </c>
      <c r="AB39" s="217">
        <f>+IFERROR(HLOOKUP(AB$36,[7]월별!$E$2:$S$67,43,),)</f>
        <v>1.8118540365804674E-2</v>
      </c>
      <c r="AC39" s="217">
        <f>+IFERROR(HLOOKUP(AC$36,[7]월별!$E$2:$S$67,43,),)</f>
        <v>1.7419708473984639E-2</v>
      </c>
      <c r="AD39" s="217">
        <f>+IFERROR(HLOOKUP(AD$36,[7]월별!$E$2:$S$67,43,),)</f>
        <v>2.0746012557623313E-2</v>
      </c>
      <c r="AE39" s="217">
        <f>+IFERROR(HLOOKUP(AE$36,[7]월별!$E$2:$S$67,43,),)</f>
        <v>1.9263299607757241E-2</v>
      </c>
    </row>
    <row r="40" spans="4:31" ht="21.95" customHeight="1"/>
    <row r="41" spans="4:31" ht="21.95" customHeight="1"/>
    <row r="42" spans="4:31" ht="21.95" customHeight="1"/>
    <row r="43" spans="4:31" ht="21.95" customHeight="1"/>
    <row r="44" spans="4:31" ht="21.95" customHeight="1"/>
    <row r="45" spans="4:31" ht="21.95" customHeight="1"/>
    <row r="46" spans="4:31" ht="21.95" customHeight="1"/>
    <row r="47" spans="4:31" ht="21.95" customHeight="1"/>
    <row r="48" spans="4:31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>
      <c r="A1" s="457" t="s">
        <v>180</v>
      </c>
    </row>
    <row r="2" spans="1:33" ht="9.75" customHeight="1"/>
    <row r="3" spans="1:33" ht="9.9499999999999993" customHeight="1"/>
    <row r="4" spans="1:33" ht="31.5">
      <c r="D4" s="198" t="s">
        <v>215</v>
      </c>
      <c r="F4" s="198"/>
      <c r="I4" s="198"/>
    </row>
    <row r="5" spans="1:33" ht="21.95" customHeight="1" thickBot="1">
      <c r="J5" s="76"/>
      <c r="Y5" s="76"/>
      <c r="AB5" s="76"/>
      <c r="AD5" s="200" t="s">
        <v>167</v>
      </c>
    </row>
    <row r="6" spans="1:33" ht="24" customHeight="1" thickTop="1">
      <c r="D6" s="310" t="s">
        <v>15</v>
      </c>
      <c r="E6" s="744" t="s">
        <v>11</v>
      </c>
      <c r="F6" s="745"/>
      <c r="G6" s="308" t="s">
        <v>140</v>
      </c>
      <c r="H6" s="307"/>
      <c r="I6" s="307"/>
      <c r="J6" s="307" t="s">
        <v>139</v>
      </c>
      <c r="K6" s="307"/>
      <c r="L6" s="309"/>
      <c r="M6" s="423" t="s">
        <v>138</v>
      </c>
      <c r="N6" s="424"/>
      <c r="O6" s="425"/>
      <c r="P6" s="308" t="s">
        <v>186</v>
      </c>
      <c r="Q6" s="307"/>
      <c r="R6" s="307"/>
      <c r="S6" s="307" t="s">
        <v>187</v>
      </c>
      <c r="T6" s="307"/>
      <c r="U6" s="309"/>
      <c r="V6" s="423" t="s">
        <v>188</v>
      </c>
      <c r="W6" s="424"/>
      <c r="X6" s="425"/>
      <c r="Y6" s="422" t="s">
        <v>137</v>
      </c>
      <c r="Z6" s="307"/>
      <c r="AA6" s="309"/>
      <c r="AB6" s="423" t="s">
        <v>136</v>
      </c>
      <c r="AC6" s="424"/>
      <c r="AD6" s="425"/>
    </row>
    <row r="7" spans="1:33" ht="24" customHeight="1">
      <c r="D7" s="306"/>
      <c r="E7" s="746"/>
      <c r="F7" s="747"/>
      <c r="G7" s="302" t="s">
        <v>12</v>
      </c>
      <c r="H7" s="408" t="s">
        <v>13</v>
      </c>
      <c r="I7" s="305" t="s">
        <v>36</v>
      </c>
      <c r="J7" s="304" t="s">
        <v>15</v>
      </c>
      <c r="K7" s="408" t="s">
        <v>16</v>
      </c>
      <c r="L7" s="303" t="s">
        <v>36</v>
      </c>
      <c r="M7" s="426" t="s">
        <v>15</v>
      </c>
      <c r="N7" s="408" t="s">
        <v>16</v>
      </c>
      <c r="O7" s="427" t="s">
        <v>36</v>
      </c>
      <c r="P7" s="302" t="s">
        <v>12</v>
      </c>
      <c r="Q7" s="408" t="s">
        <v>13</v>
      </c>
      <c r="R7" s="305" t="s">
        <v>36</v>
      </c>
      <c r="S7" s="304" t="s">
        <v>15</v>
      </c>
      <c r="T7" s="408" t="s">
        <v>16</v>
      </c>
      <c r="U7" s="303" t="s">
        <v>36</v>
      </c>
      <c r="V7" s="426" t="s">
        <v>15</v>
      </c>
      <c r="W7" s="408" t="s">
        <v>16</v>
      </c>
      <c r="X7" s="427" t="s">
        <v>36</v>
      </c>
      <c r="Y7" s="303" t="s">
        <v>15</v>
      </c>
      <c r="Z7" s="408" t="s">
        <v>16</v>
      </c>
      <c r="AA7" s="303" t="s">
        <v>36</v>
      </c>
      <c r="AB7" s="426" t="s">
        <v>15</v>
      </c>
      <c r="AC7" s="408" t="s">
        <v>16</v>
      </c>
      <c r="AD7" s="427" t="s">
        <v>36</v>
      </c>
    </row>
    <row r="8" spans="1:33" ht="24" customHeight="1">
      <c r="D8" s="77"/>
      <c r="E8" s="279" t="s">
        <v>110</v>
      </c>
      <c r="F8" s="278" t="s">
        <v>132</v>
      </c>
      <c r="G8" s="274">
        <f>+IFERROR(HLOOKUP($A$1,[11]손익요약!$G$5:$AL$106,3,),)</f>
        <v>11456.2</v>
      </c>
      <c r="H8" s="409">
        <f>+'[8]서부산크라샤(당월)'!$F$66</f>
        <v>11952</v>
      </c>
      <c r="I8" s="277">
        <f>H8-G8</f>
        <v>495.79999999999927</v>
      </c>
      <c r="J8" s="276">
        <f>+IFERROR(HLOOKUP($A$1,[11]손익요약!$G$5:$AL$106,6,),)</f>
        <v>915.60000000000014</v>
      </c>
      <c r="K8" s="409">
        <f>+'[8]서부산크라샤(당월)'!$I$66</f>
        <v>1024</v>
      </c>
      <c r="L8" s="275">
        <f>K8-J8</f>
        <v>108.39999999999986</v>
      </c>
      <c r="M8" s="428">
        <f>+G8+J8</f>
        <v>12371.800000000001</v>
      </c>
      <c r="N8" s="409">
        <f>+H8+K8</f>
        <v>12976</v>
      </c>
      <c r="O8" s="429">
        <f>N8-M8</f>
        <v>604.19999999999891</v>
      </c>
      <c r="P8" s="274">
        <f>+IFERROR(HLOOKUP($A$1,[12]손익요약!$G$5:$AL$106,3,),)</f>
        <v>9859.7553407028245</v>
      </c>
      <c r="Q8" s="409">
        <f>+'[8]부산크라샤(당월)'!$F$66</f>
        <v>12369</v>
      </c>
      <c r="R8" s="277">
        <f>Q8-P8</f>
        <v>2509.2446592971755</v>
      </c>
      <c r="S8" s="276">
        <f>+IFERROR(HLOOKUP($A$1,[12]손익요약!$G$5:$AL$106,6,),)</f>
        <v>8810.5446248949956</v>
      </c>
      <c r="T8" s="409">
        <f>+'[8]부산크라샤(당월)'!$I$66</f>
        <v>12431</v>
      </c>
      <c r="U8" s="275">
        <f>T8-S8</f>
        <v>3620.4553751050044</v>
      </c>
      <c r="V8" s="428">
        <f>+P8+S8</f>
        <v>18670.29996559782</v>
      </c>
      <c r="W8" s="409">
        <f>+Q8+T8</f>
        <v>24800</v>
      </c>
      <c r="X8" s="429">
        <f>W8-V8</f>
        <v>6129.7000344021799</v>
      </c>
      <c r="Y8" s="275">
        <f>+IFERROR(HLOOKUP($A$1,[13]손익계획!$G$5:$AX$449,3,),)</f>
        <v>16586.870682990953</v>
      </c>
      <c r="Z8" s="409">
        <f>+'[8]부산모래장(당월)'!$R$48</f>
        <v>17960</v>
      </c>
      <c r="AA8" s="275">
        <f>Z8-Y8</f>
        <v>1373.1293170090466</v>
      </c>
      <c r="AB8" s="428">
        <f>+M8+V8+Y8</f>
        <v>47628.970648588773</v>
      </c>
      <c r="AC8" s="409">
        <f>+N8+W8+Z8</f>
        <v>55736</v>
      </c>
      <c r="AD8" s="429">
        <f>AC8-AB8</f>
        <v>8107.0293514112273</v>
      </c>
    </row>
    <row r="9" spans="1:33" ht="24" customHeight="1">
      <c r="D9" s="77"/>
      <c r="E9" s="296"/>
      <c r="F9" s="301" t="s">
        <v>10</v>
      </c>
      <c r="G9" s="297">
        <f>+G8/G$12</f>
        <v>1</v>
      </c>
      <c r="H9" s="410">
        <f>+H8/H$12</f>
        <v>0.47248576850094876</v>
      </c>
      <c r="I9" s="300">
        <f>+H9-G9</f>
        <v>-0.5275142314990513</v>
      </c>
      <c r="J9" s="299">
        <f>+J8/J$12</f>
        <v>1</v>
      </c>
      <c r="K9" s="410">
        <f>+K8/K$12</f>
        <v>0.39751552795031053</v>
      </c>
      <c r="L9" s="298">
        <f>+K9-J9</f>
        <v>-0.60248447204968947</v>
      </c>
      <c r="M9" s="430">
        <f>+M8/M$12</f>
        <v>1</v>
      </c>
      <c r="N9" s="410">
        <f>+N8/N$12</f>
        <v>0.46555683122847302</v>
      </c>
      <c r="O9" s="431">
        <f>+N9-M9</f>
        <v>-0.53444316877152698</v>
      </c>
      <c r="P9" s="297">
        <f>+P8/P$12</f>
        <v>0.62168394965075735</v>
      </c>
      <c r="Q9" s="410">
        <f>+Q8/Q$12</f>
        <v>0.82941058137195733</v>
      </c>
      <c r="R9" s="300">
        <f>+Q9-P9</f>
        <v>0.20772663172119998</v>
      </c>
      <c r="S9" s="299">
        <f>+S8/S$12</f>
        <v>0.37002700961670465</v>
      </c>
      <c r="T9" s="410">
        <f>+T8/T$12</f>
        <v>0.85571694086872718</v>
      </c>
      <c r="U9" s="298">
        <f>+T9-S9</f>
        <v>0.48568993125202253</v>
      </c>
      <c r="V9" s="430">
        <f>+V8/V$12</f>
        <v>0.47063672273183588</v>
      </c>
      <c r="W9" s="410">
        <f>+W8/W$12</f>
        <v>0.84239130434782605</v>
      </c>
      <c r="X9" s="431">
        <f>+W9-V9</f>
        <v>0.37175458161599018</v>
      </c>
      <c r="Y9" s="298">
        <f>+Y8/Y$12</f>
        <v>0.67462309038236612</v>
      </c>
      <c r="Z9" s="410">
        <f>+Z8/Z$12</f>
        <v>0.66017276235986033</v>
      </c>
      <c r="AA9" s="298">
        <f>+Z9-Y9</f>
        <v>-1.4450328022505787E-2</v>
      </c>
      <c r="AB9" s="430">
        <f>+AB8/AB$12</f>
        <v>0.62155305291792962</v>
      </c>
      <c r="AC9" s="410">
        <f>+AC8/AC$12</f>
        <v>0.65946495971224728</v>
      </c>
      <c r="AD9" s="431">
        <f>+AC9-AB9</f>
        <v>3.7911906794317662E-2</v>
      </c>
    </row>
    <row r="10" spans="1:33" ht="24" customHeight="1">
      <c r="D10" s="272"/>
      <c r="E10" s="296"/>
      <c r="F10" s="295" t="s">
        <v>135</v>
      </c>
      <c r="G10" s="291">
        <f>+IFERROR(HLOOKUP($A$1,[11]손익요약!$G$5:$AL$106,2,),)</f>
        <v>0</v>
      </c>
      <c r="H10" s="411">
        <f>+'[8]서부산크라샤(당월)'!$F$59</f>
        <v>13344</v>
      </c>
      <c r="I10" s="294">
        <f>H10-G10</f>
        <v>13344</v>
      </c>
      <c r="J10" s="293">
        <f>+IFERROR(HLOOKUP($A$1,[11]손익요약!$G$5:$AL$106,5,),)</f>
        <v>0</v>
      </c>
      <c r="K10" s="411">
        <f>+'[8]서부산크라샤(당월)'!$I$59</f>
        <v>1552</v>
      </c>
      <c r="L10" s="292">
        <f>K10-J10</f>
        <v>1552</v>
      </c>
      <c r="M10" s="432">
        <f>+G10+J10</f>
        <v>0</v>
      </c>
      <c r="N10" s="411">
        <f>+H10+K10</f>
        <v>14896</v>
      </c>
      <c r="O10" s="433">
        <f>N10-M10</f>
        <v>14896</v>
      </c>
      <c r="P10" s="291">
        <f>+IFERROR(HLOOKUP($A$1,[12]손익요약!$G$5:$AL$106,2,),)</f>
        <v>6000</v>
      </c>
      <c r="Q10" s="411">
        <f>+'[8]부산크라샤(당월)'!$F$59</f>
        <v>2544</v>
      </c>
      <c r="R10" s="294">
        <f>Q10-P10</f>
        <v>-3456</v>
      </c>
      <c r="S10" s="293">
        <f>+IFERROR(HLOOKUP($A$1,[12]손익요약!$G$5:$AL$106,5,),)</f>
        <v>15000</v>
      </c>
      <c r="T10" s="411">
        <f>+'[8]부산크라샤(당월)'!$I$59</f>
        <v>2096</v>
      </c>
      <c r="U10" s="292">
        <f>T10-S10</f>
        <v>-12904</v>
      </c>
      <c r="V10" s="432">
        <f>+P10+S10</f>
        <v>21000</v>
      </c>
      <c r="W10" s="411">
        <f>+Q10+T10</f>
        <v>4640</v>
      </c>
      <c r="X10" s="433">
        <f>W10-V10</f>
        <v>-16360</v>
      </c>
      <c r="Y10" s="292">
        <f>+IFERROR(HLOOKUP($A$1,[13]손익계획!$G$5:$AX$449,2,),)</f>
        <v>8000</v>
      </c>
      <c r="Z10" s="411">
        <f>+'[8]부산모래장(당월)'!$R$47</f>
        <v>9245</v>
      </c>
      <c r="AA10" s="292">
        <f>Z10-Y10</f>
        <v>1245</v>
      </c>
      <c r="AB10" s="432">
        <f>+M10+V10+Y10</f>
        <v>29000</v>
      </c>
      <c r="AC10" s="411">
        <f>+N10+W10+Z10</f>
        <v>28781</v>
      </c>
      <c r="AD10" s="433">
        <f>AC10-AB10</f>
        <v>-219</v>
      </c>
    </row>
    <row r="11" spans="1:33" ht="24" customHeight="1">
      <c r="D11" s="272"/>
      <c r="E11" s="273"/>
      <c r="F11" s="290" t="s">
        <v>10</v>
      </c>
      <c r="G11" s="286">
        <f>+G10/G$12</f>
        <v>0</v>
      </c>
      <c r="H11" s="412">
        <f>+H10/H$12</f>
        <v>0.52751423149905119</v>
      </c>
      <c r="I11" s="289">
        <f>+H11-G11</f>
        <v>0.52751423149905119</v>
      </c>
      <c r="J11" s="288">
        <f>+J10/J$12</f>
        <v>0</v>
      </c>
      <c r="K11" s="412">
        <f>+K10/K$12</f>
        <v>0.60248447204968947</v>
      </c>
      <c r="L11" s="287">
        <f>+K11-J11</f>
        <v>0.60248447204968947</v>
      </c>
      <c r="M11" s="434">
        <f>+M10/M$12</f>
        <v>0</v>
      </c>
      <c r="N11" s="412">
        <f>+N10/N$12</f>
        <v>0.53444316877152698</v>
      </c>
      <c r="O11" s="435">
        <f>+N11-M11</f>
        <v>0.53444316877152698</v>
      </c>
      <c r="P11" s="286">
        <f>+P10/P$12</f>
        <v>0.37831605034924265</v>
      </c>
      <c r="Q11" s="412">
        <f>+Q10/Q$12</f>
        <v>0.17058941862804264</v>
      </c>
      <c r="R11" s="289">
        <f>+Q11-P11</f>
        <v>-0.20772663172120001</v>
      </c>
      <c r="S11" s="288">
        <f>+S10/S$12</f>
        <v>0.62997299038329535</v>
      </c>
      <c r="T11" s="412">
        <f>+T10/T$12</f>
        <v>0.14428305913127279</v>
      </c>
      <c r="U11" s="287">
        <f>+T11-S11</f>
        <v>-0.48568993125202253</v>
      </c>
      <c r="V11" s="434">
        <f>+V10/V$12</f>
        <v>0.52936327726816412</v>
      </c>
      <c r="W11" s="412">
        <f>+W10/W$12</f>
        <v>0.15760869565217392</v>
      </c>
      <c r="X11" s="435">
        <f>+W11-V11</f>
        <v>-0.37175458161599018</v>
      </c>
      <c r="Y11" s="287">
        <f>+Y10/Y$12</f>
        <v>0.32537690961763388</v>
      </c>
      <c r="Z11" s="412">
        <f>+Z10/Z$12</f>
        <v>0.33982723764013967</v>
      </c>
      <c r="AA11" s="287">
        <f>+Z11-Y11</f>
        <v>1.4450328022505787E-2</v>
      </c>
      <c r="AB11" s="434">
        <f>+AB10/AB$12</f>
        <v>0.37844694708207038</v>
      </c>
      <c r="AC11" s="412">
        <f>+AC10/AC$12</f>
        <v>0.34053504028775278</v>
      </c>
      <c r="AD11" s="435">
        <f>+AC11-AB11</f>
        <v>-3.7911906794317607E-2</v>
      </c>
    </row>
    <row r="12" spans="1:33" ht="24" customHeight="1">
      <c r="D12" s="272"/>
      <c r="E12" s="285"/>
      <c r="F12" s="284" t="s">
        <v>43</v>
      </c>
      <c r="G12" s="280">
        <f>G8+G10</f>
        <v>11456.2</v>
      </c>
      <c r="H12" s="413">
        <f>H8+H10</f>
        <v>25296</v>
      </c>
      <c r="I12" s="283">
        <f t="shared" ref="I12:I32" si="0">H12-G12</f>
        <v>13839.8</v>
      </c>
      <c r="J12" s="282">
        <f>J8+J10</f>
        <v>915.60000000000014</v>
      </c>
      <c r="K12" s="413">
        <f>K8+K10</f>
        <v>2576</v>
      </c>
      <c r="L12" s="281">
        <f t="shared" ref="L12:L32" si="1">K12-J12</f>
        <v>1660.3999999999999</v>
      </c>
      <c r="M12" s="436">
        <f>M8+M10</f>
        <v>12371.800000000001</v>
      </c>
      <c r="N12" s="413">
        <f>N8+N10</f>
        <v>27872</v>
      </c>
      <c r="O12" s="437">
        <f t="shared" ref="O12:O32" si="2">N12-M12</f>
        <v>15500.199999999999</v>
      </c>
      <c r="P12" s="280">
        <f>P8+P10</f>
        <v>15859.755340702824</v>
      </c>
      <c r="Q12" s="413">
        <f>Q8+Q10</f>
        <v>14913</v>
      </c>
      <c r="R12" s="283">
        <f t="shared" ref="R12:R32" si="3">Q12-P12</f>
        <v>-946.75534070282447</v>
      </c>
      <c r="S12" s="282">
        <f>S8+S10</f>
        <v>23810.544624894996</v>
      </c>
      <c r="T12" s="413">
        <f>T8+T10</f>
        <v>14527</v>
      </c>
      <c r="U12" s="281">
        <f t="shared" ref="U12:U32" si="4">T12-S12</f>
        <v>-9283.5446248949956</v>
      </c>
      <c r="V12" s="436">
        <f>V8+V10</f>
        <v>39670.29996559782</v>
      </c>
      <c r="W12" s="413">
        <f>W8+W10</f>
        <v>29440</v>
      </c>
      <c r="X12" s="437">
        <f t="shared" ref="X12:X32" si="5">W12-V12</f>
        <v>-10230.29996559782</v>
      </c>
      <c r="Y12" s="281">
        <f>Y8+Y10</f>
        <v>24586.870682990953</v>
      </c>
      <c r="Z12" s="413">
        <f>Z8+Z10</f>
        <v>27205</v>
      </c>
      <c r="AA12" s="281">
        <f t="shared" ref="AA12:AA32" si="6">Z12-Y12</f>
        <v>2618.1293170090466</v>
      </c>
      <c r="AB12" s="436">
        <f>AB8+AB10</f>
        <v>76628.970648588773</v>
      </c>
      <c r="AC12" s="413">
        <f>AC8+AC10</f>
        <v>84517</v>
      </c>
      <c r="AD12" s="437">
        <f t="shared" ref="AD12:AD32" si="7">AC12-AB12</f>
        <v>7888.0293514112273</v>
      </c>
      <c r="AF12" s="6">
        <f>+'사업장별(당월)'!J32*1000</f>
        <v>76628.970648588773</v>
      </c>
      <c r="AG12" s="6">
        <f>+'사업장별(당월)'!K32*1000</f>
        <v>84517</v>
      </c>
    </row>
    <row r="13" spans="1:33" ht="24" customHeight="1">
      <c r="D13" s="272"/>
      <c r="E13" s="279" t="s">
        <v>77</v>
      </c>
      <c r="F13" s="278" t="s">
        <v>132</v>
      </c>
      <c r="G13" s="274">
        <f>+IFERROR(HLOOKUP($A$1,[11]손익요약!$G$5:$AL$106,15,),)</f>
        <v>183299.20000000001</v>
      </c>
      <c r="H13" s="409">
        <f>+'[8]서부산크라샤(당월)'!$F$72</f>
        <v>193456</v>
      </c>
      <c r="I13" s="277">
        <f t="shared" si="0"/>
        <v>10156.799999999988</v>
      </c>
      <c r="J13" s="276">
        <f>+IFERROR(HLOOKUP($A$1,[11]손익요약!$G$5:$AL$106,18,),)</f>
        <v>9613.8000000000011</v>
      </c>
      <c r="K13" s="409">
        <f>+'[8]서부산크라샤(당월)'!$I$72</f>
        <v>10176</v>
      </c>
      <c r="L13" s="275">
        <f t="shared" si="1"/>
        <v>562.19999999999891</v>
      </c>
      <c r="M13" s="428">
        <f>+G13+J13</f>
        <v>192913</v>
      </c>
      <c r="N13" s="409">
        <f>+H13+K13</f>
        <v>203632</v>
      </c>
      <c r="O13" s="429">
        <f t="shared" si="2"/>
        <v>10719</v>
      </c>
      <c r="P13" s="274">
        <f>+IFERROR(HLOOKUP($A$1,[12]손익요약!$G$5:$AL$106,12,),)</f>
        <v>157756.08545124519</v>
      </c>
      <c r="Q13" s="409">
        <f>+'[8]부산크라샤(당월)'!$F$72</f>
        <v>215489.5</v>
      </c>
      <c r="R13" s="277">
        <f t="shared" si="3"/>
        <v>57733.414548754808</v>
      </c>
      <c r="S13" s="276">
        <f>+IFERROR(HLOOKUP($A$1,[12]손익요약!$G$5:$AL$106,15,),)</f>
        <v>194650.76637258488</v>
      </c>
      <c r="T13" s="409">
        <f>+'[8]부산크라샤(당월)'!$I$72</f>
        <v>277776.5</v>
      </c>
      <c r="U13" s="275">
        <f t="shared" si="4"/>
        <v>83125.733627415117</v>
      </c>
      <c r="V13" s="428">
        <f>+P13+S13</f>
        <v>352406.85182383005</v>
      </c>
      <c r="W13" s="409">
        <f>+Q13+T13</f>
        <v>493266</v>
      </c>
      <c r="X13" s="429">
        <f t="shared" si="5"/>
        <v>140859.14817616995</v>
      </c>
      <c r="Y13" s="275">
        <f>+IFERROR(HLOOKUP($A$1,[13]손익계획!$G$5:$AX$449,6,),)</f>
        <v>469843.14324381144</v>
      </c>
      <c r="Z13" s="409">
        <f>+'[8]부산모래장(당월)'!$R$54</f>
        <v>518456</v>
      </c>
      <c r="AA13" s="275">
        <f t="shared" si="6"/>
        <v>48612.856756188557</v>
      </c>
      <c r="AB13" s="428">
        <f>+M13+V13+Y13</f>
        <v>1015162.9950676415</v>
      </c>
      <c r="AC13" s="409">
        <f>+N13+W13+Z13</f>
        <v>1215354</v>
      </c>
      <c r="AD13" s="429">
        <f t="shared" si="7"/>
        <v>200191.00493235851</v>
      </c>
      <c r="AF13" s="6" t="b">
        <f>+AF12=AB12</f>
        <v>1</v>
      </c>
      <c r="AG13" s="6" t="b">
        <f>+AG12=AC12</f>
        <v>1</v>
      </c>
    </row>
    <row r="14" spans="1:33" ht="24" customHeight="1">
      <c r="D14" s="272"/>
      <c r="E14" s="273"/>
      <c r="F14" s="271" t="s">
        <v>131</v>
      </c>
      <c r="G14" s="267">
        <f>+G13/G8*1000</f>
        <v>16000</v>
      </c>
      <c r="H14" s="414">
        <f>+H13/H8*1000</f>
        <v>16186.07764390897</v>
      </c>
      <c r="I14" s="270">
        <f t="shared" si="0"/>
        <v>186.07764390896955</v>
      </c>
      <c r="J14" s="269">
        <f>+J13/J8*1000</f>
        <v>10500</v>
      </c>
      <c r="K14" s="414">
        <f>+K13/K8*1000</f>
        <v>9937.5</v>
      </c>
      <c r="L14" s="268">
        <f t="shared" si="1"/>
        <v>-562.5</v>
      </c>
      <c r="M14" s="438">
        <f>+M13/M8*1000</f>
        <v>15592.961412243973</v>
      </c>
      <c r="N14" s="414">
        <f>+N13/N8*1000</f>
        <v>15692.971639950678</v>
      </c>
      <c r="O14" s="439">
        <f t="shared" si="2"/>
        <v>100.01022770670534</v>
      </c>
      <c r="P14" s="267">
        <f>+P13/P8*1000</f>
        <v>16000</v>
      </c>
      <c r="Q14" s="414">
        <f>+Q13/Q8*1000</f>
        <v>17421.739833454605</v>
      </c>
      <c r="R14" s="270">
        <f t="shared" si="3"/>
        <v>1421.7398334546051</v>
      </c>
      <c r="S14" s="269">
        <f>+S13/S8*1000</f>
        <v>22092.932350922034</v>
      </c>
      <c r="T14" s="414">
        <f>+T13/T8*1000</f>
        <v>22345.466977716998</v>
      </c>
      <c r="U14" s="268">
        <f t="shared" si="4"/>
        <v>252.53462679496442</v>
      </c>
      <c r="V14" s="438">
        <f>+V13/V8*1000</f>
        <v>18875.264589919832</v>
      </c>
      <c r="W14" s="414">
        <f>+W13/W8*1000</f>
        <v>19889.758064516129</v>
      </c>
      <c r="X14" s="439">
        <f t="shared" si="5"/>
        <v>1014.4934745962964</v>
      </c>
      <c r="Y14" s="268">
        <f>+Y13/Y8*1000</f>
        <v>28326.207650826698</v>
      </c>
      <c r="Z14" s="414">
        <f>+Z13/Z8*1000</f>
        <v>28867.260579064587</v>
      </c>
      <c r="AA14" s="268">
        <f t="shared" si="6"/>
        <v>541.05292823788841</v>
      </c>
      <c r="AB14" s="438">
        <f>+AB13/AB8*1000</f>
        <v>21313.981411809506</v>
      </c>
      <c r="AC14" s="414">
        <f>+AC13/AC8*1000</f>
        <v>21805.547581455434</v>
      </c>
      <c r="AD14" s="439">
        <f t="shared" si="7"/>
        <v>491.56616964592831</v>
      </c>
    </row>
    <row r="15" spans="1:33" ht="24" customHeight="1">
      <c r="D15" s="272"/>
      <c r="E15" s="697"/>
      <c r="F15" s="238" t="s">
        <v>135</v>
      </c>
      <c r="G15" s="262">
        <f>+IFERROR(HLOOKUP($A$1,[11]손익요약!$G$5:$AL$106,14,),)</f>
        <v>0</v>
      </c>
      <c r="H15" s="415">
        <f>+'[8]서부산크라샤(당월)'!$F$71</f>
        <v>157152</v>
      </c>
      <c r="I15" s="265">
        <f t="shared" si="0"/>
        <v>157152</v>
      </c>
      <c r="J15" s="264">
        <f>+IFERROR(HLOOKUP($A$1,[11]손익요약!$G$5:$AL$106,17,),)</f>
        <v>0</v>
      </c>
      <c r="K15" s="415">
        <f>+'[8]서부산크라샤(당월)'!$I$71</f>
        <v>12528</v>
      </c>
      <c r="L15" s="263">
        <f t="shared" si="1"/>
        <v>12528</v>
      </c>
      <c r="M15" s="440">
        <f>+G15+J15</f>
        <v>0</v>
      </c>
      <c r="N15" s="415">
        <f>+H15+K15</f>
        <v>169680</v>
      </c>
      <c r="O15" s="441">
        <f t="shared" si="2"/>
        <v>169680</v>
      </c>
      <c r="P15" s="262">
        <f>+IFERROR(HLOOKUP($A$1,[12]손익요약!$G$5:$AL$106,11,),)</f>
        <v>72000</v>
      </c>
      <c r="Q15" s="415">
        <f>+'[8]부산크라샤(당월)'!$F$71</f>
        <v>33072</v>
      </c>
      <c r="R15" s="265">
        <f t="shared" si="3"/>
        <v>-38928</v>
      </c>
      <c r="S15" s="264">
        <f>+IFERROR(HLOOKUP($A$1,[12]손익요약!$G$5:$AL$106,14,),)</f>
        <v>285000</v>
      </c>
      <c r="T15" s="415">
        <f>+'[8]부산크라샤(당월)'!$I$71</f>
        <v>39824</v>
      </c>
      <c r="U15" s="263">
        <f t="shared" si="4"/>
        <v>-245176</v>
      </c>
      <c r="V15" s="440">
        <f>+P15+S15</f>
        <v>357000</v>
      </c>
      <c r="W15" s="415">
        <f>+Q15+T15</f>
        <v>72896</v>
      </c>
      <c r="X15" s="441">
        <f t="shared" si="5"/>
        <v>-284104</v>
      </c>
      <c r="Y15" s="263">
        <f>+IFERROR(HLOOKUP($A$1,[13]손익계획!$G$5:$AX$449,5,),)</f>
        <v>228000</v>
      </c>
      <c r="Z15" s="415">
        <f>+'[8]부산모래장(당월)'!$R$53</f>
        <v>261590</v>
      </c>
      <c r="AA15" s="263">
        <f t="shared" si="6"/>
        <v>33590</v>
      </c>
      <c r="AB15" s="440">
        <f>+M15+V15+Y15</f>
        <v>585000</v>
      </c>
      <c r="AC15" s="415">
        <f>+N15+W15+Z15</f>
        <v>504166</v>
      </c>
      <c r="AD15" s="441">
        <f t="shared" si="7"/>
        <v>-80834</v>
      </c>
    </row>
    <row r="16" spans="1:33" ht="24" customHeight="1">
      <c r="D16" s="76"/>
      <c r="E16" s="697"/>
      <c r="F16" s="271" t="s">
        <v>131</v>
      </c>
      <c r="G16" s="267">
        <f>IFERROR(G15/G10,)*1000</f>
        <v>0</v>
      </c>
      <c r="H16" s="414">
        <f>IFERROR(H15/H10,)*1000</f>
        <v>11776.978417266188</v>
      </c>
      <c r="I16" s="270">
        <f t="shared" si="0"/>
        <v>11776.978417266188</v>
      </c>
      <c r="J16" s="269">
        <f>IFERROR(J15/J10,)*1000</f>
        <v>0</v>
      </c>
      <c r="K16" s="414">
        <f>IFERROR(K15/K10,)*1000</f>
        <v>8072.1649484536083</v>
      </c>
      <c r="L16" s="268">
        <f t="shared" si="1"/>
        <v>8072.1649484536083</v>
      </c>
      <c r="M16" s="438">
        <f>IFERROR(M15/M10,)*1000</f>
        <v>0</v>
      </c>
      <c r="N16" s="414">
        <f>IFERROR(N15/N10,)*1000</f>
        <v>11390.977443609023</v>
      </c>
      <c r="O16" s="439">
        <f t="shared" si="2"/>
        <v>11390.977443609023</v>
      </c>
      <c r="P16" s="267">
        <f>IFERROR(P15/P10,)*1000</f>
        <v>12000</v>
      </c>
      <c r="Q16" s="414">
        <f>IFERROR(Q15/Q10,)*1000</f>
        <v>13000</v>
      </c>
      <c r="R16" s="270">
        <f t="shared" si="3"/>
        <v>1000</v>
      </c>
      <c r="S16" s="269">
        <f>IFERROR(S15/S10,)*1000</f>
        <v>19000</v>
      </c>
      <c r="T16" s="414">
        <f>IFERROR(T15/T10,)*1000</f>
        <v>19000</v>
      </c>
      <c r="U16" s="268">
        <f t="shared" si="4"/>
        <v>0</v>
      </c>
      <c r="V16" s="438">
        <f>IFERROR(V15/V10,)*1000</f>
        <v>17000</v>
      </c>
      <c r="W16" s="414">
        <f>IFERROR(W15/W10,)*1000</f>
        <v>15710.344827586207</v>
      </c>
      <c r="X16" s="439">
        <f t="shared" si="5"/>
        <v>-1289.6551724137935</v>
      </c>
      <c r="Y16" s="268">
        <f>IFERROR(Y15/Y10,)*1000</f>
        <v>28500</v>
      </c>
      <c r="Z16" s="414">
        <f>IFERROR(Z15/Z10,)*1000</f>
        <v>28295.294753921036</v>
      </c>
      <c r="AA16" s="268">
        <f t="shared" si="6"/>
        <v>-204.70524607896368</v>
      </c>
      <c r="AB16" s="438">
        <f>IFERROR(AB15/AB10,)*1000</f>
        <v>20172.413793103449</v>
      </c>
      <c r="AC16" s="414">
        <f>IFERROR(AC15/AC10,)*1000</f>
        <v>17517.320454466488</v>
      </c>
      <c r="AD16" s="439">
        <f t="shared" si="7"/>
        <v>-2655.0933386369616</v>
      </c>
    </row>
    <row r="17" spans="4:33" ht="24" customHeight="1">
      <c r="D17" s="76"/>
      <c r="E17" s="697"/>
      <c r="F17" s="266" t="s">
        <v>43</v>
      </c>
      <c r="G17" s="262">
        <f>G13+G15</f>
        <v>183299.20000000001</v>
      </c>
      <c r="H17" s="415">
        <f>H13+H15</f>
        <v>350608</v>
      </c>
      <c r="I17" s="265">
        <f t="shared" si="0"/>
        <v>167308.79999999999</v>
      </c>
      <c r="J17" s="264">
        <f>J13+J15</f>
        <v>9613.8000000000011</v>
      </c>
      <c r="K17" s="415">
        <f>K13+K15</f>
        <v>22704</v>
      </c>
      <c r="L17" s="263">
        <f t="shared" si="1"/>
        <v>13090.199999999999</v>
      </c>
      <c r="M17" s="440">
        <f>M13+M15</f>
        <v>192913</v>
      </c>
      <c r="N17" s="415">
        <f>N13+N15</f>
        <v>373312</v>
      </c>
      <c r="O17" s="441">
        <f t="shared" si="2"/>
        <v>180399</v>
      </c>
      <c r="P17" s="262">
        <f>P13+P15</f>
        <v>229756.08545124519</v>
      </c>
      <c r="Q17" s="415">
        <f>Q13+Q15</f>
        <v>248561.5</v>
      </c>
      <c r="R17" s="265">
        <f t="shared" si="3"/>
        <v>18805.414548754808</v>
      </c>
      <c r="S17" s="264">
        <f>S13+S15</f>
        <v>479650.76637258485</v>
      </c>
      <c r="T17" s="415">
        <f>T13+T15</f>
        <v>317600.5</v>
      </c>
      <c r="U17" s="263">
        <f t="shared" si="4"/>
        <v>-162050.26637258485</v>
      </c>
      <c r="V17" s="440">
        <f>V13+V15</f>
        <v>709406.85182383005</v>
      </c>
      <c r="W17" s="415">
        <f>W13+W15</f>
        <v>566162</v>
      </c>
      <c r="X17" s="441">
        <f t="shared" si="5"/>
        <v>-143244.85182383005</v>
      </c>
      <c r="Y17" s="263">
        <f>Y13+Y15</f>
        <v>697843.14324381144</v>
      </c>
      <c r="Z17" s="415">
        <f>Z13+Z15</f>
        <v>780046</v>
      </c>
      <c r="AA17" s="263">
        <f t="shared" si="6"/>
        <v>82202.856756188557</v>
      </c>
      <c r="AB17" s="440">
        <f>AB13+AB15</f>
        <v>1600162.9950676416</v>
      </c>
      <c r="AC17" s="415">
        <f>AC13+AC15</f>
        <v>1719520</v>
      </c>
      <c r="AD17" s="441">
        <f t="shared" si="7"/>
        <v>119357.0049323584</v>
      </c>
      <c r="AF17" s="6">
        <f>+'사업장별(당월)'!O32*1000</f>
        <v>1600162.9950676416</v>
      </c>
      <c r="AG17" s="6">
        <f>+'사업장별(당월)'!P32*1000</f>
        <v>1719520.0000000002</v>
      </c>
    </row>
    <row r="18" spans="4:33" ht="24" customHeight="1">
      <c r="D18" s="76"/>
      <c r="E18" s="261" t="s">
        <v>7</v>
      </c>
      <c r="F18" s="260" t="s">
        <v>134</v>
      </c>
      <c r="G18" s="244">
        <f>+IFERROR(HLOOKUP($A$1,[11]손익요약!$G$5:$AL$106,80,),)</f>
        <v>65417.771937325277</v>
      </c>
      <c r="H18" s="416">
        <f>+'[8]서부산크라샤(당월)'!$F$87</f>
        <v>47517.812792255238</v>
      </c>
      <c r="I18" s="247">
        <f t="shared" si="0"/>
        <v>-17899.959145070039</v>
      </c>
      <c r="J18" s="246">
        <f>+IFERROR(HLOOKUP($A$1,[11]손익요약!$G$5:$AL$106,83,),)</f>
        <v>303.75843280156045</v>
      </c>
      <c r="K18" s="416">
        <f>+'[8]서부산크라샤(당월)'!$I$87</f>
        <v>5620.4196336202467</v>
      </c>
      <c r="L18" s="245">
        <f t="shared" si="1"/>
        <v>5316.6612008186867</v>
      </c>
      <c r="M18" s="442">
        <f>+G18+J18</f>
        <v>65721.530370126842</v>
      </c>
      <c r="N18" s="416">
        <f>+H18+K18</f>
        <v>53138.232425875482</v>
      </c>
      <c r="O18" s="443">
        <f t="shared" si="2"/>
        <v>-12583.297944251361</v>
      </c>
      <c r="P18" s="695">
        <f>+IFERROR(HLOOKUP($A$1,[12]손익요약!$G$5:$U$95,57,),)</f>
        <v>-31950.155502372952</v>
      </c>
      <c r="Q18" s="416">
        <f>+'[8]부산크라샤(당월)'!$F$87</f>
        <v>4133.2509573807683</v>
      </c>
      <c r="R18" s="247">
        <f t="shared" si="3"/>
        <v>36083.406459753722</v>
      </c>
      <c r="S18" s="246">
        <f>+IFERROR(HLOOKUP($A$1,[12]손익요약!$G$5:$AL$106,60,),)</f>
        <v>23945.856561343211</v>
      </c>
      <c r="T18" s="416">
        <f>+'[8]부산크라샤(당월)'!$I$87</f>
        <v>72734.099250783445</v>
      </c>
      <c r="U18" s="245">
        <f t="shared" si="4"/>
        <v>48788.242689440231</v>
      </c>
      <c r="V18" s="442">
        <f>+P18+S18</f>
        <v>-8004.2989410297414</v>
      </c>
      <c r="W18" s="416">
        <f>+Q18+T18</f>
        <v>76867.350208164207</v>
      </c>
      <c r="X18" s="443">
        <f t="shared" si="5"/>
        <v>84871.649149193952</v>
      </c>
      <c r="Y18" s="245">
        <f>+IFERROR(HLOOKUP($A$1,[13]손익계획!$G$5:$AX$449,25,),)</f>
        <v>10680.766143843364</v>
      </c>
      <c r="Z18" s="416">
        <f>+'[8]부산모래장(당월)'!$R$82</f>
        <v>53326.716</v>
      </c>
      <c r="AA18" s="245">
        <f t="shared" si="6"/>
        <v>42645.949856156636</v>
      </c>
      <c r="AB18" s="442">
        <f t="shared" ref="AB18:AC19" si="8">+M18+V18+Y18</f>
        <v>68397.997572940454</v>
      </c>
      <c r="AC18" s="416">
        <f t="shared" si="8"/>
        <v>183332.2986340397</v>
      </c>
      <c r="AD18" s="443">
        <f t="shared" si="7"/>
        <v>114934.30106109925</v>
      </c>
      <c r="AF18" s="6" t="b">
        <f>+AF17=AB17</f>
        <v>1</v>
      </c>
      <c r="AG18" s="6" t="b">
        <f>+AG17=AC17</f>
        <v>1</v>
      </c>
    </row>
    <row r="19" spans="4:33" ht="24" customHeight="1">
      <c r="D19" s="76"/>
      <c r="E19" s="180"/>
      <c r="F19" s="259" t="s">
        <v>133</v>
      </c>
      <c r="G19" s="255">
        <f>+IFERROR(HLOOKUP($A$1,[11]손익요약!$G$5:$AL$106,79,),)</f>
        <v>0</v>
      </c>
      <c r="H19" s="417">
        <f>+'[8]서부산크라샤(당월)'!$F$86</f>
        <v>-4355.8056529744426</v>
      </c>
      <c r="I19" s="258">
        <f t="shared" si="0"/>
        <v>-4355.8056529744426</v>
      </c>
      <c r="J19" s="257">
        <f>+IFERROR(HLOOKUP($A$1,[11]손익요약!$G$5:$AL$106,82,),)</f>
        <v>0</v>
      </c>
      <c r="K19" s="417">
        <f>+'[8]서부산크라샤(당월)'!$I$86</f>
        <v>5693.6749225171798</v>
      </c>
      <c r="L19" s="256">
        <f t="shared" si="1"/>
        <v>5693.6749225171798</v>
      </c>
      <c r="M19" s="444">
        <f>+G19+J19</f>
        <v>0</v>
      </c>
      <c r="N19" s="417">
        <f>+H19+K19</f>
        <v>1337.8692695427371</v>
      </c>
      <c r="O19" s="445">
        <f t="shared" si="2"/>
        <v>1337.8692695427371</v>
      </c>
      <c r="P19" s="255">
        <f>+IFERROR(HLOOKUP($A$1,[12]손익요약!$G$5:$AL$106,56,),)</f>
        <v>-42912.549399462572</v>
      </c>
      <c r="Q19" s="417">
        <f>+'[8]부산크라샤(당월)'!$F$86</f>
        <v>-10125.919130200251</v>
      </c>
      <c r="R19" s="258">
        <f t="shared" si="3"/>
        <v>32786.630269262321</v>
      </c>
      <c r="S19" s="257">
        <f>+IFERROR(HLOOKUP($A$1,[12]손익요약!$G$5:$AL$106,59,),)</f>
        <v>-4601.0787170883523</v>
      </c>
      <c r="T19" s="417">
        <f>+'[8]부산크라샤(당월)'!$I$86</f>
        <v>5421.7323720360491</v>
      </c>
      <c r="U19" s="256">
        <f t="shared" si="4"/>
        <v>10022.811089124401</v>
      </c>
      <c r="V19" s="444">
        <f>+P19+S19</f>
        <v>-47513.628116550928</v>
      </c>
      <c r="W19" s="417">
        <f>+Q19+T19</f>
        <v>-4704.1867581642018</v>
      </c>
      <c r="X19" s="445">
        <f t="shared" si="5"/>
        <v>42809.441358386728</v>
      </c>
      <c r="Y19" s="256">
        <f>+IFERROR(HLOOKUP($A$1,[13]손익계획!$G$5:$AX$449,24,),)</f>
        <v>6140.6543919854676</v>
      </c>
      <c r="Z19" s="417">
        <f>+'[8]부산모래장(당월)'!$I$81-'[8]부산모래장(당월)'!$R$82</f>
        <v>4107.7510963166715</v>
      </c>
      <c r="AA19" s="256">
        <f t="shared" si="6"/>
        <v>-2032.9032956687961</v>
      </c>
      <c r="AB19" s="444">
        <f t="shared" si="8"/>
        <v>-41372.973724565461</v>
      </c>
      <c r="AC19" s="417">
        <f t="shared" si="8"/>
        <v>741.43360769520677</v>
      </c>
      <c r="AD19" s="445">
        <f t="shared" si="7"/>
        <v>42114.407332260671</v>
      </c>
    </row>
    <row r="20" spans="4:33" ht="24" customHeight="1">
      <c r="D20" s="76"/>
      <c r="E20" s="698"/>
      <c r="F20" s="254" t="s">
        <v>58</v>
      </c>
      <c r="G20" s="250">
        <f>G18+G19</f>
        <v>65417.771937325277</v>
      </c>
      <c r="H20" s="418">
        <f>H18+H19</f>
        <v>43162.007139280795</v>
      </c>
      <c r="I20" s="253">
        <f t="shared" si="0"/>
        <v>-22255.764798044482</v>
      </c>
      <c r="J20" s="252">
        <f>J18+J19</f>
        <v>303.75843280156045</v>
      </c>
      <c r="K20" s="418">
        <f>K18+K19</f>
        <v>11314.094556137426</v>
      </c>
      <c r="L20" s="251">
        <f t="shared" si="1"/>
        <v>11010.336123335866</v>
      </c>
      <c r="M20" s="446">
        <f>M18+M19</f>
        <v>65721.530370126842</v>
      </c>
      <c r="N20" s="418">
        <f>N18+N19</f>
        <v>54476.10169541822</v>
      </c>
      <c r="O20" s="447">
        <f t="shared" si="2"/>
        <v>-11245.428674708623</v>
      </c>
      <c r="P20" s="250">
        <f>P18+P19</f>
        <v>-74862.704901835532</v>
      </c>
      <c r="Q20" s="418">
        <f>Q18+Q19</f>
        <v>-5992.6681728194826</v>
      </c>
      <c r="R20" s="253">
        <f t="shared" si="3"/>
        <v>68870.03672901605</v>
      </c>
      <c r="S20" s="252">
        <f>S18+S19</f>
        <v>19344.777844254859</v>
      </c>
      <c r="T20" s="418">
        <f>T18+T19</f>
        <v>78155.831622819489</v>
      </c>
      <c r="U20" s="251">
        <f t="shared" si="4"/>
        <v>58811.05377856463</v>
      </c>
      <c r="V20" s="446">
        <f>V18+V19</f>
        <v>-55517.927057580673</v>
      </c>
      <c r="W20" s="418">
        <f>W18+W19</f>
        <v>72163.163450000007</v>
      </c>
      <c r="X20" s="447">
        <f t="shared" si="5"/>
        <v>127681.09050758068</v>
      </c>
      <c r="Y20" s="251">
        <f>Y18+Y19</f>
        <v>16821.420535828831</v>
      </c>
      <c r="Z20" s="418">
        <f>Z18+Z19</f>
        <v>57434.467096316672</v>
      </c>
      <c r="AA20" s="251">
        <f t="shared" si="6"/>
        <v>40613.046560487841</v>
      </c>
      <c r="AB20" s="446">
        <f>AB18+AB19</f>
        <v>27025.023848374993</v>
      </c>
      <c r="AC20" s="418">
        <f>AC18+AC19</f>
        <v>184073.73224173492</v>
      </c>
      <c r="AD20" s="447">
        <f t="shared" si="7"/>
        <v>157048.70839335994</v>
      </c>
      <c r="AF20" s="6">
        <f>+'사업장별(당월)'!T32*1000</f>
        <v>27025.023848374927</v>
      </c>
      <c r="AG20" s="6">
        <f>'사업장별(당월)'!U32*1000</f>
        <v>184073.73224173489</v>
      </c>
    </row>
    <row r="21" spans="4:33" ht="24" customHeight="1">
      <c r="D21" s="76"/>
      <c r="E21" s="249" t="s">
        <v>132</v>
      </c>
      <c r="F21" s="248" t="s">
        <v>25</v>
      </c>
      <c r="G21" s="244">
        <f>+IFERROR(HLOOKUP($A$1,[11]손익!$G$5:$AB$252,3,),)</f>
        <v>0</v>
      </c>
      <c r="H21" s="416">
        <f>+'[8]서부산크라샤(당월)'!$F$60</f>
        <v>1008</v>
      </c>
      <c r="I21" s="247">
        <f t="shared" si="0"/>
        <v>1008</v>
      </c>
      <c r="J21" s="246">
        <f>+IFERROR(HLOOKUP($A$1,[11]손익!$G$5:$AB$252,12,),)</f>
        <v>0</v>
      </c>
      <c r="K21" s="416">
        <f>+'[8]서부산크라샤(당월)'!$I$60</f>
        <v>0</v>
      </c>
      <c r="L21" s="245">
        <f t="shared" si="1"/>
        <v>0</v>
      </c>
      <c r="M21" s="442">
        <f t="shared" ref="M21:N26" si="9">+G21+J21</f>
        <v>0</v>
      </c>
      <c r="N21" s="416">
        <f t="shared" si="9"/>
        <v>1008</v>
      </c>
      <c r="O21" s="443">
        <f t="shared" si="2"/>
        <v>1008</v>
      </c>
      <c r="P21" s="244">
        <f>+IFERROR(HLOOKUP($A$1,[12]손익!$G$5:$AB$252,3,),)</f>
        <v>9859.7553407028245</v>
      </c>
      <c r="Q21" s="416">
        <f>+'[8]부산크라샤(당월)'!$F$60</f>
        <v>12193</v>
      </c>
      <c r="R21" s="247">
        <f t="shared" si="3"/>
        <v>2333.2446592971755</v>
      </c>
      <c r="S21" s="246">
        <f>+IFERROR(HLOOKUP($A$1,[12]손익!$G$5:$AB$252,12,),)</f>
        <v>6812.6046248949951</v>
      </c>
      <c r="T21" s="416">
        <f>+'[8]부산크라샤(당월)'!$I$60</f>
        <v>8399</v>
      </c>
      <c r="U21" s="245">
        <f t="shared" si="4"/>
        <v>1586.3953751050049</v>
      </c>
      <c r="V21" s="442">
        <f t="shared" ref="V21:W26" si="10">+P21+S21</f>
        <v>16672.359965597818</v>
      </c>
      <c r="W21" s="416">
        <f t="shared" si="10"/>
        <v>20592</v>
      </c>
      <c r="X21" s="443">
        <f t="shared" si="5"/>
        <v>3919.6400344021822</v>
      </c>
      <c r="Y21" s="245">
        <f>+IFERROR(HLOOKUP($A$1,[13]이송계획!$G$193:$U$216,16,),)</f>
        <v>3824.597955718225</v>
      </c>
      <c r="Z21" s="416">
        <f>+'[8]부산모래장(당월)'!$R$64</f>
        <v>5000</v>
      </c>
      <c r="AA21" s="245">
        <f t="shared" si="6"/>
        <v>1175.402044281775</v>
      </c>
      <c r="AB21" s="442">
        <f t="shared" ref="AB21:AC26" si="11">+M21+V21+Y21</f>
        <v>20496.957921316043</v>
      </c>
      <c r="AC21" s="416">
        <f t="shared" si="11"/>
        <v>26600</v>
      </c>
      <c r="AD21" s="443">
        <f t="shared" si="7"/>
        <v>6103.0420786839568</v>
      </c>
      <c r="AF21" s="629" t="b">
        <f>+AF20=AB20</f>
        <v>0</v>
      </c>
      <c r="AG21" s="629" t="b">
        <f>+AG20=AC20</f>
        <v>1</v>
      </c>
    </row>
    <row r="22" spans="4:33" ht="24" customHeight="1">
      <c r="D22" s="76"/>
      <c r="E22" s="180" t="s">
        <v>0</v>
      </c>
      <c r="F22" s="235" t="s">
        <v>26</v>
      </c>
      <c r="G22" s="240">
        <f>+IFERROR(HLOOKUP($A$1,[11]손익!$G$5:$AB$252,4,),)</f>
        <v>11456.2</v>
      </c>
      <c r="H22" s="419">
        <f>+'[8]서부산크라샤(당월)'!$F$61</f>
        <v>10000</v>
      </c>
      <c r="I22" s="243">
        <f t="shared" si="0"/>
        <v>-1456.2000000000007</v>
      </c>
      <c r="J22" s="242">
        <f>+IFERROR(HLOOKUP($A$1,[11]손익!$G$5:$AB$252,13,),)</f>
        <v>915.60000000000014</v>
      </c>
      <c r="K22" s="419">
        <f>+'[8]서부산크라샤(당월)'!$I$61</f>
        <v>640</v>
      </c>
      <c r="L22" s="241">
        <f t="shared" si="1"/>
        <v>-275.60000000000014</v>
      </c>
      <c r="M22" s="448">
        <f t="shared" si="9"/>
        <v>12371.800000000001</v>
      </c>
      <c r="N22" s="419">
        <f t="shared" si="9"/>
        <v>10640</v>
      </c>
      <c r="O22" s="449">
        <f t="shared" si="2"/>
        <v>-1731.8000000000011</v>
      </c>
      <c r="P22" s="240">
        <f>+IFERROR(HLOOKUP($A$1,[12]손익!$G$5:$AB$252,4,),)</f>
        <v>0</v>
      </c>
      <c r="Q22" s="419">
        <f>+'[8]부산크라샤(당월)'!$F$61</f>
        <v>176</v>
      </c>
      <c r="R22" s="243">
        <f t="shared" si="3"/>
        <v>176</v>
      </c>
      <c r="S22" s="242">
        <f>+IFERROR(HLOOKUP($A$1,[12]손익!$G$5:$AB$252,13,),)</f>
        <v>1997.9400000000005</v>
      </c>
      <c r="T22" s="419">
        <f>+'[8]부산크라샤(당월)'!$I$61</f>
        <v>3792</v>
      </c>
      <c r="U22" s="241">
        <f t="shared" si="4"/>
        <v>1794.0599999999995</v>
      </c>
      <c r="V22" s="448">
        <f t="shared" si="10"/>
        <v>1997.9400000000005</v>
      </c>
      <c r="W22" s="419">
        <f t="shared" si="10"/>
        <v>3968</v>
      </c>
      <c r="X22" s="449">
        <f t="shared" si="5"/>
        <v>1970.0599999999995</v>
      </c>
      <c r="Y22" s="241">
        <f>+IFERROR(HLOOKUP($A$1,[13]이송계획!$G$193:$U$216,17,),)</f>
        <v>4460.8111888111889</v>
      </c>
      <c r="Z22" s="419">
        <f>+'[8]부산모래장(당월)'!$R$65</f>
        <v>4112</v>
      </c>
      <c r="AA22" s="241">
        <f t="shared" si="6"/>
        <v>-348.81118881118891</v>
      </c>
      <c r="AB22" s="448">
        <f t="shared" si="11"/>
        <v>18830.551188811191</v>
      </c>
      <c r="AC22" s="419">
        <f t="shared" si="11"/>
        <v>18720</v>
      </c>
      <c r="AD22" s="449">
        <f t="shared" si="7"/>
        <v>-110.55118881119051</v>
      </c>
      <c r="AF22" s="99">
        <f>+AB20-AF20</f>
        <v>6.5483618527650833E-11</v>
      </c>
      <c r="AG22" s="99">
        <f>+AC20-AG20</f>
        <v>0</v>
      </c>
    </row>
    <row r="23" spans="4:33" ht="24" customHeight="1">
      <c r="D23" s="76"/>
      <c r="E23" s="180"/>
      <c r="F23" s="235" t="s">
        <v>27</v>
      </c>
      <c r="G23" s="240">
        <f>+IFERROR(HLOOKUP($A$1,[11]손익!$G$5:$AB$252,5,),)</f>
        <v>0</v>
      </c>
      <c r="H23" s="419">
        <f>+'[8]서부산크라샤(당월)'!$F$62</f>
        <v>784</v>
      </c>
      <c r="I23" s="243">
        <f t="shared" si="0"/>
        <v>784</v>
      </c>
      <c r="J23" s="242">
        <f>+IFERROR(HLOOKUP($A$1,[11]손익!$G$5:$AB$252,14,),)</f>
        <v>0</v>
      </c>
      <c r="K23" s="419">
        <f>+'[8]서부산크라샤(당월)'!$I$62</f>
        <v>0</v>
      </c>
      <c r="L23" s="241">
        <f t="shared" si="1"/>
        <v>0</v>
      </c>
      <c r="M23" s="448">
        <f t="shared" si="9"/>
        <v>0</v>
      </c>
      <c r="N23" s="419">
        <f t="shared" si="9"/>
        <v>784</v>
      </c>
      <c r="O23" s="449">
        <f t="shared" si="2"/>
        <v>784</v>
      </c>
      <c r="P23" s="240">
        <f>+IFERROR(HLOOKUP($A$1,[12]손익!$G$5:$AB$252,5,),)</f>
        <v>0</v>
      </c>
      <c r="Q23" s="419">
        <f>+'[8]부산크라샤(당월)'!$F$62</f>
        <v>0</v>
      </c>
      <c r="R23" s="243">
        <f t="shared" si="3"/>
        <v>0</v>
      </c>
      <c r="S23" s="242">
        <f>+IFERROR(HLOOKUP($A$1,[12]손익!$G$5:$AB$252,14,),)</f>
        <v>0</v>
      </c>
      <c r="T23" s="419">
        <f>+'[8]부산크라샤(당월)'!$I$62</f>
        <v>0</v>
      </c>
      <c r="U23" s="241">
        <f t="shared" si="4"/>
        <v>0</v>
      </c>
      <c r="V23" s="448">
        <f t="shared" si="10"/>
        <v>0</v>
      </c>
      <c r="W23" s="419">
        <f t="shared" si="10"/>
        <v>0</v>
      </c>
      <c r="X23" s="449">
        <f t="shared" si="5"/>
        <v>0</v>
      </c>
      <c r="Y23" s="241">
        <f>+IFERROR(HLOOKUP($A$1,[13]이송계획!$G$193:$U$216,18,),)</f>
        <v>2657.3426573426573</v>
      </c>
      <c r="Z23" s="419">
        <f>+'[8]부산모래장(당월)'!$V$64</f>
        <v>0</v>
      </c>
      <c r="AA23" s="241">
        <f t="shared" si="6"/>
        <v>-2657.3426573426573</v>
      </c>
      <c r="AB23" s="448">
        <f t="shared" si="11"/>
        <v>2657.3426573426573</v>
      </c>
      <c r="AC23" s="419">
        <f t="shared" si="11"/>
        <v>784</v>
      </c>
      <c r="AD23" s="449">
        <f t="shared" si="7"/>
        <v>-1873.3426573426573</v>
      </c>
    </row>
    <row r="24" spans="4:33" ht="24" customHeight="1">
      <c r="D24" s="76"/>
      <c r="E24" s="180"/>
      <c r="F24" s="235" t="s">
        <v>28</v>
      </c>
      <c r="G24" s="240">
        <f>+IFERROR(HLOOKUP($A$1,[11]손익!$G$5:$AB$252,6,),)</f>
        <v>0</v>
      </c>
      <c r="H24" s="419">
        <f>+'[8]서부산크라샤(당월)'!$F$63</f>
        <v>0</v>
      </c>
      <c r="I24" s="243">
        <f t="shared" si="0"/>
        <v>0</v>
      </c>
      <c r="J24" s="242">
        <f>+IFERROR(HLOOKUP($A$1,[11]손익!$G$5:$AB$252,15,),)</f>
        <v>0</v>
      </c>
      <c r="K24" s="419">
        <f>+'[8]서부산크라샤(당월)'!$I$63</f>
        <v>0</v>
      </c>
      <c r="L24" s="241">
        <f t="shared" si="1"/>
        <v>0</v>
      </c>
      <c r="M24" s="448">
        <f t="shared" si="9"/>
        <v>0</v>
      </c>
      <c r="N24" s="419">
        <f t="shared" si="9"/>
        <v>0</v>
      </c>
      <c r="O24" s="449">
        <f t="shared" si="2"/>
        <v>0</v>
      </c>
      <c r="P24" s="240">
        <f>+IFERROR(HLOOKUP($A$1,[12]손익!$G$5:$AB$252,6,),)</f>
        <v>0</v>
      </c>
      <c r="Q24" s="419">
        <f>+'[8]부산크라샤(당월)'!$F$63</f>
        <v>0</v>
      </c>
      <c r="R24" s="243">
        <f t="shared" si="3"/>
        <v>0</v>
      </c>
      <c r="S24" s="242">
        <f>+IFERROR(HLOOKUP($A$1,[12]손익!$G$5:$AB$252,15,),)</f>
        <v>0</v>
      </c>
      <c r="T24" s="419">
        <f>+'[8]부산크라샤(당월)'!$I$63</f>
        <v>0</v>
      </c>
      <c r="U24" s="241">
        <f t="shared" si="4"/>
        <v>0</v>
      </c>
      <c r="V24" s="448">
        <f t="shared" si="10"/>
        <v>0</v>
      </c>
      <c r="W24" s="419">
        <f t="shared" si="10"/>
        <v>0</v>
      </c>
      <c r="X24" s="449">
        <f t="shared" si="5"/>
        <v>0</v>
      </c>
      <c r="Y24" s="241">
        <f>+IFERROR(HLOOKUP($A$1,[13]이송계획!$G$193:$U$216,19,),)</f>
        <v>4168.9510489510485</v>
      </c>
      <c r="Z24" s="419">
        <f>+'[8]부산모래장(당월)'!$V$65</f>
        <v>0</v>
      </c>
      <c r="AA24" s="241">
        <f t="shared" si="6"/>
        <v>-4168.9510489510485</v>
      </c>
      <c r="AB24" s="448">
        <f t="shared" si="11"/>
        <v>4168.9510489510485</v>
      </c>
      <c r="AC24" s="419">
        <f t="shared" si="11"/>
        <v>0</v>
      </c>
      <c r="AD24" s="449">
        <f t="shared" si="7"/>
        <v>-4168.9510489510485</v>
      </c>
    </row>
    <row r="25" spans="4:33" ht="24" customHeight="1">
      <c r="D25" s="76"/>
      <c r="E25" s="180"/>
      <c r="F25" s="235" t="s">
        <v>29</v>
      </c>
      <c r="G25" s="240">
        <f>+IFERROR(HLOOKUP($A$1,[11]손익!$G$5:$AB$252,7,),)</f>
        <v>0</v>
      </c>
      <c r="H25" s="419">
        <f>+'[8]서부산크라샤(당월)'!$F$64</f>
        <v>0</v>
      </c>
      <c r="I25" s="243">
        <f t="shared" si="0"/>
        <v>0</v>
      </c>
      <c r="J25" s="242">
        <f>+IFERROR(HLOOKUP($A$1,[11]손익!$G$5:$AB$252,16,),)</f>
        <v>0</v>
      </c>
      <c r="K25" s="419">
        <f>+'[8]서부산크라샤(당월)'!$I$64</f>
        <v>144</v>
      </c>
      <c r="L25" s="241">
        <f t="shared" si="1"/>
        <v>144</v>
      </c>
      <c r="M25" s="448">
        <f t="shared" si="9"/>
        <v>0</v>
      </c>
      <c r="N25" s="419">
        <f t="shared" si="9"/>
        <v>144</v>
      </c>
      <c r="O25" s="449">
        <f t="shared" si="2"/>
        <v>144</v>
      </c>
      <c r="P25" s="240">
        <f>+IFERROR(HLOOKUP($A$1,[12]손익!$G$5:$AB$252,7,),)</f>
        <v>0</v>
      </c>
      <c r="Q25" s="419">
        <f>+'[8]부산크라샤(당월)'!$F$64</f>
        <v>0</v>
      </c>
      <c r="R25" s="243">
        <f t="shared" si="3"/>
        <v>0</v>
      </c>
      <c r="S25" s="242">
        <f>+IFERROR(HLOOKUP($A$1,[12]손익!$G$5:$AB$252,16,),)</f>
        <v>0</v>
      </c>
      <c r="T25" s="419">
        <f>+'[8]부산크라샤(당월)'!$I$64</f>
        <v>240</v>
      </c>
      <c r="U25" s="241">
        <f t="shared" si="4"/>
        <v>240</v>
      </c>
      <c r="V25" s="448">
        <f t="shared" si="10"/>
        <v>0</v>
      </c>
      <c r="W25" s="419">
        <f t="shared" si="10"/>
        <v>240</v>
      </c>
      <c r="X25" s="449">
        <f t="shared" si="5"/>
        <v>240</v>
      </c>
      <c r="Y25" s="241">
        <f>+IFERROR(HLOOKUP($A$1,[13]이송계획!$G$193:$U$216,20,),)</f>
        <v>1475.1678321678321</v>
      </c>
      <c r="Z25" s="419">
        <f>+'[8]부산모래장(당월)'!$R$66</f>
        <v>3600</v>
      </c>
      <c r="AA25" s="241">
        <f t="shared" si="6"/>
        <v>2124.8321678321681</v>
      </c>
      <c r="AB25" s="448">
        <f t="shared" si="11"/>
        <v>1475.1678321678321</v>
      </c>
      <c r="AC25" s="419">
        <f t="shared" si="11"/>
        <v>3984</v>
      </c>
      <c r="AD25" s="449">
        <f t="shared" si="7"/>
        <v>2508.8321678321681</v>
      </c>
    </row>
    <row r="26" spans="4:33" ht="24" customHeight="1">
      <c r="D26" s="76"/>
      <c r="E26" s="180"/>
      <c r="F26" s="235" t="s">
        <v>30</v>
      </c>
      <c r="G26" s="240">
        <f>+IFERROR(HLOOKUP($A$1,[11]손익!$G$5:$AB$252,8,),)</f>
        <v>0</v>
      </c>
      <c r="H26" s="419">
        <f>+'[8]서부산크라샤(당월)'!$F$65</f>
        <v>160</v>
      </c>
      <c r="I26" s="243">
        <f t="shared" si="0"/>
        <v>160</v>
      </c>
      <c r="J26" s="242">
        <f>+IFERROR(HLOOKUP($A$1,[11]손익!$G$5:$AB$252,17,),)</f>
        <v>0</v>
      </c>
      <c r="K26" s="419">
        <f>+'[8]서부산크라샤(당월)'!$I$65</f>
        <v>240</v>
      </c>
      <c r="L26" s="241">
        <f t="shared" si="1"/>
        <v>240</v>
      </c>
      <c r="M26" s="448">
        <f t="shared" si="9"/>
        <v>0</v>
      </c>
      <c r="N26" s="417">
        <f t="shared" si="9"/>
        <v>400</v>
      </c>
      <c r="O26" s="467">
        <f t="shared" si="2"/>
        <v>400</v>
      </c>
      <c r="P26" s="240">
        <f>+IFERROR(HLOOKUP($A$1,[12]손익!$G$5:$AB$252,8,),)</f>
        <v>0</v>
      </c>
      <c r="Q26" s="419">
        <f>+'[8]부산크라샤(당월)'!$F$65</f>
        <v>0</v>
      </c>
      <c r="R26" s="243">
        <f t="shared" si="3"/>
        <v>0</v>
      </c>
      <c r="S26" s="242">
        <f>+IFERROR(HLOOKUP($A$1,[12]손익!$G$5:$AB$252,17,),)</f>
        <v>0</v>
      </c>
      <c r="T26" s="419">
        <f>+'[8]부산크라샤(당월)'!$I$65</f>
        <v>0</v>
      </c>
      <c r="U26" s="241">
        <f t="shared" si="4"/>
        <v>0</v>
      </c>
      <c r="V26" s="448">
        <f t="shared" si="10"/>
        <v>0</v>
      </c>
      <c r="W26" s="417">
        <f t="shared" si="10"/>
        <v>0</v>
      </c>
      <c r="X26" s="467">
        <f t="shared" si="5"/>
        <v>0</v>
      </c>
      <c r="Y26" s="241">
        <f>+IFERROR(HLOOKUP($A$1,[13]이송계획!$G$193:$U$216,21,),)</f>
        <v>0</v>
      </c>
      <c r="Z26" s="419"/>
      <c r="AA26" s="241">
        <f t="shared" si="6"/>
        <v>0</v>
      </c>
      <c r="AB26" s="448">
        <f t="shared" si="11"/>
        <v>0</v>
      </c>
      <c r="AC26" s="417">
        <f t="shared" si="11"/>
        <v>400</v>
      </c>
      <c r="AD26" s="449">
        <f t="shared" si="7"/>
        <v>400</v>
      </c>
    </row>
    <row r="27" spans="4:33" ht="24" customHeight="1">
      <c r="D27" s="76"/>
      <c r="E27" s="239" t="s">
        <v>132</v>
      </c>
      <c r="F27" s="238" t="s">
        <v>25</v>
      </c>
      <c r="G27" s="206">
        <f>+IFERROR(HLOOKUP($A$1,[11]손익!$G$5:$AB$252,31,),)</f>
        <v>0</v>
      </c>
      <c r="H27" s="420">
        <f t="shared" ref="H27:H32" si="12">IFERROR(H35/H21,)*1000</f>
        <v>12500</v>
      </c>
      <c r="I27" s="207">
        <f t="shared" si="0"/>
        <v>12500</v>
      </c>
      <c r="J27" s="237">
        <f>+IFERROR(HLOOKUP($A$1,[11]손익!$G$5:$AB$252,40,),)</f>
        <v>0</v>
      </c>
      <c r="K27" s="420">
        <f t="shared" ref="K27:K32" si="13">IFERROR(K35/K21,)*1000</f>
        <v>0</v>
      </c>
      <c r="L27" s="219">
        <f t="shared" si="1"/>
        <v>0</v>
      </c>
      <c r="M27" s="462">
        <f>+IFERROR(HLOOKUP($A$1,[11]손익!$G$5:$AB$252,48,),)</f>
        <v>0</v>
      </c>
      <c r="N27" s="458">
        <f t="shared" ref="N27:N32" si="14">IFERROR(N35/N21,)*1000</f>
        <v>12500</v>
      </c>
      <c r="O27" s="468">
        <f t="shared" si="2"/>
        <v>12500</v>
      </c>
      <c r="P27" s="206">
        <f>+IFERROR(HLOOKUP($A$1,[12]손익!$G$5:$AB$252,30,),)</f>
        <v>16000</v>
      </c>
      <c r="Q27" s="420">
        <f t="shared" ref="Q27:Q32" si="15">IFERROR(Q35/Q21,)*1000</f>
        <v>17500</v>
      </c>
      <c r="R27" s="207">
        <f t="shared" si="3"/>
        <v>1500</v>
      </c>
      <c r="S27" s="237">
        <f>+IFERROR(HLOOKUP($A$1,[12]손익!$G$5:$AB$252,39,),)</f>
        <v>23000</v>
      </c>
      <c r="T27" s="420">
        <f t="shared" ref="T27:T32" si="16">IFERROR(T35/T21,)*1000</f>
        <v>23500</v>
      </c>
      <c r="U27" s="219">
        <f t="shared" si="4"/>
        <v>500</v>
      </c>
      <c r="V27" s="462">
        <f>+IFERROR(HLOOKUP($A$1,[12]손익!$G$5:$AB$252,48,),)</f>
        <v>18860.316864119184</v>
      </c>
      <c r="W27" s="458">
        <f t="shared" ref="W27:W32" si="17">IFERROR(W35/W21,)*1000</f>
        <v>19947.26107226107</v>
      </c>
      <c r="X27" s="468">
        <f t="shared" si="5"/>
        <v>1086.9442081418856</v>
      </c>
      <c r="Y27" s="219">
        <f t="shared" ref="Y27:Z32" si="18">IFERROR(Y35/Y21,)*1000</f>
        <v>30500.000000000004</v>
      </c>
      <c r="Z27" s="420">
        <f t="shared" si="18"/>
        <v>32000</v>
      </c>
      <c r="AA27" s="219">
        <f t="shared" si="6"/>
        <v>1499.9999999999964</v>
      </c>
      <c r="AB27" s="450">
        <f t="shared" ref="AB27:AB32" si="19">+AB35/AB21*1000</f>
        <v>21032.205419366768</v>
      </c>
      <c r="AC27" s="420">
        <f t="shared" ref="AC27:AC32" si="20">IFERROR(AC35/AC21,)*1000</f>
        <v>21930.601503759397</v>
      </c>
      <c r="AD27" s="451">
        <f t="shared" si="7"/>
        <v>898.39608439262884</v>
      </c>
    </row>
    <row r="28" spans="4:33" ht="24" customHeight="1">
      <c r="D28" s="76"/>
      <c r="E28" s="180" t="s">
        <v>131</v>
      </c>
      <c r="F28" s="235" t="s">
        <v>26</v>
      </c>
      <c r="G28" s="204">
        <f>+IFERROR(HLOOKUP($A$1,[11]손익!$G$5:$AB$252,32,),)</f>
        <v>16000</v>
      </c>
      <c r="H28" s="95">
        <f t="shared" si="12"/>
        <v>17000</v>
      </c>
      <c r="I28" s="205">
        <f t="shared" si="0"/>
        <v>1000</v>
      </c>
      <c r="J28" s="234">
        <f>+IFERROR(HLOOKUP($A$1,[11]손익!$G$5:$AB$252,41,),)</f>
        <v>10500</v>
      </c>
      <c r="K28" s="95">
        <f t="shared" si="13"/>
        <v>10500</v>
      </c>
      <c r="L28" s="210">
        <f t="shared" si="1"/>
        <v>0</v>
      </c>
      <c r="M28" s="463">
        <f>+IFERROR(HLOOKUP($A$1,[11]손익!$G$5:$AB$252,49,),)</f>
        <v>0</v>
      </c>
      <c r="N28" s="459">
        <f t="shared" si="14"/>
        <v>16609.022556390981</v>
      </c>
      <c r="O28" s="469">
        <f t="shared" si="2"/>
        <v>16609.022556390981</v>
      </c>
      <c r="P28" s="204">
        <f>+IFERROR(HLOOKUP($A$1,[12]손익!$G$5:$AB$252,31,),)</f>
        <v>0</v>
      </c>
      <c r="Q28" s="95">
        <f t="shared" si="15"/>
        <v>12000</v>
      </c>
      <c r="R28" s="205">
        <f t="shared" si="3"/>
        <v>12000</v>
      </c>
      <c r="S28" s="234">
        <f>+IFERROR(HLOOKUP($A$1,[12]손익!$G$5:$AB$252,40,),)</f>
        <v>19000</v>
      </c>
      <c r="T28" s="95">
        <f t="shared" si="16"/>
        <v>20000</v>
      </c>
      <c r="U28" s="210">
        <f t="shared" si="4"/>
        <v>1000</v>
      </c>
      <c r="V28" s="463">
        <f>+IFERROR(HLOOKUP($A$1,[12]손익!$G$5:$AB$252,49,),)</f>
        <v>19000</v>
      </c>
      <c r="W28" s="459">
        <f t="shared" si="17"/>
        <v>19645.16129032258</v>
      </c>
      <c r="X28" s="469">
        <f t="shared" si="5"/>
        <v>645.16129032257959</v>
      </c>
      <c r="Y28" s="210">
        <f t="shared" si="18"/>
        <v>28000</v>
      </c>
      <c r="Z28" s="95">
        <f t="shared" si="18"/>
        <v>28000</v>
      </c>
      <c r="AA28" s="210">
        <f t="shared" si="6"/>
        <v>0</v>
      </c>
      <c r="AB28" s="452">
        <f t="shared" si="19"/>
        <v>18893.582546755722</v>
      </c>
      <c r="AC28" s="95">
        <f t="shared" si="20"/>
        <v>19754.700854700855</v>
      </c>
      <c r="AD28" s="453">
        <f t="shared" si="7"/>
        <v>861.11830794513298</v>
      </c>
    </row>
    <row r="29" spans="4:33" ht="24" customHeight="1">
      <c r="D29" s="76"/>
      <c r="E29" s="180"/>
      <c r="F29" s="235" t="s">
        <v>27</v>
      </c>
      <c r="G29" s="204">
        <f>+IFERROR(HLOOKUP($A$1,[11]손익!$G$5:$AB$252,33,),)</f>
        <v>0</v>
      </c>
      <c r="H29" s="95">
        <f t="shared" si="12"/>
        <v>11500</v>
      </c>
      <c r="I29" s="205">
        <f t="shared" si="0"/>
        <v>11500</v>
      </c>
      <c r="J29" s="234">
        <f>+IFERROR(HLOOKUP($A$1,[11]손익!$G$5:$AB$252,42,),)</f>
        <v>0</v>
      </c>
      <c r="K29" s="95">
        <f t="shared" si="13"/>
        <v>0</v>
      </c>
      <c r="L29" s="210">
        <f t="shared" si="1"/>
        <v>0</v>
      </c>
      <c r="M29" s="464">
        <f>+IFERROR(HLOOKUP($A$1,[11]손익!$G$5:$AB$252,50,),)</f>
        <v>0</v>
      </c>
      <c r="N29" s="460">
        <f t="shared" si="14"/>
        <v>11500</v>
      </c>
      <c r="O29" s="469">
        <f t="shared" si="2"/>
        <v>11500</v>
      </c>
      <c r="P29" s="204">
        <f>+IFERROR(HLOOKUP($A$1,[12]손익!$G$5:$AB$252,32,),)</f>
        <v>0</v>
      </c>
      <c r="Q29" s="95">
        <f t="shared" si="15"/>
        <v>0</v>
      </c>
      <c r="R29" s="205">
        <f t="shared" si="3"/>
        <v>0</v>
      </c>
      <c r="S29" s="234">
        <f>+IFERROR(HLOOKUP($A$1,[12]손익!$G$5:$AB$252,41,),)</f>
        <v>0</v>
      </c>
      <c r="T29" s="95">
        <f t="shared" si="16"/>
        <v>0</v>
      </c>
      <c r="U29" s="210">
        <f t="shared" si="4"/>
        <v>0</v>
      </c>
      <c r="V29" s="464">
        <f>+IFERROR(HLOOKUP($A$1,[12]손익!$G$5:$AB$252,50,),)</f>
        <v>0</v>
      </c>
      <c r="W29" s="460">
        <f t="shared" si="17"/>
        <v>0</v>
      </c>
      <c r="X29" s="469">
        <f t="shared" si="5"/>
        <v>0</v>
      </c>
      <c r="Y29" s="210">
        <f t="shared" si="18"/>
        <v>27500</v>
      </c>
      <c r="Z29" s="95">
        <f t="shared" si="18"/>
        <v>0</v>
      </c>
      <c r="AA29" s="210">
        <f t="shared" si="6"/>
        <v>-27500</v>
      </c>
      <c r="AB29" s="452">
        <f t="shared" si="19"/>
        <v>27500</v>
      </c>
      <c r="AC29" s="95">
        <f t="shared" si="20"/>
        <v>137775.51020408163</v>
      </c>
      <c r="AD29" s="453">
        <f t="shared" si="7"/>
        <v>110275.51020408163</v>
      </c>
    </row>
    <row r="30" spans="4:33" ht="24" customHeight="1">
      <c r="D30" s="76"/>
      <c r="E30" s="180"/>
      <c r="F30" s="235" t="s">
        <v>28</v>
      </c>
      <c r="G30" s="204">
        <f>+IFERROR(HLOOKUP($A$1,[11]손익!$G$5:$AB$252,34,),)</f>
        <v>0</v>
      </c>
      <c r="H30" s="95">
        <f t="shared" si="12"/>
        <v>0</v>
      </c>
      <c r="I30" s="205">
        <f t="shared" si="0"/>
        <v>0</v>
      </c>
      <c r="J30" s="234">
        <f>+IFERROR(HLOOKUP($A$1,[11]손익!$G$5:$AB$252,43,),)</f>
        <v>0</v>
      </c>
      <c r="K30" s="95">
        <f t="shared" si="13"/>
        <v>0</v>
      </c>
      <c r="L30" s="210">
        <f t="shared" si="1"/>
        <v>0</v>
      </c>
      <c r="M30" s="464">
        <f>+IFERROR(HLOOKUP($A$1,[11]손익!$G$5:$AB$252,51,),)</f>
        <v>15592.961412243973</v>
      </c>
      <c r="N30" s="55">
        <f t="shared" si="14"/>
        <v>0</v>
      </c>
      <c r="O30" s="470">
        <f t="shared" si="2"/>
        <v>-15592.961412243973</v>
      </c>
      <c r="P30" s="204">
        <f>+IFERROR(HLOOKUP($A$1,[12]손익!$G$5:$AB$252,33,),)</f>
        <v>0</v>
      </c>
      <c r="Q30" s="95">
        <f t="shared" si="15"/>
        <v>0</v>
      </c>
      <c r="R30" s="205">
        <f t="shared" si="3"/>
        <v>0</v>
      </c>
      <c r="S30" s="234">
        <f>+IFERROR(HLOOKUP($A$1,[12]손익!$G$5:$AB$252,42,),)</f>
        <v>0</v>
      </c>
      <c r="T30" s="95">
        <f t="shared" si="16"/>
        <v>0</v>
      </c>
      <c r="U30" s="210">
        <f t="shared" si="4"/>
        <v>0</v>
      </c>
      <c r="V30" s="464">
        <f>+IFERROR(HLOOKUP($A$1,[12]손익!$G$5:$AB$252,51,),)</f>
        <v>0</v>
      </c>
      <c r="W30" s="55">
        <f t="shared" si="17"/>
        <v>0</v>
      </c>
      <c r="X30" s="470">
        <f t="shared" si="5"/>
        <v>0</v>
      </c>
      <c r="Y30" s="210">
        <f t="shared" si="18"/>
        <v>27500.000000000004</v>
      </c>
      <c r="Z30" s="95">
        <f t="shared" si="18"/>
        <v>0</v>
      </c>
      <c r="AA30" s="210">
        <f t="shared" si="6"/>
        <v>-27500.000000000004</v>
      </c>
      <c r="AB30" s="452">
        <f t="shared" si="19"/>
        <v>27500.000000000004</v>
      </c>
      <c r="AC30" s="95">
        <f t="shared" si="20"/>
        <v>0</v>
      </c>
      <c r="AD30" s="453">
        <f t="shared" si="7"/>
        <v>-27500.000000000004</v>
      </c>
    </row>
    <row r="31" spans="4:33" ht="24" customHeight="1">
      <c r="D31" s="76"/>
      <c r="E31" s="180"/>
      <c r="F31" s="235" t="s">
        <v>29</v>
      </c>
      <c r="G31" s="204">
        <f>+IFERROR(HLOOKUP($A$1,[11]손익!$G$5:$AB$252,35,),)</f>
        <v>0</v>
      </c>
      <c r="H31" s="95">
        <f t="shared" si="12"/>
        <v>0</v>
      </c>
      <c r="I31" s="205">
        <f t="shared" si="0"/>
        <v>0</v>
      </c>
      <c r="J31" s="234">
        <f>+IFERROR(HLOOKUP($A$1,[11]손익!$G$5:$AB$252,44,),)</f>
        <v>0</v>
      </c>
      <c r="K31" s="95">
        <f t="shared" si="13"/>
        <v>9000</v>
      </c>
      <c r="L31" s="210">
        <f t="shared" si="1"/>
        <v>9000</v>
      </c>
      <c r="M31" s="464">
        <f>+IFERROR(HLOOKUP($A$1,[11]손익!$G$5:$AB$252,52,),)</f>
        <v>0</v>
      </c>
      <c r="N31" s="55">
        <f t="shared" si="14"/>
        <v>9000</v>
      </c>
      <c r="O31" s="470">
        <f t="shared" si="2"/>
        <v>9000</v>
      </c>
      <c r="P31" s="204">
        <f>+IFERROR(HLOOKUP($A$1,[12]손익!$G$5:$AB$252,34,),)</f>
        <v>0</v>
      </c>
      <c r="Q31" s="95">
        <f t="shared" si="15"/>
        <v>0</v>
      </c>
      <c r="R31" s="205">
        <f t="shared" si="3"/>
        <v>0</v>
      </c>
      <c r="S31" s="234">
        <f>+IFERROR(HLOOKUP($A$1,[12]손익!$G$5:$AB$252,43,),)</f>
        <v>0</v>
      </c>
      <c r="T31" s="95">
        <f t="shared" si="16"/>
        <v>19000</v>
      </c>
      <c r="U31" s="210">
        <f t="shared" si="4"/>
        <v>19000</v>
      </c>
      <c r="V31" s="464">
        <f>+IFERROR(HLOOKUP($A$1,[12]손익!$G$5:$AB$252,52,),)</f>
        <v>0</v>
      </c>
      <c r="W31" s="55">
        <f t="shared" si="17"/>
        <v>19000</v>
      </c>
      <c r="X31" s="470">
        <f t="shared" si="5"/>
        <v>19000</v>
      </c>
      <c r="Y31" s="210">
        <f t="shared" si="18"/>
        <v>27500</v>
      </c>
      <c r="Z31" s="95">
        <f t="shared" si="18"/>
        <v>6477.7777777777783</v>
      </c>
      <c r="AA31" s="210">
        <f t="shared" si="6"/>
        <v>-21022.222222222223</v>
      </c>
      <c r="AB31" s="452">
        <f t="shared" si="19"/>
        <v>27500</v>
      </c>
      <c r="AC31" s="95">
        <f t="shared" si="20"/>
        <v>7323.2931726907627</v>
      </c>
      <c r="AD31" s="453">
        <f t="shared" si="7"/>
        <v>-20176.706827309237</v>
      </c>
    </row>
    <row r="32" spans="4:33" ht="24" customHeight="1" thickBot="1">
      <c r="D32" s="76"/>
      <c r="E32" s="232"/>
      <c r="F32" s="231" t="s">
        <v>30</v>
      </c>
      <c r="G32" s="227">
        <f>+IFERROR(HLOOKUP($A$1,[11]손익!$G$5:$AB$252,36,),)</f>
        <v>0</v>
      </c>
      <c r="H32" s="421">
        <f t="shared" si="12"/>
        <v>11500</v>
      </c>
      <c r="I32" s="230">
        <f t="shared" si="0"/>
        <v>11500</v>
      </c>
      <c r="J32" s="229">
        <f>+IFERROR(HLOOKUP($A$1,[11]손익!$G$5:$AB$252,45,),)</f>
        <v>0</v>
      </c>
      <c r="K32" s="421">
        <f t="shared" si="13"/>
        <v>9000</v>
      </c>
      <c r="L32" s="228">
        <f t="shared" si="1"/>
        <v>9000</v>
      </c>
      <c r="M32" s="465">
        <f>+IFERROR(HLOOKUP($A$1,[11]손익!$G$5:$AB$252,53,),)</f>
        <v>0</v>
      </c>
      <c r="N32" s="461">
        <f t="shared" si="14"/>
        <v>10000</v>
      </c>
      <c r="O32" s="471">
        <f t="shared" si="2"/>
        <v>10000</v>
      </c>
      <c r="P32" s="227">
        <f>+IFERROR(HLOOKUP($A$1,[12]손익!$G$5:$AB$252,35,),)</f>
        <v>0</v>
      </c>
      <c r="Q32" s="421">
        <f t="shared" si="15"/>
        <v>0</v>
      </c>
      <c r="R32" s="230">
        <f t="shared" si="3"/>
        <v>0</v>
      </c>
      <c r="S32" s="229">
        <f>+IFERROR(HLOOKUP($A$1,[12]손익!$G$5:$AB$252,44,),)</f>
        <v>0</v>
      </c>
      <c r="T32" s="421">
        <f t="shared" si="16"/>
        <v>0</v>
      </c>
      <c r="U32" s="228">
        <f t="shared" si="4"/>
        <v>0</v>
      </c>
      <c r="V32" s="465">
        <f>+IFERROR(HLOOKUP($A$1,[12]손익!$G$5:$AB$252,53,),)</f>
        <v>0</v>
      </c>
      <c r="W32" s="461">
        <f t="shared" si="17"/>
        <v>0</v>
      </c>
      <c r="X32" s="471">
        <f t="shared" si="5"/>
        <v>0</v>
      </c>
      <c r="Y32" s="228">
        <f t="shared" si="18"/>
        <v>0</v>
      </c>
      <c r="Z32" s="421">
        <f t="shared" si="18"/>
        <v>0</v>
      </c>
      <c r="AA32" s="228">
        <f t="shared" si="6"/>
        <v>0</v>
      </c>
      <c r="AB32" s="454" t="e">
        <f t="shared" si="19"/>
        <v>#DIV/0!</v>
      </c>
      <c r="AC32" s="455">
        <f t="shared" si="20"/>
        <v>10000</v>
      </c>
      <c r="AD32" s="456" t="e">
        <f t="shared" si="7"/>
        <v>#DIV/0!</v>
      </c>
    </row>
    <row r="33" spans="5:30" ht="21.95" customHeight="1" thickTop="1">
      <c r="E33" s="6" t="s">
        <v>130</v>
      </c>
      <c r="G33" s="225"/>
      <c r="H33" s="225"/>
      <c r="I33" s="225"/>
      <c r="J33" s="76"/>
      <c r="P33" s="225"/>
      <c r="Q33" s="225"/>
      <c r="R33" s="225"/>
      <c r="S33" s="76"/>
      <c r="Y33" s="76"/>
      <c r="AB33" s="76"/>
    </row>
    <row r="34" spans="5:30" ht="21.95" customHeight="1">
      <c r="J34" s="76"/>
      <c r="S34" s="76"/>
      <c r="Y34" s="76"/>
      <c r="Z34" s="6" t="s">
        <v>164</v>
      </c>
      <c r="AB34" s="76"/>
    </row>
    <row r="35" spans="5:30" ht="21.95" customHeight="1">
      <c r="E35" s="26" t="s">
        <v>132</v>
      </c>
      <c r="F35" s="466" t="s">
        <v>25</v>
      </c>
      <c r="G35" s="6">
        <f>+IFERROR(HLOOKUP($A$1,[11]손익!$G$5:$AB$252,59,),)</f>
        <v>0</v>
      </c>
      <c r="H35" s="6">
        <f>+IFERROR(VLOOKUP($F35,'[14]서부산(손익)'!$L$16:$R$29,4,),)/1000</f>
        <v>12600</v>
      </c>
      <c r="I35" s="6">
        <f t="shared" ref="I35:I41" si="21">+H35-G35</f>
        <v>12600</v>
      </c>
      <c r="J35" s="76">
        <f>+IFERROR(HLOOKUP($A$1,[11]손익!$G$5:$AB$252,68,),)</f>
        <v>0</v>
      </c>
      <c r="K35" s="6">
        <f>+IFERROR(VLOOKUP($F35,'[14]서부산(손익)'!$L$16:$R$29,3,),)/1000</f>
        <v>0</v>
      </c>
      <c r="L35" s="6">
        <f>+K35-J35</f>
        <v>0</v>
      </c>
      <c r="M35" s="6">
        <f>SUM(G35,J35)</f>
        <v>0</v>
      </c>
      <c r="N35" s="6">
        <f t="shared" ref="N35:N40" si="22">SUM(H35,K35)</f>
        <v>12600</v>
      </c>
      <c r="O35" s="6">
        <f t="shared" ref="O35:O41" si="23">+N35-M35</f>
        <v>12600</v>
      </c>
      <c r="P35" s="6">
        <f>+IFERROR(HLOOKUP($A$1,[12]손익!$G$5:$AB$252,57,),)</f>
        <v>157756.08545124519</v>
      </c>
      <c r="Q35" s="6">
        <f>+IFERROR(VLOOKUP($F35,'[14]부산크라샤(손익)'!$L$16:$R$29,3,),)/1000</f>
        <v>213377.5</v>
      </c>
      <c r="R35" s="6">
        <f t="shared" ref="R35:R41" si="24">+Q35-P35</f>
        <v>55621.414548754808</v>
      </c>
      <c r="S35" s="76">
        <f>+IFERROR(HLOOKUP($A$1,[12]손익!$G$5:$AB$252,66,),)</f>
        <v>156689.90637258487</v>
      </c>
      <c r="T35" s="6">
        <f>+IFERROR(VLOOKUP($F35,'[14]부산크라샤(손익)'!$L$16:$R$29,4,),)/1000</f>
        <v>197376.5</v>
      </c>
      <c r="U35" s="6">
        <f>+T35-S35</f>
        <v>40686.593627415132</v>
      </c>
      <c r="V35" s="6">
        <f>SUM(P35,S35)</f>
        <v>314445.99182383006</v>
      </c>
      <c r="W35" s="6">
        <f t="shared" ref="W35:W41" si="25">SUM(Q35,T35)</f>
        <v>410754</v>
      </c>
      <c r="X35" s="6">
        <f t="shared" ref="X35:X41" si="26">+W35-V35</f>
        <v>96308.00817616994</v>
      </c>
      <c r="Y35" s="472">
        <f>+IFERROR(HLOOKUP($A$1,[13]이송계획!$G$70:$W$100,16,),)+IFERROR(HLOOKUP($A$1,[13]이송계획!$G$70:$W$100,23,),)</f>
        <v>116650.23764940587</v>
      </c>
      <c r="Z35" s="6">
        <f>+'[8]부산모래장(당월)'!R76</f>
        <v>160000</v>
      </c>
      <c r="AB35" s="76">
        <f t="shared" ref="AB35:AC41" si="27">+M35+V35+Y35</f>
        <v>431096.2294732359</v>
      </c>
      <c r="AC35" s="76">
        <f t="shared" si="27"/>
        <v>583354</v>
      </c>
      <c r="AD35" s="6">
        <f t="shared" ref="AD35:AD41" si="28">+AC35-AB35</f>
        <v>152257.7705267641</v>
      </c>
    </row>
    <row r="36" spans="5:30" ht="21.95" customHeight="1">
      <c r="E36" s="26" t="s">
        <v>77</v>
      </c>
      <c r="F36" s="466" t="s">
        <v>26</v>
      </c>
      <c r="G36" s="6">
        <f>+IFERROR(HLOOKUP($A$1,[11]손익!$G$5:$AB$252,60,),)</f>
        <v>183299.20000000001</v>
      </c>
      <c r="H36" s="6">
        <f>+IFERROR(VLOOKUP($F36,'[14]서부산(손익)'!$L$16:$R$29,4,),)/1000</f>
        <v>170000</v>
      </c>
      <c r="I36" s="6">
        <f t="shared" si="21"/>
        <v>-13299.200000000012</v>
      </c>
      <c r="J36" s="76">
        <f>+IFERROR(HLOOKUP($A$1,[11]손익!$G$5:$AB$252,69,),)</f>
        <v>9613.8000000000011</v>
      </c>
      <c r="K36" s="6">
        <f>+IFERROR(VLOOKUP($F36,'[14]서부산(손익)'!$L$16:$R$29,3,),)/1000</f>
        <v>6720</v>
      </c>
      <c r="L36" s="6">
        <f t="shared" ref="L36:L41" si="29">+K36-J36</f>
        <v>-2893.8000000000011</v>
      </c>
      <c r="M36" s="6">
        <f t="shared" ref="M36:N41" si="30">SUM(G36,J36)</f>
        <v>192913</v>
      </c>
      <c r="N36" s="6">
        <f t="shared" si="22"/>
        <v>176720</v>
      </c>
      <c r="O36" s="6">
        <f t="shared" si="23"/>
        <v>-16193</v>
      </c>
      <c r="P36" s="6">
        <f>+IFERROR(HLOOKUP($A$1,[12]손익!$G$5:$AB$252,58,),)</f>
        <v>0</v>
      </c>
      <c r="Q36" s="6">
        <f>+IFERROR(VLOOKUP($F36,'[14]부산크라샤(손익)'!$L$16:$R$29,3,),)/1000</f>
        <v>2112</v>
      </c>
      <c r="R36" s="6">
        <f t="shared" si="24"/>
        <v>2112</v>
      </c>
      <c r="S36" s="76">
        <f>+IFERROR(HLOOKUP($A$1,[12]손익!$G$5:$AB$252,67,),)</f>
        <v>37960.860000000008</v>
      </c>
      <c r="T36" s="6">
        <f>+IFERROR(VLOOKUP($F36,'[14]부산크라샤(손익)'!$L$16:$R$29,4,),)/1000</f>
        <v>75840</v>
      </c>
      <c r="U36" s="6">
        <f t="shared" ref="U36:U41" si="31">+T36-S36</f>
        <v>37879.139999999992</v>
      </c>
      <c r="V36" s="6">
        <f t="shared" ref="V36:V41" si="32">SUM(P36,S36)</f>
        <v>37960.860000000008</v>
      </c>
      <c r="W36" s="6">
        <f t="shared" si="25"/>
        <v>77952</v>
      </c>
      <c r="X36" s="6">
        <f>+W36-V36</f>
        <v>39991.139999999992</v>
      </c>
      <c r="Y36" s="472">
        <f>+IFERROR(HLOOKUP($A$1,[13]이송계획!$G$70:$W$100,17,),)+IFERROR(HLOOKUP($A$1,[13]이송계획!$G$70:$W$100,24,),)</f>
        <v>124902.71328671329</v>
      </c>
      <c r="Z36" s="6">
        <f>+'[8]부산모래장(당월)'!R77</f>
        <v>115136</v>
      </c>
      <c r="AB36" s="6">
        <f t="shared" si="27"/>
        <v>355776.57328671333</v>
      </c>
      <c r="AC36" s="6">
        <f t="shared" si="27"/>
        <v>369808</v>
      </c>
      <c r="AD36" s="6">
        <f t="shared" si="28"/>
        <v>14031.426713286666</v>
      </c>
    </row>
    <row r="37" spans="5:30" ht="21.95" customHeight="1">
      <c r="F37" s="466" t="s">
        <v>27</v>
      </c>
      <c r="G37" s="6">
        <f>+IFERROR(HLOOKUP($A$1,[11]손익!$G$5:$AB$252,61,),)</f>
        <v>0</v>
      </c>
      <c r="H37" s="6">
        <f>+IFERROR(VLOOKUP($F37,'[14]서부산(손익)'!$L$16:$R$29,4,),)/1000</f>
        <v>9016</v>
      </c>
      <c r="I37" s="6">
        <f t="shared" si="21"/>
        <v>9016</v>
      </c>
      <c r="J37" s="76">
        <f>+IFERROR(HLOOKUP($A$1,[11]손익!$G$5:$AB$252,70,),)</f>
        <v>0</v>
      </c>
      <c r="K37" s="6">
        <f>+IFERROR(VLOOKUP($F37,'[14]서부산(손익)'!$L$16:$R$29,3,),)/1000</f>
        <v>0</v>
      </c>
      <c r="L37" s="6">
        <f t="shared" si="29"/>
        <v>0</v>
      </c>
      <c r="M37" s="6">
        <f t="shared" si="30"/>
        <v>0</v>
      </c>
      <c r="N37" s="6">
        <f t="shared" si="22"/>
        <v>9016</v>
      </c>
      <c r="O37" s="6">
        <f t="shared" si="23"/>
        <v>9016</v>
      </c>
      <c r="P37" s="6">
        <f>+IFERROR(HLOOKUP($A$1,[12]손익!$G$5:$AB$252,59,),)</f>
        <v>0</v>
      </c>
      <c r="Q37" s="6">
        <f>+IFERROR(VLOOKUP($F37,'[14]부산크라샤(손익)'!$L$16:$R$29,3,),)/1000</f>
        <v>0</v>
      </c>
      <c r="R37" s="6">
        <f t="shared" si="24"/>
        <v>0</v>
      </c>
      <c r="S37" s="76">
        <f>+IFERROR(HLOOKUP($A$1,[12]손익!$G$5:$AB$252,68,),)</f>
        <v>0</v>
      </c>
      <c r="T37" s="6">
        <f>+IFERROR(VLOOKUP($F37,'[14]부산크라샤(손익)'!$L$16:$R$29,4,),)/1000</f>
        <v>0</v>
      </c>
      <c r="U37" s="6">
        <f t="shared" si="31"/>
        <v>0</v>
      </c>
      <c r="V37" s="6">
        <f t="shared" si="32"/>
        <v>0</v>
      </c>
      <c r="W37" s="6">
        <f t="shared" si="25"/>
        <v>0</v>
      </c>
      <c r="X37" s="6">
        <f t="shared" si="26"/>
        <v>0</v>
      </c>
      <c r="Y37" s="472">
        <f>+IFERROR(HLOOKUP($A$1,[13]이송계획!$G$70:$W$100,18,),)+IFERROR(HLOOKUP($A$1,[13]이송계획!$G$70:$W$100,25,),)</f>
        <v>73076.923076923078</v>
      </c>
      <c r="Z37" s="6">
        <f>+'[8]부산모래장(당월)'!R78</f>
        <v>99000</v>
      </c>
      <c r="AB37" s="6">
        <f t="shared" si="27"/>
        <v>73076.923076923078</v>
      </c>
      <c r="AC37" s="6">
        <f t="shared" si="27"/>
        <v>108016</v>
      </c>
      <c r="AD37" s="6">
        <f t="shared" si="28"/>
        <v>34939.076923076922</v>
      </c>
    </row>
    <row r="38" spans="5:30" ht="21.95" customHeight="1">
      <c r="F38" s="466" t="s">
        <v>28</v>
      </c>
      <c r="G38" s="6">
        <f>+IFERROR(HLOOKUP($A$1,[11]손익!$G$5:$AB$252,62,),)</f>
        <v>0</v>
      </c>
      <c r="H38" s="6">
        <f>+IFERROR(VLOOKUP($F38,'[14]서부산(손익)'!$L$16:$R$29,4,),)/1000</f>
        <v>0</v>
      </c>
      <c r="I38" s="6">
        <f t="shared" si="21"/>
        <v>0</v>
      </c>
      <c r="J38" s="76">
        <f>+IFERROR(HLOOKUP($A$1,[11]손익!$G$5:$AB$252,71,),)</f>
        <v>0</v>
      </c>
      <c r="K38" s="6">
        <f>+IFERROR(VLOOKUP($F38,'[14]서부산(손익)'!$L$16:$R$29,3,),)/1000</f>
        <v>0</v>
      </c>
      <c r="L38" s="6">
        <f t="shared" si="29"/>
        <v>0</v>
      </c>
      <c r="M38" s="6">
        <f t="shared" si="30"/>
        <v>0</v>
      </c>
      <c r="N38" s="6">
        <f t="shared" si="22"/>
        <v>0</v>
      </c>
      <c r="O38" s="6">
        <f t="shared" si="23"/>
        <v>0</v>
      </c>
      <c r="P38" s="6">
        <f>+IFERROR(HLOOKUP($A$1,[12]손익!$G$5:$AB$252,60,),)</f>
        <v>0</v>
      </c>
      <c r="Q38" s="6">
        <f>+IFERROR(VLOOKUP($F38,'[14]부산크라샤(손익)'!$L$16:$R$29,3,),)/1000</f>
        <v>0</v>
      </c>
      <c r="R38" s="6">
        <f t="shared" si="24"/>
        <v>0</v>
      </c>
      <c r="S38" s="76">
        <f>+IFERROR(HLOOKUP($A$1,[12]손익!$G$5:$AB$252,69,),)</f>
        <v>0</v>
      </c>
      <c r="T38" s="6">
        <f>+IFERROR(VLOOKUP($F38,'[14]부산크라샤(손익)'!$L$16:$R$29,4,),)/1000</f>
        <v>0</v>
      </c>
      <c r="U38" s="6">
        <f t="shared" si="31"/>
        <v>0</v>
      </c>
      <c r="V38" s="6">
        <f t="shared" si="32"/>
        <v>0</v>
      </c>
      <c r="W38" s="6">
        <f t="shared" si="25"/>
        <v>0</v>
      </c>
      <c r="X38" s="6">
        <f t="shared" si="26"/>
        <v>0</v>
      </c>
      <c r="Y38" s="472">
        <f>+IFERROR(HLOOKUP($A$1,[13]이송계획!$G$70:$W$100,19,),)+IFERROR(HLOOKUP($A$1,[13]이송계획!$G$70:$W$100,26,),)</f>
        <v>114646.15384615384</v>
      </c>
      <c r="Z38" s="6">
        <f>+'[8]부산모래장(당월)'!R79</f>
        <v>121000</v>
      </c>
      <c r="AB38" s="6">
        <f t="shared" si="27"/>
        <v>114646.15384615384</v>
      </c>
      <c r="AC38" s="6">
        <f t="shared" si="27"/>
        <v>121000</v>
      </c>
      <c r="AD38" s="6">
        <f t="shared" si="28"/>
        <v>6353.8461538461561</v>
      </c>
    </row>
    <row r="39" spans="5:30" ht="21.95" customHeight="1">
      <c r="F39" s="466" t="s">
        <v>29</v>
      </c>
      <c r="G39" s="6">
        <f>+IFERROR(HLOOKUP($A$1,[11]손익!$G$5:$AB$252,63,),)</f>
        <v>0</v>
      </c>
      <c r="H39" s="6">
        <f>+IFERROR(VLOOKUP($F39,'[14]서부산(손익)'!$L$16:$R$29,4,),)/1000</f>
        <v>0</v>
      </c>
      <c r="I39" s="6">
        <f t="shared" si="21"/>
        <v>0</v>
      </c>
      <c r="J39" s="76">
        <f>+IFERROR(HLOOKUP($A$1,[11]손익!$G$5:$AB$252,72,),)</f>
        <v>0</v>
      </c>
      <c r="K39" s="6">
        <f>+IFERROR(VLOOKUP($F39,'[14]서부산(손익)'!$L$16:$R$29,3,),)/1000</f>
        <v>1296</v>
      </c>
      <c r="L39" s="6">
        <f t="shared" si="29"/>
        <v>1296</v>
      </c>
      <c r="M39" s="6">
        <f t="shared" si="30"/>
        <v>0</v>
      </c>
      <c r="N39" s="6">
        <f t="shared" si="22"/>
        <v>1296</v>
      </c>
      <c r="O39" s="6">
        <f t="shared" si="23"/>
        <v>1296</v>
      </c>
      <c r="P39" s="6">
        <f>+IFERROR(HLOOKUP($A$1,[12]손익!$G$5:$AB$252,61,),)</f>
        <v>0</v>
      </c>
      <c r="Q39" s="6">
        <f>+IFERROR(VLOOKUP($F39,'[14]부산크라샤(손익)'!$L$16:$R$29,3,),)/1000</f>
        <v>0</v>
      </c>
      <c r="R39" s="6">
        <f t="shared" si="24"/>
        <v>0</v>
      </c>
      <c r="S39" s="76">
        <f>+IFERROR(HLOOKUP($A$1,[12]손익!$G$5:$AB$252,70,),)</f>
        <v>0</v>
      </c>
      <c r="T39" s="6">
        <f>+IFERROR(VLOOKUP($F39,'[14]부산크라샤(손익)'!$L$16:$R$29,4,),)/1000</f>
        <v>4560</v>
      </c>
      <c r="U39" s="6">
        <f t="shared" si="31"/>
        <v>4560</v>
      </c>
      <c r="V39" s="6">
        <f t="shared" si="32"/>
        <v>0</v>
      </c>
      <c r="W39" s="6">
        <f t="shared" si="25"/>
        <v>4560</v>
      </c>
      <c r="X39" s="6">
        <f t="shared" si="26"/>
        <v>4560</v>
      </c>
      <c r="Y39" s="472">
        <f>+IFERROR(HLOOKUP($A$1,[13]이송계획!$G$70:$W$100,20,),)+IFERROR(HLOOKUP($A$1,[13]이송계획!$G$70:$W$100,27,),)</f>
        <v>40567.115384615383</v>
      </c>
      <c r="Z39" s="6">
        <f>+'[8]부산모래장(당월)'!R80</f>
        <v>23320</v>
      </c>
      <c r="AB39" s="6">
        <f t="shared" si="27"/>
        <v>40567.115384615383</v>
      </c>
      <c r="AC39" s="6">
        <f t="shared" si="27"/>
        <v>29176</v>
      </c>
      <c r="AD39" s="6">
        <f t="shared" si="28"/>
        <v>-11391.115384615383</v>
      </c>
    </row>
    <row r="40" spans="5:30" ht="21.95" customHeight="1">
      <c r="F40" s="466" t="s">
        <v>30</v>
      </c>
      <c r="G40" s="6">
        <f>+IFERROR(HLOOKUP($A$1,[11]손익!$G$5:$AB$252,64,),)</f>
        <v>0</v>
      </c>
      <c r="H40" s="6">
        <f>+IFERROR(VLOOKUP($F40,'[14]서부산(손익)'!$L$16:$R$29,4,),)/1000</f>
        <v>1840</v>
      </c>
      <c r="I40" s="6">
        <f t="shared" si="21"/>
        <v>1840</v>
      </c>
      <c r="J40" s="76">
        <f>+IFERROR(HLOOKUP($A$1,[11]손익!$G$5:$AB$252,73,),)</f>
        <v>0</v>
      </c>
      <c r="K40" s="6">
        <f>+IFERROR(VLOOKUP($F40,'[14]서부산(손익)'!$L$16:$R$29,3,),)/1000</f>
        <v>2160</v>
      </c>
      <c r="L40" s="6">
        <f t="shared" si="29"/>
        <v>2160</v>
      </c>
      <c r="M40" s="6">
        <f t="shared" si="30"/>
        <v>0</v>
      </c>
      <c r="N40" s="6">
        <f t="shared" si="22"/>
        <v>4000</v>
      </c>
      <c r="O40" s="6">
        <f t="shared" si="23"/>
        <v>4000</v>
      </c>
      <c r="P40" s="6">
        <f>+IFERROR(HLOOKUP($A$1,[12]손익!$G$5:$AB$252,62,),)</f>
        <v>0</v>
      </c>
      <c r="Q40" s="6">
        <f>+IFERROR(VLOOKUP($F40,'[14]부산크라샤(손익)'!$L$16:$R$29,3,),)/1000</f>
        <v>0</v>
      </c>
      <c r="R40" s="6">
        <f t="shared" si="24"/>
        <v>0</v>
      </c>
      <c r="S40" s="76">
        <f>+IFERROR(HLOOKUP($A$1,[12]손익!$G$5:$AB$252,71,),)</f>
        <v>0</v>
      </c>
      <c r="T40" s="6">
        <f>+IFERROR(VLOOKUP($F40,'[14]부산크라샤(손익)'!$L$16:$R$29,4,),)/1000</f>
        <v>0</v>
      </c>
      <c r="U40" s="6">
        <f t="shared" si="31"/>
        <v>0</v>
      </c>
      <c r="V40" s="6">
        <f t="shared" si="32"/>
        <v>0</v>
      </c>
      <c r="W40" s="6">
        <f t="shared" si="25"/>
        <v>0</v>
      </c>
      <c r="X40" s="6">
        <f t="shared" si="26"/>
        <v>0</v>
      </c>
      <c r="Y40" s="472">
        <f>+IFERROR(HLOOKUP($A$1,[13]이송계획!$G$70:$W$100,21,),)+IFERROR(HLOOKUP($A$1,[13]이송계획!$G$70:$W$100,28,),)</f>
        <v>0</v>
      </c>
      <c r="AB40" s="6">
        <f t="shared" si="27"/>
        <v>0</v>
      </c>
      <c r="AC40" s="6">
        <f t="shared" si="27"/>
        <v>4000</v>
      </c>
      <c r="AD40" s="6">
        <f t="shared" si="28"/>
        <v>4000</v>
      </c>
    </row>
    <row r="41" spans="5:30" ht="21.95" customHeight="1">
      <c r="F41" s="466" t="s">
        <v>8</v>
      </c>
      <c r="G41" s="6">
        <f>SUM(G35:G40)</f>
        <v>183299.20000000001</v>
      </c>
      <c r="H41" s="6">
        <f>SUM(H35:H40)</f>
        <v>193456</v>
      </c>
      <c r="I41" s="6">
        <f t="shared" si="21"/>
        <v>10156.799999999988</v>
      </c>
      <c r="J41" s="76">
        <f>SUM(J35:J40)</f>
        <v>9613.8000000000011</v>
      </c>
      <c r="K41" s="76">
        <f>SUM(K35:K40)</f>
        <v>10176</v>
      </c>
      <c r="L41" s="6">
        <f t="shared" si="29"/>
        <v>562.19999999999891</v>
      </c>
      <c r="M41" s="6">
        <f t="shared" si="30"/>
        <v>192913</v>
      </c>
      <c r="N41" s="6">
        <f t="shared" si="30"/>
        <v>203632</v>
      </c>
      <c r="O41" s="6">
        <f t="shared" si="23"/>
        <v>10719</v>
      </c>
      <c r="P41" s="6">
        <f>SUM(P35:P40)</f>
        <v>157756.08545124519</v>
      </c>
      <c r="Q41" s="6">
        <f>SUM(Q35:Q40)</f>
        <v>215489.5</v>
      </c>
      <c r="R41" s="6">
        <f t="shared" si="24"/>
        <v>57733.414548754808</v>
      </c>
      <c r="S41" s="76">
        <f>SUM(S35:S40)</f>
        <v>194650.76637258488</v>
      </c>
      <c r="T41" s="76">
        <f>SUM(T35:T40)</f>
        <v>277776.5</v>
      </c>
      <c r="U41" s="6">
        <f t="shared" si="31"/>
        <v>83125.733627415117</v>
      </c>
      <c r="V41" s="6">
        <f t="shared" si="32"/>
        <v>352406.85182383005</v>
      </c>
      <c r="W41" s="6">
        <f t="shared" si="25"/>
        <v>493266</v>
      </c>
      <c r="X41" s="6">
        <f t="shared" si="26"/>
        <v>140859.14817616995</v>
      </c>
      <c r="Y41" s="6">
        <f>SUM(Y35:Y40)</f>
        <v>469843.14324381144</v>
      </c>
      <c r="Z41" s="6">
        <f>SUM(Z35:Z40)</f>
        <v>518456</v>
      </c>
      <c r="AB41" s="6">
        <f t="shared" si="27"/>
        <v>1015162.9950676415</v>
      </c>
      <c r="AC41" s="6">
        <f t="shared" si="27"/>
        <v>1215354</v>
      </c>
      <c r="AD41" s="6">
        <f t="shared" si="28"/>
        <v>200191.00493235851</v>
      </c>
    </row>
    <row r="42" spans="5:30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/>
    <row r="44" spans="5:30" ht="21.95" customHeight="1"/>
    <row r="45" spans="5:30" ht="21.95" customHeight="1"/>
    <row r="46" spans="5:30" ht="21.95" customHeight="1"/>
    <row r="47" spans="5:30" ht="21.95" customHeight="1"/>
    <row r="48" spans="5:3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847E-DCB2-4809-8064-403FBF23F076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>
      <c r="A1" s="457" t="s">
        <v>180</v>
      </c>
    </row>
    <row r="2" spans="1:33" ht="9.75" customHeight="1"/>
    <row r="3" spans="1:33" ht="9.9499999999999993" customHeight="1"/>
    <row r="4" spans="1:33" ht="31.5">
      <c r="D4" s="198" t="s">
        <v>215</v>
      </c>
      <c r="F4" s="198"/>
      <c r="I4" s="198"/>
    </row>
    <row r="5" spans="1:33" ht="21.95" customHeight="1" thickBot="1">
      <c r="J5" s="76"/>
      <c r="Y5" s="76"/>
      <c r="AB5" s="76"/>
      <c r="AD5" s="200" t="s">
        <v>167</v>
      </c>
    </row>
    <row r="6" spans="1:33" ht="24" customHeight="1" thickTop="1">
      <c r="D6" s="310" t="s">
        <v>15</v>
      </c>
      <c r="E6" s="744" t="s">
        <v>11</v>
      </c>
      <c r="F6" s="745"/>
      <c r="G6" s="308" t="s">
        <v>140</v>
      </c>
      <c r="H6" s="307"/>
      <c r="I6" s="307"/>
      <c r="J6" s="307" t="s">
        <v>139</v>
      </c>
      <c r="K6" s="307"/>
      <c r="L6" s="309"/>
      <c r="M6" s="423" t="s">
        <v>138</v>
      </c>
      <c r="N6" s="424"/>
      <c r="O6" s="425"/>
      <c r="P6" s="308" t="s">
        <v>186</v>
      </c>
      <c r="Q6" s="307"/>
      <c r="R6" s="307"/>
      <c r="S6" s="307" t="s">
        <v>187</v>
      </c>
      <c r="T6" s="307"/>
      <c r="U6" s="309"/>
      <c r="V6" s="423" t="s">
        <v>188</v>
      </c>
      <c r="W6" s="424"/>
      <c r="X6" s="425"/>
      <c r="Y6" s="422" t="s">
        <v>137</v>
      </c>
      <c r="Z6" s="307"/>
      <c r="AA6" s="309"/>
      <c r="AB6" s="423" t="s">
        <v>136</v>
      </c>
      <c r="AC6" s="424"/>
      <c r="AD6" s="425"/>
    </row>
    <row r="7" spans="1:33" ht="24" customHeight="1">
      <c r="D7" s="306"/>
      <c r="E7" s="746"/>
      <c r="F7" s="747"/>
      <c r="G7" s="302" t="s">
        <v>12</v>
      </c>
      <c r="H7" s="408" t="s">
        <v>13</v>
      </c>
      <c r="I7" s="305" t="s">
        <v>36</v>
      </c>
      <c r="J7" s="304" t="s">
        <v>15</v>
      </c>
      <c r="K7" s="408" t="s">
        <v>16</v>
      </c>
      <c r="L7" s="303" t="s">
        <v>36</v>
      </c>
      <c r="M7" s="426" t="s">
        <v>15</v>
      </c>
      <c r="N7" s="408" t="s">
        <v>16</v>
      </c>
      <c r="O7" s="427" t="s">
        <v>36</v>
      </c>
      <c r="P7" s="302" t="s">
        <v>12</v>
      </c>
      <c r="Q7" s="408" t="s">
        <v>13</v>
      </c>
      <c r="R7" s="305" t="s">
        <v>36</v>
      </c>
      <c r="S7" s="304" t="s">
        <v>15</v>
      </c>
      <c r="T7" s="408" t="s">
        <v>16</v>
      </c>
      <c r="U7" s="303" t="s">
        <v>36</v>
      </c>
      <c r="V7" s="426" t="s">
        <v>15</v>
      </c>
      <c r="W7" s="408" t="s">
        <v>16</v>
      </c>
      <c r="X7" s="427" t="s">
        <v>36</v>
      </c>
      <c r="Y7" s="303" t="s">
        <v>15</v>
      </c>
      <c r="Z7" s="408" t="s">
        <v>16</v>
      </c>
      <c r="AA7" s="303" t="s">
        <v>36</v>
      </c>
      <c r="AB7" s="426" t="s">
        <v>15</v>
      </c>
      <c r="AC7" s="408" t="s">
        <v>16</v>
      </c>
      <c r="AD7" s="427" t="s">
        <v>36</v>
      </c>
    </row>
    <row r="8" spans="1:33" ht="24" customHeight="1">
      <c r="D8" s="77"/>
      <c r="E8" s="279" t="s">
        <v>110</v>
      </c>
      <c r="F8" s="278" t="s">
        <v>132</v>
      </c>
      <c r="G8" s="274">
        <f>+IFERROR(HLOOKUP($A$1,[11]손익요약!$G$5:$AL$106,3,),)</f>
        <v>11456.2</v>
      </c>
      <c r="H8" s="409">
        <f>+'[8]서부산크라샤(당월)'!$F$66</f>
        <v>11952</v>
      </c>
      <c r="I8" s="277">
        <f>H8-G8</f>
        <v>495.79999999999927</v>
      </c>
      <c r="J8" s="276">
        <f>+IFERROR(HLOOKUP($A$1,[11]손익요약!$G$5:$AL$106,6,),)</f>
        <v>915.60000000000014</v>
      </c>
      <c r="K8" s="409">
        <f>+'[8]서부산크라샤(당월)'!$I$66</f>
        <v>1024</v>
      </c>
      <c r="L8" s="275">
        <f>K8-J8</f>
        <v>108.39999999999986</v>
      </c>
      <c r="M8" s="428">
        <f>+G8+J8</f>
        <v>12371.800000000001</v>
      </c>
      <c r="N8" s="409">
        <f>+H8+K8</f>
        <v>12976</v>
      </c>
      <c r="O8" s="429">
        <f>N8-M8</f>
        <v>604.19999999999891</v>
      </c>
      <c r="P8" s="274">
        <f>+IFERROR(HLOOKUP($A$1,[12]손익요약!$G$5:$AL$106,3,),)</f>
        <v>9859.7553407028245</v>
      </c>
      <c r="Q8" s="409">
        <f>+'[8]부산크라샤(당월)'!$F$66</f>
        <v>12369</v>
      </c>
      <c r="R8" s="277">
        <f>Q8-P8</f>
        <v>2509.2446592971755</v>
      </c>
      <c r="S8" s="276">
        <f>+IFERROR(HLOOKUP($A$1,[12]손익요약!$G$5:$AL$106,6,),)</f>
        <v>8810.5446248949956</v>
      </c>
      <c r="T8" s="409">
        <f>+'[8]부산크라샤(당월)'!$I$66</f>
        <v>12431</v>
      </c>
      <c r="U8" s="275">
        <f>T8-S8</f>
        <v>3620.4553751050044</v>
      </c>
      <c r="V8" s="428">
        <f>+P8+S8</f>
        <v>18670.29996559782</v>
      </c>
      <c r="W8" s="409">
        <f>+Q8+T8</f>
        <v>24800</v>
      </c>
      <c r="X8" s="429">
        <f>W8-V8</f>
        <v>6129.7000344021799</v>
      </c>
      <c r="Y8" s="275">
        <f>+IFERROR(HLOOKUP($A$1,[13]손익계획!$G$5:$AX$449,3,),)</f>
        <v>16586.870682990953</v>
      </c>
      <c r="Z8" s="409">
        <f>+'[8]부산모래장(당월)'!$R$48</f>
        <v>17960</v>
      </c>
      <c r="AA8" s="275">
        <f>Z8-Y8</f>
        <v>1373.1293170090466</v>
      </c>
      <c r="AB8" s="428">
        <f>+M8+V8+Y8</f>
        <v>47628.970648588773</v>
      </c>
      <c r="AC8" s="409">
        <f>+N8+W8+Z8</f>
        <v>55736</v>
      </c>
      <c r="AD8" s="429">
        <f>AC8-AB8</f>
        <v>8107.0293514112273</v>
      </c>
    </row>
    <row r="9" spans="1:33" ht="24" customHeight="1">
      <c r="D9" s="77"/>
      <c r="E9" s="296"/>
      <c r="F9" s="301" t="s">
        <v>10</v>
      </c>
      <c r="G9" s="297">
        <f>+G8/G$12</f>
        <v>1</v>
      </c>
      <c r="H9" s="410">
        <f>+H8/H$12</f>
        <v>0.47248576850094876</v>
      </c>
      <c r="I9" s="300">
        <f>+H9-G9</f>
        <v>-0.5275142314990513</v>
      </c>
      <c r="J9" s="299">
        <f>+J8/J$12</f>
        <v>1</v>
      </c>
      <c r="K9" s="410">
        <f>+K8/K$12</f>
        <v>0.39751552795031053</v>
      </c>
      <c r="L9" s="298">
        <f>+K9-J9</f>
        <v>-0.60248447204968947</v>
      </c>
      <c r="M9" s="430">
        <f>+M8/M$12</f>
        <v>1</v>
      </c>
      <c r="N9" s="410">
        <f>+N8/N$12</f>
        <v>0.46555683122847302</v>
      </c>
      <c r="O9" s="431">
        <f>+N9-M9</f>
        <v>-0.53444316877152698</v>
      </c>
      <c r="P9" s="297">
        <f>+P8/P$12</f>
        <v>0.62168394965075735</v>
      </c>
      <c r="Q9" s="410">
        <f>+Q8/Q$12</f>
        <v>0.82941058137195733</v>
      </c>
      <c r="R9" s="300">
        <f>+Q9-P9</f>
        <v>0.20772663172119998</v>
      </c>
      <c r="S9" s="299">
        <f>+S8/S$12</f>
        <v>0.37002700961670465</v>
      </c>
      <c r="T9" s="410">
        <f>+T8/T$12</f>
        <v>0.85571694086872718</v>
      </c>
      <c r="U9" s="298">
        <f>+T9-S9</f>
        <v>0.48568993125202253</v>
      </c>
      <c r="V9" s="430">
        <f>+V8/V$12</f>
        <v>0.47063672273183588</v>
      </c>
      <c r="W9" s="410">
        <f>+W8/W$12</f>
        <v>0.84239130434782605</v>
      </c>
      <c r="X9" s="431">
        <f>+W9-V9</f>
        <v>0.37175458161599018</v>
      </c>
      <c r="Y9" s="298">
        <f>+Y8/Y$12</f>
        <v>0.67462309038236612</v>
      </c>
      <c r="Z9" s="410">
        <f>+Z8/Z$12</f>
        <v>0.66017276235986033</v>
      </c>
      <c r="AA9" s="298">
        <f>+Z9-Y9</f>
        <v>-1.4450328022505787E-2</v>
      </c>
      <c r="AB9" s="430">
        <f>+AB8/AB$12</f>
        <v>0.62155305291792962</v>
      </c>
      <c r="AC9" s="410">
        <f>+AC8/AC$12</f>
        <v>0.65946495971224728</v>
      </c>
      <c r="AD9" s="431">
        <f>+AC9-AB9</f>
        <v>3.7911906794317662E-2</v>
      </c>
    </row>
    <row r="10" spans="1:33" ht="24" customHeight="1">
      <c r="D10" s="272"/>
      <c r="E10" s="296"/>
      <c r="F10" s="295" t="s">
        <v>135</v>
      </c>
      <c r="G10" s="291">
        <f>+IFERROR(HLOOKUP($A$1,[11]손익요약!$G$5:$AL$106,2,),)</f>
        <v>0</v>
      </c>
      <c r="H10" s="411">
        <f>+'[8]서부산크라샤(당월)'!$F$59</f>
        <v>13344</v>
      </c>
      <c r="I10" s="294">
        <f>H10-G10</f>
        <v>13344</v>
      </c>
      <c r="J10" s="293">
        <f>+IFERROR(HLOOKUP($A$1,[11]손익요약!$G$5:$AL$106,5,),)</f>
        <v>0</v>
      </c>
      <c r="K10" s="411">
        <f>+'[8]서부산크라샤(당월)'!$I$59</f>
        <v>1552</v>
      </c>
      <c r="L10" s="292">
        <f>K10-J10</f>
        <v>1552</v>
      </c>
      <c r="M10" s="432">
        <f>+G10+J10</f>
        <v>0</v>
      </c>
      <c r="N10" s="411">
        <f>+H10+K10</f>
        <v>14896</v>
      </c>
      <c r="O10" s="433">
        <f>N10-M10</f>
        <v>14896</v>
      </c>
      <c r="P10" s="291">
        <f>+IFERROR(HLOOKUP($A$1,[12]손익요약!$G$5:$AL$106,2,),)</f>
        <v>6000</v>
      </c>
      <c r="Q10" s="411">
        <f>+'[8]부산크라샤(당월)'!$F$59</f>
        <v>2544</v>
      </c>
      <c r="R10" s="294">
        <f>Q10-P10</f>
        <v>-3456</v>
      </c>
      <c r="S10" s="293">
        <f>+IFERROR(HLOOKUP($A$1,[12]손익요약!$G$5:$AL$106,5,),)</f>
        <v>15000</v>
      </c>
      <c r="T10" s="411">
        <f>+'[8]부산크라샤(당월)'!$I$59</f>
        <v>2096</v>
      </c>
      <c r="U10" s="292">
        <f>T10-S10</f>
        <v>-12904</v>
      </c>
      <c r="V10" s="432">
        <f>+P10+S10</f>
        <v>21000</v>
      </c>
      <c r="W10" s="411">
        <f>+Q10+T10</f>
        <v>4640</v>
      </c>
      <c r="X10" s="433">
        <f>W10-V10</f>
        <v>-16360</v>
      </c>
      <c r="Y10" s="292">
        <f>+IFERROR(HLOOKUP($A$1,[13]손익계획!$G$5:$AX$449,2,),)</f>
        <v>8000</v>
      </c>
      <c r="Z10" s="411">
        <f>+'[8]부산모래장(당월)'!$R$47</f>
        <v>9245</v>
      </c>
      <c r="AA10" s="292">
        <f>Z10-Y10</f>
        <v>1245</v>
      </c>
      <c r="AB10" s="432">
        <f>+M10+V10+Y10</f>
        <v>29000</v>
      </c>
      <c r="AC10" s="411">
        <f>+N10+W10+Z10</f>
        <v>28781</v>
      </c>
      <c r="AD10" s="433">
        <f>AC10-AB10</f>
        <v>-219</v>
      </c>
    </row>
    <row r="11" spans="1:33" ht="24" customHeight="1">
      <c r="D11" s="272"/>
      <c r="E11" s="273"/>
      <c r="F11" s="290" t="s">
        <v>10</v>
      </c>
      <c r="G11" s="286">
        <f>+G10/G$12</f>
        <v>0</v>
      </c>
      <c r="H11" s="412">
        <f>+H10/H$12</f>
        <v>0.52751423149905119</v>
      </c>
      <c r="I11" s="289">
        <f>+H11-G11</f>
        <v>0.52751423149905119</v>
      </c>
      <c r="J11" s="288">
        <f>+J10/J$12</f>
        <v>0</v>
      </c>
      <c r="K11" s="412">
        <f>+K10/K$12</f>
        <v>0.60248447204968947</v>
      </c>
      <c r="L11" s="287">
        <f>+K11-J11</f>
        <v>0.60248447204968947</v>
      </c>
      <c r="M11" s="434">
        <f>+M10/M$12</f>
        <v>0</v>
      </c>
      <c r="N11" s="412">
        <f>+N10/N$12</f>
        <v>0.53444316877152698</v>
      </c>
      <c r="O11" s="435">
        <f>+N11-M11</f>
        <v>0.53444316877152698</v>
      </c>
      <c r="P11" s="286">
        <f>+P10/P$12</f>
        <v>0.37831605034924265</v>
      </c>
      <c r="Q11" s="412">
        <f>+Q10/Q$12</f>
        <v>0.17058941862804264</v>
      </c>
      <c r="R11" s="289">
        <f>+Q11-P11</f>
        <v>-0.20772663172120001</v>
      </c>
      <c r="S11" s="288">
        <f>+S10/S$12</f>
        <v>0.62997299038329535</v>
      </c>
      <c r="T11" s="412">
        <f>+T10/T$12</f>
        <v>0.14428305913127279</v>
      </c>
      <c r="U11" s="287">
        <f>+T11-S11</f>
        <v>-0.48568993125202253</v>
      </c>
      <c r="V11" s="434">
        <f>+V10/V$12</f>
        <v>0.52936327726816412</v>
      </c>
      <c r="W11" s="412">
        <f>+W10/W$12</f>
        <v>0.15760869565217392</v>
      </c>
      <c r="X11" s="435">
        <f>+W11-V11</f>
        <v>-0.37175458161599018</v>
      </c>
      <c r="Y11" s="287">
        <f>+Y10/Y$12</f>
        <v>0.32537690961763388</v>
      </c>
      <c r="Z11" s="412">
        <f>+Z10/Z$12</f>
        <v>0.33982723764013967</v>
      </c>
      <c r="AA11" s="287">
        <f>+Z11-Y11</f>
        <v>1.4450328022505787E-2</v>
      </c>
      <c r="AB11" s="434">
        <f>+AB10/AB$12</f>
        <v>0.37844694708207038</v>
      </c>
      <c r="AC11" s="412">
        <f>+AC10/AC$12</f>
        <v>0.34053504028775278</v>
      </c>
      <c r="AD11" s="435">
        <f>+AC11-AB11</f>
        <v>-3.7911906794317607E-2</v>
      </c>
    </row>
    <row r="12" spans="1:33" ht="24" customHeight="1">
      <c r="D12" s="272"/>
      <c r="E12" s="285"/>
      <c r="F12" s="284" t="s">
        <v>43</v>
      </c>
      <c r="G12" s="280">
        <f>G8+G10</f>
        <v>11456.2</v>
      </c>
      <c r="H12" s="413">
        <f>H8+H10</f>
        <v>25296</v>
      </c>
      <c r="I12" s="283">
        <f t="shared" ref="I12:I32" si="0">H12-G12</f>
        <v>13839.8</v>
      </c>
      <c r="J12" s="282">
        <f>J8+J10</f>
        <v>915.60000000000014</v>
      </c>
      <c r="K12" s="413">
        <f>K8+K10</f>
        <v>2576</v>
      </c>
      <c r="L12" s="281">
        <f t="shared" ref="L12:L32" si="1">K12-J12</f>
        <v>1660.3999999999999</v>
      </c>
      <c r="M12" s="436">
        <f>M8+M10</f>
        <v>12371.800000000001</v>
      </c>
      <c r="N12" s="413">
        <f>N8+N10</f>
        <v>27872</v>
      </c>
      <c r="O12" s="437">
        <f t="shared" ref="O12:O32" si="2">N12-M12</f>
        <v>15500.199999999999</v>
      </c>
      <c r="P12" s="280">
        <f>P8+P10</f>
        <v>15859.755340702824</v>
      </c>
      <c r="Q12" s="413">
        <f>Q8+Q10</f>
        <v>14913</v>
      </c>
      <c r="R12" s="283">
        <f t="shared" ref="R12:R32" si="3">Q12-P12</f>
        <v>-946.75534070282447</v>
      </c>
      <c r="S12" s="282">
        <f>S8+S10</f>
        <v>23810.544624894996</v>
      </c>
      <c r="T12" s="413">
        <f>T8+T10</f>
        <v>14527</v>
      </c>
      <c r="U12" s="281">
        <f t="shared" ref="U12:U32" si="4">T12-S12</f>
        <v>-9283.5446248949956</v>
      </c>
      <c r="V12" s="436">
        <f>V8+V10</f>
        <v>39670.29996559782</v>
      </c>
      <c r="W12" s="413">
        <f>W8+W10</f>
        <v>29440</v>
      </c>
      <c r="X12" s="437">
        <f t="shared" ref="X12:X32" si="5">W12-V12</f>
        <v>-10230.29996559782</v>
      </c>
      <c r="Y12" s="281">
        <f>Y8+Y10</f>
        <v>24586.870682990953</v>
      </c>
      <c r="Z12" s="413">
        <f>Z8+Z10</f>
        <v>27205</v>
      </c>
      <c r="AA12" s="281">
        <f t="shared" ref="AA12:AA32" si="6">Z12-Y12</f>
        <v>2618.1293170090466</v>
      </c>
      <c r="AB12" s="436">
        <f>AB8+AB10</f>
        <v>76628.970648588773</v>
      </c>
      <c r="AC12" s="413">
        <f>AC8+AC10</f>
        <v>84517</v>
      </c>
      <c r="AD12" s="437">
        <f t="shared" ref="AD12:AD32" si="7">AC12-AB12</f>
        <v>7888.0293514112273</v>
      </c>
      <c r="AF12" s="6">
        <f>+'사업장별(당월)'!J32*1000</f>
        <v>76628.970648588773</v>
      </c>
      <c r="AG12" s="6">
        <f>+'사업장별(당월)'!K32*1000</f>
        <v>84517</v>
      </c>
    </row>
    <row r="13" spans="1:33" ht="24" customHeight="1">
      <c r="D13" s="272"/>
      <c r="E13" s="279" t="s">
        <v>77</v>
      </c>
      <c r="F13" s="278" t="s">
        <v>132</v>
      </c>
      <c r="G13" s="274">
        <f>+IFERROR(HLOOKUP($A$1,[11]손익요약!$G$5:$AL$106,15,),)</f>
        <v>183299.20000000001</v>
      </c>
      <c r="H13" s="409">
        <f>+'[8]서부산크라샤(당월)'!$F$72</f>
        <v>193456</v>
      </c>
      <c r="I13" s="277">
        <f t="shared" si="0"/>
        <v>10156.799999999988</v>
      </c>
      <c r="J13" s="276">
        <f>+IFERROR(HLOOKUP($A$1,[11]손익요약!$G$5:$AL$106,18,),)</f>
        <v>9613.8000000000011</v>
      </c>
      <c r="K13" s="409">
        <f>+'[8]서부산크라샤(당월)'!$I$72</f>
        <v>10176</v>
      </c>
      <c r="L13" s="275">
        <f t="shared" si="1"/>
        <v>562.19999999999891</v>
      </c>
      <c r="M13" s="428">
        <f>+G13+J13</f>
        <v>192913</v>
      </c>
      <c r="N13" s="409">
        <f>+H13+K13</f>
        <v>203632</v>
      </c>
      <c r="O13" s="429">
        <f t="shared" si="2"/>
        <v>10719</v>
      </c>
      <c r="P13" s="274">
        <f>+IFERROR(HLOOKUP($A$1,[12]손익요약!$G$5:$AL$106,12,),)</f>
        <v>157756.08545124519</v>
      </c>
      <c r="Q13" s="409">
        <f>+'[8]부산크라샤(당월)'!$F$72</f>
        <v>215489.5</v>
      </c>
      <c r="R13" s="277">
        <f t="shared" si="3"/>
        <v>57733.414548754808</v>
      </c>
      <c r="S13" s="276">
        <f>+IFERROR(HLOOKUP($A$1,[12]손익요약!$G$5:$AL$106,15,),)</f>
        <v>194650.76637258488</v>
      </c>
      <c r="T13" s="409">
        <f>+'[8]부산크라샤(당월)'!$I$72</f>
        <v>277776.5</v>
      </c>
      <c r="U13" s="275">
        <f t="shared" si="4"/>
        <v>83125.733627415117</v>
      </c>
      <c r="V13" s="428">
        <f>+P13+S13</f>
        <v>352406.85182383005</v>
      </c>
      <c r="W13" s="409">
        <f>+Q13+T13</f>
        <v>493266</v>
      </c>
      <c r="X13" s="429">
        <f t="shared" si="5"/>
        <v>140859.14817616995</v>
      </c>
      <c r="Y13" s="275">
        <f>+IFERROR(HLOOKUP($A$1,[13]손익계획!$G$5:$AX$449,6,),)</f>
        <v>469843.14324381144</v>
      </c>
      <c r="Z13" s="409">
        <f>+'[8]부산모래장(당월)'!$R$54</f>
        <v>518456</v>
      </c>
      <c r="AA13" s="275">
        <f t="shared" si="6"/>
        <v>48612.856756188557</v>
      </c>
      <c r="AB13" s="428">
        <f>+M13+V13+Y13</f>
        <v>1015162.9950676415</v>
      </c>
      <c r="AC13" s="409">
        <f>+N13+W13+Z13</f>
        <v>1215354</v>
      </c>
      <c r="AD13" s="429">
        <f t="shared" si="7"/>
        <v>200191.00493235851</v>
      </c>
      <c r="AF13" s="6" t="b">
        <f>+AF12=AB12</f>
        <v>1</v>
      </c>
      <c r="AG13" s="6" t="b">
        <f>+AG12=AC12</f>
        <v>1</v>
      </c>
    </row>
    <row r="14" spans="1:33" ht="24" customHeight="1">
      <c r="D14" s="272"/>
      <c r="E14" s="273"/>
      <c r="F14" s="271" t="s">
        <v>131</v>
      </c>
      <c r="G14" s="267">
        <f>+G13/G8*1000</f>
        <v>16000</v>
      </c>
      <c r="H14" s="414">
        <f>+H13/H8*1000</f>
        <v>16186.07764390897</v>
      </c>
      <c r="I14" s="270">
        <f t="shared" si="0"/>
        <v>186.07764390896955</v>
      </c>
      <c r="J14" s="269">
        <f>+J13/J8*1000</f>
        <v>10500</v>
      </c>
      <c r="K14" s="414">
        <f>+K13/K8*1000</f>
        <v>9937.5</v>
      </c>
      <c r="L14" s="268">
        <f t="shared" si="1"/>
        <v>-562.5</v>
      </c>
      <c r="M14" s="438">
        <f>+M13/M8*1000</f>
        <v>15592.961412243973</v>
      </c>
      <c r="N14" s="414">
        <f>+N13/N8*1000</f>
        <v>15692.971639950678</v>
      </c>
      <c r="O14" s="439">
        <f t="shared" si="2"/>
        <v>100.01022770670534</v>
      </c>
      <c r="P14" s="267">
        <f>+P13/P8*1000</f>
        <v>16000</v>
      </c>
      <c r="Q14" s="414">
        <f>+Q13/Q8*1000</f>
        <v>17421.739833454605</v>
      </c>
      <c r="R14" s="270">
        <f t="shared" si="3"/>
        <v>1421.7398334546051</v>
      </c>
      <c r="S14" s="269">
        <f>+S13/S8*1000</f>
        <v>22092.932350922034</v>
      </c>
      <c r="T14" s="414">
        <f>+T13/T8*1000</f>
        <v>22345.466977716998</v>
      </c>
      <c r="U14" s="268">
        <f t="shared" si="4"/>
        <v>252.53462679496442</v>
      </c>
      <c r="V14" s="438">
        <f>+V13/V8*1000</f>
        <v>18875.264589919832</v>
      </c>
      <c r="W14" s="414">
        <f>+W13/W8*1000</f>
        <v>19889.758064516129</v>
      </c>
      <c r="X14" s="439">
        <f t="shared" si="5"/>
        <v>1014.4934745962964</v>
      </c>
      <c r="Y14" s="268">
        <f>+Y13/Y8*1000</f>
        <v>28326.207650826698</v>
      </c>
      <c r="Z14" s="414">
        <f>+Z13/Z8*1000</f>
        <v>28867.260579064587</v>
      </c>
      <c r="AA14" s="268">
        <f t="shared" si="6"/>
        <v>541.05292823788841</v>
      </c>
      <c r="AB14" s="438">
        <f>+AB13/AB8*1000</f>
        <v>21313.981411809506</v>
      </c>
      <c r="AC14" s="414">
        <f>+AC13/AC8*1000</f>
        <v>21805.547581455434</v>
      </c>
      <c r="AD14" s="439">
        <f t="shared" si="7"/>
        <v>491.56616964592831</v>
      </c>
    </row>
    <row r="15" spans="1:33" ht="24" customHeight="1">
      <c r="D15" s="272"/>
      <c r="E15" s="700"/>
      <c r="F15" s="238" t="s">
        <v>135</v>
      </c>
      <c r="G15" s="262">
        <f>+IFERROR(HLOOKUP($A$1,[11]손익요약!$G$5:$AL$106,14,),)</f>
        <v>0</v>
      </c>
      <c r="H15" s="415">
        <f>+'[8]서부산크라샤(당월)'!$F$71</f>
        <v>157152</v>
      </c>
      <c r="I15" s="265">
        <f t="shared" si="0"/>
        <v>157152</v>
      </c>
      <c r="J15" s="264">
        <f>+IFERROR(HLOOKUP($A$1,[11]손익요약!$G$5:$AL$106,17,),)</f>
        <v>0</v>
      </c>
      <c r="K15" s="415">
        <f>+'[8]서부산크라샤(당월)'!$I$71</f>
        <v>12528</v>
      </c>
      <c r="L15" s="263">
        <f t="shared" si="1"/>
        <v>12528</v>
      </c>
      <c r="M15" s="440">
        <f>+G15+J15</f>
        <v>0</v>
      </c>
      <c r="N15" s="415">
        <f>+H15+K15</f>
        <v>169680</v>
      </c>
      <c r="O15" s="441">
        <f t="shared" si="2"/>
        <v>169680</v>
      </c>
      <c r="P15" s="262">
        <f>+IFERROR(HLOOKUP($A$1,[12]손익요약!$G$5:$AL$106,11,),)</f>
        <v>72000</v>
      </c>
      <c r="Q15" s="415">
        <f>+'[8]부산크라샤(당월)'!$F$71</f>
        <v>33072</v>
      </c>
      <c r="R15" s="265">
        <f t="shared" si="3"/>
        <v>-38928</v>
      </c>
      <c r="S15" s="264">
        <f>+IFERROR(HLOOKUP($A$1,[12]손익요약!$G$5:$AL$106,14,),)</f>
        <v>285000</v>
      </c>
      <c r="T15" s="415">
        <f>+'[8]부산크라샤(당월)'!$I$71</f>
        <v>39824</v>
      </c>
      <c r="U15" s="263">
        <f t="shared" si="4"/>
        <v>-245176</v>
      </c>
      <c r="V15" s="440">
        <f>+P15+S15</f>
        <v>357000</v>
      </c>
      <c r="W15" s="415">
        <f>+Q15+T15</f>
        <v>72896</v>
      </c>
      <c r="X15" s="441">
        <f t="shared" si="5"/>
        <v>-284104</v>
      </c>
      <c r="Y15" s="263">
        <f>+IFERROR(HLOOKUP($A$1,[13]손익계획!$G$5:$AX$449,5,),)</f>
        <v>228000</v>
      </c>
      <c r="Z15" s="415">
        <f>+'[8]부산모래장(당월)'!$R$53</f>
        <v>261590</v>
      </c>
      <c r="AA15" s="263">
        <f t="shared" si="6"/>
        <v>33590</v>
      </c>
      <c r="AB15" s="440">
        <f>+M15+V15+Y15</f>
        <v>585000</v>
      </c>
      <c r="AC15" s="415">
        <f>+N15+W15+Z15</f>
        <v>504166</v>
      </c>
      <c r="AD15" s="441">
        <f t="shared" si="7"/>
        <v>-80834</v>
      </c>
    </row>
    <row r="16" spans="1:33" ht="24" customHeight="1">
      <c r="D16" s="76"/>
      <c r="E16" s="700"/>
      <c r="F16" s="271" t="s">
        <v>131</v>
      </c>
      <c r="G16" s="267">
        <f>IFERROR(G15/G10,)*1000</f>
        <v>0</v>
      </c>
      <c r="H16" s="414">
        <f>IFERROR(H15/H10,)*1000</f>
        <v>11776.978417266188</v>
      </c>
      <c r="I16" s="270">
        <f t="shared" si="0"/>
        <v>11776.978417266188</v>
      </c>
      <c r="J16" s="269">
        <f>IFERROR(J15/J10,)*1000</f>
        <v>0</v>
      </c>
      <c r="K16" s="414">
        <f>IFERROR(K15/K10,)*1000</f>
        <v>8072.1649484536083</v>
      </c>
      <c r="L16" s="268">
        <f t="shared" si="1"/>
        <v>8072.1649484536083</v>
      </c>
      <c r="M16" s="438">
        <f>IFERROR(M15/M10,)*1000</f>
        <v>0</v>
      </c>
      <c r="N16" s="414">
        <f>IFERROR(N15/N10,)*1000</f>
        <v>11390.977443609023</v>
      </c>
      <c r="O16" s="439">
        <f t="shared" si="2"/>
        <v>11390.977443609023</v>
      </c>
      <c r="P16" s="267">
        <f>IFERROR(P15/P10,)*1000</f>
        <v>12000</v>
      </c>
      <c r="Q16" s="414">
        <f>IFERROR(Q15/Q10,)*1000</f>
        <v>13000</v>
      </c>
      <c r="R16" s="270">
        <f t="shared" si="3"/>
        <v>1000</v>
      </c>
      <c r="S16" s="269">
        <f>IFERROR(S15/S10,)*1000</f>
        <v>19000</v>
      </c>
      <c r="T16" s="414">
        <f>IFERROR(T15/T10,)*1000</f>
        <v>19000</v>
      </c>
      <c r="U16" s="268">
        <f t="shared" si="4"/>
        <v>0</v>
      </c>
      <c r="V16" s="438">
        <f>IFERROR(V15/V10,)*1000</f>
        <v>17000</v>
      </c>
      <c r="W16" s="414">
        <f>IFERROR(W15/W10,)*1000</f>
        <v>15710.344827586207</v>
      </c>
      <c r="X16" s="439">
        <f t="shared" si="5"/>
        <v>-1289.6551724137935</v>
      </c>
      <c r="Y16" s="268">
        <f>IFERROR(Y15/Y10,)*1000</f>
        <v>28500</v>
      </c>
      <c r="Z16" s="414">
        <f>IFERROR(Z15/Z10,)*1000</f>
        <v>28295.294753921036</v>
      </c>
      <c r="AA16" s="268">
        <f t="shared" si="6"/>
        <v>-204.70524607896368</v>
      </c>
      <c r="AB16" s="438">
        <f>IFERROR(AB15/AB10,)*1000</f>
        <v>20172.413793103449</v>
      </c>
      <c r="AC16" s="414">
        <f>IFERROR(AC15/AC10,)*1000</f>
        <v>17517.320454466488</v>
      </c>
      <c r="AD16" s="439">
        <f t="shared" si="7"/>
        <v>-2655.0933386369616</v>
      </c>
    </row>
    <row r="17" spans="4:33" ht="24" customHeight="1">
      <c r="D17" s="76"/>
      <c r="E17" s="700"/>
      <c r="F17" s="266" t="s">
        <v>43</v>
      </c>
      <c r="G17" s="262">
        <f>G13+G15</f>
        <v>183299.20000000001</v>
      </c>
      <c r="H17" s="415">
        <f>H13+H15</f>
        <v>350608</v>
      </c>
      <c r="I17" s="265">
        <f t="shared" si="0"/>
        <v>167308.79999999999</v>
      </c>
      <c r="J17" s="264">
        <f>J13+J15</f>
        <v>9613.8000000000011</v>
      </c>
      <c r="K17" s="415">
        <f>K13+K15</f>
        <v>22704</v>
      </c>
      <c r="L17" s="263">
        <f t="shared" si="1"/>
        <v>13090.199999999999</v>
      </c>
      <c r="M17" s="440">
        <f>M13+M15</f>
        <v>192913</v>
      </c>
      <c r="N17" s="415">
        <f>N13+N15</f>
        <v>373312</v>
      </c>
      <c r="O17" s="441">
        <f t="shared" si="2"/>
        <v>180399</v>
      </c>
      <c r="P17" s="262">
        <f>P13+P15</f>
        <v>229756.08545124519</v>
      </c>
      <c r="Q17" s="415">
        <f>Q13+Q15</f>
        <v>248561.5</v>
      </c>
      <c r="R17" s="265">
        <f t="shared" si="3"/>
        <v>18805.414548754808</v>
      </c>
      <c r="S17" s="264">
        <f>S13+S15</f>
        <v>479650.76637258485</v>
      </c>
      <c r="T17" s="415">
        <f>T13+T15</f>
        <v>317600.5</v>
      </c>
      <c r="U17" s="263">
        <f t="shared" si="4"/>
        <v>-162050.26637258485</v>
      </c>
      <c r="V17" s="440">
        <f>V13+V15</f>
        <v>709406.85182383005</v>
      </c>
      <c r="W17" s="415">
        <f>W13+W15</f>
        <v>566162</v>
      </c>
      <c r="X17" s="441">
        <f t="shared" si="5"/>
        <v>-143244.85182383005</v>
      </c>
      <c r="Y17" s="263">
        <f>Y13+Y15</f>
        <v>697843.14324381144</v>
      </c>
      <c r="Z17" s="415">
        <f>Z13+Z15</f>
        <v>780046</v>
      </c>
      <c r="AA17" s="263">
        <f t="shared" si="6"/>
        <v>82202.856756188557</v>
      </c>
      <c r="AB17" s="440">
        <f>AB13+AB15</f>
        <v>1600162.9950676416</v>
      </c>
      <c r="AC17" s="415">
        <f>AC13+AC15</f>
        <v>1719520</v>
      </c>
      <c r="AD17" s="441">
        <f t="shared" si="7"/>
        <v>119357.0049323584</v>
      </c>
      <c r="AF17" s="6">
        <f>+'사업장별(당월)'!O32*1000</f>
        <v>1600162.9950676416</v>
      </c>
      <c r="AG17" s="6">
        <f>+'사업장별(당월)'!P32*1000</f>
        <v>1719520.0000000002</v>
      </c>
    </row>
    <row r="18" spans="4:33" ht="24" customHeight="1">
      <c r="D18" s="76"/>
      <c r="E18" s="261" t="s">
        <v>7</v>
      </c>
      <c r="F18" s="260" t="s">
        <v>134</v>
      </c>
      <c r="G18" s="244">
        <f>+IFERROR(HLOOKUP($A$1,[11]손익요약!$G$5:$AL$106,80,),)</f>
        <v>65417.771937325277</v>
      </c>
      <c r="H18" s="416">
        <f>+'[8]서부산크라샤(당월)'!$F$87</f>
        <v>47517.812792255238</v>
      </c>
      <c r="I18" s="247">
        <f t="shared" si="0"/>
        <v>-17899.959145070039</v>
      </c>
      <c r="J18" s="246">
        <f>+IFERROR(HLOOKUP($A$1,[11]손익요약!$G$5:$AL$106,83,),)</f>
        <v>303.75843280156045</v>
      </c>
      <c r="K18" s="416">
        <f>+'[8]서부산크라샤(당월)'!$I$87</f>
        <v>5620.4196336202467</v>
      </c>
      <c r="L18" s="245">
        <f t="shared" si="1"/>
        <v>5316.6612008186867</v>
      </c>
      <c r="M18" s="442">
        <f>+G18+J18</f>
        <v>65721.530370126842</v>
      </c>
      <c r="N18" s="416">
        <f>+H18+K18</f>
        <v>53138.232425875482</v>
      </c>
      <c r="O18" s="443">
        <f t="shared" si="2"/>
        <v>-12583.297944251361</v>
      </c>
      <c r="P18" s="695">
        <f>+IFERROR(HLOOKUP($A$1,[12]손익요약!$G$5:$U$95,57,),)</f>
        <v>-31950.155502372952</v>
      </c>
      <c r="Q18" s="416">
        <f>+'[8]부산크라샤(당월)'!$F$87</f>
        <v>4133.2509573807683</v>
      </c>
      <c r="R18" s="247">
        <f t="shared" si="3"/>
        <v>36083.406459753722</v>
      </c>
      <c r="S18" s="246">
        <f>+IFERROR(HLOOKUP($A$1,[12]손익요약!$G$5:$AL$106,60,),)</f>
        <v>23945.856561343211</v>
      </c>
      <c r="T18" s="416">
        <f>+'[8]부산크라샤(당월)'!$I$87</f>
        <v>72734.099250783445</v>
      </c>
      <c r="U18" s="245">
        <f t="shared" si="4"/>
        <v>48788.242689440231</v>
      </c>
      <c r="V18" s="442">
        <f>+P18+S18</f>
        <v>-8004.2989410297414</v>
      </c>
      <c r="W18" s="416">
        <f>+Q18+T18</f>
        <v>76867.350208164207</v>
      </c>
      <c r="X18" s="443">
        <f t="shared" si="5"/>
        <v>84871.649149193952</v>
      </c>
      <c r="Y18" s="245">
        <f>+IFERROR(HLOOKUP($A$1,[13]손익계획!$G$5:$AX$449,25,),)</f>
        <v>10680.766143843364</v>
      </c>
      <c r="Z18" s="416">
        <f>+'[8]부산모래장(당월)'!$R$82</f>
        <v>53326.716</v>
      </c>
      <c r="AA18" s="245">
        <f t="shared" si="6"/>
        <v>42645.949856156636</v>
      </c>
      <c r="AB18" s="442">
        <f t="shared" ref="AB18:AC19" si="8">+M18+V18+Y18</f>
        <v>68397.997572940454</v>
      </c>
      <c r="AC18" s="416">
        <f t="shared" si="8"/>
        <v>183332.2986340397</v>
      </c>
      <c r="AD18" s="443">
        <f t="shared" si="7"/>
        <v>114934.30106109925</v>
      </c>
      <c r="AF18" s="6" t="b">
        <f>+AF17=AB17</f>
        <v>1</v>
      </c>
      <c r="AG18" s="6" t="b">
        <f>+AG17=AC17</f>
        <v>1</v>
      </c>
    </row>
    <row r="19" spans="4:33" ht="24" customHeight="1">
      <c r="D19" s="76"/>
      <c r="E19" s="180"/>
      <c r="F19" s="259" t="s">
        <v>133</v>
      </c>
      <c r="G19" s="255">
        <f>+IFERROR(HLOOKUP($A$1,[11]손익요약!$G$5:$AL$106,79,),)</f>
        <v>0</v>
      </c>
      <c r="H19" s="417">
        <f>+'[8]서부산크라샤(당월)'!$F$86</f>
        <v>-4355.8056529744426</v>
      </c>
      <c r="I19" s="258">
        <f t="shared" si="0"/>
        <v>-4355.8056529744426</v>
      </c>
      <c r="J19" s="257">
        <f>+IFERROR(HLOOKUP($A$1,[11]손익요약!$G$5:$AL$106,82,),)</f>
        <v>0</v>
      </c>
      <c r="K19" s="417">
        <f>+'[8]서부산크라샤(당월)'!$I$86</f>
        <v>5693.6749225171798</v>
      </c>
      <c r="L19" s="256">
        <f t="shared" si="1"/>
        <v>5693.6749225171798</v>
      </c>
      <c r="M19" s="444">
        <f>+G19+J19</f>
        <v>0</v>
      </c>
      <c r="N19" s="417">
        <f>+H19+K19</f>
        <v>1337.8692695427371</v>
      </c>
      <c r="O19" s="445">
        <f t="shared" si="2"/>
        <v>1337.8692695427371</v>
      </c>
      <c r="P19" s="255">
        <f>+IFERROR(HLOOKUP($A$1,[12]손익요약!$G$5:$AL$106,56,),)</f>
        <v>-42912.549399462572</v>
      </c>
      <c r="Q19" s="417">
        <f>+'[8]부산크라샤(당월)'!$F$86</f>
        <v>-10125.919130200251</v>
      </c>
      <c r="R19" s="258">
        <f t="shared" si="3"/>
        <v>32786.630269262321</v>
      </c>
      <c r="S19" s="257">
        <f>+IFERROR(HLOOKUP($A$1,[12]손익요약!$G$5:$AL$106,59,),)</f>
        <v>-4601.0787170883523</v>
      </c>
      <c r="T19" s="417">
        <f>+'[8]부산크라샤(당월)'!$I$86</f>
        <v>5421.7323720360491</v>
      </c>
      <c r="U19" s="256">
        <f t="shared" si="4"/>
        <v>10022.811089124401</v>
      </c>
      <c r="V19" s="444">
        <f>+P19+S19</f>
        <v>-47513.628116550928</v>
      </c>
      <c r="W19" s="417">
        <f>+Q19+T19</f>
        <v>-4704.1867581642018</v>
      </c>
      <c r="X19" s="445">
        <f t="shared" si="5"/>
        <v>42809.441358386728</v>
      </c>
      <c r="Y19" s="256">
        <f>+IFERROR(HLOOKUP($A$1,[13]손익계획!$G$5:$AX$449,24,),)</f>
        <v>6140.6543919854676</v>
      </c>
      <c r="Z19" s="417">
        <f>+'[8]부산모래장(당월)'!$I$81-'[8]부산모래장(당월)'!$R$82</f>
        <v>4107.7510963166715</v>
      </c>
      <c r="AA19" s="256">
        <f t="shared" si="6"/>
        <v>-2032.9032956687961</v>
      </c>
      <c r="AB19" s="444">
        <f t="shared" si="8"/>
        <v>-41372.973724565461</v>
      </c>
      <c r="AC19" s="417">
        <f t="shared" si="8"/>
        <v>741.43360769520677</v>
      </c>
      <c r="AD19" s="445">
        <f t="shared" si="7"/>
        <v>42114.407332260671</v>
      </c>
    </row>
    <row r="20" spans="4:33" ht="24" customHeight="1">
      <c r="D20" s="76"/>
      <c r="E20" s="701"/>
      <c r="F20" s="254" t="s">
        <v>58</v>
      </c>
      <c r="G20" s="250">
        <f>G18+G19</f>
        <v>65417.771937325277</v>
      </c>
      <c r="H20" s="418">
        <f>H18+H19</f>
        <v>43162.007139280795</v>
      </c>
      <c r="I20" s="253">
        <f t="shared" si="0"/>
        <v>-22255.764798044482</v>
      </c>
      <c r="J20" s="252">
        <f>J18+J19</f>
        <v>303.75843280156045</v>
      </c>
      <c r="K20" s="418">
        <f>K18+K19</f>
        <v>11314.094556137426</v>
      </c>
      <c r="L20" s="251">
        <f t="shared" si="1"/>
        <v>11010.336123335866</v>
      </c>
      <c r="M20" s="446">
        <f>M18+M19</f>
        <v>65721.530370126842</v>
      </c>
      <c r="N20" s="418">
        <f>N18+N19</f>
        <v>54476.10169541822</v>
      </c>
      <c r="O20" s="447">
        <f t="shared" si="2"/>
        <v>-11245.428674708623</v>
      </c>
      <c r="P20" s="250">
        <f>P18+P19</f>
        <v>-74862.704901835532</v>
      </c>
      <c r="Q20" s="418">
        <f>Q18+Q19</f>
        <v>-5992.6681728194826</v>
      </c>
      <c r="R20" s="253">
        <f t="shared" si="3"/>
        <v>68870.03672901605</v>
      </c>
      <c r="S20" s="252">
        <f>S18+S19</f>
        <v>19344.777844254859</v>
      </c>
      <c r="T20" s="418">
        <f>T18+T19</f>
        <v>78155.831622819489</v>
      </c>
      <c r="U20" s="251">
        <f t="shared" si="4"/>
        <v>58811.05377856463</v>
      </c>
      <c r="V20" s="446">
        <f>V18+V19</f>
        <v>-55517.927057580673</v>
      </c>
      <c r="W20" s="418">
        <f>W18+W19</f>
        <v>72163.163450000007</v>
      </c>
      <c r="X20" s="447">
        <f t="shared" si="5"/>
        <v>127681.09050758068</v>
      </c>
      <c r="Y20" s="251">
        <f>Y18+Y19</f>
        <v>16821.420535828831</v>
      </c>
      <c r="Z20" s="418">
        <f>Z18+Z19</f>
        <v>57434.467096316672</v>
      </c>
      <c r="AA20" s="251">
        <f t="shared" si="6"/>
        <v>40613.046560487841</v>
      </c>
      <c r="AB20" s="446">
        <f>AB18+AB19</f>
        <v>27025.023848374993</v>
      </c>
      <c r="AC20" s="418">
        <f>AC18+AC19</f>
        <v>184073.73224173492</v>
      </c>
      <c r="AD20" s="447">
        <f t="shared" si="7"/>
        <v>157048.70839335994</v>
      </c>
      <c r="AF20" s="6">
        <f>+'사업장별(당월)'!T32*1000</f>
        <v>27025.023848374927</v>
      </c>
      <c r="AG20" s="6">
        <f>'사업장별(당월)'!U32*1000</f>
        <v>184073.73224173489</v>
      </c>
    </row>
    <row r="21" spans="4:33" ht="24" customHeight="1">
      <c r="D21" s="76"/>
      <c r="E21" s="249" t="s">
        <v>132</v>
      </c>
      <c r="F21" s="248" t="s">
        <v>25</v>
      </c>
      <c r="G21" s="244">
        <f>+IFERROR(HLOOKUP($A$1,[11]손익!$G$5:$AB$252,3,),)</f>
        <v>0</v>
      </c>
      <c r="H21" s="416">
        <f>+'[8]서부산크라샤(당월)'!$F$60</f>
        <v>1008</v>
      </c>
      <c r="I21" s="247">
        <f t="shared" si="0"/>
        <v>1008</v>
      </c>
      <c r="J21" s="246">
        <f>+IFERROR(HLOOKUP($A$1,[11]손익!$G$5:$AB$252,12,),)</f>
        <v>0</v>
      </c>
      <c r="K21" s="416">
        <f>+'[8]서부산크라샤(당월)'!$I$60</f>
        <v>0</v>
      </c>
      <c r="L21" s="245">
        <f t="shared" si="1"/>
        <v>0</v>
      </c>
      <c r="M21" s="442">
        <f t="shared" ref="M21:N26" si="9">+G21+J21</f>
        <v>0</v>
      </c>
      <c r="N21" s="416">
        <f t="shared" si="9"/>
        <v>1008</v>
      </c>
      <c r="O21" s="443">
        <f t="shared" si="2"/>
        <v>1008</v>
      </c>
      <c r="P21" s="244">
        <f>+IFERROR(HLOOKUP($A$1,[12]손익!$G$5:$AB$252,3,),)</f>
        <v>9859.7553407028245</v>
      </c>
      <c r="Q21" s="416">
        <f>+'[8]부산크라샤(당월)'!$F$60</f>
        <v>12193</v>
      </c>
      <c r="R21" s="247">
        <f t="shared" si="3"/>
        <v>2333.2446592971755</v>
      </c>
      <c r="S21" s="246">
        <f>+IFERROR(HLOOKUP($A$1,[12]손익!$G$5:$AB$252,12,),)</f>
        <v>6812.6046248949951</v>
      </c>
      <c r="T21" s="416">
        <f>+'[8]부산크라샤(당월)'!$I$60</f>
        <v>8399</v>
      </c>
      <c r="U21" s="245">
        <f t="shared" si="4"/>
        <v>1586.3953751050049</v>
      </c>
      <c r="V21" s="442">
        <f t="shared" ref="V21:W26" si="10">+P21+S21</f>
        <v>16672.359965597818</v>
      </c>
      <c r="W21" s="416">
        <f t="shared" si="10"/>
        <v>20592</v>
      </c>
      <c r="X21" s="443">
        <f t="shared" si="5"/>
        <v>3919.6400344021822</v>
      </c>
      <c r="Y21" s="245">
        <f>+IFERROR(HLOOKUP($A$1,[13]이송계획!$G$193:$U$216,16,),)</f>
        <v>3824.597955718225</v>
      </c>
      <c r="Z21" s="416">
        <f>+'[8]부산모래장(당월)'!$R$64</f>
        <v>5000</v>
      </c>
      <c r="AA21" s="245">
        <f t="shared" si="6"/>
        <v>1175.402044281775</v>
      </c>
      <c r="AB21" s="442">
        <f t="shared" ref="AB21:AC26" si="11">+M21+V21+Y21</f>
        <v>20496.957921316043</v>
      </c>
      <c r="AC21" s="416">
        <f t="shared" si="11"/>
        <v>26600</v>
      </c>
      <c r="AD21" s="443">
        <f t="shared" si="7"/>
        <v>6103.0420786839568</v>
      </c>
      <c r="AF21" s="629" t="b">
        <f>+AF20=AB20</f>
        <v>0</v>
      </c>
      <c r="AG21" s="629" t="b">
        <f>+AG20=AC20</f>
        <v>1</v>
      </c>
    </row>
    <row r="22" spans="4:33" ht="24" customHeight="1">
      <c r="D22" s="76"/>
      <c r="E22" s="180" t="s">
        <v>0</v>
      </c>
      <c r="F22" s="235" t="s">
        <v>26</v>
      </c>
      <c r="G22" s="240">
        <f>+IFERROR(HLOOKUP($A$1,[11]손익!$G$5:$AB$252,4,),)</f>
        <v>11456.2</v>
      </c>
      <c r="H22" s="419">
        <f>+'[8]서부산크라샤(당월)'!$F$61</f>
        <v>10000</v>
      </c>
      <c r="I22" s="243">
        <f t="shared" si="0"/>
        <v>-1456.2000000000007</v>
      </c>
      <c r="J22" s="242">
        <f>+IFERROR(HLOOKUP($A$1,[11]손익!$G$5:$AB$252,13,),)</f>
        <v>915.60000000000014</v>
      </c>
      <c r="K22" s="419">
        <f>+'[8]서부산크라샤(당월)'!$I$61</f>
        <v>640</v>
      </c>
      <c r="L22" s="241">
        <f t="shared" si="1"/>
        <v>-275.60000000000014</v>
      </c>
      <c r="M22" s="448">
        <f t="shared" si="9"/>
        <v>12371.800000000001</v>
      </c>
      <c r="N22" s="419">
        <f t="shared" si="9"/>
        <v>10640</v>
      </c>
      <c r="O22" s="449">
        <f t="shared" si="2"/>
        <v>-1731.8000000000011</v>
      </c>
      <c r="P22" s="240">
        <f>+IFERROR(HLOOKUP($A$1,[12]손익!$G$5:$AB$252,4,),)</f>
        <v>0</v>
      </c>
      <c r="Q22" s="419">
        <f>+'[8]부산크라샤(당월)'!$F$61</f>
        <v>176</v>
      </c>
      <c r="R22" s="243">
        <f t="shared" si="3"/>
        <v>176</v>
      </c>
      <c r="S22" s="242">
        <f>+IFERROR(HLOOKUP($A$1,[12]손익!$G$5:$AB$252,13,),)</f>
        <v>1997.9400000000005</v>
      </c>
      <c r="T22" s="419">
        <f>+'[8]부산크라샤(당월)'!$I$61</f>
        <v>3792</v>
      </c>
      <c r="U22" s="241">
        <f t="shared" si="4"/>
        <v>1794.0599999999995</v>
      </c>
      <c r="V22" s="448">
        <f t="shared" si="10"/>
        <v>1997.9400000000005</v>
      </c>
      <c r="W22" s="419">
        <f t="shared" si="10"/>
        <v>3968</v>
      </c>
      <c r="X22" s="449">
        <f t="shared" si="5"/>
        <v>1970.0599999999995</v>
      </c>
      <c r="Y22" s="241">
        <f>+IFERROR(HLOOKUP($A$1,[13]이송계획!$G$193:$U$216,17,),)</f>
        <v>4460.8111888111889</v>
      </c>
      <c r="Z22" s="419">
        <f>+'[8]부산모래장(당월)'!$R$65</f>
        <v>4112</v>
      </c>
      <c r="AA22" s="241">
        <f t="shared" si="6"/>
        <v>-348.81118881118891</v>
      </c>
      <c r="AB22" s="448">
        <f t="shared" si="11"/>
        <v>18830.551188811191</v>
      </c>
      <c r="AC22" s="419">
        <f t="shared" si="11"/>
        <v>18720</v>
      </c>
      <c r="AD22" s="449">
        <f t="shared" si="7"/>
        <v>-110.55118881119051</v>
      </c>
      <c r="AF22" s="99">
        <f>+AB20-AF20</f>
        <v>6.5483618527650833E-11</v>
      </c>
      <c r="AG22" s="99">
        <f>+AC20-AG20</f>
        <v>0</v>
      </c>
    </row>
    <row r="23" spans="4:33" ht="24" customHeight="1">
      <c r="D23" s="76"/>
      <c r="E23" s="180"/>
      <c r="F23" s="235" t="s">
        <v>27</v>
      </c>
      <c r="G23" s="240">
        <f>+IFERROR(HLOOKUP($A$1,[11]손익!$G$5:$AB$252,5,),)</f>
        <v>0</v>
      </c>
      <c r="H23" s="419">
        <f>+'[8]서부산크라샤(당월)'!$F$62</f>
        <v>784</v>
      </c>
      <c r="I23" s="243">
        <f t="shared" si="0"/>
        <v>784</v>
      </c>
      <c r="J23" s="242">
        <f>+IFERROR(HLOOKUP($A$1,[11]손익!$G$5:$AB$252,14,),)</f>
        <v>0</v>
      </c>
      <c r="K23" s="419">
        <f>+'[8]서부산크라샤(당월)'!$I$62</f>
        <v>0</v>
      </c>
      <c r="L23" s="241">
        <f t="shared" si="1"/>
        <v>0</v>
      </c>
      <c r="M23" s="448">
        <f t="shared" si="9"/>
        <v>0</v>
      </c>
      <c r="N23" s="419">
        <f t="shared" si="9"/>
        <v>784</v>
      </c>
      <c r="O23" s="449">
        <f t="shared" si="2"/>
        <v>784</v>
      </c>
      <c r="P23" s="240">
        <f>+IFERROR(HLOOKUP($A$1,[12]손익!$G$5:$AB$252,5,),)</f>
        <v>0</v>
      </c>
      <c r="Q23" s="419">
        <f>+'[8]부산크라샤(당월)'!$F$62</f>
        <v>0</v>
      </c>
      <c r="R23" s="243">
        <f t="shared" si="3"/>
        <v>0</v>
      </c>
      <c r="S23" s="242">
        <f>+IFERROR(HLOOKUP($A$1,[12]손익!$G$5:$AB$252,14,),)</f>
        <v>0</v>
      </c>
      <c r="T23" s="419">
        <f>+'[8]부산크라샤(당월)'!$I$62</f>
        <v>0</v>
      </c>
      <c r="U23" s="241">
        <f t="shared" si="4"/>
        <v>0</v>
      </c>
      <c r="V23" s="448">
        <f t="shared" si="10"/>
        <v>0</v>
      </c>
      <c r="W23" s="419">
        <f t="shared" si="10"/>
        <v>0</v>
      </c>
      <c r="X23" s="449">
        <f t="shared" si="5"/>
        <v>0</v>
      </c>
      <c r="Y23" s="241">
        <f>+IFERROR(HLOOKUP($A$1,[13]이송계획!$G$193:$U$216,18,),)</f>
        <v>2657.3426573426573</v>
      </c>
      <c r="Z23" s="419">
        <f>+'[8]부산모래장(당월)'!$V$64</f>
        <v>0</v>
      </c>
      <c r="AA23" s="241">
        <f t="shared" si="6"/>
        <v>-2657.3426573426573</v>
      </c>
      <c r="AB23" s="448">
        <f t="shared" si="11"/>
        <v>2657.3426573426573</v>
      </c>
      <c r="AC23" s="419">
        <f t="shared" si="11"/>
        <v>784</v>
      </c>
      <c r="AD23" s="449">
        <f t="shared" si="7"/>
        <v>-1873.3426573426573</v>
      </c>
    </row>
    <row r="24" spans="4:33" ht="24" customHeight="1">
      <c r="D24" s="76"/>
      <c r="E24" s="180"/>
      <c r="F24" s="235" t="s">
        <v>28</v>
      </c>
      <c r="G24" s="240">
        <f>+IFERROR(HLOOKUP($A$1,[11]손익!$G$5:$AB$252,6,),)</f>
        <v>0</v>
      </c>
      <c r="H24" s="419">
        <f>+'[8]서부산크라샤(당월)'!$F$63</f>
        <v>0</v>
      </c>
      <c r="I24" s="243">
        <f t="shared" si="0"/>
        <v>0</v>
      </c>
      <c r="J24" s="242">
        <f>+IFERROR(HLOOKUP($A$1,[11]손익!$G$5:$AB$252,15,),)</f>
        <v>0</v>
      </c>
      <c r="K24" s="419">
        <f>+'[8]서부산크라샤(당월)'!$I$63</f>
        <v>0</v>
      </c>
      <c r="L24" s="241">
        <f t="shared" si="1"/>
        <v>0</v>
      </c>
      <c r="M24" s="448">
        <f t="shared" si="9"/>
        <v>0</v>
      </c>
      <c r="N24" s="419">
        <f t="shared" si="9"/>
        <v>0</v>
      </c>
      <c r="O24" s="449">
        <f t="shared" si="2"/>
        <v>0</v>
      </c>
      <c r="P24" s="240">
        <f>+IFERROR(HLOOKUP($A$1,[12]손익!$G$5:$AB$252,6,),)</f>
        <v>0</v>
      </c>
      <c r="Q24" s="419">
        <f>+'[8]부산크라샤(당월)'!$F$63</f>
        <v>0</v>
      </c>
      <c r="R24" s="243">
        <f t="shared" si="3"/>
        <v>0</v>
      </c>
      <c r="S24" s="242">
        <f>+IFERROR(HLOOKUP($A$1,[12]손익!$G$5:$AB$252,15,),)</f>
        <v>0</v>
      </c>
      <c r="T24" s="419">
        <f>+'[8]부산크라샤(당월)'!$I$63</f>
        <v>0</v>
      </c>
      <c r="U24" s="241">
        <f t="shared" si="4"/>
        <v>0</v>
      </c>
      <c r="V24" s="448">
        <f t="shared" si="10"/>
        <v>0</v>
      </c>
      <c r="W24" s="419">
        <f t="shared" si="10"/>
        <v>0</v>
      </c>
      <c r="X24" s="449">
        <f t="shared" si="5"/>
        <v>0</v>
      </c>
      <c r="Y24" s="241">
        <f>+IFERROR(HLOOKUP($A$1,[13]이송계획!$G$193:$U$216,19,),)</f>
        <v>4168.9510489510485</v>
      </c>
      <c r="Z24" s="419">
        <f>+'[8]부산모래장(당월)'!$V$65</f>
        <v>0</v>
      </c>
      <c r="AA24" s="241">
        <f t="shared" si="6"/>
        <v>-4168.9510489510485</v>
      </c>
      <c r="AB24" s="448">
        <f t="shared" si="11"/>
        <v>4168.9510489510485</v>
      </c>
      <c r="AC24" s="419">
        <f t="shared" si="11"/>
        <v>0</v>
      </c>
      <c r="AD24" s="449">
        <f t="shared" si="7"/>
        <v>-4168.9510489510485</v>
      </c>
    </row>
    <row r="25" spans="4:33" ht="24" customHeight="1">
      <c r="D25" s="76"/>
      <c r="E25" s="180"/>
      <c r="F25" s="235" t="s">
        <v>29</v>
      </c>
      <c r="G25" s="240">
        <f>+IFERROR(HLOOKUP($A$1,[11]손익!$G$5:$AB$252,7,),)</f>
        <v>0</v>
      </c>
      <c r="H25" s="419">
        <f>+'[8]서부산크라샤(당월)'!$F$64</f>
        <v>0</v>
      </c>
      <c r="I25" s="243">
        <f t="shared" si="0"/>
        <v>0</v>
      </c>
      <c r="J25" s="242">
        <f>+IFERROR(HLOOKUP($A$1,[11]손익!$G$5:$AB$252,16,),)</f>
        <v>0</v>
      </c>
      <c r="K25" s="419">
        <f>+'[8]서부산크라샤(당월)'!$I$64</f>
        <v>144</v>
      </c>
      <c r="L25" s="241">
        <f t="shared" si="1"/>
        <v>144</v>
      </c>
      <c r="M25" s="448">
        <f t="shared" si="9"/>
        <v>0</v>
      </c>
      <c r="N25" s="419">
        <f t="shared" si="9"/>
        <v>144</v>
      </c>
      <c r="O25" s="449">
        <f t="shared" si="2"/>
        <v>144</v>
      </c>
      <c r="P25" s="240">
        <f>+IFERROR(HLOOKUP($A$1,[12]손익!$G$5:$AB$252,7,),)</f>
        <v>0</v>
      </c>
      <c r="Q25" s="419">
        <f>+'[8]부산크라샤(당월)'!$F$64</f>
        <v>0</v>
      </c>
      <c r="R25" s="243">
        <f t="shared" si="3"/>
        <v>0</v>
      </c>
      <c r="S25" s="242">
        <f>+IFERROR(HLOOKUP($A$1,[12]손익!$G$5:$AB$252,16,),)</f>
        <v>0</v>
      </c>
      <c r="T25" s="419">
        <f>+'[8]부산크라샤(당월)'!$I$64</f>
        <v>240</v>
      </c>
      <c r="U25" s="241">
        <f t="shared" si="4"/>
        <v>240</v>
      </c>
      <c r="V25" s="448">
        <f t="shared" si="10"/>
        <v>0</v>
      </c>
      <c r="W25" s="419">
        <f t="shared" si="10"/>
        <v>240</v>
      </c>
      <c r="X25" s="449">
        <f t="shared" si="5"/>
        <v>240</v>
      </c>
      <c r="Y25" s="241">
        <f>+IFERROR(HLOOKUP($A$1,[13]이송계획!$G$193:$U$216,20,),)</f>
        <v>1475.1678321678321</v>
      </c>
      <c r="Z25" s="419">
        <f>+'[8]부산모래장(당월)'!$R$66</f>
        <v>3600</v>
      </c>
      <c r="AA25" s="241">
        <f t="shared" si="6"/>
        <v>2124.8321678321681</v>
      </c>
      <c r="AB25" s="448">
        <f t="shared" si="11"/>
        <v>1475.1678321678321</v>
      </c>
      <c r="AC25" s="419">
        <f t="shared" si="11"/>
        <v>3984</v>
      </c>
      <c r="AD25" s="449">
        <f t="shared" si="7"/>
        <v>2508.8321678321681</v>
      </c>
    </row>
    <row r="26" spans="4:33" ht="24" customHeight="1">
      <c r="D26" s="76"/>
      <c r="E26" s="180"/>
      <c r="F26" s="235" t="s">
        <v>30</v>
      </c>
      <c r="G26" s="240">
        <f>+IFERROR(HLOOKUP($A$1,[11]손익!$G$5:$AB$252,8,),)</f>
        <v>0</v>
      </c>
      <c r="H26" s="419">
        <f>+'[8]서부산크라샤(당월)'!$F$65</f>
        <v>160</v>
      </c>
      <c r="I26" s="243">
        <f t="shared" si="0"/>
        <v>160</v>
      </c>
      <c r="J26" s="242">
        <f>+IFERROR(HLOOKUP($A$1,[11]손익!$G$5:$AB$252,17,),)</f>
        <v>0</v>
      </c>
      <c r="K26" s="419">
        <f>+'[8]서부산크라샤(당월)'!$I$65</f>
        <v>240</v>
      </c>
      <c r="L26" s="241">
        <f t="shared" si="1"/>
        <v>240</v>
      </c>
      <c r="M26" s="448">
        <f t="shared" si="9"/>
        <v>0</v>
      </c>
      <c r="N26" s="417">
        <f t="shared" si="9"/>
        <v>400</v>
      </c>
      <c r="O26" s="467">
        <f t="shared" si="2"/>
        <v>400</v>
      </c>
      <c r="P26" s="240">
        <f>+IFERROR(HLOOKUP($A$1,[12]손익!$G$5:$AB$252,8,),)</f>
        <v>0</v>
      </c>
      <c r="Q26" s="419">
        <f>+'[8]부산크라샤(당월)'!$F$65</f>
        <v>0</v>
      </c>
      <c r="R26" s="243">
        <f t="shared" si="3"/>
        <v>0</v>
      </c>
      <c r="S26" s="242">
        <f>+IFERROR(HLOOKUP($A$1,[12]손익!$G$5:$AB$252,17,),)</f>
        <v>0</v>
      </c>
      <c r="T26" s="419">
        <f>+'[8]부산크라샤(당월)'!$I$65</f>
        <v>0</v>
      </c>
      <c r="U26" s="241">
        <f t="shared" si="4"/>
        <v>0</v>
      </c>
      <c r="V26" s="448">
        <f t="shared" si="10"/>
        <v>0</v>
      </c>
      <c r="W26" s="417">
        <f t="shared" si="10"/>
        <v>0</v>
      </c>
      <c r="X26" s="467">
        <f t="shared" si="5"/>
        <v>0</v>
      </c>
      <c r="Y26" s="241">
        <f>+IFERROR(HLOOKUP($A$1,[13]이송계획!$G$193:$U$216,21,),)</f>
        <v>0</v>
      </c>
      <c r="Z26" s="419"/>
      <c r="AA26" s="241">
        <f t="shared" si="6"/>
        <v>0</v>
      </c>
      <c r="AB26" s="448">
        <f t="shared" si="11"/>
        <v>0</v>
      </c>
      <c r="AC26" s="417">
        <f t="shared" si="11"/>
        <v>400</v>
      </c>
      <c r="AD26" s="449">
        <f t="shared" si="7"/>
        <v>400</v>
      </c>
    </row>
    <row r="27" spans="4:33" ht="24" customHeight="1">
      <c r="D27" s="76"/>
      <c r="E27" s="239" t="s">
        <v>132</v>
      </c>
      <c r="F27" s="238" t="s">
        <v>25</v>
      </c>
      <c r="G27" s="206">
        <f>+IFERROR(HLOOKUP($A$1,[11]손익!$G$5:$AB$252,31,),)</f>
        <v>0</v>
      </c>
      <c r="H27" s="420">
        <f t="shared" ref="H27:H32" si="12">IFERROR(H35/H21,)*1000</f>
        <v>12500</v>
      </c>
      <c r="I27" s="207">
        <f t="shared" si="0"/>
        <v>12500</v>
      </c>
      <c r="J27" s="237">
        <f>+IFERROR(HLOOKUP($A$1,[11]손익!$G$5:$AB$252,40,),)</f>
        <v>0</v>
      </c>
      <c r="K27" s="420">
        <f t="shared" ref="K27:K32" si="13">IFERROR(K35/K21,)*1000</f>
        <v>0</v>
      </c>
      <c r="L27" s="219">
        <f t="shared" si="1"/>
        <v>0</v>
      </c>
      <c r="M27" s="462">
        <f>+IFERROR(HLOOKUP($A$1,[11]손익!$G$5:$AB$252,48,),)</f>
        <v>0</v>
      </c>
      <c r="N27" s="458">
        <f t="shared" ref="N27:N32" si="14">IFERROR(N35/N21,)*1000</f>
        <v>12500</v>
      </c>
      <c r="O27" s="468">
        <f t="shared" si="2"/>
        <v>12500</v>
      </c>
      <c r="P27" s="206">
        <f>+IFERROR(HLOOKUP($A$1,[12]손익!$G$5:$AB$252,30,),)</f>
        <v>16000</v>
      </c>
      <c r="Q27" s="420">
        <f t="shared" ref="Q27:Q32" si="15">IFERROR(Q35/Q21,)*1000</f>
        <v>17500</v>
      </c>
      <c r="R27" s="207">
        <f t="shared" si="3"/>
        <v>1500</v>
      </c>
      <c r="S27" s="237">
        <f>+IFERROR(HLOOKUP($A$1,[12]손익!$G$5:$AB$252,39,),)</f>
        <v>23000</v>
      </c>
      <c r="T27" s="420">
        <f t="shared" ref="T27:T32" si="16">IFERROR(T35/T21,)*1000</f>
        <v>23500</v>
      </c>
      <c r="U27" s="219">
        <f t="shared" si="4"/>
        <v>500</v>
      </c>
      <c r="V27" s="462">
        <f>+IFERROR(HLOOKUP($A$1,[12]손익!$G$5:$AB$252,48,),)</f>
        <v>18860.316864119184</v>
      </c>
      <c r="W27" s="458">
        <f t="shared" ref="W27:W32" si="17">IFERROR(W35/W21,)*1000</f>
        <v>19947.26107226107</v>
      </c>
      <c r="X27" s="468">
        <f t="shared" si="5"/>
        <v>1086.9442081418856</v>
      </c>
      <c r="Y27" s="219">
        <f t="shared" ref="Y27:Z32" si="18">IFERROR(Y35/Y21,)*1000</f>
        <v>30500.000000000004</v>
      </c>
      <c r="Z27" s="420">
        <f t="shared" si="18"/>
        <v>32000</v>
      </c>
      <c r="AA27" s="219">
        <f t="shared" si="6"/>
        <v>1499.9999999999964</v>
      </c>
      <c r="AB27" s="450">
        <f t="shared" ref="AB27:AB32" si="19">+AB35/AB21*1000</f>
        <v>21032.205419366768</v>
      </c>
      <c r="AC27" s="420">
        <f t="shared" ref="AC27:AC32" si="20">IFERROR(AC35/AC21,)*1000</f>
        <v>21930.601503759397</v>
      </c>
      <c r="AD27" s="451">
        <f t="shared" si="7"/>
        <v>898.39608439262884</v>
      </c>
    </row>
    <row r="28" spans="4:33" ht="24" customHeight="1">
      <c r="D28" s="76"/>
      <c r="E28" s="180" t="s">
        <v>131</v>
      </c>
      <c r="F28" s="235" t="s">
        <v>26</v>
      </c>
      <c r="G28" s="204">
        <f>+IFERROR(HLOOKUP($A$1,[11]손익!$G$5:$AB$252,32,),)</f>
        <v>16000</v>
      </c>
      <c r="H28" s="95">
        <f t="shared" si="12"/>
        <v>17000</v>
      </c>
      <c r="I28" s="205">
        <f t="shared" si="0"/>
        <v>1000</v>
      </c>
      <c r="J28" s="234">
        <f>+IFERROR(HLOOKUP($A$1,[11]손익!$G$5:$AB$252,41,),)</f>
        <v>10500</v>
      </c>
      <c r="K28" s="95">
        <f t="shared" si="13"/>
        <v>10500</v>
      </c>
      <c r="L28" s="210">
        <f t="shared" si="1"/>
        <v>0</v>
      </c>
      <c r="M28" s="463">
        <f>+IFERROR(HLOOKUP($A$1,[11]손익!$G$5:$AB$252,49,),)</f>
        <v>0</v>
      </c>
      <c r="N28" s="459">
        <f t="shared" si="14"/>
        <v>16609.022556390981</v>
      </c>
      <c r="O28" s="469">
        <f t="shared" si="2"/>
        <v>16609.022556390981</v>
      </c>
      <c r="P28" s="204">
        <f>+IFERROR(HLOOKUP($A$1,[12]손익!$G$5:$AB$252,31,),)</f>
        <v>0</v>
      </c>
      <c r="Q28" s="95">
        <f t="shared" si="15"/>
        <v>12000</v>
      </c>
      <c r="R28" s="205">
        <f t="shared" si="3"/>
        <v>12000</v>
      </c>
      <c r="S28" s="234">
        <f>+IFERROR(HLOOKUP($A$1,[12]손익!$G$5:$AB$252,40,),)</f>
        <v>19000</v>
      </c>
      <c r="T28" s="95">
        <f t="shared" si="16"/>
        <v>20000</v>
      </c>
      <c r="U28" s="210">
        <f t="shared" si="4"/>
        <v>1000</v>
      </c>
      <c r="V28" s="463">
        <f>+IFERROR(HLOOKUP($A$1,[12]손익!$G$5:$AB$252,49,),)</f>
        <v>19000</v>
      </c>
      <c r="W28" s="459">
        <f t="shared" si="17"/>
        <v>19645.16129032258</v>
      </c>
      <c r="X28" s="469">
        <f t="shared" si="5"/>
        <v>645.16129032257959</v>
      </c>
      <c r="Y28" s="210">
        <f t="shared" si="18"/>
        <v>28000</v>
      </c>
      <c r="Z28" s="95">
        <f t="shared" si="18"/>
        <v>28000</v>
      </c>
      <c r="AA28" s="210">
        <f t="shared" si="6"/>
        <v>0</v>
      </c>
      <c r="AB28" s="452">
        <f t="shared" si="19"/>
        <v>18893.582546755722</v>
      </c>
      <c r="AC28" s="95">
        <f t="shared" si="20"/>
        <v>19754.700854700855</v>
      </c>
      <c r="AD28" s="453">
        <f t="shared" si="7"/>
        <v>861.11830794513298</v>
      </c>
    </row>
    <row r="29" spans="4:33" ht="24" customHeight="1">
      <c r="D29" s="76"/>
      <c r="E29" s="180"/>
      <c r="F29" s="235" t="s">
        <v>27</v>
      </c>
      <c r="G29" s="204">
        <f>+IFERROR(HLOOKUP($A$1,[11]손익!$G$5:$AB$252,33,),)</f>
        <v>0</v>
      </c>
      <c r="H29" s="95">
        <f t="shared" si="12"/>
        <v>11500</v>
      </c>
      <c r="I29" s="205">
        <f t="shared" si="0"/>
        <v>11500</v>
      </c>
      <c r="J29" s="234">
        <f>+IFERROR(HLOOKUP($A$1,[11]손익!$G$5:$AB$252,42,),)</f>
        <v>0</v>
      </c>
      <c r="K29" s="95">
        <f t="shared" si="13"/>
        <v>0</v>
      </c>
      <c r="L29" s="210">
        <f t="shared" si="1"/>
        <v>0</v>
      </c>
      <c r="M29" s="464">
        <f>+IFERROR(HLOOKUP($A$1,[11]손익!$G$5:$AB$252,50,),)</f>
        <v>0</v>
      </c>
      <c r="N29" s="460">
        <f t="shared" si="14"/>
        <v>11500</v>
      </c>
      <c r="O29" s="469">
        <f t="shared" si="2"/>
        <v>11500</v>
      </c>
      <c r="P29" s="204">
        <f>+IFERROR(HLOOKUP($A$1,[12]손익!$G$5:$AB$252,32,),)</f>
        <v>0</v>
      </c>
      <c r="Q29" s="95">
        <f t="shared" si="15"/>
        <v>0</v>
      </c>
      <c r="R29" s="205">
        <f t="shared" si="3"/>
        <v>0</v>
      </c>
      <c r="S29" s="234">
        <f>+IFERROR(HLOOKUP($A$1,[12]손익!$G$5:$AB$252,41,),)</f>
        <v>0</v>
      </c>
      <c r="T29" s="95">
        <f t="shared" si="16"/>
        <v>0</v>
      </c>
      <c r="U29" s="210">
        <f t="shared" si="4"/>
        <v>0</v>
      </c>
      <c r="V29" s="464">
        <f>+IFERROR(HLOOKUP($A$1,[12]손익!$G$5:$AB$252,50,),)</f>
        <v>0</v>
      </c>
      <c r="W29" s="460">
        <f t="shared" si="17"/>
        <v>0</v>
      </c>
      <c r="X29" s="469">
        <f t="shared" si="5"/>
        <v>0</v>
      </c>
      <c r="Y29" s="210">
        <f t="shared" si="18"/>
        <v>27500</v>
      </c>
      <c r="Z29" s="95">
        <f t="shared" si="18"/>
        <v>0</v>
      </c>
      <c r="AA29" s="210">
        <f t="shared" si="6"/>
        <v>-27500</v>
      </c>
      <c r="AB29" s="452">
        <f t="shared" si="19"/>
        <v>27500</v>
      </c>
      <c r="AC29" s="95">
        <f t="shared" si="20"/>
        <v>137775.51020408163</v>
      </c>
      <c r="AD29" s="453">
        <f t="shared" si="7"/>
        <v>110275.51020408163</v>
      </c>
    </row>
    <row r="30" spans="4:33" ht="24" customHeight="1">
      <c r="D30" s="76"/>
      <c r="E30" s="180"/>
      <c r="F30" s="235" t="s">
        <v>28</v>
      </c>
      <c r="G30" s="204">
        <f>+IFERROR(HLOOKUP($A$1,[11]손익!$G$5:$AB$252,34,),)</f>
        <v>0</v>
      </c>
      <c r="H30" s="95">
        <f t="shared" si="12"/>
        <v>0</v>
      </c>
      <c r="I30" s="205">
        <f t="shared" si="0"/>
        <v>0</v>
      </c>
      <c r="J30" s="234">
        <f>+IFERROR(HLOOKUP($A$1,[11]손익!$G$5:$AB$252,43,),)</f>
        <v>0</v>
      </c>
      <c r="K30" s="95">
        <f t="shared" si="13"/>
        <v>0</v>
      </c>
      <c r="L30" s="210">
        <f t="shared" si="1"/>
        <v>0</v>
      </c>
      <c r="M30" s="464">
        <f>+IFERROR(HLOOKUP($A$1,[11]손익!$G$5:$AB$252,51,),)</f>
        <v>15592.961412243973</v>
      </c>
      <c r="N30" s="55">
        <f t="shared" si="14"/>
        <v>0</v>
      </c>
      <c r="O30" s="470">
        <f t="shared" si="2"/>
        <v>-15592.961412243973</v>
      </c>
      <c r="P30" s="204">
        <f>+IFERROR(HLOOKUP($A$1,[12]손익!$G$5:$AB$252,33,),)</f>
        <v>0</v>
      </c>
      <c r="Q30" s="95">
        <f t="shared" si="15"/>
        <v>0</v>
      </c>
      <c r="R30" s="205">
        <f t="shared" si="3"/>
        <v>0</v>
      </c>
      <c r="S30" s="234">
        <f>+IFERROR(HLOOKUP($A$1,[12]손익!$G$5:$AB$252,42,),)</f>
        <v>0</v>
      </c>
      <c r="T30" s="95">
        <f t="shared" si="16"/>
        <v>0</v>
      </c>
      <c r="U30" s="210">
        <f t="shared" si="4"/>
        <v>0</v>
      </c>
      <c r="V30" s="464">
        <f>+IFERROR(HLOOKUP($A$1,[12]손익!$G$5:$AB$252,51,),)</f>
        <v>0</v>
      </c>
      <c r="W30" s="55">
        <f t="shared" si="17"/>
        <v>0</v>
      </c>
      <c r="X30" s="470">
        <f t="shared" si="5"/>
        <v>0</v>
      </c>
      <c r="Y30" s="210">
        <f t="shared" si="18"/>
        <v>27500.000000000004</v>
      </c>
      <c r="Z30" s="95">
        <f t="shared" si="18"/>
        <v>0</v>
      </c>
      <c r="AA30" s="210">
        <f t="shared" si="6"/>
        <v>-27500.000000000004</v>
      </c>
      <c r="AB30" s="452">
        <f t="shared" si="19"/>
        <v>27500.000000000004</v>
      </c>
      <c r="AC30" s="95">
        <f t="shared" si="20"/>
        <v>0</v>
      </c>
      <c r="AD30" s="453">
        <f t="shared" si="7"/>
        <v>-27500.000000000004</v>
      </c>
    </row>
    <row r="31" spans="4:33" ht="24" customHeight="1">
      <c r="D31" s="76"/>
      <c r="E31" s="180"/>
      <c r="F31" s="235" t="s">
        <v>29</v>
      </c>
      <c r="G31" s="204">
        <f>+IFERROR(HLOOKUP($A$1,[11]손익!$G$5:$AB$252,35,),)</f>
        <v>0</v>
      </c>
      <c r="H31" s="95">
        <f t="shared" si="12"/>
        <v>0</v>
      </c>
      <c r="I31" s="205">
        <f t="shared" si="0"/>
        <v>0</v>
      </c>
      <c r="J31" s="234">
        <f>+IFERROR(HLOOKUP($A$1,[11]손익!$G$5:$AB$252,44,),)</f>
        <v>0</v>
      </c>
      <c r="K31" s="95">
        <f t="shared" si="13"/>
        <v>9000</v>
      </c>
      <c r="L31" s="210">
        <f t="shared" si="1"/>
        <v>9000</v>
      </c>
      <c r="M31" s="464">
        <f>+IFERROR(HLOOKUP($A$1,[11]손익!$G$5:$AB$252,52,),)</f>
        <v>0</v>
      </c>
      <c r="N31" s="55">
        <f t="shared" si="14"/>
        <v>9000</v>
      </c>
      <c r="O31" s="470">
        <f t="shared" si="2"/>
        <v>9000</v>
      </c>
      <c r="P31" s="204">
        <f>+IFERROR(HLOOKUP($A$1,[12]손익!$G$5:$AB$252,34,),)</f>
        <v>0</v>
      </c>
      <c r="Q31" s="95">
        <f t="shared" si="15"/>
        <v>0</v>
      </c>
      <c r="R31" s="205">
        <f t="shared" si="3"/>
        <v>0</v>
      </c>
      <c r="S31" s="234">
        <f>+IFERROR(HLOOKUP($A$1,[12]손익!$G$5:$AB$252,43,),)</f>
        <v>0</v>
      </c>
      <c r="T31" s="95">
        <f t="shared" si="16"/>
        <v>19000</v>
      </c>
      <c r="U31" s="210">
        <f t="shared" si="4"/>
        <v>19000</v>
      </c>
      <c r="V31" s="464">
        <f>+IFERROR(HLOOKUP($A$1,[12]손익!$G$5:$AB$252,52,),)</f>
        <v>0</v>
      </c>
      <c r="W31" s="55">
        <f t="shared" si="17"/>
        <v>19000</v>
      </c>
      <c r="X31" s="470">
        <f t="shared" si="5"/>
        <v>19000</v>
      </c>
      <c r="Y31" s="210">
        <f t="shared" si="18"/>
        <v>27500</v>
      </c>
      <c r="Z31" s="95">
        <f t="shared" si="18"/>
        <v>6477.7777777777783</v>
      </c>
      <c r="AA31" s="210">
        <f t="shared" si="6"/>
        <v>-21022.222222222223</v>
      </c>
      <c r="AB31" s="452">
        <f t="shared" si="19"/>
        <v>27500</v>
      </c>
      <c r="AC31" s="95">
        <f t="shared" si="20"/>
        <v>7323.2931726907627</v>
      </c>
      <c r="AD31" s="453">
        <f t="shared" si="7"/>
        <v>-20176.706827309237</v>
      </c>
    </row>
    <row r="32" spans="4:33" ht="24" customHeight="1" thickBot="1">
      <c r="D32" s="76"/>
      <c r="E32" s="232"/>
      <c r="F32" s="231" t="s">
        <v>30</v>
      </c>
      <c r="G32" s="227">
        <f>+IFERROR(HLOOKUP($A$1,[11]손익!$G$5:$AB$252,36,),)</f>
        <v>0</v>
      </c>
      <c r="H32" s="421">
        <f t="shared" si="12"/>
        <v>11500</v>
      </c>
      <c r="I32" s="230">
        <f t="shared" si="0"/>
        <v>11500</v>
      </c>
      <c r="J32" s="229">
        <f>+IFERROR(HLOOKUP($A$1,[11]손익!$G$5:$AB$252,45,),)</f>
        <v>0</v>
      </c>
      <c r="K32" s="421">
        <f t="shared" si="13"/>
        <v>9000</v>
      </c>
      <c r="L32" s="228">
        <f t="shared" si="1"/>
        <v>9000</v>
      </c>
      <c r="M32" s="465">
        <f>+IFERROR(HLOOKUP($A$1,[11]손익!$G$5:$AB$252,53,),)</f>
        <v>0</v>
      </c>
      <c r="N32" s="461">
        <f t="shared" si="14"/>
        <v>10000</v>
      </c>
      <c r="O32" s="471">
        <f t="shared" si="2"/>
        <v>10000</v>
      </c>
      <c r="P32" s="227">
        <f>+IFERROR(HLOOKUP($A$1,[12]손익!$G$5:$AB$252,35,),)</f>
        <v>0</v>
      </c>
      <c r="Q32" s="421">
        <f t="shared" si="15"/>
        <v>0</v>
      </c>
      <c r="R32" s="230">
        <f t="shared" si="3"/>
        <v>0</v>
      </c>
      <c r="S32" s="229">
        <f>+IFERROR(HLOOKUP($A$1,[12]손익!$G$5:$AB$252,44,),)</f>
        <v>0</v>
      </c>
      <c r="T32" s="421">
        <f t="shared" si="16"/>
        <v>0</v>
      </c>
      <c r="U32" s="228">
        <f t="shared" si="4"/>
        <v>0</v>
      </c>
      <c r="V32" s="465">
        <f>+IFERROR(HLOOKUP($A$1,[12]손익!$G$5:$AB$252,53,),)</f>
        <v>0</v>
      </c>
      <c r="W32" s="461">
        <f t="shared" si="17"/>
        <v>0</v>
      </c>
      <c r="X32" s="471">
        <f t="shared" si="5"/>
        <v>0</v>
      </c>
      <c r="Y32" s="228">
        <f t="shared" si="18"/>
        <v>0</v>
      </c>
      <c r="Z32" s="421">
        <f t="shared" si="18"/>
        <v>0</v>
      </c>
      <c r="AA32" s="228">
        <f t="shared" si="6"/>
        <v>0</v>
      </c>
      <c r="AB32" s="454" t="e">
        <f t="shared" si="19"/>
        <v>#DIV/0!</v>
      </c>
      <c r="AC32" s="455">
        <f t="shared" si="20"/>
        <v>10000</v>
      </c>
      <c r="AD32" s="456" t="e">
        <f t="shared" si="7"/>
        <v>#DIV/0!</v>
      </c>
    </row>
    <row r="33" spans="5:30" ht="21.95" customHeight="1" thickTop="1">
      <c r="E33" s="6" t="s">
        <v>130</v>
      </c>
      <c r="G33" s="225"/>
      <c r="H33" s="225"/>
      <c r="I33" s="225"/>
      <c r="J33" s="76"/>
      <c r="P33" s="225"/>
      <c r="Q33" s="225"/>
      <c r="R33" s="225"/>
      <c r="S33" s="76"/>
      <c r="Y33" s="76"/>
      <c r="AB33" s="76"/>
    </row>
    <row r="34" spans="5:30" ht="21.95" customHeight="1">
      <c r="J34" s="76"/>
      <c r="S34" s="76"/>
      <c r="Y34" s="76"/>
      <c r="Z34" s="6" t="s">
        <v>164</v>
      </c>
      <c r="AB34" s="76"/>
    </row>
    <row r="35" spans="5:30" ht="21.95" customHeight="1">
      <c r="E35" s="26" t="s">
        <v>132</v>
      </c>
      <c r="F35" s="466" t="s">
        <v>25</v>
      </c>
      <c r="G35" s="6">
        <f>+IFERROR(HLOOKUP($A$1,[11]손익!$G$5:$AB$252,59,),)</f>
        <v>0</v>
      </c>
      <c r="H35" s="6">
        <f>+IFERROR(VLOOKUP($F35,'[14]서부산(손익)'!$L$16:$R$29,4,),)/1000</f>
        <v>12600</v>
      </c>
      <c r="I35" s="6">
        <f t="shared" ref="I35:I41" si="21">+H35-G35</f>
        <v>12600</v>
      </c>
      <c r="J35" s="76">
        <f>+IFERROR(HLOOKUP($A$1,[11]손익!$G$5:$AB$252,68,),)</f>
        <v>0</v>
      </c>
      <c r="K35" s="6">
        <f>+IFERROR(VLOOKUP($F35,'[14]서부산(손익)'!$L$16:$R$29,3,),)/1000</f>
        <v>0</v>
      </c>
      <c r="L35" s="6">
        <f>+K35-J35</f>
        <v>0</v>
      </c>
      <c r="M35" s="6">
        <f>SUM(G35,J35)</f>
        <v>0</v>
      </c>
      <c r="N35" s="6">
        <f t="shared" ref="N35:N40" si="22">SUM(H35,K35)</f>
        <v>12600</v>
      </c>
      <c r="O35" s="6">
        <f t="shared" ref="O35:O41" si="23">+N35-M35</f>
        <v>12600</v>
      </c>
      <c r="P35" s="6">
        <f>+IFERROR(HLOOKUP($A$1,[12]손익!$G$5:$AB$252,57,),)</f>
        <v>157756.08545124519</v>
      </c>
      <c r="Q35" s="6">
        <f>+IFERROR(VLOOKUP($F35,'[14]부산크라샤(손익)'!$L$16:$R$29,3,),)/1000</f>
        <v>213377.5</v>
      </c>
      <c r="R35" s="6">
        <f t="shared" ref="R35:R41" si="24">+Q35-P35</f>
        <v>55621.414548754808</v>
      </c>
      <c r="S35" s="76">
        <f>+IFERROR(HLOOKUP($A$1,[12]손익!$G$5:$AB$252,66,),)</f>
        <v>156689.90637258487</v>
      </c>
      <c r="T35" s="6">
        <f>+IFERROR(VLOOKUP($F35,'[14]부산크라샤(손익)'!$L$16:$R$29,4,),)/1000</f>
        <v>197376.5</v>
      </c>
      <c r="U35" s="6">
        <f>+T35-S35</f>
        <v>40686.593627415132</v>
      </c>
      <c r="V35" s="6">
        <f>SUM(P35,S35)</f>
        <v>314445.99182383006</v>
      </c>
      <c r="W35" s="6">
        <f t="shared" ref="W35:W41" si="25">SUM(Q35,T35)</f>
        <v>410754</v>
      </c>
      <c r="X35" s="6">
        <f t="shared" ref="X35:X41" si="26">+W35-V35</f>
        <v>96308.00817616994</v>
      </c>
      <c r="Y35" s="472">
        <f>+IFERROR(HLOOKUP($A$1,[13]이송계획!$G$70:$W$100,16,),)+IFERROR(HLOOKUP($A$1,[13]이송계획!$G$70:$W$100,23,),)</f>
        <v>116650.23764940587</v>
      </c>
      <c r="Z35" s="6">
        <f>+'[8]부산모래장(당월)'!R76</f>
        <v>160000</v>
      </c>
      <c r="AB35" s="76">
        <f t="shared" ref="AB35:AC41" si="27">+M35+V35+Y35</f>
        <v>431096.2294732359</v>
      </c>
      <c r="AC35" s="76">
        <f t="shared" si="27"/>
        <v>583354</v>
      </c>
      <c r="AD35" s="6">
        <f t="shared" ref="AD35:AD41" si="28">+AC35-AB35</f>
        <v>152257.7705267641</v>
      </c>
    </row>
    <row r="36" spans="5:30" ht="21.95" customHeight="1">
      <c r="E36" s="26" t="s">
        <v>77</v>
      </c>
      <c r="F36" s="466" t="s">
        <v>26</v>
      </c>
      <c r="G36" s="6">
        <f>+IFERROR(HLOOKUP($A$1,[11]손익!$G$5:$AB$252,60,),)</f>
        <v>183299.20000000001</v>
      </c>
      <c r="H36" s="6">
        <f>+IFERROR(VLOOKUP($F36,'[14]서부산(손익)'!$L$16:$R$29,4,),)/1000</f>
        <v>170000</v>
      </c>
      <c r="I36" s="6">
        <f t="shared" si="21"/>
        <v>-13299.200000000012</v>
      </c>
      <c r="J36" s="76">
        <f>+IFERROR(HLOOKUP($A$1,[11]손익!$G$5:$AB$252,69,),)</f>
        <v>9613.8000000000011</v>
      </c>
      <c r="K36" s="6">
        <f>+IFERROR(VLOOKUP($F36,'[14]서부산(손익)'!$L$16:$R$29,3,),)/1000</f>
        <v>6720</v>
      </c>
      <c r="L36" s="6">
        <f t="shared" ref="L36:L41" si="29">+K36-J36</f>
        <v>-2893.8000000000011</v>
      </c>
      <c r="M36" s="6">
        <f t="shared" ref="M36:N41" si="30">SUM(G36,J36)</f>
        <v>192913</v>
      </c>
      <c r="N36" s="6">
        <f t="shared" si="22"/>
        <v>176720</v>
      </c>
      <c r="O36" s="6">
        <f t="shared" si="23"/>
        <v>-16193</v>
      </c>
      <c r="P36" s="6">
        <f>+IFERROR(HLOOKUP($A$1,[12]손익!$G$5:$AB$252,58,),)</f>
        <v>0</v>
      </c>
      <c r="Q36" s="6">
        <f>+IFERROR(VLOOKUP($F36,'[14]부산크라샤(손익)'!$L$16:$R$29,3,),)/1000</f>
        <v>2112</v>
      </c>
      <c r="R36" s="6">
        <f t="shared" si="24"/>
        <v>2112</v>
      </c>
      <c r="S36" s="76">
        <f>+IFERROR(HLOOKUP($A$1,[12]손익!$G$5:$AB$252,67,),)</f>
        <v>37960.860000000008</v>
      </c>
      <c r="T36" s="6">
        <f>+IFERROR(VLOOKUP($F36,'[14]부산크라샤(손익)'!$L$16:$R$29,4,),)/1000</f>
        <v>75840</v>
      </c>
      <c r="U36" s="6">
        <f t="shared" ref="U36:U41" si="31">+T36-S36</f>
        <v>37879.139999999992</v>
      </c>
      <c r="V36" s="6">
        <f t="shared" ref="V36:V41" si="32">SUM(P36,S36)</f>
        <v>37960.860000000008</v>
      </c>
      <c r="W36" s="6">
        <f t="shared" si="25"/>
        <v>77952</v>
      </c>
      <c r="X36" s="6">
        <f>+W36-V36</f>
        <v>39991.139999999992</v>
      </c>
      <c r="Y36" s="472">
        <f>+IFERROR(HLOOKUP($A$1,[13]이송계획!$G$70:$W$100,17,),)+IFERROR(HLOOKUP($A$1,[13]이송계획!$G$70:$W$100,24,),)</f>
        <v>124902.71328671329</v>
      </c>
      <c r="Z36" s="6">
        <f>+'[8]부산모래장(당월)'!R77</f>
        <v>115136</v>
      </c>
      <c r="AB36" s="6">
        <f t="shared" si="27"/>
        <v>355776.57328671333</v>
      </c>
      <c r="AC36" s="6">
        <f t="shared" si="27"/>
        <v>369808</v>
      </c>
      <c r="AD36" s="6">
        <f t="shared" si="28"/>
        <v>14031.426713286666</v>
      </c>
    </row>
    <row r="37" spans="5:30" ht="21.95" customHeight="1">
      <c r="F37" s="466" t="s">
        <v>27</v>
      </c>
      <c r="G37" s="6">
        <f>+IFERROR(HLOOKUP($A$1,[11]손익!$G$5:$AB$252,61,),)</f>
        <v>0</v>
      </c>
      <c r="H37" s="6">
        <f>+IFERROR(VLOOKUP($F37,'[14]서부산(손익)'!$L$16:$R$29,4,),)/1000</f>
        <v>9016</v>
      </c>
      <c r="I37" s="6">
        <f t="shared" si="21"/>
        <v>9016</v>
      </c>
      <c r="J37" s="76">
        <f>+IFERROR(HLOOKUP($A$1,[11]손익!$G$5:$AB$252,70,),)</f>
        <v>0</v>
      </c>
      <c r="K37" s="6">
        <f>+IFERROR(VLOOKUP($F37,'[14]서부산(손익)'!$L$16:$R$29,3,),)/1000</f>
        <v>0</v>
      </c>
      <c r="L37" s="6">
        <f t="shared" si="29"/>
        <v>0</v>
      </c>
      <c r="M37" s="6">
        <f t="shared" si="30"/>
        <v>0</v>
      </c>
      <c r="N37" s="6">
        <f t="shared" si="22"/>
        <v>9016</v>
      </c>
      <c r="O37" s="6">
        <f t="shared" si="23"/>
        <v>9016</v>
      </c>
      <c r="P37" s="6">
        <f>+IFERROR(HLOOKUP($A$1,[12]손익!$G$5:$AB$252,59,),)</f>
        <v>0</v>
      </c>
      <c r="Q37" s="6">
        <f>+IFERROR(VLOOKUP($F37,'[14]부산크라샤(손익)'!$L$16:$R$29,3,),)/1000</f>
        <v>0</v>
      </c>
      <c r="R37" s="6">
        <f t="shared" si="24"/>
        <v>0</v>
      </c>
      <c r="S37" s="76">
        <f>+IFERROR(HLOOKUP($A$1,[12]손익!$G$5:$AB$252,68,),)</f>
        <v>0</v>
      </c>
      <c r="T37" s="6">
        <f>+IFERROR(VLOOKUP($F37,'[14]부산크라샤(손익)'!$L$16:$R$29,4,),)/1000</f>
        <v>0</v>
      </c>
      <c r="U37" s="6">
        <f t="shared" si="31"/>
        <v>0</v>
      </c>
      <c r="V37" s="6">
        <f t="shared" si="32"/>
        <v>0</v>
      </c>
      <c r="W37" s="6">
        <f t="shared" si="25"/>
        <v>0</v>
      </c>
      <c r="X37" s="6">
        <f t="shared" si="26"/>
        <v>0</v>
      </c>
      <c r="Y37" s="472">
        <f>+IFERROR(HLOOKUP($A$1,[13]이송계획!$G$70:$W$100,18,),)+IFERROR(HLOOKUP($A$1,[13]이송계획!$G$70:$W$100,25,),)</f>
        <v>73076.923076923078</v>
      </c>
      <c r="Z37" s="6">
        <f>+'[8]부산모래장(당월)'!R78</f>
        <v>99000</v>
      </c>
      <c r="AB37" s="6">
        <f t="shared" si="27"/>
        <v>73076.923076923078</v>
      </c>
      <c r="AC37" s="6">
        <f t="shared" si="27"/>
        <v>108016</v>
      </c>
      <c r="AD37" s="6">
        <f t="shared" si="28"/>
        <v>34939.076923076922</v>
      </c>
    </row>
    <row r="38" spans="5:30" ht="21.95" customHeight="1">
      <c r="F38" s="466" t="s">
        <v>28</v>
      </c>
      <c r="G38" s="6">
        <f>+IFERROR(HLOOKUP($A$1,[11]손익!$G$5:$AB$252,62,),)</f>
        <v>0</v>
      </c>
      <c r="H38" s="6">
        <f>+IFERROR(VLOOKUP($F38,'[14]서부산(손익)'!$L$16:$R$29,4,),)/1000</f>
        <v>0</v>
      </c>
      <c r="I38" s="6">
        <f t="shared" si="21"/>
        <v>0</v>
      </c>
      <c r="J38" s="76">
        <f>+IFERROR(HLOOKUP($A$1,[11]손익!$G$5:$AB$252,71,),)</f>
        <v>0</v>
      </c>
      <c r="K38" s="6">
        <f>+IFERROR(VLOOKUP($F38,'[14]서부산(손익)'!$L$16:$R$29,3,),)/1000</f>
        <v>0</v>
      </c>
      <c r="L38" s="6">
        <f t="shared" si="29"/>
        <v>0</v>
      </c>
      <c r="M38" s="6">
        <f t="shared" si="30"/>
        <v>0</v>
      </c>
      <c r="N38" s="6">
        <f t="shared" si="22"/>
        <v>0</v>
      </c>
      <c r="O38" s="6">
        <f t="shared" si="23"/>
        <v>0</v>
      </c>
      <c r="P38" s="6">
        <f>+IFERROR(HLOOKUP($A$1,[12]손익!$G$5:$AB$252,60,),)</f>
        <v>0</v>
      </c>
      <c r="Q38" s="6">
        <f>+IFERROR(VLOOKUP($F38,'[14]부산크라샤(손익)'!$L$16:$R$29,3,),)/1000</f>
        <v>0</v>
      </c>
      <c r="R38" s="6">
        <f t="shared" si="24"/>
        <v>0</v>
      </c>
      <c r="S38" s="76">
        <f>+IFERROR(HLOOKUP($A$1,[12]손익!$G$5:$AB$252,69,),)</f>
        <v>0</v>
      </c>
      <c r="T38" s="6">
        <f>+IFERROR(VLOOKUP($F38,'[14]부산크라샤(손익)'!$L$16:$R$29,4,),)/1000</f>
        <v>0</v>
      </c>
      <c r="U38" s="6">
        <f t="shared" si="31"/>
        <v>0</v>
      </c>
      <c r="V38" s="6">
        <f t="shared" si="32"/>
        <v>0</v>
      </c>
      <c r="W38" s="6">
        <f t="shared" si="25"/>
        <v>0</v>
      </c>
      <c r="X38" s="6">
        <f t="shared" si="26"/>
        <v>0</v>
      </c>
      <c r="Y38" s="472">
        <f>+IFERROR(HLOOKUP($A$1,[13]이송계획!$G$70:$W$100,19,),)+IFERROR(HLOOKUP($A$1,[13]이송계획!$G$70:$W$100,26,),)</f>
        <v>114646.15384615384</v>
      </c>
      <c r="Z38" s="6">
        <f>+'[8]부산모래장(당월)'!R79</f>
        <v>121000</v>
      </c>
      <c r="AB38" s="6">
        <f t="shared" si="27"/>
        <v>114646.15384615384</v>
      </c>
      <c r="AC38" s="6">
        <f t="shared" si="27"/>
        <v>121000</v>
      </c>
      <c r="AD38" s="6">
        <f t="shared" si="28"/>
        <v>6353.8461538461561</v>
      </c>
    </row>
    <row r="39" spans="5:30" ht="21.95" customHeight="1">
      <c r="F39" s="466" t="s">
        <v>29</v>
      </c>
      <c r="G39" s="6">
        <f>+IFERROR(HLOOKUP($A$1,[11]손익!$G$5:$AB$252,63,),)</f>
        <v>0</v>
      </c>
      <c r="H39" s="6">
        <f>+IFERROR(VLOOKUP($F39,'[14]서부산(손익)'!$L$16:$R$29,4,),)/1000</f>
        <v>0</v>
      </c>
      <c r="I39" s="6">
        <f t="shared" si="21"/>
        <v>0</v>
      </c>
      <c r="J39" s="76">
        <f>+IFERROR(HLOOKUP($A$1,[11]손익!$G$5:$AB$252,72,),)</f>
        <v>0</v>
      </c>
      <c r="K39" s="6">
        <f>+IFERROR(VLOOKUP($F39,'[14]서부산(손익)'!$L$16:$R$29,3,),)/1000</f>
        <v>1296</v>
      </c>
      <c r="L39" s="6">
        <f t="shared" si="29"/>
        <v>1296</v>
      </c>
      <c r="M39" s="6">
        <f t="shared" si="30"/>
        <v>0</v>
      </c>
      <c r="N39" s="6">
        <f t="shared" si="22"/>
        <v>1296</v>
      </c>
      <c r="O39" s="6">
        <f t="shared" si="23"/>
        <v>1296</v>
      </c>
      <c r="P39" s="6">
        <f>+IFERROR(HLOOKUP($A$1,[12]손익!$G$5:$AB$252,61,),)</f>
        <v>0</v>
      </c>
      <c r="Q39" s="6">
        <f>+IFERROR(VLOOKUP($F39,'[14]부산크라샤(손익)'!$L$16:$R$29,3,),)/1000</f>
        <v>0</v>
      </c>
      <c r="R39" s="6">
        <f t="shared" si="24"/>
        <v>0</v>
      </c>
      <c r="S39" s="76">
        <f>+IFERROR(HLOOKUP($A$1,[12]손익!$G$5:$AB$252,70,),)</f>
        <v>0</v>
      </c>
      <c r="T39" s="6">
        <f>+IFERROR(VLOOKUP($F39,'[14]부산크라샤(손익)'!$L$16:$R$29,4,),)/1000</f>
        <v>4560</v>
      </c>
      <c r="U39" s="6">
        <f t="shared" si="31"/>
        <v>4560</v>
      </c>
      <c r="V39" s="6">
        <f t="shared" si="32"/>
        <v>0</v>
      </c>
      <c r="W39" s="6">
        <f t="shared" si="25"/>
        <v>4560</v>
      </c>
      <c r="X39" s="6">
        <f t="shared" si="26"/>
        <v>4560</v>
      </c>
      <c r="Y39" s="472">
        <f>+IFERROR(HLOOKUP($A$1,[13]이송계획!$G$70:$W$100,20,),)+IFERROR(HLOOKUP($A$1,[13]이송계획!$G$70:$W$100,27,),)</f>
        <v>40567.115384615383</v>
      </c>
      <c r="Z39" s="6">
        <f>+'[8]부산모래장(당월)'!R80</f>
        <v>23320</v>
      </c>
      <c r="AB39" s="6">
        <f t="shared" si="27"/>
        <v>40567.115384615383</v>
      </c>
      <c r="AC39" s="6">
        <f t="shared" si="27"/>
        <v>29176</v>
      </c>
      <c r="AD39" s="6">
        <f t="shared" si="28"/>
        <v>-11391.115384615383</v>
      </c>
    </row>
    <row r="40" spans="5:30" ht="21.95" customHeight="1">
      <c r="F40" s="466" t="s">
        <v>30</v>
      </c>
      <c r="G40" s="6">
        <f>+IFERROR(HLOOKUP($A$1,[11]손익!$G$5:$AB$252,64,),)</f>
        <v>0</v>
      </c>
      <c r="H40" s="6">
        <f>+IFERROR(VLOOKUP($F40,'[14]서부산(손익)'!$L$16:$R$29,4,),)/1000</f>
        <v>1840</v>
      </c>
      <c r="I40" s="6">
        <f t="shared" si="21"/>
        <v>1840</v>
      </c>
      <c r="J40" s="76">
        <f>+IFERROR(HLOOKUP($A$1,[11]손익!$G$5:$AB$252,73,),)</f>
        <v>0</v>
      </c>
      <c r="K40" s="6">
        <f>+IFERROR(VLOOKUP($F40,'[14]서부산(손익)'!$L$16:$R$29,3,),)/1000</f>
        <v>2160</v>
      </c>
      <c r="L40" s="6">
        <f t="shared" si="29"/>
        <v>2160</v>
      </c>
      <c r="M40" s="6">
        <f t="shared" si="30"/>
        <v>0</v>
      </c>
      <c r="N40" s="6">
        <f t="shared" si="22"/>
        <v>4000</v>
      </c>
      <c r="O40" s="6">
        <f t="shared" si="23"/>
        <v>4000</v>
      </c>
      <c r="P40" s="6">
        <f>+IFERROR(HLOOKUP($A$1,[12]손익!$G$5:$AB$252,62,),)</f>
        <v>0</v>
      </c>
      <c r="Q40" s="6">
        <f>+IFERROR(VLOOKUP($F40,'[14]부산크라샤(손익)'!$L$16:$R$29,3,),)/1000</f>
        <v>0</v>
      </c>
      <c r="R40" s="6">
        <f t="shared" si="24"/>
        <v>0</v>
      </c>
      <c r="S40" s="76">
        <f>+IFERROR(HLOOKUP($A$1,[12]손익!$G$5:$AB$252,71,),)</f>
        <v>0</v>
      </c>
      <c r="T40" s="6">
        <f>+IFERROR(VLOOKUP($F40,'[14]부산크라샤(손익)'!$L$16:$R$29,4,),)/1000</f>
        <v>0</v>
      </c>
      <c r="U40" s="6">
        <f t="shared" si="31"/>
        <v>0</v>
      </c>
      <c r="V40" s="6">
        <f t="shared" si="32"/>
        <v>0</v>
      </c>
      <c r="W40" s="6">
        <f t="shared" si="25"/>
        <v>0</v>
      </c>
      <c r="X40" s="6">
        <f t="shared" si="26"/>
        <v>0</v>
      </c>
      <c r="Y40" s="472">
        <f>+IFERROR(HLOOKUP($A$1,[13]이송계획!$G$70:$W$100,21,),)+IFERROR(HLOOKUP($A$1,[13]이송계획!$G$70:$W$100,28,),)</f>
        <v>0</v>
      </c>
      <c r="AB40" s="6">
        <f t="shared" si="27"/>
        <v>0</v>
      </c>
      <c r="AC40" s="6">
        <f t="shared" si="27"/>
        <v>4000</v>
      </c>
      <c r="AD40" s="6">
        <f t="shared" si="28"/>
        <v>4000</v>
      </c>
    </row>
    <row r="41" spans="5:30" ht="21.95" customHeight="1">
      <c r="F41" s="466" t="s">
        <v>8</v>
      </c>
      <c r="G41" s="6">
        <f>SUM(G35:G40)</f>
        <v>183299.20000000001</v>
      </c>
      <c r="H41" s="6">
        <f>SUM(H35:H40)</f>
        <v>193456</v>
      </c>
      <c r="I41" s="6">
        <f t="shared" si="21"/>
        <v>10156.799999999988</v>
      </c>
      <c r="J41" s="76">
        <f>SUM(J35:J40)</f>
        <v>9613.8000000000011</v>
      </c>
      <c r="K41" s="76">
        <f>SUM(K35:K40)</f>
        <v>10176</v>
      </c>
      <c r="L41" s="6">
        <f t="shared" si="29"/>
        <v>562.19999999999891</v>
      </c>
      <c r="M41" s="6">
        <f t="shared" si="30"/>
        <v>192913</v>
      </c>
      <c r="N41" s="6">
        <f t="shared" si="30"/>
        <v>203632</v>
      </c>
      <c r="O41" s="6">
        <f t="shared" si="23"/>
        <v>10719</v>
      </c>
      <c r="P41" s="6">
        <f>SUM(P35:P40)</f>
        <v>157756.08545124519</v>
      </c>
      <c r="Q41" s="6">
        <f>SUM(Q35:Q40)</f>
        <v>215489.5</v>
      </c>
      <c r="R41" s="6">
        <f t="shared" si="24"/>
        <v>57733.414548754808</v>
      </c>
      <c r="S41" s="76">
        <f>SUM(S35:S40)</f>
        <v>194650.76637258488</v>
      </c>
      <c r="T41" s="76">
        <f>SUM(T35:T40)</f>
        <v>277776.5</v>
      </c>
      <c r="U41" s="6">
        <f t="shared" si="31"/>
        <v>83125.733627415117</v>
      </c>
      <c r="V41" s="6">
        <f t="shared" si="32"/>
        <v>352406.85182383005</v>
      </c>
      <c r="W41" s="6">
        <f t="shared" si="25"/>
        <v>493266</v>
      </c>
      <c r="X41" s="6">
        <f t="shared" si="26"/>
        <v>140859.14817616995</v>
      </c>
      <c r="Y41" s="6">
        <f>SUM(Y35:Y40)</f>
        <v>469843.14324381144</v>
      </c>
      <c r="Z41" s="6">
        <f>SUM(Z35:Z40)</f>
        <v>518456</v>
      </c>
      <c r="AB41" s="6">
        <f t="shared" si="27"/>
        <v>1015162.9950676415</v>
      </c>
      <c r="AC41" s="6">
        <f t="shared" si="27"/>
        <v>1215354</v>
      </c>
      <c r="AD41" s="6">
        <f t="shared" si="28"/>
        <v>200191.00493235851</v>
      </c>
    </row>
    <row r="42" spans="5:30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/>
    <row r="44" spans="5:30" ht="21.95" customHeight="1"/>
    <row r="45" spans="5:30" ht="21.95" customHeight="1"/>
    <row r="46" spans="5:30" ht="21.95" customHeight="1"/>
    <row r="47" spans="5:30" ht="21.95" customHeight="1"/>
    <row r="48" spans="5:3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2024-03-24T23:54:34Z</cp:lastPrinted>
  <dcterms:created xsi:type="dcterms:W3CDTF">2018-12-20T00:38:36Z</dcterms:created>
  <dcterms:modified xsi:type="dcterms:W3CDTF">2024-09-04T05:30:53Z</dcterms:modified>
</cp:coreProperties>
</file>