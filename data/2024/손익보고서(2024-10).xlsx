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담당 업무\원가손익\202411\00_보고서\"/>
    </mc:Choice>
  </mc:AlternateContent>
  <xr:revisionPtr revIDLastSave="0" documentId="13_ncr:1_{18AA8294-350B-42A4-88F1-1EBD05D20A48}" xr6:coauthVersionLast="36" xr6:coauthVersionMax="36" xr10:uidLastSave="{00000000-0000-0000-0000-000000000000}"/>
  <bookViews>
    <workbookView xWindow="480" yWindow="75" windowWidth="27975" windowHeight="12495" activeTab="2" xr2:uid="{00000000-000D-0000-FFFF-FFFF00000000}"/>
  </bookViews>
  <sheets>
    <sheet name="표지" sheetId="24" r:id="rId1"/>
    <sheet name="손익총괄" sheetId="1" r:id="rId2"/>
    <sheet name="사업장별(당월)" sheetId="2" r:id="rId3"/>
    <sheet name="사업장별(누계)" sheetId="42" r:id="rId4"/>
    <sheet name="사업장별(당월)_공장 송부용" sheetId="46" r:id="rId5"/>
    <sheet name="사업장별(누계)_공장 송부용" sheetId="45" r:id="rId6"/>
    <sheet name="영업이익" sheetId="33" r:id="rId7"/>
    <sheet name="공헌이익" sheetId="34" r:id="rId8"/>
    <sheet name="재료비단가" sheetId="36" r:id="rId9"/>
    <sheet name="원단위" sheetId="37" r:id="rId10"/>
    <sheet name="건자재" sheetId="29" r:id="rId11"/>
    <sheet name="골재사업소(당월)" sheetId="41" r:id="rId12"/>
    <sheet name="골재사업소(누계)" sheetId="43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ASSUMPTIONS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12" hidden="1">{"Header",#N/A,TRUE,"Summary";"ProjectInfo",#N/A,TRUE,"Total Value"}</definedName>
    <definedName name="edsd" localSheetId="11" hidden="1">{"Header",#N/A,TRUE,"Summary";"ProjectInfo",#N/A,TRUE,"Total Value"}</definedName>
    <definedName name="edsd" localSheetId="7" hidden="1">{"Header",#N/A,TRUE,"Summary";"ProjectInfo",#N/A,TRUE,"Total Value"}</definedName>
    <definedName name="edsd" localSheetId="6" hidden="1">{"Header",#N/A,TRUE,"Summary";"ProjectInfo",#N/A,TRUE,"Total Value"}</definedName>
    <definedName name="edsd" localSheetId="9" hidden="1">{"Header",#N/A,TRUE,"Summary";"ProjectInfo",#N/A,TRUE,"Total Value"}</definedName>
    <definedName name="edsd" localSheetId="8" hidden="1">{"Header",#N/A,TRUE,"Summary";"ProjectInfo",#N/A,TRUE,"Total Value"}</definedName>
    <definedName name="edsd" hidden="1">{"Header",#N/A,TRUE,"Summary";"ProjectInfo",#N/A,TRUE,"Total Value"}</definedName>
    <definedName name="ff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12" hidden="1">{"Header",#N/A,TRUE,"Summary";"ProjectInfo",#N/A,TRUE,"Total Value"}</definedName>
    <definedName name="jijk" localSheetId="11" hidden="1">{"Header",#N/A,TRUE,"Summary";"ProjectInfo",#N/A,TRUE,"Total Value"}</definedName>
    <definedName name="jijk" localSheetId="7" hidden="1">{"Header",#N/A,TRUE,"Summary";"ProjectInfo",#N/A,TRUE,"Total Value"}</definedName>
    <definedName name="jijk" localSheetId="6" hidden="1">{"Header",#N/A,TRUE,"Summary";"ProjectInfo",#N/A,TRUE,"Total Value"}</definedName>
    <definedName name="jijk" localSheetId="9" hidden="1">{"Header",#N/A,TRUE,"Summary";"ProjectInfo",#N/A,TRUE,"Total Value"}</definedName>
    <definedName name="jijk" localSheetId="8" hidden="1">{"Header",#N/A,TRUE,"Summary";"ProjectInfo",#N/A,TRUE,"Total Value"}</definedName>
    <definedName name="jijk" hidden="1">{"Header",#N/A,TRUE,"Summary";"ProjectInfo",#N/A,TRUE,"Total Value"}</definedName>
    <definedName name="jjjj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10">건자재!$D$6:$O$34</definedName>
    <definedName name="_xlnm.Print_Area" localSheetId="12">'골재사업소(누계)'!$D$4:$AJ$33</definedName>
    <definedName name="_xlnm.Print_Area" localSheetId="11">'골재사업소(당월)'!$D$4:$AJ$33</definedName>
    <definedName name="_xlnm.Print_Area" localSheetId="7">공헌이익!$D$4:$V$29</definedName>
    <definedName name="_xlnm.Print_Area" localSheetId="3">'사업장별(누계)'!$H$3:$AG$43</definedName>
    <definedName name="_xlnm.Print_Area" localSheetId="5">'사업장별(누계)_공장 송부용'!$H$3:$AG$42</definedName>
    <definedName name="_xlnm.Print_Area" localSheetId="2">'사업장별(당월)'!$H$3:$AG$43</definedName>
    <definedName name="_xlnm.Print_Area" localSheetId="4">'사업장별(당월)_공장 송부용'!$H$3:$AG$42</definedName>
    <definedName name="_xlnm.Print_Area" localSheetId="1">손익총괄!$C$3:$X$36</definedName>
    <definedName name="_xlnm.Print_Area" localSheetId="6">영업이익!$D$4:$W$29</definedName>
    <definedName name="_xlnm.Print_Area" localSheetId="9">원단위!$D$4:$V$29</definedName>
    <definedName name="_xlnm.Print_Area" localSheetId="8">재료비단가!$D$4:$V$29</definedName>
    <definedName name="sad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12" hidden="1">{"Header",#N/A,TRUE,"Summary";"ProjectInfo",#N/A,TRUE,"Total Value"}</definedName>
    <definedName name="w" localSheetId="11" hidden="1">{"Header",#N/A,TRUE,"Summary";"ProjectInfo",#N/A,TRUE,"Total Value"}</definedName>
    <definedName name="w" localSheetId="7" hidden="1">{"Header",#N/A,TRUE,"Summary";"ProjectInfo",#N/A,TRUE,"Total Value"}</definedName>
    <definedName name="w" localSheetId="6" hidden="1">{"Header",#N/A,TRUE,"Summary";"ProjectInfo",#N/A,TRUE,"Total Value"}</definedName>
    <definedName name="w" localSheetId="9" hidden="1">{"Header",#N/A,TRUE,"Summary";"ProjectInfo",#N/A,TRUE,"Total Value"}</definedName>
    <definedName name="w" localSheetId="8" hidden="1">{"Header",#N/A,TRUE,"Summary";"ProjectInfo",#N/A,TRUE,"Total Value"}</definedName>
    <definedName name="w" hidden="1">{"Header",#N/A,TRUE,"Summary";"ProjectInfo",#N/A,TRUE,"Total Value"}</definedName>
    <definedName name="wrn.iIMPRESSION._.DOC.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12" hidden="1">{"Header",#N/A,TRUE,"Summary";"ProjectInfo",#N/A,TRUE,"Total Value"}</definedName>
    <definedName name="wrn.SummaryReport." localSheetId="11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localSheetId="9" hidden="1">{"Header",#N/A,TRUE,"Summary";"ProjectInfo",#N/A,TRUE,"Total Value"}</definedName>
    <definedName name="wrn.SummaryReport." localSheetId="8" hidden="1">{"Header",#N/A,TRUE,"Summary";"ProjectInfo",#N/A,TRUE,"Total Value"}</definedName>
    <definedName name="wrn.SummaryReport." hidden="1">{"Header",#N/A,TRUE,"Summary";"ProjectInfo",#N/A,TRUE,"Total Value"}</definedName>
    <definedName name="ww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12" hidden="1">{"Header",#N/A,TRUE,"Summary";"ProjectInfo",#N/A,TRUE,"Total Value"}</definedName>
    <definedName name="ㅁㄴㄴㅇ" localSheetId="11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localSheetId="9" hidden="1">{"Header",#N/A,TRUE,"Summary";"ProjectInfo",#N/A,TRUE,"Total Value"}</definedName>
    <definedName name="ㅁㄴㄴㅇ" localSheetId="8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12" hidden="1">{"Header",#N/A,TRUE,"Summary";"ProjectInfo",#N/A,TRUE,"Total Value"}</definedName>
    <definedName name="ㅈㅇ" localSheetId="11" hidden="1">{"Header",#N/A,TRUE,"Summary";"ProjectInfo",#N/A,TRUE,"Total Value"}</definedName>
    <definedName name="ㅈㅇ" localSheetId="7" hidden="1">{"Header",#N/A,TRUE,"Summary";"ProjectInfo",#N/A,TRUE,"Total Value"}</definedName>
    <definedName name="ㅈㅇ" localSheetId="6" hidden="1">{"Header",#N/A,TRUE,"Summary";"ProjectInfo",#N/A,TRUE,"Total Value"}</definedName>
    <definedName name="ㅈㅇ" localSheetId="9" hidden="1">{"Header",#N/A,TRUE,"Summary";"ProjectInfo",#N/A,TRUE,"Total Value"}</definedName>
    <definedName name="ㅈㅇ" localSheetId="8" hidden="1">{"Header",#N/A,TRUE,"Summary";"ProjectInfo",#N/A,TRUE,"Total Value"}</definedName>
    <definedName name="ㅈㅇ" hidden="1">{"Header",#N/A,TRUE,"Summary";"ProjectInfo",#N/A,TRUE,"Total Value"}</definedName>
    <definedName name="차이분서II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AA46" i="2" l="1"/>
  <c r="T28" i="1" l="1"/>
  <c r="S28" i="1"/>
  <c r="T27" i="1"/>
  <c r="S27" i="1"/>
  <c r="T24" i="1"/>
  <c r="S24" i="1"/>
  <c r="T23" i="1"/>
  <c r="S23" i="1"/>
  <c r="V20" i="1"/>
  <c r="T20" i="1"/>
  <c r="S20" i="1"/>
  <c r="V19" i="1"/>
  <c r="T19" i="1"/>
  <c r="S19" i="1"/>
  <c r="V18" i="1"/>
  <c r="T18" i="1"/>
  <c r="S18" i="1"/>
  <c r="V17" i="1"/>
  <c r="T17" i="1"/>
  <c r="S17" i="1"/>
  <c r="V16" i="1"/>
  <c r="T16" i="1"/>
  <c r="S16" i="1"/>
  <c r="V15" i="1"/>
  <c r="T15" i="1"/>
  <c r="S15" i="1"/>
  <c r="V14" i="1"/>
  <c r="T14" i="1"/>
  <c r="S14" i="1"/>
  <c r="V13" i="1"/>
  <c r="T13" i="1"/>
  <c r="S13" i="1"/>
  <c r="V11" i="1"/>
  <c r="T11" i="1"/>
  <c r="S11" i="1"/>
  <c r="V10" i="1"/>
  <c r="T10" i="1"/>
  <c r="S10" i="1"/>
  <c r="V9" i="1"/>
  <c r="T9" i="1"/>
  <c r="S9" i="1"/>
  <c r="AD27" i="42"/>
  <c r="AC27" i="42"/>
  <c r="AB27" i="42"/>
  <c r="AA27" i="42"/>
  <c r="Z27" i="42"/>
  <c r="Y27" i="42"/>
  <c r="AD26" i="42"/>
  <c r="AC26" i="42"/>
  <c r="AB26" i="42"/>
  <c r="AA26" i="42"/>
  <c r="Z26" i="42"/>
  <c r="Y26" i="42"/>
  <c r="AD25" i="42"/>
  <c r="AC25" i="42"/>
  <c r="AB25" i="42"/>
  <c r="AA25" i="42"/>
  <c r="Z25" i="42"/>
  <c r="Y25" i="42"/>
  <c r="AD24" i="42"/>
  <c r="AC24" i="42"/>
  <c r="AB24" i="42"/>
  <c r="AA24" i="42"/>
  <c r="Z24" i="42"/>
  <c r="Y24" i="42"/>
  <c r="AD23" i="42"/>
  <c r="AC23" i="42"/>
  <c r="AB23" i="42"/>
  <c r="AA23" i="42"/>
  <c r="Z23" i="42"/>
  <c r="Y23" i="42"/>
  <c r="AD22" i="42"/>
  <c r="AC22" i="42"/>
  <c r="AB22" i="42"/>
  <c r="AA22" i="42"/>
  <c r="Z22" i="42"/>
  <c r="Y22" i="42"/>
  <c r="AD21" i="42"/>
  <c r="AC21" i="42"/>
  <c r="AB21" i="42"/>
  <c r="AA21" i="42"/>
  <c r="Z21" i="42"/>
  <c r="Y21" i="42"/>
  <c r="AD20" i="42"/>
  <c r="AC20" i="42"/>
  <c r="AB20" i="42"/>
  <c r="AA20" i="42"/>
  <c r="Z20" i="42"/>
  <c r="Y20" i="42"/>
  <c r="AD19" i="42"/>
  <c r="AC19" i="42"/>
  <c r="AB19" i="42"/>
  <c r="AA19" i="42"/>
  <c r="Z19" i="42"/>
  <c r="Y19" i="42"/>
  <c r="AD18" i="42"/>
  <c r="AC18" i="42"/>
  <c r="AB18" i="42"/>
  <c r="AA18" i="42"/>
  <c r="Z18" i="42"/>
  <c r="Y18" i="42"/>
  <c r="AD17" i="42"/>
  <c r="AC17" i="42"/>
  <c r="AB17" i="42"/>
  <c r="AA17" i="42"/>
  <c r="Z17" i="42"/>
  <c r="Y17" i="42"/>
  <c r="AD16" i="42"/>
  <c r="AC16" i="42"/>
  <c r="AB16" i="42"/>
  <c r="AA16" i="42"/>
  <c r="Z16" i="42"/>
  <c r="Y16" i="42"/>
  <c r="AD15" i="42"/>
  <c r="AC15" i="42"/>
  <c r="AB15" i="42"/>
  <c r="AA15" i="42"/>
  <c r="Z15" i="42"/>
  <c r="Y15" i="42"/>
  <c r="AD14" i="42"/>
  <c r="AC14" i="42"/>
  <c r="AB14" i="42"/>
  <c r="AA14" i="42"/>
  <c r="Z14" i="42"/>
  <c r="Y14" i="42"/>
  <c r="AD13" i="42"/>
  <c r="AC13" i="42"/>
  <c r="AB13" i="42"/>
  <c r="AA13" i="42"/>
  <c r="Z13" i="42"/>
  <c r="Y13" i="42"/>
  <c r="AD12" i="42"/>
  <c r="AC12" i="42"/>
  <c r="AB12" i="42"/>
  <c r="AA12" i="42"/>
  <c r="Z12" i="42"/>
  <c r="Y12" i="42"/>
  <c r="AD11" i="42"/>
  <c r="AC11" i="42"/>
  <c r="AB11" i="42"/>
  <c r="AA11" i="42"/>
  <c r="Z11" i="42"/>
  <c r="Y11" i="42"/>
  <c r="AD10" i="42"/>
  <c r="AC10" i="42"/>
  <c r="AB10" i="42"/>
  <c r="AA10" i="42"/>
  <c r="Z10" i="42"/>
  <c r="Y10" i="42"/>
  <c r="AD9" i="42"/>
  <c r="AC9" i="42"/>
  <c r="AB9" i="42"/>
  <c r="AA9" i="42"/>
  <c r="Z9" i="42"/>
  <c r="Y9" i="42"/>
  <c r="AD8" i="42"/>
  <c r="AC8" i="42"/>
  <c r="AB8" i="42"/>
  <c r="AA8" i="42"/>
  <c r="Z8" i="42"/>
  <c r="Y8" i="42"/>
  <c r="AD7" i="42"/>
  <c r="AC7" i="42"/>
  <c r="AB7" i="42"/>
  <c r="AA7" i="42"/>
  <c r="Z7" i="42"/>
  <c r="Y7" i="42"/>
  <c r="AD27" i="46"/>
  <c r="AC27" i="46"/>
  <c r="AB27" i="46"/>
  <c r="AA27" i="46"/>
  <c r="Z27" i="46"/>
  <c r="Y27" i="46"/>
  <c r="AD26" i="46"/>
  <c r="AC26" i="46"/>
  <c r="AB26" i="46"/>
  <c r="AA26" i="46"/>
  <c r="Z26" i="46"/>
  <c r="Y26" i="46"/>
  <c r="AD25" i="46"/>
  <c r="AC25" i="46"/>
  <c r="AB25" i="46"/>
  <c r="AA25" i="46"/>
  <c r="Z25" i="46"/>
  <c r="Y25" i="46"/>
  <c r="AD24" i="46"/>
  <c r="AC24" i="46"/>
  <c r="AB24" i="46"/>
  <c r="AA24" i="46"/>
  <c r="Z24" i="46"/>
  <c r="Y24" i="46"/>
  <c r="AD23" i="46"/>
  <c r="AC23" i="46"/>
  <c r="AB23" i="46"/>
  <c r="AA23" i="46"/>
  <c r="Z23" i="46"/>
  <c r="Y23" i="46"/>
  <c r="AD22" i="46"/>
  <c r="AC22" i="46"/>
  <c r="AB22" i="46"/>
  <c r="AA22" i="46"/>
  <c r="Z22" i="46"/>
  <c r="Y22" i="46"/>
  <c r="AD21" i="46"/>
  <c r="AC21" i="46"/>
  <c r="AB21" i="46"/>
  <c r="AA21" i="46"/>
  <c r="Z21" i="46"/>
  <c r="Y21" i="46"/>
  <c r="AD20" i="46"/>
  <c r="AC20" i="46"/>
  <c r="AB20" i="46"/>
  <c r="AA20" i="46"/>
  <c r="Z20" i="46"/>
  <c r="Y20" i="46"/>
  <c r="AD19" i="46"/>
  <c r="AC19" i="46"/>
  <c r="AB19" i="46"/>
  <c r="AA19" i="46"/>
  <c r="Z19" i="46"/>
  <c r="Y19" i="46"/>
  <c r="AD18" i="46"/>
  <c r="AC18" i="46"/>
  <c r="AB18" i="46"/>
  <c r="AA18" i="46"/>
  <c r="Z18" i="46"/>
  <c r="Y18" i="46"/>
  <c r="AD17" i="46"/>
  <c r="AC17" i="46"/>
  <c r="AB17" i="46"/>
  <c r="AA17" i="46"/>
  <c r="Z17" i="46"/>
  <c r="Y17" i="46"/>
  <c r="AD16" i="46"/>
  <c r="AC16" i="46"/>
  <c r="AB16" i="46"/>
  <c r="AA16" i="46"/>
  <c r="Z16" i="46"/>
  <c r="Y16" i="46"/>
  <c r="AD15" i="46"/>
  <c r="AC15" i="46"/>
  <c r="AB15" i="46"/>
  <c r="AA15" i="46"/>
  <c r="Z15" i="46"/>
  <c r="Y15" i="46"/>
  <c r="AD14" i="46"/>
  <c r="AC14" i="46"/>
  <c r="AB14" i="46"/>
  <c r="AA14" i="46"/>
  <c r="Z14" i="46"/>
  <c r="Y14" i="46"/>
  <c r="AD13" i="46"/>
  <c r="AC13" i="46"/>
  <c r="AB13" i="46"/>
  <c r="AA13" i="46"/>
  <c r="Z13" i="46"/>
  <c r="Y13" i="46"/>
  <c r="AD12" i="46"/>
  <c r="AC12" i="46"/>
  <c r="AB12" i="46"/>
  <c r="AA12" i="46"/>
  <c r="Z12" i="46"/>
  <c r="Y12" i="46"/>
  <c r="AD11" i="46"/>
  <c r="AC11" i="46"/>
  <c r="AB11" i="46"/>
  <c r="AA11" i="46"/>
  <c r="Z11" i="46"/>
  <c r="Y11" i="46"/>
  <c r="AD10" i="46"/>
  <c r="AC10" i="46"/>
  <c r="AB10" i="46"/>
  <c r="AA10" i="46"/>
  <c r="Z10" i="46"/>
  <c r="Y10" i="46"/>
  <c r="AD9" i="46"/>
  <c r="AC9" i="46"/>
  <c r="AB9" i="46"/>
  <c r="AA9" i="46"/>
  <c r="Z9" i="46"/>
  <c r="Y9" i="46"/>
  <c r="AD8" i="46"/>
  <c r="AC8" i="46"/>
  <c r="AB8" i="46"/>
  <c r="AA8" i="46"/>
  <c r="Z8" i="46"/>
  <c r="Y8" i="46"/>
  <c r="AD7" i="46"/>
  <c r="AC7" i="46"/>
  <c r="AB7" i="46"/>
  <c r="AA7" i="46"/>
  <c r="Z7" i="46"/>
  <c r="Y7" i="46"/>
  <c r="AD27" i="45"/>
  <c r="AC27" i="45"/>
  <c r="AB27" i="45"/>
  <c r="AA27" i="45"/>
  <c r="Z27" i="45"/>
  <c r="Y27" i="45"/>
  <c r="AD26" i="45"/>
  <c r="AC26" i="45"/>
  <c r="AB26" i="45"/>
  <c r="AA26" i="45"/>
  <c r="Z26" i="45"/>
  <c r="Y26" i="45"/>
  <c r="AD25" i="45"/>
  <c r="AC25" i="45"/>
  <c r="AB25" i="45"/>
  <c r="AA25" i="45"/>
  <c r="Z25" i="45"/>
  <c r="Y25" i="45"/>
  <c r="AD24" i="45"/>
  <c r="AC24" i="45"/>
  <c r="AB24" i="45"/>
  <c r="AA24" i="45"/>
  <c r="Z24" i="45"/>
  <c r="Y24" i="45"/>
  <c r="AD23" i="45"/>
  <c r="AC23" i="45"/>
  <c r="AB23" i="45"/>
  <c r="AA23" i="45"/>
  <c r="Z23" i="45"/>
  <c r="Y23" i="45"/>
  <c r="AD22" i="45"/>
  <c r="AC22" i="45"/>
  <c r="AB22" i="45"/>
  <c r="AA22" i="45"/>
  <c r="Z22" i="45"/>
  <c r="Y22" i="45"/>
  <c r="AD21" i="45"/>
  <c r="AC21" i="45"/>
  <c r="AB21" i="45"/>
  <c r="AA21" i="45"/>
  <c r="Z21" i="45"/>
  <c r="Y21" i="45"/>
  <c r="AD20" i="45"/>
  <c r="AC20" i="45"/>
  <c r="AB20" i="45"/>
  <c r="AA20" i="45"/>
  <c r="Z20" i="45"/>
  <c r="Y20" i="45"/>
  <c r="AD19" i="45"/>
  <c r="AC19" i="45"/>
  <c r="AB19" i="45"/>
  <c r="AA19" i="45"/>
  <c r="Z19" i="45"/>
  <c r="Y19" i="45"/>
  <c r="AD18" i="45"/>
  <c r="AC18" i="45"/>
  <c r="AB18" i="45"/>
  <c r="AA18" i="45"/>
  <c r="Z18" i="45"/>
  <c r="Y18" i="45"/>
  <c r="AD17" i="45"/>
  <c r="AC17" i="45"/>
  <c r="AB17" i="45"/>
  <c r="AA17" i="45"/>
  <c r="Z17" i="45"/>
  <c r="Y17" i="45"/>
  <c r="AD16" i="45"/>
  <c r="AC16" i="45"/>
  <c r="AB16" i="45"/>
  <c r="AA16" i="45"/>
  <c r="Z16" i="45"/>
  <c r="Y16" i="45"/>
  <c r="AD15" i="45"/>
  <c r="AC15" i="45"/>
  <c r="AB15" i="45"/>
  <c r="AA15" i="45"/>
  <c r="Z15" i="45"/>
  <c r="Y15" i="45"/>
  <c r="AD14" i="45"/>
  <c r="AC14" i="45"/>
  <c r="AB14" i="45"/>
  <c r="AA14" i="45"/>
  <c r="Z14" i="45"/>
  <c r="Y14" i="45"/>
  <c r="AD13" i="45"/>
  <c r="AC13" i="45"/>
  <c r="AB13" i="45"/>
  <c r="AA13" i="45"/>
  <c r="Z13" i="45"/>
  <c r="Y13" i="45"/>
  <c r="AD12" i="45"/>
  <c r="AC12" i="45"/>
  <c r="AB12" i="45"/>
  <c r="AA12" i="45"/>
  <c r="Z12" i="45"/>
  <c r="Y12" i="45"/>
  <c r="AD11" i="45"/>
  <c r="AC11" i="45"/>
  <c r="AB11" i="45"/>
  <c r="AA11" i="45"/>
  <c r="Z11" i="45"/>
  <c r="Y11" i="45"/>
  <c r="AD10" i="45"/>
  <c r="AC10" i="45"/>
  <c r="AB10" i="45"/>
  <c r="AA10" i="45"/>
  <c r="Z10" i="45"/>
  <c r="Y10" i="45"/>
  <c r="AD9" i="45"/>
  <c r="AC9" i="45"/>
  <c r="AB9" i="45"/>
  <c r="AA9" i="45"/>
  <c r="Z9" i="45"/>
  <c r="Y9" i="45"/>
  <c r="AD8" i="45"/>
  <c r="AC8" i="45"/>
  <c r="AB8" i="45"/>
  <c r="AA8" i="45"/>
  <c r="Z8" i="45"/>
  <c r="Y8" i="45"/>
  <c r="AD7" i="45"/>
  <c r="AC7" i="45"/>
  <c r="AB7" i="45"/>
  <c r="AA7" i="45"/>
  <c r="Z7" i="45"/>
  <c r="Y7" i="45"/>
  <c r="W28" i="33"/>
  <c r="U28" i="33"/>
  <c r="T28" i="33"/>
  <c r="S28" i="33"/>
  <c r="Q28" i="33"/>
  <c r="P28" i="33"/>
  <c r="O28" i="33"/>
  <c r="M28" i="33"/>
  <c r="L28" i="33"/>
  <c r="K28" i="33"/>
  <c r="I28" i="33"/>
  <c r="H28" i="33"/>
  <c r="F28" i="33"/>
  <c r="E28" i="33"/>
  <c r="W27" i="33"/>
  <c r="U27" i="33"/>
  <c r="T27" i="33"/>
  <c r="S27" i="33"/>
  <c r="Q27" i="33"/>
  <c r="P27" i="33"/>
  <c r="O27" i="33"/>
  <c r="M27" i="33"/>
  <c r="L27" i="33"/>
  <c r="K27" i="33"/>
  <c r="I27" i="33"/>
  <c r="H27" i="33"/>
  <c r="F27" i="33"/>
  <c r="E27" i="33"/>
  <c r="W26" i="33"/>
  <c r="U26" i="33"/>
  <c r="T26" i="33"/>
  <c r="S26" i="33"/>
  <c r="Q26" i="33"/>
  <c r="P26" i="33"/>
  <c r="O26" i="33"/>
  <c r="M26" i="33"/>
  <c r="L26" i="33"/>
  <c r="K26" i="33"/>
  <c r="I26" i="33"/>
  <c r="H26" i="33"/>
  <c r="F26" i="33"/>
  <c r="E26" i="33"/>
  <c r="W25" i="33"/>
  <c r="U25" i="33"/>
  <c r="T25" i="33"/>
  <c r="S25" i="33"/>
  <c r="Q25" i="33"/>
  <c r="P25" i="33"/>
  <c r="O25" i="33"/>
  <c r="M25" i="33"/>
  <c r="L25" i="33"/>
  <c r="K25" i="33"/>
  <c r="I25" i="33"/>
  <c r="H25" i="33"/>
  <c r="F25" i="33"/>
  <c r="E25" i="33"/>
  <c r="W24" i="33"/>
  <c r="U24" i="33"/>
  <c r="T24" i="33"/>
  <c r="S24" i="33"/>
  <c r="Q24" i="33"/>
  <c r="P24" i="33"/>
  <c r="O24" i="33"/>
  <c r="M24" i="33"/>
  <c r="L24" i="33"/>
  <c r="K24" i="33"/>
  <c r="I24" i="33"/>
  <c r="H24" i="33"/>
  <c r="F24" i="33"/>
  <c r="E24" i="33"/>
  <c r="W23" i="33"/>
  <c r="U23" i="33"/>
  <c r="T23" i="33"/>
  <c r="S23" i="33"/>
  <c r="Q23" i="33"/>
  <c r="P23" i="33"/>
  <c r="O23" i="33"/>
  <c r="M23" i="33"/>
  <c r="L23" i="33"/>
  <c r="K23" i="33"/>
  <c r="I23" i="33"/>
  <c r="H23" i="33"/>
  <c r="F23" i="33"/>
  <c r="E23" i="33"/>
  <c r="W22" i="33"/>
  <c r="U22" i="33"/>
  <c r="T22" i="33"/>
  <c r="S22" i="33"/>
  <c r="Q22" i="33"/>
  <c r="P22" i="33"/>
  <c r="O22" i="33"/>
  <c r="M22" i="33"/>
  <c r="L22" i="33"/>
  <c r="K22" i="33"/>
  <c r="I22" i="33"/>
  <c r="H22" i="33"/>
  <c r="F22" i="33"/>
  <c r="E22" i="33"/>
  <c r="W21" i="33"/>
  <c r="U21" i="33"/>
  <c r="T21" i="33"/>
  <c r="S21" i="33"/>
  <c r="Q21" i="33"/>
  <c r="P21" i="33"/>
  <c r="O21" i="33"/>
  <c r="M21" i="33"/>
  <c r="L21" i="33"/>
  <c r="K21" i="33"/>
  <c r="I21" i="33"/>
  <c r="H21" i="33"/>
  <c r="F21" i="33"/>
  <c r="E21" i="33"/>
  <c r="W20" i="33"/>
  <c r="U20" i="33"/>
  <c r="T20" i="33"/>
  <c r="S20" i="33"/>
  <c r="Q20" i="33"/>
  <c r="P20" i="33"/>
  <c r="O20" i="33"/>
  <c r="M20" i="33"/>
  <c r="L20" i="33"/>
  <c r="K20" i="33"/>
  <c r="I20" i="33"/>
  <c r="H20" i="33"/>
  <c r="F20" i="33"/>
  <c r="E20" i="33"/>
  <c r="W19" i="33"/>
  <c r="U19" i="33"/>
  <c r="T19" i="33"/>
  <c r="S19" i="33"/>
  <c r="Q19" i="33"/>
  <c r="P19" i="33"/>
  <c r="O19" i="33"/>
  <c r="M19" i="33"/>
  <c r="L19" i="33"/>
  <c r="K19" i="33"/>
  <c r="I19" i="33"/>
  <c r="H19" i="33"/>
  <c r="F19" i="33"/>
  <c r="E19" i="33"/>
  <c r="W18" i="33"/>
  <c r="U18" i="33"/>
  <c r="T18" i="33"/>
  <c r="S18" i="33"/>
  <c r="Q18" i="33"/>
  <c r="P18" i="33"/>
  <c r="O18" i="33"/>
  <c r="M18" i="33"/>
  <c r="L18" i="33"/>
  <c r="K18" i="33"/>
  <c r="I18" i="33"/>
  <c r="H18" i="33"/>
  <c r="F18" i="33"/>
  <c r="E18" i="33"/>
  <c r="W17" i="33"/>
  <c r="U17" i="33"/>
  <c r="T17" i="33"/>
  <c r="S17" i="33"/>
  <c r="Q17" i="33"/>
  <c r="P17" i="33"/>
  <c r="O17" i="33"/>
  <c r="M17" i="33"/>
  <c r="L17" i="33"/>
  <c r="K17" i="33"/>
  <c r="I17" i="33"/>
  <c r="H17" i="33"/>
  <c r="F17" i="33"/>
  <c r="E17" i="33"/>
  <c r="W16" i="33"/>
  <c r="U16" i="33"/>
  <c r="T16" i="33"/>
  <c r="S16" i="33"/>
  <c r="Q16" i="33"/>
  <c r="P16" i="33"/>
  <c r="O16" i="33"/>
  <c r="M16" i="33"/>
  <c r="L16" i="33"/>
  <c r="K16" i="33"/>
  <c r="I16" i="33"/>
  <c r="H16" i="33"/>
  <c r="F16" i="33"/>
  <c r="E16" i="33"/>
  <c r="W15" i="33"/>
  <c r="U15" i="33"/>
  <c r="T15" i="33"/>
  <c r="S15" i="33"/>
  <c r="Q15" i="33"/>
  <c r="P15" i="33"/>
  <c r="O15" i="33"/>
  <c r="M15" i="33"/>
  <c r="L15" i="33"/>
  <c r="K15" i="33"/>
  <c r="I15" i="33"/>
  <c r="H15" i="33"/>
  <c r="F15" i="33"/>
  <c r="E15" i="33"/>
  <c r="W14" i="33"/>
  <c r="U14" i="33"/>
  <c r="T14" i="33"/>
  <c r="S14" i="33"/>
  <c r="Q14" i="33"/>
  <c r="P14" i="33"/>
  <c r="O14" i="33"/>
  <c r="M14" i="33"/>
  <c r="L14" i="33"/>
  <c r="K14" i="33"/>
  <c r="I14" i="33"/>
  <c r="H14" i="33"/>
  <c r="F14" i="33"/>
  <c r="E14" i="33"/>
  <c r="W13" i="33"/>
  <c r="U13" i="33"/>
  <c r="T13" i="33"/>
  <c r="S13" i="33"/>
  <c r="Q13" i="33"/>
  <c r="P13" i="33"/>
  <c r="O13" i="33"/>
  <c r="M13" i="33"/>
  <c r="L13" i="33"/>
  <c r="K13" i="33"/>
  <c r="I13" i="33"/>
  <c r="H13" i="33"/>
  <c r="F13" i="33"/>
  <c r="E13" i="33"/>
  <c r="W12" i="33"/>
  <c r="U12" i="33"/>
  <c r="T12" i="33"/>
  <c r="S12" i="33"/>
  <c r="Q12" i="33"/>
  <c r="P12" i="33"/>
  <c r="O12" i="33"/>
  <c r="M12" i="33"/>
  <c r="L12" i="33"/>
  <c r="K12" i="33"/>
  <c r="I12" i="33"/>
  <c r="H12" i="33"/>
  <c r="F12" i="33"/>
  <c r="E12" i="33"/>
  <c r="W11" i="33"/>
  <c r="U11" i="33"/>
  <c r="T11" i="33"/>
  <c r="S11" i="33"/>
  <c r="Q11" i="33"/>
  <c r="P11" i="33"/>
  <c r="O11" i="33"/>
  <c r="M11" i="33"/>
  <c r="L11" i="33"/>
  <c r="K11" i="33"/>
  <c r="I11" i="33"/>
  <c r="H11" i="33"/>
  <c r="F11" i="33"/>
  <c r="E11" i="33"/>
  <c r="W10" i="33"/>
  <c r="U10" i="33"/>
  <c r="T10" i="33"/>
  <c r="S10" i="33"/>
  <c r="Q10" i="33"/>
  <c r="P10" i="33"/>
  <c r="O10" i="33"/>
  <c r="M10" i="33"/>
  <c r="L10" i="33"/>
  <c r="K10" i="33"/>
  <c r="I10" i="33"/>
  <c r="H10" i="33"/>
  <c r="F10" i="33"/>
  <c r="E10" i="33"/>
  <c r="W9" i="33"/>
  <c r="U9" i="33"/>
  <c r="T9" i="33"/>
  <c r="S9" i="33"/>
  <c r="Q9" i="33"/>
  <c r="P9" i="33"/>
  <c r="O9" i="33"/>
  <c r="M9" i="33"/>
  <c r="L9" i="33"/>
  <c r="K9" i="33"/>
  <c r="I9" i="33"/>
  <c r="H9" i="33"/>
  <c r="F9" i="33"/>
  <c r="E9" i="33"/>
  <c r="W8" i="33"/>
  <c r="U8" i="33"/>
  <c r="T8" i="33"/>
  <c r="S8" i="33"/>
  <c r="Q8" i="33"/>
  <c r="P8" i="33"/>
  <c r="O8" i="33"/>
  <c r="M8" i="33"/>
  <c r="L8" i="33"/>
  <c r="K8" i="33"/>
  <c r="I8" i="33"/>
  <c r="H8" i="33"/>
  <c r="F8" i="33"/>
  <c r="E8" i="33"/>
  <c r="O28" i="34"/>
  <c r="N28" i="34"/>
  <c r="L28" i="34"/>
  <c r="K28" i="34"/>
  <c r="I28" i="34"/>
  <c r="H28" i="34"/>
  <c r="F28" i="34"/>
  <c r="E28" i="34"/>
  <c r="O27" i="34"/>
  <c r="N27" i="34"/>
  <c r="L27" i="34"/>
  <c r="K27" i="34"/>
  <c r="I27" i="34"/>
  <c r="H27" i="34"/>
  <c r="F27" i="34"/>
  <c r="E27" i="34"/>
  <c r="O26" i="34"/>
  <c r="N26" i="34"/>
  <c r="L26" i="34"/>
  <c r="K26" i="34"/>
  <c r="I26" i="34"/>
  <c r="H26" i="34"/>
  <c r="F26" i="34"/>
  <c r="E26" i="34"/>
  <c r="O25" i="34"/>
  <c r="N25" i="34"/>
  <c r="L25" i="34"/>
  <c r="K25" i="34"/>
  <c r="I25" i="34"/>
  <c r="H25" i="34"/>
  <c r="F25" i="34"/>
  <c r="E25" i="34"/>
  <c r="O24" i="34"/>
  <c r="N24" i="34"/>
  <c r="L24" i="34"/>
  <c r="K24" i="34"/>
  <c r="I24" i="34"/>
  <c r="H24" i="34"/>
  <c r="F24" i="34"/>
  <c r="E24" i="34"/>
  <c r="O23" i="34"/>
  <c r="N23" i="34"/>
  <c r="L23" i="34"/>
  <c r="K23" i="34"/>
  <c r="I23" i="34"/>
  <c r="H23" i="34"/>
  <c r="F23" i="34"/>
  <c r="E23" i="34"/>
  <c r="O22" i="34"/>
  <c r="N22" i="34"/>
  <c r="L22" i="34"/>
  <c r="K22" i="34"/>
  <c r="I22" i="34"/>
  <c r="H22" i="34"/>
  <c r="F22" i="34"/>
  <c r="E22" i="34"/>
  <c r="O21" i="34"/>
  <c r="N21" i="34"/>
  <c r="L21" i="34"/>
  <c r="K21" i="34"/>
  <c r="I21" i="34"/>
  <c r="H21" i="34"/>
  <c r="F21" i="34"/>
  <c r="E21" i="34"/>
  <c r="O20" i="34"/>
  <c r="N20" i="34"/>
  <c r="L20" i="34"/>
  <c r="K20" i="34"/>
  <c r="I20" i="34"/>
  <c r="H20" i="34"/>
  <c r="F20" i="34"/>
  <c r="E20" i="34"/>
  <c r="O19" i="34"/>
  <c r="N19" i="34"/>
  <c r="L19" i="34"/>
  <c r="K19" i="34"/>
  <c r="I19" i="34"/>
  <c r="H19" i="34"/>
  <c r="F19" i="34"/>
  <c r="E19" i="34"/>
  <c r="O18" i="34"/>
  <c r="N18" i="34"/>
  <c r="L18" i="34"/>
  <c r="K18" i="34"/>
  <c r="I18" i="34"/>
  <c r="H18" i="34"/>
  <c r="F18" i="34"/>
  <c r="E18" i="34"/>
  <c r="O17" i="34"/>
  <c r="N17" i="34"/>
  <c r="L17" i="34"/>
  <c r="K17" i="34"/>
  <c r="I17" i="34"/>
  <c r="H17" i="34"/>
  <c r="F17" i="34"/>
  <c r="E17" i="34"/>
  <c r="O16" i="34"/>
  <c r="N16" i="34"/>
  <c r="L16" i="34"/>
  <c r="K16" i="34"/>
  <c r="I16" i="34"/>
  <c r="H16" i="34"/>
  <c r="F16" i="34"/>
  <c r="E16" i="34"/>
  <c r="O15" i="34"/>
  <c r="N15" i="34"/>
  <c r="L15" i="34"/>
  <c r="K15" i="34"/>
  <c r="I15" i="34"/>
  <c r="H15" i="34"/>
  <c r="F15" i="34"/>
  <c r="E15" i="34"/>
  <c r="O14" i="34"/>
  <c r="N14" i="34"/>
  <c r="L14" i="34"/>
  <c r="K14" i="34"/>
  <c r="I14" i="34"/>
  <c r="H14" i="34"/>
  <c r="F14" i="34"/>
  <c r="E14" i="34"/>
  <c r="O13" i="34"/>
  <c r="N13" i="34"/>
  <c r="L13" i="34"/>
  <c r="K13" i="34"/>
  <c r="I13" i="34"/>
  <c r="H13" i="34"/>
  <c r="F13" i="34"/>
  <c r="E13" i="34"/>
  <c r="O12" i="34"/>
  <c r="N12" i="34"/>
  <c r="L12" i="34"/>
  <c r="K12" i="34"/>
  <c r="I12" i="34"/>
  <c r="H12" i="34"/>
  <c r="F12" i="34"/>
  <c r="E12" i="34"/>
  <c r="O11" i="34"/>
  <c r="N11" i="34"/>
  <c r="L11" i="34"/>
  <c r="K11" i="34"/>
  <c r="I11" i="34"/>
  <c r="H11" i="34"/>
  <c r="F11" i="34"/>
  <c r="E11" i="34"/>
  <c r="O10" i="34"/>
  <c r="N10" i="34"/>
  <c r="L10" i="34"/>
  <c r="K10" i="34"/>
  <c r="I10" i="34"/>
  <c r="H10" i="34"/>
  <c r="F10" i="34"/>
  <c r="E10" i="34"/>
  <c r="O9" i="34"/>
  <c r="N9" i="34"/>
  <c r="L9" i="34"/>
  <c r="K9" i="34"/>
  <c r="I9" i="34"/>
  <c r="H9" i="34"/>
  <c r="F9" i="34"/>
  <c r="E9" i="34"/>
  <c r="O8" i="34"/>
  <c r="N8" i="34"/>
  <c r="L8" i="34"/>
  <c r="K8" i="34"/>
  <c r="I8" i="34"/>
  <c r="H8" i="34"/>
  <c r="F8" i="34"/>
  <c r="E8" i="34"/>
  <c r="U28" i="36"/>
  <c r="T28" i="36"/>
  <c r="R28" i="36"/>
  <c r="Q28" i="36"/>
  <c r="O28" i="36"/>
  <c r="N28" i="36"/>
  <c r="L28" i="36"/>
  <c r="K28" i="36"/>
  <c r="I28" i="36"/>
  <c r="H28" i="36"/>
  <c r="F28" i="36"/>
  <c r="E28" i="36"/>
  <c r="U27" i="36"/>
  <c r="T27" i="36"/>
  <c r="R27" i="36"/>
  <c r="Q27" i="36"/>
  <c r="O27" i="36"/>
  <c r="N27" i="36"/>
  <c r="L27" i="36"/>
  <c r="K27" i="36"/>
  <c r="I27" i="36"/>
  <c r="H27" i="36"/>
  <c r="F27" i="36"/>
  <c r="E27" i="36"/>
  <c r="U26" i="36"/>
  <c r="T26" i="36"/>
  <c r="R26" i="36"/>
  <c r="Q26" i="36"/>
  <c r="O26" i="36"/>
  <c r="N26" i="36"/>
  <c r="L26" i="36"/>
  <c r="K26" i="36"/>
  <c r="I26" i="36"/>
  <c r="H26" i="36"/>
  <c r="F26" i="36"/>
  <c r="E26" i="36"/>
  <c r="U25" i="36"/>
  <c r="T25" i="36"/>
  <c r="R25" i="36"/>
  <c r="Q25" i="36"/>
  <c r="O25" i="36"/>
  <c r="N25" i="36"/>
  <c r="L25" i="36"/>
  <c r="K25" i="36"/>
  <c r="I25" i="36"/>
  <c r="H25" i="36"/>
  <c r="F25" i="36"/>
  <c r="E25" i="36"/>
  <c r="U24" i="36"/>
  <c r="T24" i="36"/>
  <c r="R24" i="36"/>
  <c r="Q24" i="36"/>
  <c r="O24" i="36"/>
  <c r="N24" i="36"/>
  <c r="L24" i="36"/>
  <c r="K24" i="36"/>
  <c r="I24" i="36"/>
  <c r="H24" i="36"/>
  <c r="F24" i="36"/>
  <c r="E24" i="36"/>
  <c r="U23" i="36"/>
  <c r="T23" i="36"/>
  <c r="R23" i="36"/>
  <c r="Q23" i="36"/>
  <c r="O23" i="36"/>
  <c r="N23" i="36"/>
  <c r="L23" i="36"/>
  <c r="K23" i="36"/>
  <c r="I23" i="36"/>
  <c r="H23" i="36"/>
  <c r="F23" i="36"/>
  <c r="E23" i="36"/>
  <c r="U22" i="36"/>
  <c r="T22" i="36"/>
  <c r="R22" i="36"/>
  <c r="Q22" i="36"/>
  <c r="O22" i="36"/>
  <c r="N22" i="36"/>
  <c r="L22" i="36"/>
  <c r="K22" i="36"/>
  <c r="I22" i="36"/>
  <c r="H22" i="36"/>
  <c r="F22" i="36"/>
  <c r="E22" i="36"/>
  <c r="U21" i="36"/>
  <c r="T21" i="36"/>
  <c r="R21" i="36"/>
  <c r="Q21" i="36"/>
  <c r="O21" i="36"/>
  <c r="N21" i="36"/>
  <c r="L21" i="36"/>
  <c r="K21" i="36"/>
  <c r="I21" i="36"/>
  <c r="H21" i="36"/>
  <c r="F21" i="36"/>
  <c r="E21" i="36"/>
  <c r="U20" i="36"/>
  <c r="T20" i="36"/>
  <c r="R20" i="36"/>
  <c r="Q20" i="36"/>
  <c r="O20" i="36"/>
  <c r="N20" i="36"/>
  <c r="L20" i="36"/>
  <c r="K20" i="36"/>
  <c r="I20" i="36"/>
  <c r="H20" i="36"/>
  <c r="F20" i="36"/>
  <c r="E20" i="36"/>
  <c r="U19" i="36"/>
  <c r="T19" i="36"/>
  <c r="R19" i="36"/>
  <c r="Q19" i="36"/>
  <c r="O19" i="36"/>
  <c r="N19" i="36"/>
  <c r="L19" i="36"/>
  <c r="K19" i="36"/>
  <c r="I19" i="36"/>
  <c r="H19" i="36"/>
  <c r="F19" i="36"/>
  <c r="E19" i="36"/>
  <c r="U18" i="36"/>
  <c r="T18" i="36"/>
  <c r="R18" i="36"/>
  <c r="Q18" i="36"/>
  <c r="O18" i="36"/>
  <c r="N18" i="36"/>
  <c r="L18" i="36"/>
  <c r="K18" i="36"/>
  <c r="I18" i="36"/>
  <c r="H18" i="36"/>
  <c r="F18" i="36"/>
  <c r="E18" i="36"/>
  <c r="U17" i="36"/>
  <c r="T17" i="36"/>
  <c r="R17" i="36"/>
  <c r="Q17" i="36"/>
  <c r="O17" i="36"/>
  <c r="N17" i="36"/>
  <c r="L17" i="36"/>
  <c r="K17" i="36"/>
  <c r="I17" i="36"/>
  <c r="H17" i="36"/>
  <c r="F17" i="36"/>
  <c r="E17" i="36"/>
  <c r="U16" i="36"/>
  <c r="T16" i="36"/>
  <c r="R16" i="36"/>
  <c r="Q16" i="36"/>
  <c r="O16" i="36"/>
  <c r="N16" i="36"/>
  <c r="L16" i="36"/>
  <c r="K16" i="36"/>
  <c r="I16" i="36"/>
  <c r="H16" i="36"/>
  <c r="F16" i="36"/>
  <c r="E16" i="36"/>
  <c r="U15" i="36"/>
  <c r="T15" i="36"/>
  <c r="R15" i="36"/>
  <c r="Q15" i="36"/>
  <c r="O15" i="36"/>
  <c r="N15" i="36"/>
  <c r="L15" i="36"/>
  <c r="K15" i="36"/>
  <c r="I15" i="36"/>
  <c r="H15" i="36"/>
  <c r="F15" i="36"/>
  <c r="E15" i="36"/>
  <c r="U14" i="36"/>
  <c r="T14" i="36"/>
  <c r="R14" i="36"/>
  <c r="Q14" i="36"/>
  <c r="O14" i="36"/>
  <c r="N14" i="36"/>
  <c r="L14" i="36"/>
  <c r="K14" i="36"/>
  <c r="I14" i="36"/>
  <c r="H14" i="36"/>
  <c r="F14" i="36"/>
  <c r="E14" i="36"/>
  <c r="U13" i="36"/>
  <c r="T13" i="36"/>
  <c r="R13" i="36"/>
  <c r="Q13" i="36"/>
  <c r="O13" i="36"/>
  <c r="N13" i="36"/>
  <c r="L13" i="36"/>
  <c r="K13" i="36"/>
  <c r="I13" i="36"/>
  <c r="H13" i="36"/>
  <c r="F13" i="36"/>
  <c r="E13" i="36"/>
  <c r="U12" i="36"/>
  <c r="T12" i="36"/>
  <c r="R12" i="36"/>
  <c r="Q12" i="36"/>
  <c r="O12" i="36"/>
  <c r="N12" i="36"/>
  <c r="L12" i="36"/>
  <c r="K12" i="36"/>
  <c r="I12" i="36"/>
  <c r="H12" i="36"/>
  <c r="F12" i="36"/>
  <c r="E12" i="36"/>
  <c r="U11" i="36"/>
  <c r="T11" i="36"/>
  <c r="R11" i="36"/>
  <c r="Q11" i="36"/>
  <c r="O11" i="36"/>
  <c r="N11" i="36"/>
  <c r="L11" i="36"/>
  <c r="K11" i="36"/>
  <c r="I11" i="36"/>
  <c r="H11" i="36"/>
  <c r="F11" i="36"/>
  <c r="E11" i="36"/>
  <c r="U10" i="36"/>
  <c r="T10" i="36"/>
  <c r="R10" i="36"/>
  <c r="Q10" i="36"/>
  <c r="O10" i="36"/>
  <c r="N10" i="36"/>
  <c r="L10" i="36"/>
  <c r="K10" i="36"/>
  <c r="I10" i="36"/>
  <c r="H10" i="36"/>
  <c r="F10" i="36"/>
  <c r="E10" i="36"/>
  <c r="U9" i="36"/>
  <c r="T9" i="36"/>
  <c r="R9" i="36"/>
  <c r="Q9" i="36"/>
  <c r="O9" i="36"/>
  <c r="N9" i="36"/>
  <c r="L9" i="36"/>
  <c r="K9" i="36"/>
  <c r="I9" i="36"/>
  <c r="H9" i="36"/>
  <c r="F9" i="36"/>
  <c r="E9" i="36"/>
  <c r="U8" i="36"/>
  <c r="T8" i="36"/>
  <c r="R8" i="36"/>
  <c r="Q8" i="36"/>
  <c r="O8" i="36"/>
  <c r="N8" i="36"/>
  <c r="L8" i="36"/>
  <c r="K8" i="36"/>
  <c r="I8" i="36"/>
  <c r="H8" i="36"/>
  <c r="F8" i="36"/>
  <c r="E8" i="36"/>
  <c r="U28" i="37"/>
  <c r="T28" i="37"/>
  <c r="R28" i="37"/>
  <c r="Q28" i="37"/>
  <c r="O28" i="37"/>
  <c r="N28" i="37"/>
  <c r="L28" i="37"/>
  <c r="K28" i="37"/>
  <c r="I28" i="37"/>
  <c r="H28" i="37"/>
  <c r="F28" i="37"/>
  <c r="E28" i="37"/>
  <c r="U27" i="37"/>
  <c r="T27" i="37"/>
  <c r="R27" i="37"/>
  <c r="Q27" i="37"/>
  <c r="O27" i="37"/>
  <c r="N27" i="37"/>
  <c r="L27" i="37"/>
  <c r="K27" i="37"/>
  <c r="I27" i="37"/>
  <c r="H27" i="37"/>
  <c r="F27" i="37"/>
  <c r="E27" i="37"/>
  <c r="U26" i="37"/>
  <c r="T26" i="37"/>
  <c r="R26" i="37"/>
  <c r="Q26" i="37"/>
  <c r="O26" i="37"/>
  <c r="N26" i="37"/>
  <c r="L26" i="37"/>
  <c r="K26" i="37"/>
  <c r="I26" i="37"/>
  <c r="H26" i="37"/>
  <c r="F26" i="37"/>
  <c r="E26" i="37"/>
  <c r="U25" i="37"/>
  <c r="T25" i="37"/>
  <c r="R25" i="37"/>
  <c r="Q25" i="37"/>
  <c r="O25" i="37"/>
  <c r="N25" i="37"/>
  <c r="L25" i="37"/>
  <c r="K25" i="37"/>
  <c r="I25" i="37"/>
  <c r="H25" i="37"/>
  <c r="F25" i="37"/>
  <c r="E25" i="37"/>
  <c r="U24" i="37"/>
  <c r="T24" i="37"/>
  <c r="R24" i="37"/>
  <c r="Q24" i="37"/>
  <c r="O24" i="37"/>
  <c r="N24" i="37"/>
  <c r="L24" i="37"/>
  <c r="K24" i="37"/>
  <c r="I24" i="37"/>
  <c r="H24" i="37"/>
  <c r="F24" i="37"/>
  <c r="E24" i="37"/>
  <c r="U23" i="37"/>
  <c r="T23" i="37"/>
  <c r="R23" i="37"/>
  <c r="Q23" i="37"/>
  <c r="O23" i="37"/>
  <c r="N23" i="37"/>
  <c r="L23" i="37"/>
  <c r="K23" i="37"/>
  <c r="I23" i="37"/>
  <c r="H23" i="37"/>
  <c r="F23" i="37"/>
  <c r="E23" i="37"/>
  <c r="U22" i="37"/>
  <c r="T22" i="37"/>
  <c r="R22" i="37"/>
  <c r="Q22" i="37"/>
  <c r="O22" i="37"/>
  <c r="N22" i="37"/>
  <c r="L22" i="37"/>
  <c r="K22" i="37"/>
  <c r="I22" i="37"/>
  <c r="H22" i="37"/>
  <c r="F22" i="37"/>
  <c r="E22" i="37"/>
  <c r="U21" i="37"/>
  <c r="T21" i="37"/>
  <c r="R21" i="37"/>
  <c r="Q21" i="37"/>
  <c r="O21" i="37"/>
  <c r="N21" i="37"/>
  <c r="L21" i="37"/>
  <c r="K21" i="37"/>
  <c r="I21" i="37"/>
  <c r="H21" i="37"/>
  <c r="F21" i="37"/>
  <c r="E21" i="37"/>
  <c r="U20" i="37"/>
  <c r="T20" i="37"/>
  <c r="R20" i="37"/>
  <c r="Q20" i="37"/>
  <c r="O20" i="37"/>
  <c r="N20" i="37"/>
  <c r="L20" i="37"/>
  <c r="K20" i="37"/>
  <c r="I20" i="37"/>
  <c r="H20" i="37"/>
  <c r="F20" i="37"/>
  <c r="E20" i="37"/>
  <c r="U19" i="37"/>
  <c r="T19" i="37"/>
  <c r="R19" i="37"/>
  <c r="Q19" i="37"/>
  <c r="O19" i="37"/>
  <c r="N19" i="37"/>
  <c r="L19" i="37"/>
  <c r="K19" i="37"/>
  <c r="I19" i="37"/>
  <c r="H19" i="37"/>
  <c r="F19" i="37"/>
  <c r="E19" i="37"/>
  <c r="U18" i="37"/>
  <c r="T18" i="37"/>
  <c r="R18" i="37"/>
  <c r="Q18" i="37"/>
  <c r="O18" i="37"/>
  <c r="N18" i="37"/>
  <c r="L18" i="37"/>
  <c r="K18" i="37"/>
  <c r="I18" i="37"/>
  <c r="H18" i="37"/>
  <c r="F18" i="37"/>
  <c r="E18" i="37"/>
  <c r="U17" i="37"/>
  <c r="T17" i="37"/>
  <c r="R17" i="37"/>
  <c r="Q17" i="37"/>
  <c r="O17" i="37"/>
  <c r="N17" i="37"/>
  <c r="L17" i="37"/>
  <c r="K17" i="37"/>
  <c r="I17" i="37"/>
  <c r="H17" i="37"/>
  <c r="F17" i="37"/>
  <c r="E17" i="37"/>
  <c r="U16" i="37"/>
  <c r="T16" i="37"/>
  <c r="R16" i="37"/>
  <c r="Q16" i="37"/>
  <c r="O16" i="37"/>
  <c r="N16" i="37"/>
  <c r="L16" i="37"/>
  <c r="K16" i="37"/>
  <c r="I16" i="37"/>
  <c r="H16" i="37"/>
  <c r="F16" i="37"/>
  <c r="E16" i="37"/>
  <c r="U15" i="37"/>
  <c r="T15" i="37"/>
  <c r="R15" i="37"/>
  <c r="Q15" i="37"/>
  <c r="O15" i="37"/>
  <c r="N15" i="37"/>
  <c r="L15" i="37"/>
  <c r="K15" i="37"/>
  <c r="I15" i="37"/>
  <c r="H15" i="37"/>
  <c r="F15" i="37"/>
  <c r="E15" i="37"/>
  <c r="U14" i="37"/>
  <c r="T14" i="37"/>
  <c r="R14" i="37"/>
  <c r="Q14" i="37"/>
  <c r="O14" i="37"/>
  <c r="N14" i="37"/>
  <c r="L14" i="37"/>
  <c r="K14" i="37"/>
  <c r="I14" i="37"/>
  <c r="H14" i="37"/>
  <c r="F14" i="37"/>
  <c r="E14" i="37"/>
  <c r="U13" i="37"/>
  <c r="T13" i="37"/>
  <c r="R13" i="37"/>
  <c r="Q13" i="37"/>
  <c r="O13" i="37"/>
  <c r="N13" i="37"/>
  <c r="L13" i="37"/>
  <c r="K13" i="37"/>
  <c r="I13" i="37"/>
  <c r="H13" i="37"/>
  <c r="F13" i="37"/>
  <c r="E13" i="37"/>
  <c r="U12" i="37"/>
  <c r="T12" i="37"/>
  <c r="R12" i="37"/>
  <c r="Q12" i="37"/>
  <c r="O12" i="37"/>
  <c r="N12" i="37"/>
  <c r="L12" i="37"/>
  <c r="K12" i="37"/>
  <c r="I12" i="37"/>
  <c r="H12" i="37"/>
  <c r="F12" i="37"/>
  <c r="E12" i="37"/>
  <c r="U11" i="37"/>
  <c r="T11" i="37"/>
  <c r="R11" i="37"/>
  <c r="Q11" i="37"/>
  <c r="O11" i="37"/>
  <c r="N11" i="37"/>
  <c r="L11" i="37"/>
  <c r="K11" i="37"/>
  <c r="I11" i="37"/>
  <c r="H11" i="37"/>
  <c r="F11" i="37"/>
  <c r="E11" i="37"/>
  <c r="U10" i="37"/>
  <c r="T10" i="37"/>
  <c r="R10" i="37"/>
  <c r="Q10" i="37"/>
  <c r="O10" i="37"/>
  <c r="N10" i="37"/>
  <c r="L10" i="37"/>
  <c r="K10" i="37"/>
  <c r="I10" i="37"/>
  <c r="H10" i="37"/>
  <c r="F10" i="37"/>
  <c r="E10" i="37"/>
  <c r="U9" i="37"/>
  <c r="T9" i="37"/>
  <c r="R9" i="37"/>
  <c r="Q9" i="37"/>
  <c r="O9" i="37"/>
  <c r="N9" i="37"/>
  <c r="L9" i="37"/>
  <c r="K9" i="37"/>
  <c r="I9" i="37"/>
  <c r="H9" i="37"/>
  <c r="F9" i="37"/>
  <c r="E9" i="37"/>
  <c r="U8" i="37"/>
  <c r="T8" i="37"/>
  <c r="R8" i="37"/>
  <c r="Q8" i="37"/>
  <c r="O8" i="37"/>
  <c r="N8" i="37"/>
  <c r="L8" i="37"/>
  <c r="K8" i="37"/>
  <c r="I8" i="37"/>
  <c r="H8" i="37"/>
  <c r="F8" i="37"/>
  <c r="E8" i="37"/>
  <c r="AN39" i="29"/>
  <c r="AM39" i="29"/>
  <c r="AL39" i="29"/>
  <c r="AK39" i="29"/>
  <c r="AJ39" i="29"/>
  <c r="AI39" i="29"/>
  <c r="AH39" i="29"/>
  <c r="AG39" i="29"/>
  <c r="AF39" i="29"/>
  <c r="AE39" i="29"/>
  <c r="AN38" i="29"/>
  <c r="AM38" i="29"/>
  <c r="AL38" i="29"/>
  <c r="AK38" i="29"/>
  <c r="AJ38" i="29"/>
  <c r="AI38" i="29"/>
  <c r="AH38" i="29"/>
  <c r="AG38" i="29"/>
  <c r="AF38" i="29"/>
  <c r="AE38" i="29"/>
  <c r="G36" i="29"/>
  <c r="G25" i="29"/>
  <c r="G24" i="29"/>
  <c r="G16" i="29"/>
  <c r="G15" i="29"/>
  <c r="G13" i="29"/>
  <c r="G12" i="29"/>
  <c r="G10" i="29"/>
  <c r="W40" i="41"/>
  <c r="T40" i="41"/>
  <c r="K40" i="41"/>
  <c r="H40" i="41"/>
  <c r="AF39" i="41"/>
  <c r="W39" i="41"/>
  <c r="T39" i="41"/>
  <c r="K39" i="41"/>
  <c r="H39" i="41"/>
  <c r="AF38" i="41"/>
  <c r="W38" i="41"/>
  <c r="T38" i="41"/>
  <c r="K38" i="41"/>
  <c r="H38" i="41"/>
  <c r="AF37" i="41"/>
  <c r="W37" i="41"/>
  <c r="T37" i="41"/>
  <c r="K37" i="41"/>
  <c r="H37" i="41"/>
  <c r="AF36" i="41"/>
  <c r="W36" i="41"/>
  <c r="T36" i="41"/>
  <c r="K36" i="41"/>
  <c r="H36" i="41"/>
  <c r="AF35" i="41"/>
  <c r="W35" i="41"/>
  <c r="T35" i="41"/>
  <c r="K35" i="41"/>
  <c r="H35" i="41"/>
  <c r="Z26" i="41"/>
  <c r="W26" i="41"/>
  <c r="T26" i="41"/>
  <c r="K26" i="41"/>
  <c r="H26" i="41"/>
  <c r="AF25" i="41"/>
  <c r="Z25" i="41"/>
  <c r="W25" i="41"/>
  <c r="T25" i="41"/>
  <c r="K25" i="41"/>
  <c r="H25" i="41"/>
  <c r="AF24" i="41"/>
  <c r="Z24" i="41"/>
  <c r="W24" i="41"/>
  <c r="T24" i="41"/>
  <c r="K24" i="41"/>
  <c r="H24" i="41"/>
  <c r="AF23" i="41"/>
  <c r="Z23" i="41"/>
  <c r="W23" i="41"/>
  <c r="T23" i="41"/>
  <c r="K23" i="41"/>
  <c r="H23" i="41"/>
  <c r="AF22" i="41"/>
  <c r="Z22" i="41"/>
  <c r="W22" i="41"/>
  <c r="T22" i="41"/>
  <c r="K22" i="41"/>
  <c r="H22" i="41"/>
  <c r="AF21" i="41"/>
  <c r="Z21" i="41"/>
  <c r="W21" i="41"/>
  <c r="T21" i="41"/>
  <c r="K21" i="41"/>
  <c r="H21" i="41"/>
  <c r="AF19" i="41"/>
  <c r="Z19" i="41"/>
  <c r="W19" i="41"/>
  <c r="T19" i="41"/>
  <c r="K19" i="41"/>
  <c r="H19" i="41"/>
  <c r="AF18" i="41"/>
  <c r="Z18" i="41"/>
  <c r="W18" i="41"/>
  <c r="T18" i="41"/>
  <c r="K18" i="41"/>
  <c r="H18" i="41"/>
  <c r="AF15" i="41"/>
  <c r="Z15" i="41"/>
  <c r="W15" i="41"/>
  <c r="T15" i="41"/>
  <c r="K15" i="41"/>
  <c r="H15" i="41"/>
  <c r="AF13" i="41"/>
  <c r="Z13" i="41"/>
  <c r="W13" i="41"/>
  <c r="T13" i="41"/>
  <c r="K13" i="41"/>
  <c r="H13" i="41"/>
  <c r="AF10" i="41"/>
  <c r="Z10" i="41"/>
  <c r="W10" i="41"/>
  <c r="T10" i="41"/>
  <c r="K10" i="41"/>
  <c r="H10" i="41"/>
  <c r="AF8" i="41"/>
  <c r="Z8" i="41"/>
  <c r="W8" i="41"/>
  <c r="T8" i="41"/>
  <c r="K8" i="41"/>
  <c r="H8" i="41"/>
  <c r="AD27" i="2"/>
  <c r="AC27" i="2"/>
  <c r="AB27" i="2"/>
  <c r="AA27" i="2"/>
  <c r="Z27" i="2"/>
  <c r="Y27" i="2"/>
  <c r="AD26" i="2"/>
  <c r="AC26" i="2"/>
  <c r="AB26" i="2"/>
  <c r="AA26" i="2"/>
  <c r="Z26" i="2"/>
  <c r="Y26" i="2"/>
  <c r="AD25" i="2"/>
  <c r="AC25" i="2"/>
  <c r="AB25" i="2"/>
  <c r="AA25" i="2"/>
  <c r="Z25" i="2"/>
  <c r="Y25" i="2"/>
  <c r="AD24" i="2"/>
  <c r="AC24" i="2"/>
  <c r="AB24" i="2"/>
  <c r="AA24" i="2"/>
  <c r="Z24" i="2"/>
  <c r="Y24" i="2"/>
  <c r="AD23" i="2"/>
  <c r="AC23" i="2"/>
  <c r="AB23" i="2"/>
  <c r="AA23" i="2"/>
  <c r="Z23" i="2"/>
  <c r="Y23" i="2"/>
  <c r="AD22" i="2"/>
  <c r="AC22" i="2"/>
  <c r="AB22" i="2"/>
  <c r="AA22" i="2"/>
  <c r="Z22" i="2"/>
  <c r="Y22" i="2"/>
  <c r="AD21" i="2"/>
  <c r="AC21" i="2"/>
  <c r="AB21" i="2"/>
  <c r="AA21" i="2"/>
  <c r="Z21" i="2"/>
  <c r="Y21" i="2"/>
  <c r="AD20" i="2"/>
  <c r="AC20" i="2"/>
  <c r="AB20" i="2"/>
  <c r="AA20" i="2"/>
  <c r="Z20" i="2"/>
  <c r="Y20" i="2"/>
  <c r="AD19" i="2"/>
  <c r="AC19" i="2"/>
  <c r="AB19" i="2"/>
  <c r="AA19" i="2"/>
  <c r="Z19" i="2"/>
  <c r="Y19" i="2"/>
  <c r="AD18" i="2"/>
  <c r="AC18" i="2"/>
  <c r="AB18" i="2"/>
  <c r="AA18" i="2"/>
  <c r="Z18" i="2"/>
  <c r="Y18" i="2"/>
  <c r="AD17" i="2"/>
  <c r="AC17" i="2"/>
  <c r="AB17" i="2"/>
  <c r="AA17" i="2"/>
  <c r="Z17" i="2"/>
  <c r="Y17" i="2"/>
  <c r="AD16" i="2"/>
  <c r="AC16" i="2"/>
  <c r="AB16" i="2"/>
  <c r="AA16" i="2"/>
  <c r="Z16" i="2"/>
  <c r="Y16" i="2"/>
  <c r="AD15" i="2"/>
  <c r="AC15" i="2"/>
  <c r="AB15" i="2"/>
  <c r="AA15" i="2"/>
  <c r="Z15" i="2"/>
  <c r="Y15" i="2"/>
  <c r="AD14" i="2"/>
  <c r="AC14" i="2"/>
  <c r="AB14" i="2"/>
  <c r="AA14" i="2"/>
  <c r="Z14" i="2"/>
  <c r="Y14" i="2"/>
  <c r="AD13" i="2"/>
  <c r="AC13" i="2"/>
  <c r="AB13" i="2"/>
  <c r="AA13" i="2"/>
  <c r="Z13" i="2"/>
  <c r="Y13" i="2"/>
  <c r="AD12" i="2"/>
  <c r="AC12" i="2"/>
  <c r="AB12" i="2"/>
  <c r="AA12" i="2"/>
  <c r="Z12" i="2"/>
  <c r="Y12" i="2"/>
  <c r="AD11" i="2"/>
  <c r="AC11" i="2"/>
  <c r="AB11" i="2"/>
  <c r="AA11" i="2"/>
  <c r="Z11" i="2"/>
  <c r="Y11" i="2"/>
  <c r="AD10" i="2"/>
  <c r="AC10" i="2"/>
  <c r="AB10" i="2"/>
  <c r="AA10" i="2"/>
  <c r="Z10" i="2"/>
  <c r="Y10" i="2"/>
  <c r="AD9" i="2"/>
  <c r="AC9" i="2"/>
  <c r="AB9" i="2"/>
  <c r="AA9" i="2"/>
  <c r="Z9" i="2"/>
  <c r="Y9" i="2"/>
  <c r="AD8" i="2"/>
  <c r="AC8" i="2"/>
  <c r="AB8" i="2"/>
  <c r="AA8" i="2"/>
  <c r="Z8" i="2"/>
  <c r="Y8" i="2"/>
  <c r="AD7" i="2"/>
  <c r="AC7" i="2"/>
  <c r="AB7" i="2"/>
  <c r="AA7" i="2"/>
  <c r="Z7" i="2"/>
  <c r="Y7" i="2"/>
  <c r="AF40" i="43" l="1"/>
  <c r="N40" i="43"/>
  <c r="M40" i="43"/>
  <c r="N39" i="43"/>
  <c r="M39" i="43"/>
  <c r="H39" i="43"/>
  <c r="N38" i="43"/>
  <c r="M38" i="43"/>
  <c r="K38" i="43"/>
  <c r="N37" i="43"/>
  <c r="M37" i="43"/>
  <c r="N36" i="43"/>
  <c r="M36" i="43"/>
  <c r="W35" i="43"/>
  <c r="N35" i="43"/>
  <c r="M35" i="43"/>
  <c r="AF26" i="43"/>
  <c r="Y26" i="43"/>
  <c r="W26" i="43"/>
  <c r="T26" i="43"/>
  <c r="N26" i="43"/>
  <c r="M26" i="43"/>
  <c r="K26" i="43"/>
  <c r="Y25" i="43"/>
  <c r="T25" i="43"/>
  <c r="N25" i="43"/>
  <c r="M25" i="43"/>
  <c r="H25" i="43"/>
  <c r="Y24" i="43"/>
  <c r="N24" i="43"/>
  <c r="M24" i="43"/>
  <c r="H24" i="43"/>
  <c r="Y23" i="43"/>
  <c r="W23" i="43"/>
  <c r="N23" i="43"/>
  <c r="M23" i="43"/>
  <c r="Y22" i="43"/>
  <c r="N22" i="43"/>
  <c r="M22" i="43"/>
  <c r="K22" i="43"/>
  <c r="AF21" i="43"/>
  <c r="Y21" i="43"/>
  <c r="N21" i="43"/>
  <c r="M21" i="43"/>
  <c r="Y19" i="43"/>
  <c r="W19" i="43"/>
  <c r="N19" i="43"/>
  <c r="AF18" i="43"/>
  <c r="Y18" i="43"/>
  <c r="W18" i="43"/>
  <c r="T18" i="43"/>
  <c r="N18" i="43"/>
  <c r="K18" i="43"/>
  <c r="Y15" i="43"/>
  <c r="W15" i="43"/>
  <c r="N15" i="43"/>
  <c r="Y13" i="43"/>
  <c r="N13" i="43"/>
  <c r="K13" i="43"/>
  <c r="AF10" i="43"/>
  <c r="Y10" i="43"/>
  <c r="W10" i="43"/>
  <c r="N10" i="43"/>
  <c r="Y8" i="43"/>
  <c r="W8" i="43"/>
  <c r="T8" i="43"/>
  <c r="N8" i="43"/>
  <c r="K8" i="43"/>
  <c r="W40" i="43"/>
  <c r="T40" i="43"/>
  <c r="K40" i="43"/>
  <c r="H40" i="43"/>
  <c r="AF39" i="43"/>
  <c r="W39" i="43"/>
  <c r="T39" i="43"/>
  <c r="K39" i="43"/>
  <c r="AF38" i="43"/>
  <c r="W38" i="43"/>
  <c r="T38" i="43"/>
  <c r="H38" i="43"/>
  <c r="AF37" i="43"/>
  <c r="W37" i="43"/>
  <c r="T37" i="43"/>
  <c r="K37" i="43"/>
  <c r="H37" i="43"/>
  <c r="AF36" i="43"/>
  <c r="W36" i="43"/>
  <c r="T36" i="43"/>
  <c r="K36" i="43"/>
  <c r="H36" i="43"/>
  <c r="AF35" i="43"/>
  <c r="T35" i="43"/>
  <c r="K35" i="43"/>
  <c r="H35" i="43"/>
  <c r="Z26" i="43"/>
  <c r="H26" i="43"/>
  <c r="AF25" i="43"/>
  <c r="Z25" i="43"/>
  <c r="W25" i="43"/>
  <c r="K25" i="43"/>
  <c r="AF24" i="43"/>
  <c r="Z24" i="43"/>
  <c r="W24" i="43"/>
  <c r="T24" i="43"/>
  <c r="K24" i="43"/>
  <c r="AF23" i="43"/>
  <c r="Z23" i="43"/>
  <c r="T23" i="43"/>
  <c r="K23" i="43"/>
  <c r="H23" i="43"/>
  <c r="AF22" i="43"/>
  <c r="Z22" i="43"/>
  <c r="W22" i="43"/>
  <c r="T22" i="43"/>
  <c r="H22" i="43"/>
  <c r="Z21" i="43"/>
  <c r="W21" i="43"/>
  <c r="T21" i="43"/>
  <c r="K21" i="43"/>
  <c r="H21" i="43"/>
  <c r="AF19" i="43"/>
  <c r="Z19" i="43"/>
  <c r="T19" i="43"/>
  <c r="K19" i="43"/>
  <c r="H19" i="43"/>
  <c r="Z18" i="43"/>
  <c r="H18" i="43"/>
  <c r="AF15" i="43"/>
  <c r="Z15" i="43"/>
  <c r="T15" i="43"/>
  <c r="K15" i="43"/>
  <c r="H15" i="43"/>
  <c r="AF13" i="43"/>
  <c r="Z13" i="43"/>
  <c r="W13" i="43"/>
  <c r="T13" i="43"/>
  <c r="H13" i="43"/>
  <c r="Z10" i="43"/>
  <c r="T10" i="43"/>
  <c r="K10" i="43"/>
  <c r="H10" i="43"/>
  <c r="AF8" i="43"/>
  <c r="Z8" i="43"/>
  <c r="H8" i="43"/>
  <c r="AN37" i="29"/>
  <c r="L15" i="29"/>
  <c r="L12" i="29"/>
  <c r="L10" i="29"/>
  <c r="W39" i="45"/>
  <c r="U39" i="45"/>
  <c r="T39" i="45"/>
  <c r="R39" i="45"/>
  <c r="P39" i="45"/>
  <c r="O39" i="45"/>
  <c r="P37" i="45"/>
  <c r="O37" i="45"/>
  <c r="T36" i="45"/>
  <c r="R36" i="45"/>
  <c r="P36" i="45"/>
  <c r="O36" i="45"/>
  <c r="R35" i="45"/>
  <c r="P35" i="45"/>
  <c r="O35" i="45"/>
  <c r="W45" i="46"/>
  <c r="T45" i="46"/>
  <c r="R45" i="46"/>
  <c r="O45" i="46"/>
  <c r="M45" i="46"/>
  <c r="J45" i="46"/>
  <c r="W38" i="46"/>
  <c r="T38" i="46"/>
  <c r="R38" i="46"/>
  <c r="O38" i="46"/>
  <c r="W37" i="46"/>
  <c r="T37" i="46"/>
  <c r="R37" i="46"/>
  <c r="W35" i="46"/>
  <c r="T35" i="46"/>
  <c r="W34" i="46"/>
  <c r="T34" i="46"/>
  <c r="R34" i="46"/>
  <c r="O34" i="46"/>
  <c r="W33" i="46"/>
  <c r="T33" i="46"/>
  <c r="R33" i="46"/>
  <c r="O33" i="46"/>
  <c r="W31" i="46"/>
  <c r="T31" i="46"/>
  <c r="R31" i="46"/>
  <c r="O31" i="46"/>
  <c r="M31" i="46"/>
  <c r="J31" i="46"/>
  <c r="W30" i="46"/>
  <c r="T30" i="46"/>
  <c r="R30" i="46"/>
  <c r="O30" i="46"/>
  <c r="M30" i="46"/>
  <c r="J30" i="46"/>
  <c r="W29" i="46"/>
  <c r="T29" i="46"/>
  <c r="R29" i="46"/>
  <c r="O29" i="46"/>
  <c r="M29" i="46"/>
  <c r="J29" i="46"/>
  <c r="W28" i="46"/>
  <c r="T28" i="46"/>
  <c r="R28" i="46"/>
  <c r="O28" i="46"/>
  <c r="M28" i="46"/>
  <c r="J28" i="46"/>
  <c r="W23" i="46"/>
  <c r="T23" i="46"/>
  <c r="R23" i="46"/>
  <c r="O23" i="46"/>
  <c r="M23" i="46"/>
  <c r="J23" i="46"/>
  <c r="W22" i="46"/>
  <c r="T22" i="46"/>
  <c r="R22" i="46"/>
  <c r="O22" i="46"/>
  <c r="M22" i="46"/>
  <c r="J22" i="46"/>
  <c r="W21" i="46"/>
  <c r="T21" i="46"/>
  <c r="R21" i="46"/>
  <c r="O21" i="46"/>
  <c r="M21" i="46"/>
  <c r="J21" i="46"/>
  <c r="W20" i="46"/>
  <c r="T20" i="46"/>
  <c r="R20" i="46"/>
  <c r="O20" i="46"/>
  <c r="M20" i="46"/>
  <c r="J20" i="46"/>
  <c r="W19" i="46"/>
  <c r="T19" i="46"/>
  <c r="R19" i="46"/>
  <c r="O19" i="46"/>
  <c r="M19" i="46"/>
  <c r="J19" i="46"/>
  <c r="W18" i="46"/>
  <c r="T18" i="46"/>
  <c r="R18" i="46"/>
  <c r="O18" i="46"/>
  <c r="M18" i="46"/>
  <c r="J18" i="46"/>
  <c r="W17" i="46"/>
  <c r="T17" i="46"/>
  <c r="R17" i="46"/>
  <c r="O17" i="46"/>
  <c r="M17" i="46"/>
  <c r="J17" i="46"/>
  <c r="W16" i="46"/>
  <c r="T16" i="46"/>
  <c r="R16" i="46"/>
  <c r="O16" i="46"/>
  <c r="M16" i="46"/>
  <c r="J16" i="46"/>
  <c r="W15" i="46"/>
  <c r="T15" i="46"/>
  <c r="R15" i="46"/>
  <c r="O15" i="46"/>
  <c r="M15" i="46"/>
  <c r="J15" i="46"/>
  <c r="W14" i="46"/>
  <c r="T14" i="46"/>
  <c r="R14" i="46"/>
  <c r="O14" i="46"/>
  <c r="M14" i="46"/>
  <c r="J14" i="46"/>
  <c r="W13" i="46"/>
  <c r="T13" i="46"/>
  <c r="R13" i="46"/>
  <c r="O13" i="46"/>
  <c r="M13" i="46"/>
  <c r="J13" i="46"/>
  <c r="W12" i="46"/>
  <c r="T12" i="46"/>
  <c r="R12" i="46"/>
  <c r="O12" i="46"/>
  <c r="M12" i="46"/>
  <c r="J12" i="46"/>
  <c r="W11" i="46"/>
  <c r="T11" i="46"/>
  <c r="R11" i="46"/>
  <c r="O11" i="46"/>
  <c r="M11" i="46"/>
  <c r="J11" i="46"/>
  <c r="W10" i="46"/>
  <c r="T10" i="46"/>
  <c r="R10" i="46"/>
  <c r="O10" i="46"/>
  <c r="M10" i="46"/>
  <c r="J10" i="46"/>
  <c r="W9" i="46"/>
  <c r="T9" i="46"/>
  <c r="R9" i="46"/>
  <c r="O9" i="46"/>
  <c r="M9" i="46"/>
  <c r="J9" i="46"/>
  <c r="W8" i="46"/>
  <c r="T8" i="46"/>
  <c r="R8" i="46"/>
  <c r="O8" i="46"/>
  <c r="M8" i="46"/>
  <c r="J8" i="46"/>
  <c r="W7" i="46"/>
  <c r="T7" i="46"/>
  <c r="R7" i="46"/>
  <c r="O7" i="46"/>
  <c r="M7" i="46"/>
  <c r="J7" i="46"/>
  <c r="W40" i="42"/>
  <c r="U40" i="42"/>
  <c r="T40" i="42"/>
  <c r="R40" i="42"/>
  <c r="P40" i="42"/>
  <c r="O40" i="42"/>
  <c r="P38" i="42"/>
  <c r="O38" i="42"/>
  <c r="T37" i="42"/>
  <c r="T53" i="42" s="1"/>
  <c r="R37" i="42"/>
  <c r="P37" i="42"/>
  <c r="O37" i="42"/>
  <c r="R36" i="42"/>
  <c r="P36" i="42"/>
  <c r="O36" i="42"/>
  <c r="R35" i="42"/>
  <c r="P35" i="42"/>
  <c r="O35" i="42"/>
  <c r="W46" i="2"/>
  <c r="W46" i="42" s="1"/>
  <c r="T46" i="2"/>
  <c r="T45" i="45" s="1"/>
  <c r="R46" i="2"/>
  <c r="R45" i="45" s="1"/>
  <c r="O46" i="2"/>
  <c r="O45" i="45" s="1"/>
  <c r="M46" i="2"/>
  <c r="M45" i="45" s="1"/>
  <c r="J46" i="2"/>
  <c r="W39" i="2"/>
  <c r="T39" i="2"/>
  <c r="T39" i="42" s="1"/>
  <c r="R39" i="2"/>
  <c r="R38" i="45" s="1"/>
  <c r="O39" i="2"/>
  <c r="O39" i="42" s="1"/>
  <c r="W38" i="2"/>
  <c r="W38" i="42" s="1"/>
  <c r="T38" i="2"/>
  <c r="T38" i="42" s="1"/>
  <c r="R38" i="2"/>
  <c r="R37" i="45" s="1"/>
  <c r="W37" i="2"/>
  <c r="W36" i="45" s="1"/>
  <c r="W36" i="2"/>
  <c r="W36" i="42" s="1"/>
  <c r="T36" i="2"/>
  <c r="W35" i="2"/>
  <c r="W35" i="42" s="1"/>
  <c r="T35" i="2"/>
  <c r="T35" i="45" s="1"/>
  <c r="W34" i="2"/>
  <c r="W34" i="45" s="1"/>
  <c r="T34" i="2"/>
  <c r="T34" i="42" s="1"/>
  <c r="R34" i="2"/>
  <c r="R34" i="42" s="1"/>
  <c r="O34" i="2"/>
  <c r="O34" i="45" s="1"/>
  <c r="W33" i="2"/>
  <c r="W33" i="42" s="1"/>
  <c r="T33" i="2"/>
  <c r="T33" i="45" s="1"/>
  <c r="R33" i="2"/>
  <c r="R33" i="45" s="1"/>
  <c r="O33" i="2"/>
  <c r="O33" i="45" s="1"/>
  <c r="W31" i="2"/>
  <c r="W31" i="45" s="1"/>
  <c r="T31" i="2"/>
  <c r="R31" i="2"/>
  <c r="R31" i="42" s="1"/>
  <c r="O31" i="2"/>
  <c r="O31" i="45" s="1"/>
  <c r="M31" i="2"/>
  <c r="M31" i="45" s="1"/>
  <c r="J31" i="2"/>
  <c r="J31" i="42" s="1"/>
  <c r="W30" i="2"/>
  <c r="W30" i="42" s="1"/>
  <c r="T30" i="2"/>
  <c r="T30" i="42" s="1"/>
  <c r="R30" i="2"/>
  <c r="R30" i="42" s="1"/>
  <c r="O30" i="2"/>
  <c r="O30" i="42" s="1"/>
  <c r="M30" i="2"/>
  <c r="M30" i="42" s="1"/>
  <c r="J30" i="2"/>
  <c r="J30" i="45" s="1"/>
  <c r="W29" i="2"/>
  <c r="W29" i="42" s="1"/>
  <c r="T29" i="2"/>
  <c r="T29" i="45" s="1"/>
  <c r="R29" i="2"/>
  <c r="R29" i="45" s="1"/>
  <c r="O29" i="2"/>
  <c r="O29" i="42" s="1"/>
  <c r="M29" i="2"/>
  <c r="M29" i="45" s="1"/>
  <c r="J29" i="2"/>
  <c r="J29" i="45" s="1"/>
  <c r="W28" i="2"/>
  <c r="W28" i="45" s="1"/>
  <c r="T28" i="2"/>
  <c r="T28" i="45" s="1"/>
  <c r="R28" i="2"/>
  <c r="R28" i="45" s="1"/>
  <c r="O28" i="2"/>
  <c r="O28" i="42" s="1"/>
  <c r="M28" i="2"/>
  <c r="M28" i="45" s="1"/>
  <c r="J28" i="2"/>
  <c r="J28" i="42" s="1"/>
  <c r="W23" i="2"/>
  <c r="W23" i="45" s="1"/>
  <c r="T23" i="2"/>
  <c r="T23" i="42" s="1"/>
  <c r="R23" i="2"/>
  <c r="R23" i="45" s="1"/>
  <c r="O23" i="2"/>
  <c r="O23" i="45" s="1"/>
  <c r="M23" i="2"/>
  <c r="M23" i="42" s="1"/>
  <c r="J23" i="2"/>
  <c r="J23" i="45" s="1"/>
  <c r="W22" i="2"/>
  <c r="W22" i="45" s="1"/>
  <c r="T22" i="2"/>
  <c r="T22" i="42" s="1"/>
  <c r="R22" i="2"/>
  <c r="R22" i="45" s="1"/>
  <c r="O22" i="2"/>
  <c r="O22" i="45" s="1"/>
  <c r="M22" i="2"/>
  <c r="M22" i="42" s="1"/>
  <c r="J22" i="2"/>
  <c r="J22" i="45" s="1"/>
  <c r="W21" i="2"/>
  <c r="W21" i="42" s="1"/>
  <c r="T21" i="2"/>
  <c r="T21" i="45" s="1"/>
  <c r="R21" i="2"/>
  <c r="R21" i="45" s="1"/>
  <c r="O21" i="2"/>
  <c r="O21" i="45" s="1"/>
  <c r="M21" i="2"/>
  <c r="M21" i="45" s="1"/>
  <c r="J21" i="2"/>
  <c r="J21" i="42" s="1"/>
  <c r="W20" i="2"/>
  <c r="W20" i="42" s="1"/>
  <c r="T20" i="2"/>
  <c r="T20" i="45" s="1"/>
  <c r="R20" i="2"/>
  <c r="R20" i="42" s="1"/>
  <c r="O20" i="2"/>
  <c r="O20" i="45" s="1"/>
  <c r="M20" i="2"/>
  <c r="M20" i="45" s="1"/>
  <c r="J20" i="2"/>
  <c r="J20" i="42" s="1"/>
  <c r="W19" i="2"/>
  <c r="W19" i="42" s="1"/>
  <c r="T19" i="2"/>
  <c r="T19" i="42" s="1"/>
  <c r="R19" i="2"/>
  <c r="R19" i="42" s="1"/>
  <c r="O19" i="2"/>
  <c r="O19" i="45" s="1"/>
  <c r="M19" i="2"/>
  <c r="M19" i="42" s="1"/>
  <c r="J19" i="2"/>
  <c r="J19" i="45" s="1"/>
  <c r="W18" i="2"/>
  <c r="W18" i="45" s="1"/>
  <c r="T18" i="2"/>
  <c r="T18" i="42" s="1"/>
  <c r="R18" i="2"/>
  <c r="R18" i="45" s="1"/>
  <c r="O18" i="2"/>
  <c r="O18" i="42" s="1"/>
  <c r="M18" i="2"/>
  <c r="M18" i="45" s="1"/>
  <c r="J18" i="2"/>
  <c r="J18" i="45" s="1"/>
  <c r="W17" i="2"/>
  <c r="W17" i="45" s="1"/>
  <c r="T17" i="2"/>
  <c r="T17" i="42" s="1"/>
  <c r="R17" i="2"/>
  <c r="R17" i="45" s="1"/>
  <c r="O17" i="2"/>
  <c r="O17" i="42" s="1"/>
  <c r="M17" i="2"/>
  <c r="M17" i="45" s="1"/>
  <c r="J17" i="2"/>
  <c r="J17" i="42" s="1"/>
  <c r="W16" i="2"/>
  <c r="W16" i="45" s="1"/>
  <c r="T16" i="2"/>
  <c r="T16" i="45" s="1"/>
  <c r="R16" i="2"/>
  <c r="R16" i="42" s="1"/>
  <c r="O16" i="2"/>
  <c r="O16" i="45" s="1"/>
  <c r="M16" i="2"/>
  <c r="M16" i="45" s="1"/>
  <c r="J16" i="2"/>
  <c r="J16" i="45" s="1"/>
  <c r="W15" i="2"/>
  <c r="W15" i="45" s="1"/>
  <c r="T15" i="2"/>
  <c r="T15" i="42" s="1"/>
  <c r="R15" i="2"/>
  <c r="R15" i="42" s="1"/>
  <c r="O15" i="2"/>
  <c r="O15" i="45" s="1"/>
  <c r="M15" i="2"/>
  <c r="M15" i="42" s="1"/>
  <c r="J15" i="2"/>
  <c r="J15" i="45" s="1"/>
  <c r="W14" i="2"/>
  <c r="W14" i="45" s="1"/>
  <c r="T14" i="2"/>
  <c r="T14" i="45" s="1"/>
  <c r="R14" i="2"/>
  <c r="R14" i="45" s="1"/>
  <c r="O14" i="2"/>
  <c r="O14" i="42" s="1"/>
  <c r="M14" i="2"/>
  <c r="M14" i="42" s="1"/>
  <c r="J14" i="2"/>
  <c r="J14" i="45" s="1"/>
  <c r="W13" i="2"/>
  <c r="W13" i="42" s="1"/>
  <c r="T13" i="2"/>
  <c r="T13" i="42" s="1"/>
  <c r="R13" i="2"/>
  <c r="R13" i="42" s="1"/>
  <c r="O13" i="2"/>
  <c r="O13" i="42" s="1"/>
  <c r="M13" i="2"/>
  <c r="M13" i="42" s="1"/>
  <c r="J13" i="2"/>
  <c r="J13" i="42" s="1"/>
  <c r="W12" i="2"/>
  <c r="W12" i="42" s="1"/>
  <c r="T12" i="2"/>
  <c r="T12" i="45" s="1"/>
  <c r="R12" i="2"/>
  <c r="R12" i="42" s="1"/>
  <c r="O12" i="2"/>
  <c r="O12" i="45" s="1"/>
  <c r="M12" i="2"/>
  <c r="M12" i="45" s="1"/>
  <c r="J12" i="2"/>
  <c r="J12" i="42" s="1"/>
  <c r="W11" i="2"/>
  <c r="W11" i="45" s="1"/>
  <c r="T11" i="2"/>
  <c r="T11" i="42" s="1"/>
  <c r="R11" i="2"/>
  <c r="R11" i="42" s="1"/>
  <c r="O11" i="2"/>
  <c r="O11" i="45" s="1"/>
  <c r="M11" i="2"/>
  <c r="M11" i="45" s="1"/>
  <c r="J11" i="2"/>
  <c r="J11" i="42" s="1"/>
  <c r="W10" i="2"/>
  <c r="W10" i="45" s="1"/>
  <c r="T10" i="2"/>
  <c r="R10" i="2"/>
  <c r="R10" i="45" s="1"/>
  <c r="O10" i="2"/>
  <c r="M10" i="2"/>
  <c r="M10" i="45" s="1"/>
  <c r="J10" i="2"/>
  <c r="W9" i="2"/>
  <c r="W9" i="42" s="1"/>
  <c r="T9" i="2"/>
  <c r="T9" i="45" s="1"/>
  <c r="R9" i="2"/>
  <c r="R9" i="45" s="1"/>
  <c r="O9" i="2"/>
  <c r="O9" i="42" s="1"/>
  <c r="M9" i="2"/>
  <c r="M9" i="42" s="1"/>
  <c r="J9" i="2"/>
  <c r="J9" i="42" s="1"/>
  <c r="W8" i="2"/>
  <c r="W8" i="42" s="1"/>
  <c r="T8" i="2"/>
  <c r="T8" i="45" s="1"/>
  <c r="R8" i="2"/>
  <c r="R8" i="42" s="1"/>
  <c r="O8" i="2"/>
  <c r="O8" i="45" s="1"/>
  <c r="M8" i="2"/>
  <c r="M8" i="45" s="1"/>
  <c r="J8" i="2"/>
  <c r="J8" i="45" s="1"/>
  <c r="W7" i="2"/>
  <c r="W7" i="45" s="1"/>
  <c r="T7" i="2"/>
  <c r="T7" i="42" s="1"/>
  <c r="R7" i="2"/>
  <c r="R7" i="42" s="1"/>
  <c r="O7" i="2"/>
  <c r="O7" i="45" s="1"/>
  <c r="M7" i="2"/>
  <c r="M7" i="42" s="1"/>
  <c r="J7" i="2"/>
  <c r="J7" i="45" s="1"/>
  <c r="V24" i="1"/>
  <c r="V23" i="1"/>
  <c r="V28" i="1"/>
  <c r="V27" i="1"/>
  <c r="H38" i="1"/>
  <c r="M38" i="1" s="1"/>
  <c r="E38" i="1"/>
  <c r="J38" i="1" s="1"/>
  <c r="H27" i="1"/>
  <c r="M27" i="1" s="1"/>
  <c r="E27" i="1"/>
  <c r="J27" i="1" s="1"/>
  <c r="H26" i="1"/>
  <c r="M26" i="1" s="1"/>
  <c r="E26" i="1"/>
  <c r="J26" i="1" s="1"/>
  <c r="H25" i="1"/>
  <c r="M25" i="1" s="1"/>
  <c r="E25" i="1"/>
  <c r="J25" i="1" s="1"/>
  <c r="H17" i="1"/>
  <c r="M17" i="1" s="1"/>
  <c r="E17" i="1"/>
  <c r="H16" i="1"/>
  <c r="E16" i="1"/>
  <c r="J16" i="1" s="1"/>
  <c r="H15" i="1"/>
  <c r="M15" i="1" s="1"/>
  <c r="E15" i="1"/>
  <c r="J15" i="1" s="1"/>
  <c r="H12" i="1"/>
  <c r="M12" i="1" s="1"/>
  <c r="E12" i="1"/>
  <c r="J12" i="1" s="1"/>
  <c r="H11" i="1"/>
  <c r="M11" i="1" s="1"/>
  <c r="E11" i="1"/>
  <c r="J11" i="1" s="1"/>
  <c r="H10" i="1"/>
  <c r="E10" i="1"/>
  <c r="J10" i="1" s="1"/>
  <c r="H9" i="1"/>
  <c r="M9" i="1" s="1"/>
  <c r="E9" i="1"/>
  <c r="J9" i="1" s="1"/>
  <c r="H8" i="1"/>
  <c r="M8" i="1" s="1"/>
  <c r="E8" i="1"/>
  <c r="J8" i="1" s="1"/>
  <c r="H7" i="1"/>
  <c r="M7" i="1" s="1"/>
  <c r="E7" i="1"/>
  <c r="J7" i="1" s="1"/>
  <c r="M12" i="42" l="1"/>
  <c r="W31" i="42"/>
  <c r="R34" i="45"/>
  <c r="R11" i="45"/>
  <c r="W12" i="45"/>
  <c r="M13" i="45"/>
  <c r="R15" i="45"/>
  <c r="R16" i="45"/>
  <c r="R38" i="42"/>
  <c r="W33" i="45"/>
  <c r="M14" i="45"/>
  <c r="H13" i="1"/>
  <c r="M13" i="1" s="1"/>
  <c r="M15" i="45"/>
  <c r="W35" i="45"/>
  <c r="J17" i="45"/>
  <c r="M19" i="45"/>
  <c r="R19" i="45"/>
  <c r="R20" i="45"/>
  <c r="W7" i="42"/>
  <c r="W20" i="45"/>
  <c r="W37" i="45"/>
  <c r="R9" i="42"/>
  <c r="W21" i="45"/>
  <c r="M7" i="45"/>
  <c r="M22" i="45"/>
  <c r="R12" i="45"/>
  <c r="R14" i="42"/>
  <c r="R7" i="45"/>
  <c r="M23" i="45"/>
  <c r="W18" i="42"/>
  <c r="R8" i="45"/>
  <c r="W29" i="45"/>
  <c r="M21" i="42"/>
  <c r="W8" i="45"/>
  <c r="M30" i="45"/>
  <c r="W22" i="42"/>
  <c r="W30" i="45"/>
  <c r="R29" i="42"/>
  <c r="W9" i="45"/>
  <c r="R31" i="45"/>
  <c r="W45" i="45"/>
  <c r="O38" i="45"/>
  <c r="T29" i="42"/>
  <c r="O31" i="42"/>
  <c r="J28" i="45"/>
  <c r="T46" i="42"/>
  <c r="E18" i="1"/>
  <c r="J18" i="1" s="1"/>
  <c r="T31" i="42"/>
  <c r="T31" i="45"/>
  <c r="O10" i="42"/>
  <c r="O10" i="45"/>
  <c r="J10" i="45"/>
  <c r="J10" i="42"/>
  <c r="T10" i="42"/>
  <c r="T10" i="45"/>
  <c r="T22" i="45"/>
  <c r="O17" i="45"/>
  <c r="O12" i="42"/>
  <c r="T23" i="45"/>
  <c r="O18" i="45"/>
  <c r="J12" i="45"/>
  <c r="T18" i="45"/>
  <c r="O28" i="45"/>
  <c r="T11" i="45"/>
  <c r="T16" i="42"/>
  <c r="O29" i="45"/>
  <c r="O46" i="42"/>
  <c r="J13" i="45"/>
  <c r="T19" i="45"/>
  <c r="J19" i="42"/>
  <c r="T7" i="45"/>
  <c r="J20" i="45"/>
  <c r="O13" i="45"/>
  <c r="O30" i="45"/>
  <c r="T30" i="45"/>
  <c r="O14" i="45"/>
  <c r="O23" i="42"/>
  <c r="J21" i="45"/>
  <c r="J31" i="45"/>
  <c r="T37" i="45"/>
  <c r="O9" i="45"/>
  <c r="J14" i="42"/>
  <c r="T35" i="42"/>
  <c r="W39" i="42"/>
  <c r="W38" i="45"/>
  <c r="R28" i="42"/>
  <c r="J46" i="42"/>
  <c r="J45" i="45"/>
  <c r="O11" i="42"/>
  <c r="M20" i="42"/>
  <c r="T28" i="42"/>
  <c r="T15" i="45"/>
  <c r="J7" i="42"/>
  <c r="W15" i="42"/>
  <c r="O20" i="42"/>
  <c r="W34" i="42"/>
  <c r="J16" i="42"/>
  <c r="W28" i="42"/>
  <c r="R39" i="42"/>
  <c r="W19" i="45"/>
  <c r="J29" i="42"/>
  <c r="O7" i="42"/>
  <c r="M16" i="42"/>
  <c r="T20" i="42"/>
  <c r="J9" i="45"/>
  <c r="M11" i="42"/>
  <c r="W11" i="42"/>
  <c r="M9" i="45"/>
  <c r="T8" i="42"/>
  <c r="R17" i="42"/>
  <c r="J22" i="42"/>
  <c r="W17" i="42"/>
  <c r="O22" i="42"/>
  <c r="R13" i="45"/>
  <c r="T34" i="45"/>
  <c r="J18" i="42"/>
  <c r="T13" i="45"/>
  <c r="T17" i="45"/>
  <c r="O16" i="42"/>
  <c r="R22" i="42"/>
  <c r="M18" i="42"/>
  <c r="M46" i="42"/>
  <c r="W13" i="45"/>
  <c r="M31" i="42"/>
  <c r="M29" i="42"/>
  <c r="M10" i="1"/>
  <c r="W37" i="42"/>
  <c r="J11" i="45"/>
  <c r="T9" i="42"/>
  <c r="R18" i="42"/>
  <c r="J23" i="42"/>
  <c r="R46" i="42"/>
  <c r="E28" i="1"/>
  <c r="J28" i="1" s="1"/>
  <c r="R30" i="45"/>
  <c r="T36" i="42"/>
  <c r="T38" i="45"/>
  <c r="W10" i="42"/>
  <c r="O15" i="42"/>
  <c r="M28" i="42"/>
  <c r="O34" i="42"/>
  <c r="J8" i="42"/>
  <c r="M10" i="42"/>
  <c r="T14" i="42"/>
  <c r="W16" i="42"/>
  <c r="O21" i="42"/>
  <c r="R23" i="42"/>
  <c r="O33" i="42"/>
  <c r="H18" i="1"/>
  <c r="M18" i="1" s="1"/>
  <c r="M8" i="42"/>
  <c r="T12" i="42"/>
  <c r="W14" i="42"/>
  <c r="O19" i="42"/>
  <c r="R21" i="42"/>
  <c r="J30" i="42"/>
  <c r="R33" i="42"/>
  <c r="R10" i="42"/>
  <c r="J15" i="42"/>
  <c r="W23" i="42"/>
  <c r="T33" i="42"/>
  <c r="M16" i="1"/>
  <c r="O8" i="42"/>
  <c r="M17" i="42"/>
  <c r="T21" i="42"/>
  <c r="J17" i="1"/>
  <c r="E13" i="1"/>
  <c r="J13" i="1" s="1"/>
  <c r="H28" i="1"/>
  <c r="M28" i="1" s="1"/>
  <c r="S60" i="2" l="1"/>
  <c r="S59" i="2"/>
  <c r="T58" i="2"/>
  <c r="S58" i="2"/>
  <c r="S57" i="2"/>
  <c r="K40" i="46" l="1"/>
  <c r="J40" i="46"/>
  <c r="V39" i="46"/>
  <c r="S39" i="46"/>
  <c r="Q39" i="46"/>
  <c r="N39" i="46"/>
  <c r="N38" i="46"/>
  <c r="L38" i="46"/>
  <c r="G38" i="46"/>
  <c r="S37" i="46"/>
  <c r="Q37" i="46"/>
  <c r="M37" i="46"/>
  <c r="M40" i="46" s="1"/>
  <c r="G37" i="46"/>
  <c r="S36" i="46"/>
  <c r="Q36" i="46"/>
  <c r="N36" i="46"/>
  <c r="G36" i="46"/>
  <c r="S35" i="46"/>
  <c r="Q35" i="46"/>
  <c r="N35" i="46"/>
  <c r="L35" i="46"/>
  <c r="G35" i="46"/>
  <c r="N34" i="46"/>
  <c r="L34" i="46"/>
  <c r="G34" i="46"/>
  <c r="N33" i="46"/>
  <c r="L33" i="46"/>
  <c r="G33" i="46"/>
  <c r="G31" i="46"/>
  <c r="G30" i="46"/>
  <c r="G29" i="46"/>
  <c r="AG26" i="46"/>
  <c r="G26" i="46"/>
  <c r="G25" i="46"/>
  <c r="AG24" i="46"/>
  <c r="G24" i="46"/>
  <c r="G23" i="46"/>
  <c r="G22" i="46"/>
  <c r="G21" i="46"/>
  <c r="G20" i="46"/>
  <c r="G19" i="46"/>
  <c r="AG18" i="46"/>
  <c r="G18" i="46"/>
  <c r="G17" i="46"/>
  <c r="G16" i="46"/>
  <c r="G15" i="46"/>
  <c r="AG14" i="46"/>
  <c r="G14" i="46"/>
  <c r="AG13" i="46"/>
  <c r="G13" i="46"/>
  <c r="G12" i="46"/>
  <c r="G11" i="46"/>
  <c r="G10" i="46"/>
  <c r="G9" i="46"/>
  <c r="G8" i="46"/>
  <c r="G7" i="46"/>
  <c r="K40" i="45"/>
  <c r="J40" i="45"/>
  <c r="S39" i="45"/>
  <c r="N39" i="45"/>
  <c r="N38" i="45"/>
  <c r="L38" i="45"/>
  <c r="M37" i="45"/>
  <c r="N37" i="45" s="1"/>
  <c r="S36" i="45"/>
  <c r="N36" i="45"/>
  <c r="N35" i="45"/>
  <c r="L35" i="45"/>
  <c r="N34" i="45"/>
  <c r="L34" i="45"/>
  <c r="N33" i="45"/>
  <c r="L33" i="45"/>
  <c r="AG26" i="45"/>
  <c r="AF26" i="45"/>
  <c r="AE26" i="45"/>
  <c r="AG23" i="45"/>
  <c r="AE23" i="45"/>
  <c r="AG22" i="45"/>
  <c r="AF22" i="45"/>
  <c r="AG21" i="45"/>
  <c r="AG15" i="45"/>
  <c r="AE14" i="45"/>
  <c r="AG11" i="45"/>
  <c r="AF11" i="45"/>
  <c r="AE11" i="45"/>
  <c r="AE10" i="45"/>
  <c r="AG10" i="45"/>
  <c r="AG9" i="45"/>
  <c r="AF9" i="45"/>
  <c r="AE9" i="45"/>
  <c r="AG8" i="45"/>
  <c r="AF8" i="45"/>
  <c r="AG7" i="45"/>
  <c r="J32" i="46" l="1"/>
  <c r="AF14" i="45"/>
  <c r="AE15" i="45"/>
  <c r="AE12" i="45"/>
  <c r="AG24" i="45"/>
  <c r="AG16" i="45"/>
  <c r="AG14" i="45"/>
  <c r="AE7" i="45"/>
  <c r="AF7" i="45"/>
  <c r="AE16" i="45"/>
  <c r="AF15" i="45"/>
  <c r="AE13" i="45"/>
  <c r="AF13" i="45"/>
  <c r="AE22" i="45"/>
  <c r="AF25" i="45"/>
  <c r="AE21" i="45"/>
  <c r="AF21" i="45"/>
  <c r="AE24" i="45"/>
  <c r="AF24" i="45"/>
  <c r="AE20" i="45"/>
  <c r="AE25" i="45"/>
  <c r="AF10" i="45"/>
  <c r="AF16" i="45"/>
  <c r="AF27" i="45"/>
  <c r="AF23" i="45"/>
  <c r="AE17" i="45"/>
  <c r="AG17" i="46"/>
  <c r="AG22" i="46"/>
  <c r="AG16" i="46"/>
  <c r="AG21" i="46"/>
  <c r="AG25" i="46"/>
  <c r="AG10" i="46"/>
  <c r="Q35" i="45"/>
  <c r="S35" i="45"/>
  <c r="V39" i="45"/>
  <c r="AE19" i="45"/>
  <c r="AF19" i="45"/>
  <c r="AG13" i="45"/>
  <c r="AE8" i="45"/>
  <c r="AG19" i="45"/>
  <c r="AG27" i="45"/>
  <c r="AG25" i="45"/>
  <c r="AF20" i="45"/>
  <c r="AE27" i="45"/>
  <c r="AE18" i="45"/>
  <c r="AG20" i="45"/>
  <c r="AG17" i="45"/>
  <c r="AF12" i="45"/>
  <c r="AF18" i="45"/>
  <c r="AG12" i="45"/>
  <c r="AG18" i="45"/>
  <c r="AF17" i="45"/>
  <c r="R40" i="46"/>
  <c r="AG19" i="46"/>
  <c r="AG7" i="46"/>
  <c r="M32" i="46"/>
  <c r="AG9" i="46"/>
  <c r="AG23" i="46"/>
  <c r="R24" i="46"/>
  <c r="AG11" i="46"/>
  <c r="M24" i="46"/>
  <c r="R26" i="46"/>
  <c r="O32" i="46"/>
  <c r="AG8" i="46"/>
  <c r="R32" i="46"/>
  <c r="W40" i="46"/>
  <c r="W24" i="46"/>
  <c r="AG20" i="46"/>
  <c r="W26" i="46"/>
  <c r="T32" i="46"/>
  <c r="R25" i="46"/>
  <c r="AG15" i="46"/>
  <c r="W32" i="46"/>
  <c r="AG27" i="46"/>
  <c r="M25" i="46"/>
  <c r="AG12" i="46"/>
  <c r="W25" i="46"/>
  <c r="M26" i="46"/>
  <c r="O40" i="46"/>
  <c r="O26" i="46"/>
  <c r="T40" i="46"/>
  <c r="J26" i="46"/>
  <c r="T24" i="46"/>
  <c r="O25" i="46"/>
  <c r="O24" i="46"/>
  <c r="T25" i="46"/>
  <c r="J25" i="46"/>
  <c r="T26" i="46"/>
  <c r="J24" i="46"/>
  <c r="N40" i="46"/>
  <c r="N37" i="46"/>
  <c r="L40" i="46"/>
  <c r="Q37" i="45"/>
  <c r="Q36" i="45"/>
  <c r="Q39" i="45"/>
  <c r="L40" i="45"/>
  <c r="M40" i="45"/>
  <c r="N40" i="45" s="1"/>
  <c r="AM37" i="29"/>
  <c r="T59" i="2"/>
  <c r="T57" i="2"/>
  <c r="T51" i="2"/>
  <c r="W27" i="46" l="1"/>
  <c r="W42" i="46" s="1"/>
  <c r="W46" i="46" s="1"/>
  <c r="O27" i="46"/>
  <c r="O42" i="46" s="1"/>
  <c r="O46" i="46" s="1"/>
  <c r="S37" i="45"/>
  <c r="T53" i="2"/>
  <c r="T56" i="2"/>
  <c r="T60" i="2"/>
  <c r="AL16" i="42"/>
  <c r="AL26" i="42"/>
  <c r="AL15" i="42"/>
  <c r="AL25" i="42"/>
  <c r="AK15" i="42"/>
  <c r="AK25" i="42"/>
  <c r="AL8" i="42"/>
  <c r="AL18" i="42"/>
  <c r="AK16" i="42"/>
  <c r="AK26" i="42"/>
  <c r="AL12" i="42"/>
  <c r="AK9" i="42"/>
  <c r="AK12" i="42"/>
  <c r="AL14" i="42"/>
  <c r="AL24" i="42"/>
  <c r="AL27" i="42"/>
  <c r="AK8" i="42"/>
  <c r="AK18" i="42"/>
  <c r="AK10" i="42"/>
  <c r="AL13" i="42"/>
  <c r="AK14" i="42"/>
  <c r="AL7" i="42"/>
  <c r="AL11" i="42"/>
  <c r="AK17" i="42"/>
  <c r="AK24" i="42"/>
  <c r="AL17" i="42"/>
  <c r="AL10" i="42"/>
  <c r="AL9" i="42"/>
  <c r="AK7" i="42"/>
  <c r="AK27" i="42"/>
  <c r="AK11" i="42"/>
  <c r="AK13" i="42"/>
  <c r="M27" i="46"/>
  <c r="M46" i="46" s="1"/>
  <c r="J27" i="46"/>
  <c r="J46" i="46" s="1"/>
  <c r="R27" i="46"/>
  <c r="R42" i="46" s="1"/>
  <c r="R46" i="46" s="1"/>
  <c r="T27" i="46"/>
  <c r="T42" i="46" s="1"/>
  <c r="T46" i="46" s="1"/>
  <c r="T50" i="45"/>
  <c r="Y32" i="43"/>
  <c r="Y31" i="43"/>
  <c r="Y30" i="43"/>
  <c r="Y29" i="43"/>
  <c r="Y28" i="43"/>
  <c r="Y27" i="43"/>
  <c r="Y20" i="43"/>
  <c r="Y17" i="43"/>
  <c r="Y12" i="43"/>
  <c r="Y11" i="43" s="1"/>
  <c r="M26" i="45" l="1"/>
  <c r="R32" i="45"/>
  <c r="W32" i="45"/>
  <c r="R26" i="45"/>
  <c r="W25" i="45"/>
  <c r="R40" i="45"/>
  <c r="W24" i="45"/>
  <c r="W40" i="45"/>
  <c r="M25" i="45"/>
  <c r="R24" i="45"/>
  <c r="M32" i="45"/>
  <c r="R25" i="45"/>
  <c r="W26" i="45"/>
  <c r="M24" i="45"/>
  <c r="M27" i="45" s="1"/>
  <c r="M46" i="45" s="1"/>
  <c r="J26" i="45"/>
  <c r="T61" i="2"/>
  <c r="T25" i="45"/>
  <c r="O25" i="45"/>
  <c r="J25" i="45"/>
  <c r="T24" i="45"/>
  <c r="T40" i="45"/>
  <c r="T52" i="45"/>
  <c r="T26" i="45"/>
  <c r="J32" i="45"/>
  <c r="O26" i="45"/>
  <c r="J24" i="45"/>
  <c r="O32" i="45"/>
  <c r="O24" i="45"/>
  <c r="T32" i="45"/>
  <c r="T51" i="45" s="1"/>
  <c r="O40" i="45"/>
  <c r="T43" i="46"/>
  <c r="Y16" i="43"/>
  <c r="Y9" i="43"/>
  <c r="Y14" i="43"/>
  <c r="T27" i="45" l="1"/>
  <c r="T42" i="45" s="1"/>
  <c r="O27" i="45"/>
  <c r="J27" i="45"/>
  <c r="J46" i="45" s="1"/>
  <c r="R27" i="45"/>
  <c r="R42" i="45" s="1"/>
  <c r="R46" i="45" s="1"/>
  <c r="W27" i="45"/>
  <c r="W42" i="45" s="1"/>
  <c r="W46" i="45" s="1"/>
  <c r="O42" i="45"/>
  <c r="O46" i="45" s="1"/>
  <c r="AA19" i="43"/>
  <c r="AK37" i="29"/>
  <c r="I36" i="29"/>
  <c r="N36" i="29" s="1"/>
  <c r="F36" i="29"/>
  <c r="K36" i="29" s="1"/>
  <c r="I25" i="29"/>
  <c r="N25" i="29" s="1"/>
  <c r="F25" i="29"/>
  <c r="K25" i="29" s="1"/>
  <c r="I24" i="29"/>
  <c r="N24" i="29" s="1"/>
  <c r="F24" i="29"/>
  <c r="K24" i="29" s="1"/>
  <c r="I16" i="29"/>
  <c r="N16" i="29" s="1"/>
  <c r="F16" i="29"/>
  <c r="K16" i="29" s="1"/>
  <c r="I15" i="29"/>
  <c r="N15" i="29" s="1"/>
  <c r="F15" i="29"/>
  <c r="K15" i="29" s="1"/>
  <c r="I13" i="29"/>
  <c r="N13" i="29" s="1"/>
  <c r="F13" i="29"/>
  <c r="K13" i="29" s="1"/>
  <c r="I12" i="29"/>
  <c r="N12" i="29" s="1"/>
  <c r="F12" i="29"/>
  <c r="K12" i="29" s="1"/>
  <c r="I10" i="29"/>
  <c r="N10" i="29" s="1"/>
  <c r="F10" i="29"/>
  <c r="K10" i="29" s="1"/>
  <c r="T49" i="45" l="1"/>
  <c r="T53" i="45" s="1"/>
  <c r="T43" i="45"/>
  <c r="T46" i="45"/>
  <c r="I11" i="29"/>
  <c r="O10" i="29"/>
  <c r="I17" i="29"/>
  <c r="AA22" i="43"/>
  <c r="Z28" i="43"/>
  <c r="AA28" i="43" s="1"/>
  <c r="AA24" i="43"/>
  <c r="Z30" i="43"/>
  <c r="AA30" i="43" s="1"/>
  <c r="AA21" i="43"/>
  <c r="Z27" i="43"/>
  <c r="AA27" i="43" s="1"/>
  <c r="Z20" i="43"/>
  <c r="AA20" i="43" s="1"/>
  <c r="AA18" i="43"/>
  <c r="Z29" i="43"/>
  <c r="AA29" i="43" s="1"/>
  <c r="AA23" i="43"/>
  <c r="AA25" i="43"/>
  <c r="Z31" i="43"/>
  <c r="AA31" i="43" s="1"/>
  <c r="AA10" i="43"/>
  <c r="Z32" i="43"/>
  <c r="AA32" i="43" s="1"/>
  <c r="AA26" i="43"/>
  <c r="AA15" i="43"/>
  <c r="Z16" i="43"/>
  <c r="AA16" i="43" s="1"/>
  <c r="Z12" i="43"/>
  <c r="AA12" i="43" s="1"/>
  <c r="AA8" i="43"/>
  <c r="Z17" i="43"/>
  <c r="AA17" i="43" s="1"/>
  <c r="Z14" i="43"/>
  <c r="AA14" i="43" s="1"/>
  <c r="AA13" i="43"/>
  <c r="I18" i="29"/>
  <c r="I19" i="29" s="1"/>
  <c r="F18" i="29"/>
  <c r="F19" i="29" s="1"/>
  <c r="K18" i="29"/>
  <c r="K19" i="29" s="1"/>
  <c r="I26" i="29"/>
  <c r="O12" i="29"/>
  <c r="N17" i="29"/>
  <c r="F17" i="29"/>
  <c r="J12" i="29"/>
  <c r="J15" i="29"/>
  <c r="F20" i="29"/>
  <c r="F21" i="29" s="1"/>
  <c r="I20" i="29"/>
  <c r="O15" i="29"/>
  <c r="K17" i="29"/>
  <c r="G18" i="29"/>
  <c r="G19" i="29" s="1"/>
  <c r="K11" i="29"/>
  <c r="K26" i="29"/>
  <c r="F14" i="29"/>
  <c r="F11" i="29"/>
  <c r="K14" i="29"/>
  <c r="N26" i="29"/>
  <c r="F26" i="29"/>
  <c r="H10" i="29"/>
  <c r="I14" i="29"/>
  <c r="J10" i="29"/>
  <c r="G11" i="29"/>
  <c r="H15" i="29"/>
  <c r="L18" i="29"/>
  <c r="H12" i="29"/>
  <c r="N18" i="29"/>
  <c r="N19" i="29" s="1"/>
  <c r="M10" i="29"/>
  <c r="L11" i="29"/>
  <c r="N14" i="29"/>
  <c r="M15" i="29"/>
  <c r="M12" i="29"/>
  <c r="H19" i="29" l="1"/>
  <c r="Z9" i="43"/>
  <c r="AA9" i="43" s="1"/>
  <c r="I22" i="29"/>
  <c r="I27" i="29" s="1"/>
  <c r="I38" i="29" s="1"/>
  <c r="J19" i="29"/>
  <c r="M18" i="29"/>
  <c r="F22" i="29"/>
  <c r="H18" i="29"/>
  <c r="Z11" i="43"/>
  <c r="AA11" i="43" s="1"/>
  <c r="N11" i="29"/>
  <c r="O11" i="29" s="1"/>
  <c r="N20" i="29"/>
  <c r="N21" i="29" s="1"/>
  <c r="K22" i="29"/>
  <c r="K27" i="29" s="1"/>
  <c r="K28" i="29" s="1"/>
  <c r="N22" i="29"/>
  <c r="N27" i="29" s="1"/>
  <c r="N28" i="29" s="1"/>
  <c r="I21" i="29"/>
  <c r="L19" i="29"/>
  <c r="O19" i="29" s="1"/>
  <c r="J18" i="29"/>
  <c r="K20" i="29"/>
  <c r="K21" i="29" s="1"/>
  <c r="O18" i="29"/>
  <c r="J11" i="29"/>
  <c r="H11" i="29"/>
  <c r="M11" i="29"/>
  <c r="K23" i="29" l="1"/>
  <c r="F27" i="29"/>
  <c r="F38" i="29" s="1"/>
  <c r="F23" i="29"/>
  <c r="I23" i="29"/>
  <c r="K38" i="29"/>
  <c r="K37" i="29"/>
  <c r="N23" i="29"/>
  <c r="I28" i="29"/>
  <c r="I37" i="29"/>
  <c r="F37" i="29"/>
  <c r="M19" i="29"/>
  <c r="N37" i="29"/>
  <c r="N38" i="29"/>
  <c r="F28" i="29" l="1"/>
  <c r="AL37" i="29" l="1"/>
  <c r="G39" i="2" l="1"/>
  <c r="G38" i="2"/>
  <c r="G37" i="2"/>
  <c r="G36" i="2"/>
  <c r="G35" i="2"/>
  <c r="G34" i="2"/>
  <c r="G33" i="2"/>
  <c r="G31" i="2"/>
  <c r="G30" i="2"/>
  <c r="G29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AB21" i="1" l="1"/>
  <c r="AA21" i="1"/>
  <c r="AA20" i="1"/>
  <c r="AA41" i="43" l="1"/>
  <c r="AA40" i="43"/>
  <c r="AA39" i="43"/>
  <c r="AA38" i="43"/>
  <c r="AA37" i="43"/>
  <c r="AA36" i="43"/>
  <c r="AA35" i="43"/>
  <c r="AA39" i="41" l="1"/>
  <c r="AA37" i="41"/>
  <c r="AA36" i="41" l="1"/>
  <c r="AA40" i="41"/>
  <c r="AA38" i="41"/>
  <c r="AA35" i="41"/>
  <c r="AA41" i="41" l="1"/>
  <c r="Z16" i="41" l="1"/>
  <c r="AA16" i="41" s="1"/>
  <c r="AA10" i="41"/>
  <c r="AA15" i="41" l="1"/>
  <c r="Z17" i="41"/>
  <c r="AA17" i="41" s="1"/>
  <c r="AA13" i="41"/>
  <c r="AA22" i="41"/>
  <c r="Z28" i="41"/>
  <c r="AA28" i="41" s="1"/>
  <c r="AA25" i="41"/>
  <c r="Z31" i="41"/>
  <c r="AA31" i="41" s="1"/>
  <c r="AA23" i="41"/>
  <c r="Z29" i="41"/>
  <c r="AA29" i="41" s="1"/>
  <c r="AA26" i="41"/>
  <c r="Z32" i="41"/>
  <c r="AA32" i="41" s="1"/>
  <c r="AA21" i="41"/>
  <c r="Z27" i="41"/>
  <c r="AA27" i="41" s="1"/>
  <c r="AA24" i="41"/>
  <c r="Z30" i="41"/>
  <c r="AA30" i="41" s="1"/>
  <c r="Z12" i="41" l="1"/>
  <c r="Z9" i="41" s="1"/>
  <c r="AA9" i="41" s="1"/>
  <c r="AA8" i="41"/>
  <c r="Z14" i="41"/>
  <c r="AA14" i="41" s="1"/>
  <c r="AA12" i="41" l="1"/>
  <c r="Z11" i="41"/>
  <c r="AA11" i="41" s="1"/>
  <c r="AA19" i="41" l="1"/>
  <c r="Z20" i="41" l="1"/>
  <c r="AA20" i="41" s="1"/>
  <c r="AA18" i="41"/>
  <c r="AB20" i="1" l="1"/>
  <c r="AE20" i="1"/>
  <c r="AB19" i="1"/>
  <c r="AE19" i="1"/>
  <c r="AE21" i="1"/>
  <c r="AC40" i="43"/>
  <c r="AC36" i="43"/>
  <c r="AC37" i="43"/>
  <c r="AC35" i="43"/>
  <c r="AC38" i="43"/>
  <c r="AC39" i="43"/>
  <c r="AC15" i="41"/>
  <c r="AC8" i="41"/>
  <c r="AC26" i="41"/>
  <c r="AC10" i="41"/>
  <c r="AC19" i="41"/>
  <c r="AC24" i="41"/>
  <c r="AC18" i="41"/>
  <c r="AC13" i="41"/>
  <c r="AC21" i="41"/>
  <c r="AC25" i="41"/>
  <c r="AC22" i="41"/>
  <c r="AC23" i="41"/>
  <c r="AM36" i="42"/>
  <c r="AC22" i="43" l="1"/>
  <c r="AC15" i="43"/>
  <c r="AC8" i="43"/>
  <c r="AC23" i="43"/>
  <c r="AC25" i="43"/>
  <c r="AC21" i="43"/>
  <c r="AC24" i="43"/>
  <c r="AC13" i="43"/>
  <c r="AC18" i="43"/>
  <c r="AC19" i="43"/>
  <c r="AC10" i="43"/>
  <c r="AC26" i="43"/>
  <c r="AK43" i="42"/>
  <c r="AJ43" i="42"/>
  <c r="AI43" i="42"/>
  <c r="S60" i="42" l="1"/>
  <c r="S59" i="42"/>
  <c r="S58" i="42"/>
  <c r="S57" i="42"/>
  <c r="M32" i="43" l="1"/>
  <c r="N31" i="43"/>
  <c r="M31" i="43"/>
  <c r="M30" i="43"/>
  <c r="N29" i="43"/>
  <c r="M29" i="43"/>
  <c r="N28" i="43"/>
  <c r="M28" i="43"/>
  <c r="N27" i="43"/>
  <c r="M27" i="43"/>
  <c r="N32" i="43"/>
  <c r="O32" i="43" s="1"/>
  <c r="O25" i="43"/>
  <c r="O24" i="43"/>
  <c r="O23" i="43"/>
  <c r="O22" i="43"/>
  <c r="O21" i="43"/>
  <c r="N20" i="43"/>
  <c r="N16" i="43"/>
  <c r="N17" i="43"/>
  <c r="N12" i="43"/>
  <c r="O27" i="43" l="1"/>
  <c r="O29" i="43"/>
  <c r="O31" i="43"/>
  <c r="O28" i="43"/>
  <c r="N11" i="43"/>
  <c r="N9" i="43"/>
  <c r="O26" i="43"/>
  <c r="N14" i="43"/>
  <c r="N30" i="43"/>
  <c r="O30" i="43" s="1"/>
  <c r="AJ37" i="29" l="1"/>
  <c r="P32" i="43" l="1"/>
  <c r="P31" i="43"/>
  <c r="P30" i="43"/>
  <c r="P29" i="43"/>
  <c r="P28" i="43"/>
  <c r="P27" i="43"/>
  <c r="O35" i="43" l="1"/>
  <c r="O37" i="43" l="1"/>
  <c r="N41" i="43"/>
  <c r="O39" i="43"/>
  <c r="O36" i="43"/>
  <c r="O38" i="43"/>
  <c r="O40" i="43"/>
  <c r="M41" i="43"/>
  <c r="N42" i="43" l="1"/>
  <c r="O41" i="43"/>
  <c r="M15" i="41" l="1"/>
  <c r="M15" i="43" s="1"/>
  <c r="M13" i="41"/>
  <c r="M13" i="43" s="1"/>
  <c r="M10" i="41"/>
  <c r="M10" i="43" s="1"/>
  <c r="M8" i="41"/>
  <c r="M8" i="43" s="1"/>
  <c r="M18" i="41" l="1"/>
  <c r="M18" i="43" s="1"/>
  <c r="M19" i="41" l="1"/>
  <c r="M19" i="43" s="1"/>
  <c r="G18" i="41" l="1"/>
  <c r="G18" i="43" s="1"/>
  <c r="O30" i="41" l="1"/>
  <c r="O29" i="41"/>
  <c r="O28" i="41"/>
  <c r="O32" i="41"/>
  <c r="O31" i="41"/>
  <c r="O27" i="41"/>
  <c r="O26" i="41"/>
  <c r="O25" i="41"/>
  <c r="O24" i="41"/>
  <c r="O23" i="41"/>
  <c r="O22" i="41"/>
  <c r="O21" i="41"/>
  <c r="O19" i="41"/>
  <c r="M20" i="41"/>
  <c r="M16" i="41"/>
  <c r="M17" i="41"/>
  <c r="M14" i="41" l="1"/>
  <c r="O14" i="41" s="1"/>
  <c r="O8" i="41"/>
  <c r="O13" i="41"/>
  <c r="O35" i="41"/>
  <c r="O17" i="41"/>
  <c r="O20" i="41"/>
  <c r="O16" i="41"/>
  <c r="O39" i="41"/>
  <c r="O36" i="41"/>
  <c r="O15" i="41"/>
  <c r="O37" i="41"/>
  <c r="O38" i="41"/>
  <c r="O10" i="41"/>
  <c r="O40" i="41"/>
  <c r="M12" i="41"/>
  <c r="M11" i="41" s="1"/>
  <c r="O18" i="41"/>
  <c r="O12" i="41" l="1"/>
  <c r="M9" i="41"/>
  <c r="O9" i="41" s="1"/>
  <c r="O41" i="41"/>
  <c r="O11" i="41"/>
  <c r="AI37" i="29" l="1"/>
  <c r="AH37" i="29" l="1"/>
  <c r="AG37" i="29" l="1"/>
  <c r="AA24" i="1" l="1"/>
  <c r="AA22" i="1"/>
  <c r="AA18" i="1"/>
  <c r="AA17" i="1"/>
  <c r="AA16" i="1"/>
  <c r="AA15" i="1"/>
  <c r="AA13" i="1"/>
  <c r="AA12" i="1"/>
  <c r="AA11" i="1"/>
  <c r="AA10" i="1"/>
  <c r="AA9" i="1"/>
  <c r="AA8" i="1"/>
  <c r="AA7" i="1"/>
  <c r="AG5" i="1"/>
  <c r="AK6" i="1"/>
  <c r="AJ6" i="1"/>
  <c r="AI6" i="1"/>
  <c r="AH6" i="1"/>
  <c r="AG6" i="1"/>
  <c r="AF6" i="1"/>
  <c r="AE6" i="1"/>
  <c r="AD6" i="1"/>
  <c r="AC6" i="1"/>
  <c r="AB6" i="1"/>
  <c r="AB5" i="1"/>
  <c r="AF32" i="43" l="1"/>
  <c r="AF37" i="29" l="1"/>
  <c r="AG26" i="42"/>
  <c r="AG25" i="42"/>
  <c r="AG23" i="42"/>
  <c r="AG21" i="42"/>
  <c r="AG20" i="42"/>
  <c r="AG18" i="42"/>
  <c r="AG16" i="42"/>
  <c r="AG15" i="42"/>
  <c r="AG14" i="42"/>
  <c r="AG11" i="42"/>
  <c r="AG8" i="42"/>
  <c r="K41" i="42"/>
  <c r="J41" i="42"/>
  <c r="N40" i="42"/>
  <c r="N39" i="42"/>
  <c r="L39" i="42"/>
  <c r="M38" i="42"/>
  <c r="N38" i="42" s="1"/>
  <c r="N37" i="42"/>
  <c r="N36" i="42"/>
  <c r="N35" i="42"/>
  <c r="L35" i="42"/>
  <c r="N34" i="42"/>
  <c r="L34" i="42"/>
  <c r="N33" i="42"/>
  <c r="L33" i="42"/>
  <c r="AG9" i="42"/>
  <c r="AG7" i="42" l="1"/>
  <c r="AG17" i="42"/>
  <c r="AG27" i="42"/>
  <c r="AG24" i="42"/>
  <c r="AG12" i="42"/>
  <c r="AG22" i="42"/>
  <c r="AG19" i="42"/>
  <c r="AG13" i="42"/>
  <c r="AG10" i="42"/>
  <c r="L41" i="42"/>
  <c r="M41" i="42"/>
  <c r="N41" i="42" s="1"/>
  <c r="AE12" i="1" l="1"/>
  <c r="AE11" i="1"/>
  <c r="AE10" i="1"/>
  <c r="AE9" i="1"/>
  <c r="AE8" i="1"/>
  <c r="AE7" i="1"/>
  <c r="AE13" i="1" l="1"/>
  <c r="AE14" i="1" s="1"/>
  <c r="S19" i="41"/>
  <c r="S19" i="43" s="1"/>
  <c r="S18" i="41"/>
  <c r="S18" i="43" s="1"/>
  <c r="AE40" i="41" l="1"/>
  <c r="AE40" i="43" s="1"/>
  <c r="AE39" i="41"/>
  <c r="AE39" i="43" s="1"/>
  <c r="AE38" i="41"/>
  <c r="AE38" i="43" s="1"/>
  <c r="AE37" i="41"/>
  <c r="AE37" i="43" s="1"/>
  <c r="AE36" i="41"/>
  <c r="AE36" i="43" s="1"/>
  <c r="AE35" i="41"/>
  <c r="AE35" i="43" s="1"/>
  <c r="AE19" i="41"/>
  <c r="AE19" i="43" s="1"/>
  <c r="AE18" i="41"/>
  <c r="AE18" i="43" s="1"/>
  <c r="AE26" i="41" l="1"/>
  <c r="AE26" i="43" s="1"/>
  <c r="AE25" i="41"/>
  <c r="AE25" i="43" s="1"/>
  <c r="AE24" i="41"/>
  <c r="AE24" i="43" s="1"/>
  <c r="AE23" i="41"/>
  <c r="AE23" i="43" s="1"/>
  <c r="AE22" i="41"/>
  <c r="AE22" i="43" s="1"/>
  <c r="AE21" i="41"/>
  <c r="AE21" i="43" s="1"/>
  <c r="AE15" i="41"/>
  <c r="AE15" i="43" s="1"/>
  <c r="AE13" i="41"/>
  <c r="AE13" i="43" s="1"/>
  <c r="AE10" i="41"/>
  <c r="AE10" i="43" s="1"/>
  <c r="AE8" i="41"/>
  <c r="AE8" i="43" s="1"/>
  <c r="V19" i="41" l="1"/>
  <c r="V19" i="43" s="1"/>
  <c r="X19" i="41" l="1"/>
  <c r="AB19" i="41"/>
  <c r="V18" i="41"/>
  <c r="V18" i="43" s="1"/>
  <c r="X18" i="41" l="1"/>
  <c r="AB18" i="41"/>
  <c r="V40" i="41"/>
  <c r="V40" i="43" s="1"/>
  <c r="S40" i="41"/>
  <c r="S40" i="43" s="1"/>
  <c r="V39" i="41"/>
  <c r="V39" i="43" s="1"/>
  <c r="S39" i="41"/>
  <c r="S39" i="43" s="1"/>
  <c r="V38" i="41"/>
  <c r="V38" i="43" s="1"/>
  <c r="S38" i="41"/>
  <c r="S38" i="43" s="1"/>
  <c r="V37" i="41"/>
  <c r="V37" i="43" s="1"/>
  <c r="S37" i="41"/>
  <c r="S37" i="43" s="1"/>
  <c r="V36" i="41"/>
  <c r="V36" i="43" s="1"/>
  <c r="S36" i="41"/>
  <c r="S36" i="43" s="1"/>
  <c r="V35" i="41"/>
  <c r="V35" i="43" s="1"/>
  <c r="S35" i="41"/>
  <c r="S35" i="43" s="1"/>
  <c r="V32" i="41"/>
  <c r="S32" i="41"/>
  <c r="V31" i="41"/>
  <c r="S31" i="41"/>
  <c r="V30" i="41"/>
  <c r="S30" i="41"/>
  <c r="V29" i="41"/>
  <c r="S29" i="41"/>
  <c r="V28" i="41"/>
  <c r="S28" i="41"/>
  <c r="V27" i="41"/>
  <c r="S27" i="41"/>
  <c r="V26" i="41"/>
  <c r="V26" i="43" s="1"/>
  <c r="S26" i="41"/>
  <c r="S26" i="43" s="1"/>
  <c r="V25" i="41"/>
  <c r="V25" i="43" s="1"/>
  <c r="S25" i="41"/>
  <c r="S25" i="43" s="1"/>
  <c r="V24" i="41"/>
  <c r="V24" i="43" s="1"/>
  <c r="S24" i="41"/>
  <c r="S24" i="43" s="1"/>
  <c r="V23" i="41"/>
  <c r="V23" i="43" s="1"/>
  <c r="S23" i="41"/>
  <c r="S23" i="43" s="1"/>
  <c r="V22" i="41"/>
  <c r="V22" i="43" s="1"/>
  <c r="S22" i="41"/>
  <c r="S22" i="43" s="1"/>
  <c r="V21" i="41"/>
  <c r="V21" i="43" s="1"/>
  <c r="S21" i="41"/>
  <c r="S21" i="43" s="1"/>
  <c r="V15" i="41"/>
  <c r="V15" i="43" s="1"/>
  <c r="S15" i="41"/>
  <c r="S15" i="43" s="1"/>
  <c r="V13" i="41"/>
  <c r="V13" i="43" s="1"/>
  <c r="S13" i="41"/>
  <c r="S13" i="43" s="1"/>
  <c r="V10" i="41"/>
  <c r="V10" i="43" s="1"/>
  <c r="S10" i="41"/>
  <c r="S10" i="43" s="1"/>
  <c r="V8" i="41"/>
  <c r="V8" i="43" s="1"/>
  <c r="S8" i="41"/>
  <c r="S8" i="43" s="1"/>
  <c r="J40" i="41"/>
  <c r="J40" i="43" s="1"/>
  <c r="J39" i="41"/>
  <c r="J39" i="43" s="1"/>
  <c r="J38" i="41"/>
  <c r="J38" i="43" s="1"/>
  <c r="J37" i="41"/>
  <c r="J37" i="43" s="1"/>
  <c r="J36" i="41"/>
  <c r="J36" i="43" s="1"/>
  <c r="J35" i="41"/>
  <c r="J35" i="43" s="1"/>
  <c r="J32" i="41"/>
  <c r="J31" i="41"/>
  <c r="J30" i="41"/>
  <c r="J29" i="41"/>
  <c r="J28" i="41"/>
  <c r="J27" i="41"/>
  <c r="J19" i="41"/>
  <c r="J19" i="43" s="1"/>
  <c r="J18" i="41"/>
  <c r="J18" i="43" s="1"/>
  <c r="J15" i="41"/>
  <c r="J15" i="43" s="1"/>
  <c r="J13" i="41"/>
  <c r="J13" i="43" s="1"/>
  <c r="G40" i="41"/>
  <c r="G40" i="43" s="1"/>
  <c r="G39" i="41"/>
  <c r="G39" i="43" s="1"/>
  <c r="G38" i="41"/>
  <c r="G38" i="43" s="1"/>
  <c r="G37" i="41"/>
  <c r="G37" i="43" s="1"/>
  <c r="G36" i="41"/>
  <c r="G36" i="43" s="1"/>
  <c r="G35" i="41"/>
  <c r="G35" i="43" s="1"/>
  <c r="G32" i="41"/>
  <c r="G31" i="41"/>
  <c r="G30" i="41"/>
  <c r="G29" i="41"/>
  <c r="G28" i="41"/>
  <c r="G27" i="41"/>
  <c r="G19" i="41"/>
  <c r="G19" i="43" s="1"/>
  <c r="G15" i="41"/>
  <c r="G15" i="43" s="1"/>
  <c r="G13" i="41"/>
  <c r="G13" i="43" s="1"/>
  <c r="AB32" i="41" l="1"/>
  <c r="AB27" i="41"/>
  <c r="AB31" i="41"/>
  <c r="AB30" i="41"/>
  <c r="X22" i="41"/>
  <c r="X23" i="41"/>
  <c r="X15" i="41"/>
  <c r="X24" i="41"/>
  <c r="X25" i="41"/>
  <c r="X21" i="41"/>
  <c r="X26" i="41"/>
  <c r="X8" i="41"/>
  <c r="AB28" i="41"/>
  <c r="X10" i="41"/>
  <c r="AB29" i="41"/>
  <c r="X13" i="41"/>
  <c r="X35" i="41"/>
  <c r="X37" i="41"/>
  <c r="X36" i="41"/>
  <c r="X40" i="41"/>
  <c r="X39" i="41"/>
  <c r="X38" i="41"/>
  <c r="AB15" i="41"/>
  <c r="AB22" i="41"/>
  <c r="AB26" i="41"/>
  <c r="AB24" i="41"/>
  <c r="AB25" i="41"/>
  <c r="AB21" i="41"/>
  <c r="AB23" i="41"/>
  <c r="AB8" i="41"/>
  <c r="AB10" i="41"/>
  <c r="AB13" i="41"/>
  <c r="P38" i="41"/>
  <c r="P35" i="41"/>
  <c r="P36" i="41"/>
  <c r="P40" i="41"/>
  <c r="P37" i="41"/>
  <c r="P39" i="41"/>
  <c r="P15" i="41"/>
  <c r="P19" i="41"/>
  <c r="P18" i="41"/>
  <c r="P13" i="41"/>
  <c r="P32" i="41"/>
  <c r="P31" i="41"/>
  <c r="P30" i="41"/>
  <c r="P29" i="41"/>
  <c r="P28" i="41"/>
  <c r="P27" i="41"/>
  <c r="J26" i="41"/>
  <c r="J26" i="43" s="1"/>
  <c r="G26" i="41"/>
  <c r="G26" i="43" s="1"/>
  <c r="J25" i="41"/>
  <c r="J25" i="43" s="1"/>
  <c r="G25" i="41"/>
  <c r="G25" i="43" s="1"/>
  <c r="J24" i="41"/>
  <c r="J24" i="43" s="1"/>
  <c r="G24" i="41"/>
  <c r="G24" i="43" s="1"/>
  <c r="J23" i="41"/>
  <c r="J23" i="43" s="1"/>
  <c r="G23" i="41"/>
  <c r="G23" i="43" s="1"/>
  <c r="J22" i="41"/>
  <c r="J22" i="43" s="1"/>
  <c r="G22" i="41"/>
  <c r="G22" i="43" s="1"/>
  <c r="J21" i="41"/>
  <c r="J21" i="43" s="1"/>
  <c r="G21" i="41"/>
  <c r="G21" i="43" s="1"/>
  <c r="J10" i="41"/>
  <c r="J10" i="43" s="1"/>
  <c r="G10" i="41"/>
  <c r="G10" i="43" s="1"/>
  <c r="J8" i="41"/>
  <c r="J8" i="43" s="1"/>
  <c r="G8" i="41"/>
  <c r="G8" i="43" s="1"/>
  <c r="P25" i="41" l="1"/>
  <c r="P26" i="41"/>
  <c r="P8" i="41"/>
  <c r="P21" i="41"/>
  <c r="P24" i="41"/>
  <c r="P10" i="41"/>
  <c r="P23" i="41"/>
  <c r="P22" i="41"/>
  <c r="AB40" i="41"/>
  <c r="AE29" i="41"/>
  <c r="AE28" i="41"/>
  <c r="AB35" i="41"/>
  <c r="AF32" i="41"/>
  <c r="AE30" i="41"/>
  <c r="AG26" i="41"/>
  <c r="AE31" i="41"/>
  <c r="AG24" i="41"/>
  <c r="V20" i="41"/>
  <c r="S20" i="41"/>
  <c r="J20" i="41"/>
  <c r="J17" i="41"/>
  <c r="J14" i="41"/>
  <c r="AE14" i="41"/>
  <c r="V17" i="41"/>
  <c r="G14" i="41"/>
  <c r="G12" i="41"/>
  <c r="G9" i="41" s="1"/>
  <c r="V16" i="41"/>
  <c r="G11" i="41" l="1"/>
  <c r="AH22" i="41"/>
  <c r="AH26" i="41"/>
  <c r="S14" i="41"/>
  <c r="AE20" i="41"/>
  <c r="AE32" i="41"/>
  <c r="AG32" i="41" s="1"/>
  <c r="AB36" i="41"/>
  <c r="AH36" i="41" s="1"/>
  <c r="AB39" i="41"/>
  <c r="AH25" i="41"/>
  <c r="AH21" i="41"/>
  <c r="AB17" i="41"/>
  <c r="AH24" i="41"/>
  <c r="V41" i="41"/>
  <c r="V42" i="41" s="1"/>
  <c r="AB37" i="41"/>
  <c r="AH37" i="41" s="1"/>
  <c r="AH40" i="41"/>
  <c r="J41" i="41"/>
  <c r="J42" i="41" s="1"/>
  <c r="AE17" i="41"/>
  <c r="AE16" i="41"/>
  <c r="AH19" i="41"/>
  <c r="G20" i="41"/>
  <c r="AH23" i="41"/>
  <c r="AH35" i="41"/>
  <c r="V12" i="41"/>
  <c r="V4" i="43" s="1"/>
  <c r="G16" i="41"/>
  <c r="AE41" i="41"/>
  <c r="AE42" i="41" s="1"/>
  <c r="AE27" i="41"/>
  <c r="G41" i="41"/>
  <c r="S41" i="41"/>
  <c r="AB38" i="41"/>
  <c r="AH38" i="41" s="1"/>
  <c r="J16" i="41"/>
  <c r="V14" i="41"/>
  <c r="S12" i="41"/>
  <c r="S4" i="43" s="1"/>
  <c r="AH8" i="41"/>
  <c r="S16" i="41"/>
  <c r="S17" i="41"/>
  <c r="AG23" i="41"/>
  <c r="AE12" i="41"/>
  <c r="AE4" i="43" s="1"/>
  <c r="G17" i="41"/>
  <c r="AB20" i="41"/>
  <c r="J12" i="41"/>
  <c r="J9" i="41" s="1"/>
  <c r="AE11" i="41" l="1"/>
  <c r="S9" i="41"/>
  <c r="V11" i="41"/>
  <c r="P41" i="41"/>
  <c r="AH28" i="41"/>
  <c r="V9" i="41"/>
  <c r="AE9" i="41"/>
  <c r="AH32" i="41"/>
  <c r="AB14" i="41"/>
  <c r="AH39" i="41"/>
  <c r="AH31" i="41" s="1"/>
  <c r="AH27" i="41"/>
  <c r="P17" i="41"/>
  <c r="AH13" i="41"/>
  <c r="P14" i="41"/>
  <c r="AH10" i="41"/>
  <c r="AH12" i="41" s="1"/>
  <c r="AH4" i="43" s="1"/>
  <c r="J11" i="41"/>
  <c r="AH30" i="41"/>
  <c r="AH18" i="41"/>
  <c r="AH20" i="41" s="1"/>
  <c r="P20" i="41"/>
  <c r="AH29" i="41"/>
  <c r="P16" i="41"/>
  <c r="AH15" i="41"/>
  <c r="S11" i="41"/>
  <c r="G42" i="41"/>
  <c r="AB16" i="41"/>
  <c r="AB41" i="41"/>
  <c r="AB42" i="41" s="1"/>
  <c r="S42" i="41"/>
  <c r="P12" i="41"/>
  <c r="P4" i="43" s="1"/>
  <c r="AB12" i="41"/>
  <c r="AB4" i="43" s="1"/>
  <c r="AB11" i="41" l="1"/>
  <c r="P9" i="41"/>
  <c r="AH16" i="41"/>
  <c r="AH11" i="41"/>
  <c r="P11" i="41"/>
  <c r="AB9" i="41"/>
  <c r="AH9" i="41"/>
  <c r="AH17" i="41"/>
  <c r="AH14" i="41"/>
  <c r="P42" i="41"/>
  <c r="AH41" i="41"/>
  <c r="AH42" i="41" s="1"/>
  <c r="AE37" i="29" l="1"/>
  <c r="AD39" i="29" l="1"/>
  <c r="AD38" i="29"/>
  <c r="AD37" i="29"/>
  <c r="AC39" i="29"/>
  <c r="AB39" i="29"/>
  <c r="AA39" i="29"/>
  <c r="Z39" i="29"/>
  <c r="Y39" i="29"/>
  <c r="X39" i="29"/>
  <c r="W39" i="29"/>
  <c r="V39" i="29"/>
  <c r="U39" i="29"/>
  <c r="T39" i="29"/>
  <c r="S39" i="29"/>
  <c r="AC38" i="29"/>
  <c r="AB38" i="29"/>
  <c r="AA38" i="29"/>
  <c r="Z38" i="29"/>
  <c r="Y38" i="29"/>
  <c r="X38" i="29"/>
  <c r="W38" i="29"/>
  <c r="V38" i="29"/>
  <c r="U38" i="29"/>
  <c r="T38" i="29"/>
  <c r="S38" i="29"/>
  <c r="AC37" i="29" l="1"/>
  <c r="AB37" i="29" l="1"/>
  <c r="AA37" i="29" l="1"/>
  <c r="Z37" i="29" l="1"/>
  <c r="V40" i="2" l="1"/>
  <c r="Q40" i="2"/>
  <c r="Q38" i="2"/>
  <c r="Q37" i="2"/>
  <c r="Q36" i="2"/>
  <c r="Q35" i="2"/>
  <c r="S40" i="2"/>
  <c r="S37" i="2"/>
  <c r="S36" i="2"/>
  <c r="S35" i="2"/>
  <c r="K41" i="2"/>
  <c r="J41" i="2"/>
  <c r="N40" i="2"/>
  <c r="N39" i="2"/>
  <c r="N37" i="2"/>
  <c r="N36" i="2"/>
  <c r="N35" i="2"/>
  <c r="N34" i="2"/>
  <c r="M38" i="2"/>
  <c r="N38" i="2" l="1"/>
  <c r="S38" i="2"/>
  <c r="M41" i="2"/>
  <c r="N41" i="2" s="1"/>
  <c r="L41" i="2"/>
  <c r="V29" i="1" l="1"/>
  <c r="L39" i="2" l="1"/>
  <c r="L35" i="2"/>
  <c r="L34" i="2"/>
  <c r="N33" i="2"/>
  <c r="L33" i="2"/>
  <c r="AG27" i="2" l="1"/>
  <c r="AG25" i="2"/>
  <c r="AG23" i="2"/>
  <c r="AG20" i="2"/>
  <c r="AG18" i="2"/>
  <c r="AG17" i="2"/>
  <c r="AG15" i="2"/>
  <c r="AG13" i="2"/>
  <c r="AG11" i="2"/>
  <c r="AG9" i="2"/>
  <c r="AG16" i="2" l="1"/>
  <c r="AG21" i="2"/>
  <c r="AG8" i="2"/>
  <c r="AG10" i="2"/>
  <c r="AG12" i="2"/>
  <c r="AG14" i="2"/>
  <c r="AG19" i="2"/>
  <c r="AG22" i="2"/>
  <c r="AG24" i="2"/>
  <c r="AG26" i="2"/>
  <c r="AG7" i="2"/>
  <c r="V12" i="1" l="1"/>
  <c r="R26" i="2" l="1"/>
  <c r="W26" i="2" l="1"/>
  <c r="V34" i="1" l="1"/>
  <c r="R24" i="2" l="1"/>
  <c r="R25" i="2"/>
  <c r="R32" i="2"/>
  <c r="R27" i="2" l="1"/>
  <c r="H14" i="1" l="1"/>
  <c r="R41" i="2"/>
  <c r="R43" i="2" l="1"/>
  <c r="R47" i="2" l="1"/>
  <c r="H21" i="1" l="1"/>
  <c r="H20" i="1" l="1"/>
  <c r="H22" i="1"/>
  <c r="H23" i="1" l="1"/>
  <c r="H19" i="1"/>
  <c r="H24" i="1" l="1"/>
  <c r="W24" i="2" l="1"/>
  <c r="W25" i="2" l="1"/>
  <c r="W27" i="2" l="1"/>
  <c r="V32" i="1" l="1"/>
  <c r="V33" i="1" l="1"/>
  <c r="H33" i="1" l="1"/>
  <c r="AE18" i="1" s="1"/>
  <c r="W32" i="2" l="1"/>
  <c r="H32" i="1" l="1"/>
  <c r="AE17" i="1" s="1"/>
  <c r="H30" i="1" l="1"/>
  <c r="AE15" i="1" s="1"/>
  <c r="H31" i="1" l="1"/>
  <c r="AE16" i="1" s="1"/>
  <c r="H34" i="1" l="1"/>
  <c r="H29" i="1"/>
  <c r="H35" i="1" l="1"/>
  <c r="H36" i="1" l="1"/>
  <c r="AE24" i="1" s="1"/>
  <c r="W41" i="2" l="1"/>
  <c r="AE26" i="1" s="1"/>
  <c r="H40" i="1"/>
  <c r="H39" i="1"/>
  <c r="AE22" i="1" l="1"/>
  <c r="AE23" i="1" s="1"/>
  <c r="V36" i="1"/>
  <c r="W43" i="2"/>
  <c r="W47" i="2" l="1"/>
  <c r="V35" i="1"/>
  <c r="M26" i="2" l="1"/>
  <c r="M24" i="2" l="1"/>
  <c r="M25" i="2"/>
  <c r="M32" i="2"/>
  <c r="M27" i="2" l="1"/>
  <c r="M47" i="2" s="1"/>
  <c r="W23" i="1" l="1"/>
  <c r="W24" i="1" l="1"/>
  <c r="AB11" i="1" l="1"/>
  <c r="E21" i="1"/>
  <c r="AB8" i="1"/>
  <c r="O41" i="2" l="1"/>
  <c r="J32" i="2" l="1"/>
  <c r="O32" i="2" l="1"/>
  <c r="AL12" i="41"/>
  <c r="AL12" i="43" s="1"/>
  <c r="AL13" i="43" l="1"/>
  <c r="AL11" i="43"/>
  <c r="AL13" i="41"/>
  <c r="AL17" i="41"/>
  <c r="AL17" i="43" s="1"/>
  <c r="AB9" i="1"/>
  <c r="AL18" i="43" l="1"/>
  <c r="AB12" i="1"/>
  <c r="AL18" i="41"/>
  <c r="S33" i="1" l="1"/>
  <c r="S32" i="1" l="1"/>
  <c r="E32" i="1" l="1"/>
  <c r="AB17" i="1" l="1"/>
  <c r="E22" i="1" l="1"/>
  <c r="T32" i="2" l="1"/>
  <c r="T52" i="2" s="1"/>
  <c r="E33" i="1"/>
  <c r="AB18" i="1" l="1"/>
  <c r="AL20" i="41"/>
  <c r="AL20" i="43" s="1"/>
  <c r="AL22" i="43" l="1"/>
  <c r="AL21" i="43"/>
  <c r="AL22" i="41"/>
  <c r="AL21" i="41"/>
  <c r="O25" i="2" l="1"/>
  <c r="J25" i="2" l="1"/>
  <c r="O26" i="2" l="1"/>
  <c r="J26" i="2" l="1"/>
  <c r="O24" i="2" l="1"/>
  <c r="J24" i="2"/>
  <c r="J27" i="2" l="1"/>
  <c r="O27" i="2"/>
  <c r="O43" i="2" l="1"/>
  <c r="AB10" i="1"/>
  <c r="E14" i="1"/>
  <c r="AB7" i="1"/>
  <c r="J47" i="2"/>
  <c r="AB13" i="1" l="1"/>
  <c r="O47" i="2"/>
  <c r="AB14" i="1" l="1"/>
  <c r="T26" i="2" l="1"/>
  <c r="T25" i="2" l="1"/>
  <c r="T24" i="2" l="1"/>
  <c r="T27" i="2" l="1"/>
  <c r="T50" i="2" s="1"/>
  <c r="E20" i="1"/>
  <c r="T54" i="2" l="1"/>
  <c r="E23" i="1"/>
  <c r="E30" i="1"/>
  <c r="AB15" i="1" s="1"/>
  <c r="E19" i="1"/>
  <c r="T55" i="2" l="1"/>
  <c r="E31" i="1"/>
  <c r="E24" i="1"/>
  <c r="AB16" i="1" l="1"/>
  <c r="S34" i="1" l="1"/>
  <c r="E29" i="1" l="1"/>
  <c r="E34" i="1"/>
  <c r="T41" i="2" l="1"/>
  <c r="AB26" i="1" s="1"/>
  <c r="AB22" i="1" s="1"/>
  <c r="AB23" i="1" s="1"/>
  <c r="E35" i="1"/>
  <c r="S36" i="1" l="1"/>
  <c r="T43" i="2"/>
  <c r="E40" i="1"/>
  <c r="E36" i="1"/>
  <c r="E39" i="1"/>
  <c r="AB24" i="1" l="1"/>
  <c r="T44" i="2"/>
  <c r="T47" i="2"/>
  <c r="S35" i="1"/>
  <c r="AG18" i="41" l="1"/>
  <c r="AF30" i="41" l="1"/>
  <c r="AG30" i="41" s="1"/>
  <c r="AF29" i="41"/>
  <c r="AG29" i="41" s="1"/>
  <c r="AF28" i="41"/>
  <c r="AG28" i="41" s="1"/>
  <c r="AF27" i="41"/>
  <c r="AG27" i="41" s="1"/>
  <c r="AF41" i="41"/>
  <c r="AG22" i="41"/>
  <c r="AF12" i="41"/>
  <c r="AF4" i="43" s="1"/>
  <c r="AF14" i="41"/>
  <c r="AG14" i="41" s="1"/>
  <c r="AG13" i="41"/>
  <c r="AF31" i="41"/>
  <c r="AG31" i="41" s="1"/>
  <c r="AG8" i="41"/>
  <c r="AG21" i="41"/>
  <c r="AG25" i="41"/>
  <c r="AG12" i="41" l="1"/>
  <c r="AF9" i="41"/>
  <c r="AG9" i="41" s="1"/>
  <c r="AF42" i="41"/>
  <c r="AF27" i="43"/>
  <c r="AF41" i="43"/>
  <c r="AF28" i="43"/>
  <c r="AF17" i="43"/>
  <c r="AG15" i="41"/>
  <c r="AF16" i="41"/>
  <c r="AG16" i="41" s="1"/>
  <c r="AF29" i="43"/>
  <c r="AF17" i="41"/>
  <c r="AG17" i="41" s="1"/>
  <c r="AF31" i="43"/>
  <c r="AF12" i="43"/>
  <c r="AF9" i="43" s="1"/>
  <c r="AF14" i="43"/>
  <c r="AG10" i="41"/>
  <c r="AF11" i="41"/>
  <c r="AG11" i="41" s="1"/>
  <c r="AF30" i="43"/>
  <c r="AF16" i="43" l="1"/>
  <c r="AF42" i="43"/>
  <c r="AF11" i="43"/>
  <c r="W16" i="41" l="1"/>
  <c r="X16" i="41" s="1"/>
  <c r="U21" i="41"/>
  <c r="T16" i="41"/>
  <c r="U16" i="41" s="1"/>
  <c r="U15" i="41"/>
  <c r="U23" i="41"/>
  <c r="W17" i="41"/>
  <c r="X17" i="41" s="1"/>
  <c r="U24" i="41"/>
  <c r="U22" i="41"/>
  <c r="U25" i="41"/>
  <c r="T17" i="41"/>
  <c r="U17" i="41" s="1"/>
  <c r="U13" i="41"/>
  <c r="U26" i="41"/>
  <c r="U10" i="41"/>
  <c r="AD22" i="41" l="1"/>
  <c r="W17" i="43"/>
  <c r="AD23" i="41"/>
  <c r="AD13" i="41"/>
  <c r="AC17" i="41"/>
  <c r="AD17" i="41" s="1"/>
  <c r="AD25" i="41"/>
  <c r="AD26" i="41"/>
  <c r="T17" i="43"/>
  <c r="AD15" i="41"/>
  <c r="AC16" i="41"/>
  <c r="AD16" i="41" s="1"/>
  <c r="T16" i="43"/>
  <c r="AD21" i="41"/>
  <c r="AD24" i="41"/>
  <c r="W16" i="43"/>
  <c r="AD10" i="41"/>
  <c r="AC16" i="43" l="1"/>
  <c r="AC17" i="43"/>
  <c r="I24" i="41" l="1"/>
  <c r="Q24" i="41"/>
  <c r="L24" i="41"/>
  <c r="L23" i="41"/>
  <c r="Q25" i="41"/>
  <c r="I25" i="41"/>
  <c r="L25" i="41"/>
  <c r="L22" i="41"/>
  <c r="Q26" i="41"/>
  <c r="I26" i="41"/>
  <c r="L26" i="41"/>
  <c r="Q23" i="41"/>
  <c r="I23" i="41"/>
  <c r="I10" i="41"/>
  <c r="Q10" i="41"/>
  <c r="K17" i="41"/>
  <c r="L17" i="41" s="1"/>
  <c r="L13" i="41"/>
  <c r="L10" i="41"/>
  <c r="I21" i="41"/>
  <c r="Q21" i="41"/>
  <c r="L21" i="41"/>
  <c r="I13" i="41"/>
  <c r="Q13" i="41"/>
  <c r="H17" i="41"/>
  <c r="I17" i="41" s="1"/>
  <c r="Q15" i="41"/>
  <c r="I15" i="41"/>
  <c r="H16" i="41"/>
  <c r="I16" i="41" s="1"/>
  <c r="Q22" i="41"/>
  <c r="I22" i="41"/>
  <c r="L15" i="41"/>
  <c r="K16" i="41"/>
  <c r="L16" i="41" s="1"/>
  <c r="K17" i="43" l="1"/>
  <c r="Q17" i="41"/>
  <c r="R17" i="41" s="1"/>
  <c r="R13" i="41"/>
  <c r="AI13" i="41"/>
  <c r="AI10" i="41"/>
  <c r="R10" i="41"/>
  <c r="R25" i="41"/>
  <c r="AI25" i="41"/>
  <c r="Q13" i="43"/>
  <c r="H17" i="43"/>
  <c r="Q15" i="43"/>
  <c r="H16" i="43"/>
  <c r="Q23" i="43"/>
  <c r="AI23" i="41"/>
  <c r="R23" i="41"/>
  <c r="AI15" i="41"/>
  <c r="Q16" i="41"/>
  <c r="R16" i="41" s="1"/>
  <c r="R15" i="41"/>
  <c r="Q25" i="43"/>
  <c r="Q10" i="43"/>
  <c r="K16" i="43"/>
  <c r="R21" i="41"/>
  <c r="AI21" i="41"/>
  <c r="Q21" i="43"/>
  <c r="Q26" i="43"/>
  <c r="R24" i="41"/>
  <c r="AI24" i="41"/>
  <c r="Q22" i="43"/>
  <c r="AI22" i="41"/>
  <c r="R22" i="41"/>
  <c r="AI26" i="41"/>
  <c r="R26" i="41"/>
  <c r="Q24" i="43"/>
  <c r="AJ25" i="41" l="1"/>
  <c r="AI25" i="43"/>
  <c r="AJ26" i="41"/>
  <c r="AJ15" i="41"/>
  <c r="AI16" i="41"/>
  <c r="AJ16" i="41" s="1"/>
  <c r="AJ10" i="41"/>
  <c r="AJ23" i="41"/>
  <c r="AI24" i="43"/>
  <c r="AJ21" i="41"/>
  <c r="AJ13" i="41"/>
  <c r="AI17" i="41"/>
  <c r="AI23" i="43"/>
  <c r="AI21" i="43"/>
  <c r="AJ22" i="41"/>
  <c r="AI10" i="43"/>
  <c r="AI13" i="43"/>
  <c r="Q17" i="43"/>
  <c r="AI22" i="43"/>
  <c r="AJ24" i="41"/>
  <c r="AI26" i="43"/>
  <c r="Q16" i="43"/>
  <c r="AI15" i="43"/>
  <c r="AI17" i="43" l="1"/>
  <c r="AI16" i="43"/>
  <c r="AJ17" i="41"/>
  <c r="S29" i="1" l="1"/>
  <c r="T12" i="41" l="1"/>
  <c r="T4" i="43" s="1"/>
  <c r="U8" i="41"/>
  <c r="T14" i="41"/>
  <c r="U14" i="41" s="1"/>
  <c r="W12" i="41"/>
  <c r="W4" i="43" s="1"/>
  <c r="W14" i="41"/>
  <c r="X14" i="41" s="1"/>
  <c r="X12" i="41" l="1"/>
  <c r="T9" i="41"/>
  <c r="U9" i="41" s="1"/>
  <c r="W9" i="41"/>
  <c r="X9" i="41" s="1"/>
  <c r="W11" i="41"/>
  <c r="X11" i="41" s="1"/>
  <c r="W12" i="43"/>
  <c r="W9" i="43" s="1"/>
  <c r="W14" i="43"/>
  <c r="U12" i="41"/>
  <c r="T11" i="41"/>
  <c r="U11" i="41" s="1"/>
  <c r="AC12" i="41"/>
  <c r="AC4" i="43" s="1"/>
  <c r="AD8" i="41"/>
  <c r="AC14" i="41"/>
  <c r="AD14" i="41" s="1"/>
  <c r="T12" i="43"/>
  <c r="T9" i="43" s="1"/>
  <c r="T14" i="43"/>
  <c r="AC9" i="41" l="1"/>
  <c r="AD9" i="41" s="1"/>
  <c r="T11" i="43"/>
  <c r="AD12" i="41"/>
  <c r="AC11" i="41"/>
  <c r="AD11" i="41" s="1"/>
  <c r="W11" i="43"/>
  <c r="AC12" i="43"/>
  <c r="AC9" i="43" s="1"/>
  <c r="AC14" i="43"/>
  <c r="U19" i="41" l="1"/>
  <c r="AD19" i="41"/>
  <c r="W20" i="41"/>
  <c r="X20" i="41" s="1"/>
  <c r="AC11" i="43"/>
  <c r="W20" i="43"/>
  <c r="U18" i="41"/>
  <c r="T20" i="41"/>
  <c r="U20" i="41" s="1"/>
  <c r="T20" i="43" l="1"/>
  <c r="AC20" i="41"/>
  <c r="AD20" i="41" s="1"/>
  <c r="AD18" i="41"/>
  <c r="AC20" i="43" l="1"/>
  <c r="L8" i="41" l="1"/>
  <c r="K12" i="41"/>
  <c r="K9" i="41" s="1"/>
  <c r="L9" i="41" s="1"/>
  <c r="K14" i="41"/>
  <c r="L14" i="41" s="1"/>
  <c r="I8" i="41"/>
  <c r="H12" i="41"/>
  <c r="H9" i="41" s="1"/>
  <c r="I9" i="41" s="1"/>
  <c r="Q8" i="41"/>
  <c r="H14" i="41"/>
  <c r="I14" i="41" s="1"/>
  <c r="W28" i="1"/>
  <c r="U28" i="1"/>
  <c r="R8" i="41" l="1"/>
  <c r="Q12" i="41"/>
  <c r="Q4" i="43" s="1"/>
  <c r="AI8" i="41"/>
  <c r="Q14" i="41"/>
  <c r="R14" i="41" s="1"/>
  <c r="I12" i="41"/>
  <c r="H11" i="41"/>
  <c r="I11" i="41" s="1"/>
  <c r="U27" i="1"/>
  <c r="T29" i="1"/>
  <c r="W27" i="1"/>
  <c r="Q8" i="43"/>
  <c r="H12" i="43"/>
  <c r="H9" i="43" s="1"/>
  <c r="H14" i="43"/>
  <c r="L12" i="41"/>
  <c r="K11" i="41"/>
  <c r="L11" i="41" s="1"/>
  <c r="K12" i="43"/>
  <c r="K9" i="43" s="1"/>
  <c r="K14" i="43"/>
  <c r="Q9" i="41" l="1"/>
  <c r="R9" i="41" s="1"/>
  <c r="Q12" i="43"/>
  <c r="Q9" i="43" s="1"/>
  <c r="AI8" i="43"/>
  <c r="Q14" i="43"/>
  <c r="AI12" i="41"/>
  <c r="AI4" i="43" s="1"/>
  <c r="AJ8" i="41"/>
  <c r="AI14" i="41"/>
  <c r="AJ14" i="41" s="1"/>
  <c r="R12" i="41"/>
  <c r="Q11" i="41"/>
  <c r="R11" i="41" s="1"/>
  <c r="K11" i="43"/>
  <c r="H11" i="43"/>
  <c r="U29" i="1"/>
  <c r="W29" i="1"/>
  <c r="AI9" i="41" l="1"/>
  <c r="AJ9" i="41" s="1"/>
  <c r="AJ12" i="41"/>
  <c r="AI11" i="41"/>
  <c r="AJ11" i="41" s="1"/>
  <c r="AI12" i="43"/>
  <c r="AI9" i="43" s="1"/>
  <c r="AI14" i="43"/>
  <c r="Q11" i="43"/>
  <c r="AI11" i="43" l="1"/>
  <c r="AE10" i="42" l="1"/>
  <c r="AF21" i="42"/>
  <c r="AF11" i="42"/>
  <c r="AF22" i="42"/>
  <c r="AF19" i="42"/>
  <c r="AF14" i="42"/>
  <c r="AF16" i="42"/>
  <c r="AF23" i="42"/>
  <c r="AF18" i="42"/>
  <c r="AF7" i="42"/>
  <c r="AF10" i="42"/>
  <c r="AM10" i="42" s="1"/>
  <c r="AF13" i="42"/>
  <c r="AF9" i="42"/>
  <c r="AF12" i="42"/>
  <c r="AF20" i="42"/>
  <c r="AF8" i="42"/>
  <c r="AF15" i="42"/>
  <c r="AF17" i="42"/>
  <c r="AF24" i="42" l="1"/>
  <c r="AF25" i="42"/>
  <c r="AF26" i="42"/>
  <c r="AF27" i="42"/>
  <c r="AE14" i="42" l="1"/>
  <c r="AM14" i="42" s="1"/>
  <c r="AE12" i="42"/>
  <c r="AM12" i="42" s="1"/>
  <c r="AE18" i="42"/>
  <c r="AM18" i="42" s="1"/>
  <c r="AE8" i="42"/>
  <c r="AM8" i="42" s="1"/>
  <c r="AE23" i="42"/>
  <c r="AE9" i="42"/>
  <c r="AM9" i="42" s="1"/>
  <c r="AE22" i="42"/>
  <c r="AE16" i="42" l="1"/>
  <c r="AM16" i="42" s="1"/>
  <c r="AE11" i="42"/>
  <c r="AM11" i="42" s="1"/>
  <c r="AE21" i="42"/>
  <c r="AE20" i="42"/>
  <c r="AE17" i="42"/>
  <c r="AM17" i="42" s="1"/>
  <c r="AE13" i="42"/>
  <c r="AM13" i="42" s="1"/>
  <c r="AE15" i="42"/>
  <c r="AM15" i="42" s="1"/>
  <c r="AE19" i="42"/>
  <c r="AE25" i="42" l="1"/>
  <c r="AM25" i="42" s="1"/>
  <c r="AE26" i="42"/>
  <c r="AM26" i="42" s="1"/>
  <c r="AE7" i="42" l="1"/>
  <c r="AM7" i="42" s="1"/>
  <c r="AE27" i="42" l="1"/>
  <c r="AM27" i="42" s="1"/>
  <c r="AE24" i="42"/>
  <c r="AM24" i="42" s="1"/>
  <c r="U36" i="41" l="1"/>
  <c r="AC36" i="41"/>
  <c r="T28" i="41"/>
  <c r="U37" i="41"/>
  <c r="AC37" i="41"/>
  <c r="T29" i="41"/>
  <c r="U38" i="41"/>
  <c r="AC38" i="41"/>
  <c r="T30" i="41"/>
  <c r="U39" i="41"/>
  <c r="AC39" i="41"/>
  <c r="T31" i="41"/>
  <c r="U40" i="41"/>
  <c r="AC40" i="41"/>
  <c r="T32" i="41"/>
  <c r="W41" i="41"/>
  <c r="X41" i="41" s="1"/>
  <c r="W27" i="41"/>
  <c r="X27" i="41" s="1"/>
  <c r="W28" i="41"/>
  <c r="X28" i="41" s="1"/>
  <c r="W29" i="41"/>
  <c r="X29" i="41" s="1"/>
  <c r="W30" i="41"/>
  <c r="X30" i="41" s="1"/>
  <c r="AC35" i="41"/>
  <c r="U35" i="41"/>
  <c r="T41" i="41"/>
  <c r="T27" i="41"/>
  <c r="W31" i="41"/>
  <c r="X31" i="41" s="1"/>
  <c r="W32" i="41"/>
  <c r="X32" i="41" s="1"/>
  <c r="U31" i="41" l="1"/>
  <c r="AC31" i="41"/>
  <c r="U30" i="41"/>
  <c r="AC30" i="41"/>
  <c r="U27" i="41"/>
  <c r="AC27" i="41"/>
  <c r="AD27" i="41" s="1"/>
  <c r="U32" i="41"/>
  <c r="AC32" i="41"/>
  <c r="AD32" i="41" s="1"/>
  <c r="U29" i="41"/>
  <c r="AC29" i="41"/>
  <c r="AD29" i="41" s="1"/>
  <c r="U28" i="41"/>
  <c r="AC28" i="41"/>
  <c r="AD28" i="41" s="1"/>
  <c r="T41" i="43"/>
  <c r="T27" i="43"/>
  <c r="W31" i="43"/>
  <c r="T30" i="43"/>
  <c r="T32" i="43"/>
  <c r="AD37" i="41"/>
  <c r="W28" i="43"/>
  <c r="T29" i="43"/>
  <c r="AD35" i="41"/>
  <c r="AD39" i="41"/>
  <c r="AD31" i="41"/>
  <c r="T31" i="43"/>
  <c r="AD38" i="41"/>
  <c r="AD30" i="41"/>
  <c r="W30" i="43"/>
  <c r="W42" i="41"/>
  <c r="AD36" i="41"/>
  <c r="AC41" i="41"/>
  <c r="U41" i="41"/>
  <c r="T42" i="41"/>
  <c r="W29" i="43"/>
  <c r="W32" i="43"/>
  <c r="AD40" i="41"/>
  <c r="W41" i="43"/>
  <c r="W27" i="43"/>
  <c r="T28" i="43"/>
  <c r="AC41" i="43" l="1"/>
  <c r="AC28" i="43"/>
  <c r="AC27" i="43"/>
  <c r="AC30" i="43"/>
  <c r="AC31" i="43"/>
  <c r="AC29" i="43"/>
  <c r="AC32" i="43"/>
  <c r="AD41" i="41"/>
  <c r="AC42" i="41"/>
  <c r="W42" i="43"/>
  <c r="T42" i="43"/>
  <c r="AC42" i="43" l="1"/>
  <c r="L36" i="41" l="1"/>
  <c r="K28" i="41"/>
  <c r="L28" i="41" s="1"/>
  <c r="Q36" i="41"/>
  <c r="I36" i="41"/>
  <c r="H28" i="41"/>
  <c r="I28" i="41" s="1"/>
  <c r="L37" i="41"/>
  <c r="K29" i="41"/>
  <c r="L29" i="41" s="1"/>
  <c r="Q37" i="41"/>
  <c r="I37" i="41"/>
  <c r="H29" i="41"/>
  <c r="I29" i="41" s="1"/>
  <c r="L38" i="41"/>
  <c r="K30" i="41"/>
  <c r="L30" i="41" s="1"/>
  <c r="Q38" i="41"/>
  <c r="I38" i="41"/>
  <c r="H30" i="41"/>
  <c r="I30" i="41" s="1"/>
  <c r="L39" i="41"/>
  <c r="K31" i="41"/>
  <c r="L31" i="41" s="1"/>
  <c r="Q39" i="41"/>
  <c r="I39" i="41"/>
  <c r="H31" i="41"/>
  <c r="I31" i="41" s="1"/>
  <c r="L35" i="41"/>
  <c r="K41" i="41"/>
  <c r="K27" i="41"/>
  <c r="L27" i="41" s="1"/>
  <c r="L40" i="41"/>
  <c r="K32" i="41"/>
  <c r="L32" i="41" s="1"/>
  <c r="Q35" i="41"/>
  <c r="H41" i="41"/>
  <c r="I35" i="41"/>
  <c r="H27" i="41"/>
  <c r="I27" i="41" s="1"/>
  <c r="Q40" i="41"/>
  <c r="I40" i="41"/>
  <c r="H32" i="41"/>
  <c r="I32" i="41" s="1"/>
  <c r="R38" i="41" l="1"/>
  <c r="AI38" i="41"/>
  <c r="Q30" i="41"/>
  <c r="R30" i="41" s="1"/>
  <c r="K30" i="43"/>
  <c r="L41" i="41"/>
  <c r="K42" i="41"/>
  <c r="Q35" i="43"/>
  <c r="H41" i="43"/>
  <c r="H27" i="43"/>
  <c r="K41" i="43"/>
  <c r="K27" i="43"/>
  <c r="K32" i="43"/>
  <c r="K29" i="43"/>
  <c r="R35" i="41"/>
  <c r="AI35" i="41"/>
  <c r="Q27" i="41"/>
  <c r="R27" i="41" s="1"/>
  <c r="R39" i="41"/>
  <c r="AI39" i="41"/>
  <c r="Q31" i="41"/>
  <c r="R31" i="41" s="1"/>
  <c r="Q39" i="43"/>
  <c r="H31" i="43"/>
  <c r="R36" i="41"/>
  <c r="AI36" i="41"/>
  <c r="Q28" i="41"/>
  <c r="R28" i="41" s="1"/>
  <c r="Q37" i="43"/>
  <c r="H29" i="43"/>
  <c r="Q36" i="43"/>
  <c r="H28" i="43"/>
  <c r="Q41" i="41"/>
  <c r="I41" i="41"/>
  <c r="H42" i="41"/>
  <c r="R40" i="41"/>
  <c r="AI40" i="41"/>
  <c r="Q32" i="41"/>
  <c r="R32" i="41" s="1"/>
  <c r="K31" i="43"/>
  <c r="Q38" i="43"/>
  <c r="H30" i="43"/>
  <c r="R37" i="41"/>
  <c r="AI37" i="41"/>
  <c r="Q29" i="41"/>
  <c r="R29" i="41" s="1"/>
  <c r="Q40" i="43"/>
  <c r="H32" i="43"/>
  <c r="K28" i="43"/>
  <c r="AJ35" i="41" l="1"/>
  <c r="AI27" i="41"/>
  <c r="AJ27" i="41" s="1"/>
  <c r="Q41" i="43"/>
  <c r="H42" i="43"/>
  <c r="AI35" i="43"/>
  <c r="Q27" i="43"/>
  <c r="R27" i="43" s="1"/>
  <c r="AI40" i="43"/>
  <c r="Q32" i="43"/>
  <c r="R32" i="43" s="1"/>
  <c r="AJ36" i="41"/>
  <c r="AI28" i="41"/>
  <c r="AJ28" i="41" s="1"/>
  <c r="R41" i="41"/>
  <c r="AI41" i="41"/>
  <c r="Q42" i="41"/>
  <c r="AI36" i="43"/>
  <c r="Q28" i="43"/>
  <c r="R28" i="43" s="1"/>
  <c r="AI38" i="43"/>
  <c r="Q30" i="43"/>
  <c r="R30" i="43" s="1"/>
  <c r="K42" i="43"/>
  <c r="AJ39" i="41"/>
  <c r="AI31" i="41"/>
  <c r="AJ31" i="41" s="1"/>
  <c r="AJ38" i="41"/>
  <c r="AI30" i="41"/>
  <c r="AJ30" i="41" s="1"/>
  <c r="AI37" i="43"/>
  <c r="Q29" i="43"/>
  <c r="R29" i="43" s="1"/>
  <c r="AJ37" i="41"/>
  <c r="AI29" i="41"/>
  <c r="AJ29" i="41" s="1"/>
  <c r="AI39" i="43"/>
  <c r="Q31" i="43"/>
  <c r="R31" i="43" s="1"/>
  <c r="AJ40" i="41"/>
  <c r="AI32" i="41"/>
  <c r="AJ32" i="41" s="1"/>
  <c r="AI29" i="43" l="1"/>
  <c r="AJ41" i="41"/>
  <c r="AI42" i="41"/>
  <c r="AI27" i="43"/>
  <c r="AI31" i="43"/>
  <c r="AI28" i="43"/>
  <c r="AI41" i="43"/>
  <c r="Q42" i="43"/>
  <c r="AI32" i="43"/>
  <c r="AI30" i="43"/>
  <c r="AI42" i="43" l="1"/>
  <c r="L18" i="41" l="1"/>
  <c r="K20" i="41"/>
  <c r="L20" i="41" s="1"/>
  <c r="I19" i="41"/>
  <c r="Q19" i="41"/>
  <c r="I18" i="41"/>
  <c r="H20" i="41"/>
  <c r="I20" i="41" s="1"/>
  <c r="Q18" i="41"/>
  <c r="L19" i="41"/>
  <c r="AI18" i="41" l="1"/>
  <c r="R18" i="41"/>
  <c r="H20" i="43"/>
  <c r="Q18" i="43"/>
  <c r="Q20" i="41"/>
  <c r="R20" i="41" s="1"/>
  <c r="AI19" i="41"/>
  <c r="AJ19" i="41" s="1"/>
  <c r="R19" i="41"/>
  <c r="Q19" i="43"/>
  <c r="K20" i="43"/>
  <c r="AG19" i="41"/>
  <c r="AF20" i="41"/>
  <c r="AG20" i="41" s="1"/>
  <c r="AI19" i="43" l="1"/>
  <c r="Q20" i="43"/>
  <c r="AI18" i="43"/>
  <c r="AF20" i="43"/>
  <c r="AJ18" i="41"/>
  <c r="AI20" i="41"/>
  <c r="AI20" i="43" l="1"/>
  <c r="AJ20" i="41"/>
  <c r="AJ9" i="1" l="1"/>
  <c r="AG9" i="1"/>
  <c r="AJ8" i="1"/>
  <c r="AG8" i="1"/>
  <c r="AJ7" i="1"/>
  <c r="AG7" i="1"/>
  <c r="AJ11" i="1" l="1"/>
  <c r="M21" i="1"/>
  <c r="M32" i="1" s="1"/>
  <c r="AJ17" i="1" s="1"/>
  <c r="AG12" i="1"/>
  <c r="J22" i="1"/>
  <c r="J33" i="1" s="1"/>
  <c r="AG18" i="1" s="1"/>
  <c r="M22" i="1"/>
  <c r="M33" i="1" s="1"/>
  <c r="AJ18" i="1" s="1"/>
  <c r="AJ12" i="1"/>
  <c r="AG10" i="1"/>
  <c r="J20" i="1"/>
  <c r="M19" i="1"/>
  <c r="J19" i="1"/>
  <c r="J29" i="1" l="1"/>
  <c r="M29" i="1"/>
  <c r="AG11" i="1"/>
  <c r="J21" i="1"/>
  <c r="J32" i="1" s="1"/>
  <c r="AG17" i="1" s="1"/>
  <c r="AJ10" i="1"/>
  <c r="M14" i="1"/>
  <c r="M20" i="1"/>
  <c r="J30" i="1"/>
  <c r="J14" i="1"/>
  <c r="AG13" i="1"/>
  <c r="AG14" i="1" s="1"/>
  <c r="J23" i="1"/>
  <c r="J34" i="1" s="1"/>
  <c r="M23" i="1"/>
  <c r="M34" i="1" s="1"/>
  <c r="AJ13" i="1"/>
  <c r="AJ14" i="1" l="1"/>
  <c r="AG15" i="1"/>
  <c r="J31" i="1"/>
  <c r="AG16" i="1" s="1"/>
  <c r="J35" i="1"/>
  <c r="J24" i="1"/>
  <c r="M24" i="1"/>
  <c r="M30" i="1"/>
  <c r="AJ15" i="1" l="1"/>
  <c r="M31" i="1"/>
  <c r="AJ16" i="1" s="1"/>
  <c r="M35" i="1"/>
  <c r="J36" i="1"/>
  <c r="AG24" i="1" s="1"/>
  <c r="J40" i="1"/>
  <c r="J39" i="1"/>
  <c r="M40" i="1" l="1"/>
  <c r="M39" i="1"/>
  <c r="M36" i="1"/>
  <c r="AJ24" i="1" s="1"/>
  <c r="O8" i="43" l="1"/>
  <c r="O13" i="43"/>
  <c r="M14" i="43"/>
  <c r="O14" i="43" s="1"/>
  <c r="M42" i="43"/>
  <c r="M17" i="43"/>
  <c r="O17" i="43" s="1"/>
  <c r="O15" i="43"/>
  <c r="O18" i="43" l="1"/>
  <c r="O10" i="43" l="1"/>
  <c r="M12" i="43"/>
  <c r="M11" i="43" s="1"/>
  <c r="O11" i="43" s="1"/>
  <c r="M16" i="43"/>
  <c r="O16" i="43" s="1"/>
  <c r="I18" i="43" l="1"/>
  <c r="M9" i="43"/>
  <c r="O9" i="43" s="1"/>
  <c r="O12" i="43"/>
  <c r="O19" i="43" l="1"/>
  <c r="M20" i="43"/>
  <c r="O20" i="43" s="1"/>
  <c r="U19" i="43" l="1"/>
  <c r="S20" i="43" l="1"/>
  <c r="U20" i="43" s="1"/>
  <c r="U18" i="43"/>
  <c r="AG19" i="43"/>
  <c r="AE20" i="43" l="1"/>
  <c r="AG20" i="43" s="1"/>
  <c r="AG18" i="43"/>
  <c r="AE41" i="43"/>
  <c r="AG26" i="43"/>
  <c r="AG25" i="43"/>
  <c r="AG24" i="43"/>
  <c r="AG23" i="43"/>
  <c r="AG22" i="43"/>
  <c r="AG21" i="43"/>
  <c r="AG10" i="43"/>
  <c r="AE16" i="43" l="1"/>
  <c r="AG16" i="43" s="1"/>
  <c r="AG15" i="43"/>
  <c r="AE12" i="43"/>
  <c r="AG8" i="43"/>
  <c r="AE14" i="43"/>
  <c r="AG14" i="43" s="1"/>
  <c r="AE17" i="43"/>
  <c r="AG17" i="43" s="1"/>
  <c r="AG13" i="43"/>
  <c r="AE30" i="43"/>
  <c r="AG30" i="43" s="1"/>
  <c r="AE31" i="43"/>
  <c r="AG31" i="43" s="1"/>
  <c r="AE32" i="43"/>
  <c r="AG32" i="43" s="1"/>
  <c r="AE29" i="43"/>
  <c r="AG29" i="43" s="1"/>
  <c r="AE28" i="43"/>
  <c r="AG28" i="43" s="1"/>
  <c r="AE27" i="43"/>
  <c r="AG27" i="43" s="1"/>
  <c r="AE42" i="43"/>
  <c r="AE9" i="43" l="1"/>
  <c r="AG9" i="43" s="1"/>
  <c r="AB19" i="43"/>
  <c r="AD19" i="43" s="1"/>
  <c r="X19" i="43"/>
  <c r="AE11" i="43"/>
  <c r="AG11" i="43" s="1"/>
  <c r="AG12" i="43"/>
  <c r="AB18" i="43" l="1"/>
  <c r="V20" i="43"/>
  <c r="X20" i="43" s="1"/>
  <c r="X18" i="43"/>
  <c r="X26" i="43"/>
  <c r="X25" i="43"/>
  <c r="X24" i="43"/>
  <c r="X23" i="43"/>
  <c r="X22" i="43"/>
  <c r="X21" i="43"/>
  <c r="X10" i="43"/>
  <c r="L19" i="43"/>
  <c r="AB25" i="43" l="1"/>
  <c r="AD25" i="43" s="1"/>
  <c r="U25" i="43"/>
  <c r="L38" i="43"/>
  <c r="P35" i="43"/>
  <c r="G41" i="43"/>
  <c r="I35" i="43"/>
  <c r="L39" i="43"/>
  <c r="AB26" i="43"/>
  <c r="AD26" i="43" s="1"/>
  <c r="U26" i="43"/>
  <c r="S41" i="43"/>
  <c r="S27" i="43"/>
  <c r="U35" i="43"/>
  <c r="L36" i="43"/>
  <c r="J29" i="43"/>
  <c r="L29" i="43" s="1"/>
  <c r="L37" i="43"/>
  <c r="P36" i="43"/>
  <c r="I36" i="43"/>
  <c r="L40" i="43"/>
  <c r="AB35" i="43"/>
  <c r="AD35" i="43" s="1"/>
  <c r="V41" i="43"/>
  <c r="V27" i="43"/>
  <c r="X27" i="43" s="1"/>
  <c r="X35" i="43"/>
  <c r="P38" i="43"/>
  <c r="I38" i="43"/>
  <c r="AB37" i="43"/>
  <c r="AD37" i="43" s="1"/>
  <c r="V29" i="43"/>
  <c r="X29" i="43" s="1"/>
  <c r="X37" i="43"/>
  <c r="J41" i="43"/>
  <c r="L35" i="43"/>
  <c r="AB13" i="43"/>
  <c r="S17" i="43"/>
  <c r="U17" i="43" s="1"/>
  <c r="S14" i="43"/>
  <c r="U14" i="43" s="1"/>
  <c r="U13" i="43"/>
  <c r="S30" i="43"/>
  <c r="U38" i="43"/>
  <c r="P37" i="43"/>
  <c r="I37" i="43"/>
  <c r="V17" i="43"/>
  <c r="X17" i="43" s="1"/>
  <c r="V14" i="43"/>
  <c r="X14" i="43" s="1"/>
  <c r="X13" i="43"/>
  <c r="AB38" i="43"/>
  <c r="AD38" i="43" s="1"/>
  <c r="V30" i="43"/>
  <c r="X30" i="43" s="1"/>
  <c r="X38" i="43"/>
  <c r="AB10" i="43"/>
  <c r="U10" i="43"/>
  <c r="AB15" i="43"/>
  <c r="S16" i="43"/>
  <c r="U16" i="43" s="1"/>
  <c r="U15" i="43"/>
  <c r="S31" i="43"/>
  <c r="U39" i="43"/>
  <c r="P39" i="43"/>
  <c r="I39" i="43"/>
  <c r="V16" i="43"/>
  <c r="X16" i="43" s="1"/>
  <c r="X15" i="43"/>
  <c r="AB39" i="43"/>
  <c r="AD39" i="43" s="1"/>
  <c r="V31" i="43"/>
  <c r="X31" i="43" s="1"/>
  <c r="X39" i="43"/>
  <c r="AB36" i="43"/>
  <c r="AD36" i="43" s="1"/>
  <c r="V28" i="43"/>
  <c r="X28" i="43" s="1"/>
  <c r="X36" i="43"/>
  <c r="AB21" i="43"/>
  <c r="AD21" i="43" s="1"/>
  <c r="U21" i="43"/>
  <c r="S32" i="43"/>
  <c r="U40" i="43"/>
  <c r="J17" i="43"/>
  <c r="L17" i="43" s="1"/>
  <c r="L13" i="43"/>
  <c r="AB40" i="43"/>
  <c r="AD40" i="43" s="1"/>
  <c r="V32" i="43"/>
  <c r="X32" i="43" s="1"/>
  <c r="X40" i="43"/>
  <c r="S28" i="43"/>
  <c r="U36" i="43"/>
  <c r="L15" i="43"/>
  <c r="AB22" i="43"/>
  <c r="AD22" i="43" s="1"/>
  <c r="U22" i="43"/>
  <c r="AB24" i="43"/>
  <c r="AD24" i="43" s="1"/>
  <c r="U24" i="43"/>
  <c r="V12" i="43"/>
  <c r="V9" i="43"/>
  <c r="X9" i="43" s="1"/>
  <c r="X8" i="43"/>
  <c r="P40" i="43"/>
  <c r="I40" i="43"/>
  <c r="P13" i="43"/>
  <c r="G17" i="43"/>
  <c r="I17" i="43" s="1"/>
  <c r="I13" i="43"/>
  <c r="P15" i="43"/>
  <c r="I15" i="43"/>
  <c r="P19" i="43"/>
  <c r="I19" i="43"/>
  <c r="G20" i="43"/>
  <c r="I20" i="43" s="1"/>
  <c r="AB8" i="43"/>
  <c r="S12" i="43"/>
  <c r="U8" i="43"/>
  <c r="S29" i="43"/>
  <c r="U37" i="43"/>
  <c r="J20" i="43"/>
  <c r="L20" i="43" s="1"/>
  <c r="L18" i="43"/>
  <c r="P18" i="43"/>
  <c r="AB23" i="43"/>
  <c r="AD23" i="43" s="1"/>
  <c r="U23" i="43"/>
  <c r="AB20" i="43"/>
  <c r="AD20" i="43" s="1"/>
  <c r="AD18" i="43"/>
  <c r="L26" i="43"/>
  <c r="G32" i="43"/>
  <c r="I32" i="43" s="1"/>
  <c r="L25" i="43"/>
  <c r="L24" i="43"/>
  <c r="L23" i="43"/>
  <c r="G29" i="43"/>
  <c r="I29" i="43" s="1"/>
  <c r="L22" i="43"/>
  <c r="L21" i="43"/>
  <c r="G14" i="43"/>
  <c r="I14" i="43" s="1"/>
  <c r="U12" i="43" l="1"/>
  <c r="J27" i="43"/>
  <c r="L27" i="43" s="1"/>
  <c r="J42" i="43"/>
  <c r="L41" i="43"/>
  <c r="AH36" i="43"/>
  <c r="AJ36" i="43" s="1"/>
  <c r="R36" i="43"/>
  <c r="P17" i="43"/>
  <c r="R17" i="43" s="1"/>
  <c r="AH13" i="43"/>
  <c r="R13" i="43"/>
  <c r="J28" i="43"/>
  <c r="L28" i="43" s="1"/>
  <c r="P22" i="43"/>
  <c r="I22" i="43"/>
  <c r="P20" i="43"/>
  <c r="R20" i="43" s="1"/>
  <c r="AH18" i="43"/>
  <c r="R18" i="43"/>
  <c r="AB32" i="43"/>
  <c r="AD32" i="43" s="1"/>
  <c r="U32" i="43"/>
  <c r="S11" i="43"/>
  <c r="U11" i="43" s="1"/>
  <c r="AB27" i="43"/>
  <c r="AD27" i="43" s="1"/>
  <c r="U27" i="43"/>
  <c r="AB16" i="43"/>
  <c r="AD16" i="43" s="1"/>
  <c r="AD15" i="43"/>
  <c r="L10" i="43"/>
  <c r="P24" i="43"/>
  <c r="I24" i="43"/>
  <c r="AB29" i="43"/>
  <c r="AD29" i="43" s="1"/>
  <c r="U29" i="43"/>
  <c r="V11" i="43"/>
  <c r="X11" i="43" s="1"/>
  <c r="X12" i="43"/>
  <c r="G30" i="43"/>
  <c r="I30" i="43" s="1"/>
  <c r="AB31" i="43"/>
  <c r="AD31" i="43" s="1"/>
  <c r="U31" i="43"/>
  <c r="S42" i="43"/>
  <c r="AB41" i="43"/>
  <c r="U41" i="43"/>
  <c r="AH38" i="43"/>
  <c r="AJ38" i="43" s="1"/>
  <c r="R38" i="43"/>
  <c r="J31" i="43"/>
  <c r="L31" i="43" s="1"/>
  <c r="P21" i="43"/>
  <c r="I21" i="43"/>
  <c r="P25" i="43"/>
  <c r="I25" i="43"/>
  <c r="S9" i="43"/>
  <c r="U9" i="43" s="1"/>
  <c r="P41" i="43"/>
  <c r="G42" i="43"/>
  <c r="I41" i="43"/>
  <c r="AB12" i="43"/>
  <c r="AD8" i="43"/>
  <c r="V42" i="43"/>
  <c r="X41" i="43"/>
  <c r="G27" i="43"/>
  <c r="I27" i="43" s="1"/>
  <c r="P10" i="43"/>
  <c r="G11" i="43"/>
  <c r="I11" i="43" s="1"/>
  <c r="I10" i="43"/>
  <c r="AH40" i="43"/>
  <c r="AJ40" i="43" s="1"/>
  <c r="R40" i="43"/>
  <c r="AH35" i="43"/>
  <c r="AJ35" i="43" s="1"/>
  <c r="R35" i="43"/>
  <c r="J12" i="43"/>
  <c r="L8" i="43"/>
  <c r="AB14" i="43"/>
  <c r="AD14" i="43" s="1"/>
  <c r="AB17" i="43"/>
  <c r="AD17" i="43" s="1"/>
  <c r="AD13" i="43"/>
  <c r="J16" i="43"/>
  <c r="L16" i="43" s="1"/>
  <c r="AH37" i="43"/>
  <c r="AJ37" i="43" s="1"/>
  <c r="R37" i="43"/>
  <c r="P8" i="43"/>
  <c r="G12" i="43"/>
  <c r="I12" i="43" s="1"/>
  <c r="I8" i="43"/>
  <c r="AB11" i="43"/>
  <c r="AD11" i="43" s="1"/>
  <c r="AD10" i="43"/>
  <c r="AH19" i="43"/>
  <c r="AJ19" i="43" s="1"/>
  <c r="R19" i="43"/>
  <c r="J32" i="43"/>
  <c r="L32" i="43" s="1"/>
  <c r="J30" i="43"/>
  <c r="L30" i="43" s="1"/>
  <c r="J14" i="43"/>
  <c r="L14" i="43" s="1"/>
  <c r="P23" i="43"/>
  <c r="I23" i="43"/>
  <c r="AB28" i="43"/>
  <c r="AD28" i="43" s="1"/>
  <c r="U28" i="43"/>
  <c r="G31" i="43"/>
  <c r="I31" i="43" s="1"/>
  <c r="AB30" i="43"/>
  <c r="AD30" i="43" s="1"/>
  <c r="U30" i="43"/>
  <c r="AH15" i="43"/>
  <c r="R15" i="43"/>
  <c r="P26" i="43"/>
  <c r="I26" i="43"/>
  <c r="G16" i="43"/>
  <c r="I16" i="43" s="1"/>
  <c r="AH39" i="43"/>
  <c r="R39" i="43"/>
  <c r="G28" i="43"/>
  <c r="I28" i="43" s="1"/>
  <c r="G9" i="43" l="1"/>
  <c r="I9" i="43" s="1"/>
  <c r="AH25" i="43"/>
  <c r="AJ25" i="43" s="1"/>
  <c r="R25" i="43"/>
  <c r="J9" i="43"/>
  <c r="L9" i="43" s="1"/>
  <c r="L12" i="43"/>
  <c r="P16" i="43"/>
  <c r="R16" i="43" s="1"/>
  <c r="AH10" i="43"/>
  <c r="AJ10" i="43" s="1"/>
  <c r="R10" i="43"/>
  <c r="AH22" i="43"/>
  <c r="R22" i="43"/>
  <c r="AH21" i="43"/>
  <c r="R21" i="43"/>
  <c r="AH26" i="43"/>
  <c r="R26" i="43"/>
  <c r="P14" i="43"/>
  <c r="R14" i="43" s="1"/>
  <c r="P12" i="43"/>
  <c r="AH8" i="43"/>
  <c r="AH14" i="43" s="1"/>
  <c r="AJ14" i="43" s="1"/>
  <c r="R8" i="43"/>
  <c r="AB9" i="43"/>
  <c r="AD9" i="43" s="1"/>
  <c r="AD12" i="43"/>
  <c r="AH17" i="43"/>
  <c r="AJ17" i="43" s="1"/>
  <c r="AJ13" i="43"/>
  <c r="AB42" i="43"/>
  <c r="AD41" i="43"/>
  <c r="AJ39" i="43"/>
  <c r="P42" i="43"/>
  <c r="AH41" i="43"/>
  <c r="R41" i="43"/>
  <c r="AH24" i="43"/>
  <c r="R24" i="43"/>
  <c r="AH20" i="43"/>
  <c r="AJ18" i="43"/>
  <c r="AH23" i="43"/>
  <c r="R23" i="43"/>
  <c r="AH16" i="43"/>
  <c r="AJ16" i="43" s="1"/>
  <c r="AJ15" i="43"/>
  <c r="J11" i="43"/>
  <c r="L11" i="43" s="1"/>
  <c r="R12" i="43" l="1"/>
  <c r="AH31" i="43"/>
  <c r="AJ31" i="43" s="1"/>
  <c r="P9" i="43"/>
  <c r="R9" i="43" s="1"/>
  <c r="AJ20" i="43"/>
  <c r="AH30" i="43"/>
  <c r="AJ30" i="43" s="1"/>
  <c r="AJ24" i="43"/>
  <c r="AH28" i="43"/>
  <c r="AJ28" i="43" s="1"/>
  <c r="AJ22" i="43"/>
  <c r="P11" i="43"/>
  <c r="R11" i="43" s="1"/>
  <c r="AH42" i="43"/>
  <c r="AJ41" i="43"/>
  <c r="AH29" i="43"/>
  <c r="AJ29" i="43" s="1"/>
  <c r="AJ23" i="43"/>
  <c r="AH27" i="43"/>
  <c r="AJ27" i="43" s="1"/>
  <c r="AJ21" i="43"/>
  <c r="AH12" i="43"/>
  <c r="AH9" i="43" s="1"/>
  <c r="AJ9" i="43" s="1"/>
  <c r="AJ8" i="43"/>
  <c r="AH32" i="43"/>
  <c r="AJ32" i="43" s="1"/>
  <c r="AJ26" i="43"/>
  <c r="AH11" i="43" l="1"/>
  <c r="AJ11" i="43" s="1"/>
  <c r="AJ12" i="43"/>
  <c r="AI30" i="42" l="1"/>
  <c r="Q35" i="42"/>
  <c r="S35" i="42"/>
  <c r="R25" i="42"/>
  <c r="S38" i="42"/>
  <c r="Q38" i="42"/>
  <c r="R32" i="42"/>
  <c r="M26" i="42"/>
  <c r="O25" i="42"/>
  <c r="Q40" i="42"/>
  <c r="S40" i="42"/>
  <c r="Q36" i="42"/>
  <c r="S36" i="42"/>
  <c r="AJ20" i="1"/>
  <c r="W32" i="42"/>
  <c r="W26" i="42"/>
  <c r="O24" i="42"/>
  <c r="M25" i="42"/>
  <c r="T60" i="42"/>
  <c r="Q37" i="42"/>
  <c r="S37" i="42"/>
  <c r="O26" i="42"/>
  <c r="T58" i="42"/>
  <c r="AG21" i="1"/>
  <c r="T51" i="42"/>
  <c r="W24" i="42"/>
  <c r="O41" i="42"/>
  <c r="AI29" i="42"/>
  <c r="AJ19" i="1"/>
  <c r="R41" i="42"/>
  <c r="R26" i="42"/>
  <c r="T26" i="42"/>
  <c r="AG19" i="1"/>
  <c r="J26" i="42"/>
  <c r="AG20" i="1"/>
  <c r="T41" i="42"/>
  <c r="AG26" i="1" s="1"/>
  <c r="O32" i="42"/>
  <c r="J25" i="42"/>
  <c r="AJ21" i="1"/>
  <c r="W41" i="42"/>
  <c r="AJ26" i="1" s="1"/>
  <c r="J32" i="42"/>
  <c r="T59" i="42"/>
  <c r="T57" i="42"/>
  <c r="AI31" i="42"/>
  <c r="V40" i="42"/>
  <c r="M32" i="42"/>
  <c r="J24" i="42"/>
  <c r="W25" i="42"/>
  <c r="T56" i="42"/>
  <c r="T25" i="42"/>
  <c r="T24" i="42"/>
  <c r="T32" i="42"/>
  <c r="T52" i="42" s="1"/>
  <c r="M24" i="42"/>
  <c r="R24" i="42"/>
  <c r="AG22" i="1" l="1"/>
  <c r="W27" i="42"/>
  <c r="W43" i="42" s="1"/>
  <c r="W47" i="42" s="1"/>
  <c r="J27" i="42"/>
  <c r="J47" i="42" s="1"/>
  <c r="AJ22" i="1"/>
  <c r="AJ23" i="1"/>
  <c r="T27" i="42"/>
  <c r="AI32" i="42"/>
  <c r="M27" i="42"/>
  <c r="M47" i="42" s="1"/>
  <c r="O27" i="42"/>
  <c r="O43" i="42" s="1"/>
  <c r="O47" i="42" s="1"/>
  <c r="T61" i="42"/>
  <c r="T43" i="42"/>
  <c r="T50" i="42"/>
  <c r="R27" i="42"/>
  <c r="R43" i="42" s="1"/>
  <c r="R47" i="42" s="1"/>
  <c r="AG23" i="1"/>
  <c r="T54" i="42" l="1"/>
  <c r="T47" i="42"/>
  <c r="T44" i="42"/>
  <c r="Q15" i="34" l="1"/>
  <c r="AE10" i="46" l="1"/>
  <c r="AE10" i="2"/>
  <c r="T15" i="34"/>
  <c r="J15" i="36" l="1"/>
  <c r="P15" i="36" l="1"/>
  <c r="G15" i="36"/>
  <c r="M15" i="36"/>
  <c r="S15" i="36"/>
  <c r="V15" i="36"/>
  <c r="S15" i="37" l="1"/>
  <c r="P15" i="34"/>
  <c r="P15" i="37"/>
  <c r="V15" i="37"/>
  <c r="M15" i="34"/>
  <c r="G15" i="37"/>
  <c r="J15" i="33"/>
  <c r="J15" i="37" l="1"/>
  <c r="M15" i="37" l="1"/>
  <c r="N15" i="33"/>
  <c r="R15" i="34" l="1"/>
  <c r="S15" i="34" s="1"/>
  <c r="J15" i="34"/>
  <c r="G15" i="34"/>
  <c r="U15" i="34" l="1"/>
  <c r="V15" i="34" s="1"/>
  <c r="R15" i="33"/>
  <c r="AF10" i="46" l="1"/>
  <c r="AF10" i="2"/>
  <c r="P23" i="34" l="1"/>
  <c r="M23" i="34"/>
  <c r="P27" i="34"/>
  <c r="M27" i="34"/>
  <c r="P13" i="34"/>
  <c r="M13" i="34"/>
  <c r="P22" i="34"/>
  <c r="M22" i="34"/>
  <c r="P24" i="34"/>
  <c r="M24" i="34"/>
  <c r="P25" i="34"/>
  <c r="M25" i="34"/>
  <c r="P17" i="34"/>
  <c r="M17" i="34"/>
  <c r="P28" i="34"/>
  <c r="M28" i="34"/>
  <c r="P21" i="34"/>
  <c r="M21" i="34"/>
  <c r="P16" i="34"/>
  <c r="M16" i="34"/>
  <c r="P18" i="34"/>
  <c r="M18" i="34"/>
  <c r="P20" i="34"/>
  <c r="M20" i="34"/>
  <c r="P14" i="34"/>
  <c r="M14" i="34"/>
  <c r="P19" i="34"/>
  <c r="M19" i="34"/>
  <c r="P26" i="34"/>
  <c r="M26" i="34"/>
  <c r="Q25" i="34" l="1"/>
  <c r="Q22" i="34"/>
  <c r="P11" i="34"/>
  <c r="M11" i="34"/>
  <c r="M10" i="34"/>
  <c r="P10" i="34"/>
  <c r="Q18" i="34" l="1"/>
  <c r="T25" i="34"/>
  <c r="Q23" i="34"/>
  <c r="Q27" i="34"/>
  <c r="Q21" i="34"/>
  <c r="AE20" i="46"/>
  <c r="AE20" i="2"/>
  <c r="AE17" i="46"/>
  <c r="AE17" i="2"/>
  <c r="J24" i="34"/>
  <c r="Q24" i="34"/>
  <c r="Q20" i="34"/>
  <c r="Q26" i="34"/>
  <c r="Q14" i="34"/>
  <c r="T22" i="34"/>
  <c r="Q16" i="34"/>
  <c r="Q13" i="34"/>
  <c r="Q28" i="34"/>
  <c r="Q19" i="34"/>
  <c r="Q17" i="34"/>
  <c r="T18" i="34"/>
  <c r="R16" i="34"/>
  <c r="R13" i="34"/>
  <c r="R27" i="34"/>
  <c r="R18" i="34"/>
  <c r="R21" i="34"/>
  <c r="R17" i="34"/>
  <c r="R14" i="34"/>
  <c r="R20" i="34"/>
  <c r="R23" i="34"/>
  <c r="R26" i="34"/>
  <c r="R24" i="34"/>
  <c r="R28" i="34"/>
  <c r="R19" i="34"/>
  <c r="S24" i="34" l="1"/>
  <c r="J17" i="34"/>
  <c r="J19" i="34"/>
  <c r="J28" i="34"/>
  <c r="J18" i="34"/>
  <c r="J13" i="34"/>
  <c r="S18" i="34"/>
  <c r="J16" i="34"/>
  <c r="J21" i="34"/>
  <c r="S16" i="34"/>
  <c r="S21" i="34"/>
  <c r="J14" i="34"/>
  <c r="J26" i="34"/>
  <c r="R25" i="34"/>
  <c r="S25" i="34" s="1"/>
  <c r="J25" i="34"/>
  <c r="S26" i="34"/>
  <c r="J27" i="34"/>
  <c r="R22" i="34"/>
  <c r="S22" i="34" s="1"/>
  <c r="J22" i="34"/>
  <c r="S20" i="34"/>
  <c r="J23" i="34"/>
  <c r="J20" i="34"/>
  <c r="T16" i="34"/>
  <c r="T20" i="34"/>
  <c r="Q10" i="34"/>
  <c r="T10" i="34"/>
  <c r="Q11" i="34"/>
  <c r="AE22" i="2"/>
  <c r="AE22" i="46"/>
  <c r="S19" i="34"/>
  <c r="T19" i="34"/>
  <c r="S23" i="34"/>
  <c r="T23" i="34"/>
  <c r="AE23" i="46"/>
  <c r="AE23" i="2"/>
  <c r="S28" i="34"/>
  <c r="T28" i="34"/>
  <c r="T11" i="34"/>
  <c r="AE9" i="2"/>
  <c r="AE9" i="46"/>
  <c r="AE16" i="2"/>
  <c r="AE16" i="46"/>
  <c r="AE18" i="46"/>
  <c r="AE18" i="2"/>
  <c r="S13" i="34"/>
  <c r="T13" i="34"/>
  <c r="S17" i="34"/>
  <c r="T17" i="34"/>
  <c r="AE11" i="46"/>
  <c r="AE11" i="2"/>
  <c r="T26" i="34"/>
  <c r="AE12" i="2"/>
  <c r="AE12" i="46"/>
  <c r="AE21" i="2"/>
  <c r="AE21" i="46"/>
  <c r="S14" i="34"/>
  <c r="T14" i="34"/>
  <c r="AE14" i="46"/>
  <c r="AE14" i="2"/>
  <c r="T24" i="34"/>
  <c r="T21" i="34"/>
  <c r="S27" i="34"/>
  <c r="T27" i="34"/>
  <c r="AE19" i="2"/>
  <c r="AE19" i="46"/>
  <c r="R11" i="34"/>
  <c r="S11" i="34" l="1"/>
  <c r="J11" i="34"/>
  <c r="AE15" i="2"/>
  <c r="AE15" i="46"/>
  <c r="AE8" i="46"/>
  <c r="AE8" i="2"/>
  <c r="AE13" i="46"/>
  <c r="AE13" i="2"/>
  <c r="AE25" i="2"/>
  <c r="AE25" i="46"/>
  <c r="AE26" i="2"/>
  <c r="AE26" i="46"/>
  <c r="R9" i="34" l="1"/>
  <c r="P8" i="34" l="1"/>
  <c r="M8" i="34"/>
  <c r="P9" i="34"/>
  <c r="M9" i="34"/>
  <c r="S12" i="1" l="1"/>
  <c r="Q8" i="34" l="1"/>
  <c r="J9" i="34"/>
  <c r="Q9" i="34"/>
  <c r="S9" i="34" s="1"/>
  <c r="T8" i="34"/>
  <c r="T9" i="34" l="1"/>
  <c r="AE24" i="46" l="1"/>
  <c r="AE24" i="2"/>
  <c r="AE27" i="46"/>
  <c r="AE27" i="2"/>
  <c r="M12" i="34" l="1"/>
  <c r="P12" i="34"/>
  <c r="Q12" i="34" l="1"/>
  <c r="AE7" i="46" l="1"/>
  <c r="AE7" i="2"/>
  <c r="T12" i="34"/>
  <c r="R12" i="34" l="1"/>
  <c r="S12" i="34" s="1"/>
  <c r="J12" i="34"/>
  <c r="R10" i="34" l="1"/>
  <c r="S10" i="34" s="1"/>
  <c r="J10" i="34"/>
  <c r="R8" i="34"/>
  <c r="S8" i="34" s="1"/>
  <c r="J8" i="34"/>
  <c r="J24" i="33" l="1"/>
  <c r="J12" i="33"/>
  <c r="J25" i="33" l="1"/>
  <c r="J28" i="33"/>
  <c r="J22" i="33"/>
  <c r="J21" i="33"/>
  <c r="J23" i="33"/>
  <c r="J16" i="33"/>
  <c r="J27" i="33"/>
  <c r="J19" i="33"/>
  <c r="J17" i="33"/>
  <c r="J26" i="33"/>
  <c r="J14" i="33"/>
  <c r="J13" i="33"/>
  <c r="J18" i="33"/>
  <c r="J20" i="33"/>
  <c r="J8" i="33" l="1"/>
  <c r="J10" i="33" l="1"/>
  <c r="J11" i="33"/>
  <c r="J9" i="33"/>
  <c r="W9" i="1" l="1"/>
  <c r="T12" i="1"/>
  <c r="U9" i="1"/>
  <c r="W11" i="1"/>
  <c r="U11" i="1"/>
  <c r="W10" i="1"/>
  <c r="U10" i="1"/>
  <c r="W12" i="1" l="1"/>
  <c r="U12" i="1"/>
  <c r="AF8" i="2" l="1"/>
  <c r="AF8" i="46"/>
  <c r="N13" i="33"/>
  <c r="AF17" i="2" l="1"/>
  <c r="N22" i="33"/>
  <c r="AF17" i="46"/>
  <c r="AF20" i="46"/>
  <c r="AF20" i="2"/>
  <c r="N25" i="33"/>
  <c r="AF13" i="2"/>
  <c r="AF13" i="46"/>
  <c r="N18" i="33"/>
  <c r="W15" i="1"/>
  <c r="U15" i="1"/>
  <c r="AF12" i="2"/>
  <c r="AF12" i="46"/>
  <c r="N17" i="33"/>
  <c r="AF9" i="46"/>
  <c r="N14" i="33"/>
  <c r="AF9" i="2"/>
  <c r="N24" i="33"/>
  <c r="AF19" i="46"/>
  <c r="AF19" i="2"/>
  <c r="AF16" i="2"/>
  <c r="N21" i="33"/>
  <c r="AF16" i="46"/>
  <c r="N16" i="33"/>
  <c r="AF11" i="2"/>
  <c r="AF11" i="46"/>
  <c r="N12" i="33"/>
  <c r="AF7" i="2"/>
  <c r="AF7" i="46"/>
  <c r="W14" i="1"/>
  <c r="U14" i="1"/>
  <c r="W16" i="1"/>
  <c r="U16" i="1"/>
  <c r="W13" i="1"/>
  <c r="U13" i="1"/>
  <c r="N20" i="33"/>
  <c r="AF15" i="2"/>
  <c r="AF15" i="46"/>
  <c r="N26" i="33"/>
  <c r="AF21" i="2"/>
  <c r="AF21" i="46"/>
  <c r="U13" i="34"/>
  <c r="V13" i="34" s="1"/>
  <c r="G13" i="34"/>
  <c r="N19" i="33"/>
  <c r="AF14" i="46"/>
  <c r="AF14" i="2"/>
  <c r="AF22" i="2"/>
  <c r="N27" i="33"/>
  <c r="AF22" i="46"/>
  <c r="AF18" i="2"/>
  <c r="N23" i="33"/>
  <c r="AF18" i="46"/>
  <c r="N28" i="33"/>
  <c r="AF23" i="2"/>
  <c r="AF23" i="46"/>
  <c r="U12" i="34" l="1"/>
  <c r="V12" i="34" s="1"/>
  <c r="G12" i="34"/>
  <c r="U14" i="34"/>
  <c r="V14" i="34" s="1"/>
  <c r="G14" i="34"/>
  <c r="U19" i="34"/>
  <c r="V19" i="34" s="1"/>
  <c r="G19" i="34"/>
  <c r="U17" i="34"/>
  <c r="V17" i="34" s="1"/>
  <c r="G17" i="34"/>
  <c r="U16" i="34"/>
  <c r="V16" i="34" s="1"/>
  <c r="G16" i="34"/>
  <c r="U26" i="34"/>
  <c r="V26" i="34" s="1"/>
  <c r="G26" i="34"/>
  <c r="U18" i="34"/>
  <c r="V18" i="34" s="1"/>
  <c r="G18" i="34"/>
  <c r="N11" i="33"/>
  <c r="AF26" i="2"/>
  <c r="AF26" i="46"/>
  <c r="U28" i="34"/>
  <c r="V28" i="34" s="1"/>
  <c r="G28" i="34"/>
  <c r="U21" i="34"/>
  <c r="V21" i="34" s="1"/>
  <c r="G21" i="34"/>
  <c r="U20" i="34"/>
  <c r="V20" i="34" s="1"/>
  <c r="G20" i="34"/>
  <c r="U23" i="34"/>
  <c r="V23" i="34" s="1"/>
  <c r="G23" i="34"/>
  <c r="U25" i="34"/>
  <c r="V25" i="34" s="1"/>
  <c r="G25" i="34"/>
  <c r="U24" i="34"/>
  <c r="V24" i="34" s="1"/>
  <c r="G24" i="34"/>
  <c r="AF25" i="2"/>
  <c r="AF25" i="46"/>
  <c r="N10" i="33"/>
  <c r="U22" i="34"/>
  <c r="V22" i="34" s="1"/>
  <c r="G22" i="34"/>
  <c r="N8" i="33"/>
  <c r="AF27" i="2"/>
  <c r="AF27" i="46"/>
  <c r="AF24" i="46"/>
  <c r="AF24" i="2"/>
  <c r="N9" i="33"/>
  <c r="U27" i="34"/>
  <c r="V27" i="34" s="1"/>
  <c r="G27" i="34"/>
  <c r="U11" i="34" l="1"/>
  <c r="V11" i="34" s="1"/>
  <c r="G11" i="34"/>
  <c r="W20" i="1"/>
  <c r="U20" i="1"/>
  <c r="U10" i="34"/>
  <c r="V10" i="34" s="1"/>
  <c r="G10" i="34"/>
  <c r="U8" i="34"/>
  <c r="V8" i="34" s="1"/>
  <c r="G8" i="34"/>
  <c r="W18" i="1"/>
  <c r="U18" i="1"/>
  <c r="W19" i="1"/>
  <c r="U19" i="1"/>
  <c r="W17" i="1"/>
  <c r="U17" i="1"/>
  <c r="U9" i="34"/>
  <c r="V9" i="34" s="1"/>
  <c r="G9" i="34"/>
  <c r="R12" i="33" l="1"/>
  <c r="R14" i="33" l="1"/>
  <c r="R24" i="33" l="1"/>
  <c r="R27" i="33" l="1"/>
  <c r="R19" i="33" l="1"/>
  <c r="R20" i="33"/>
  <c r="R17" i="33" l="1"/>
  <c r="R26" i="33"/>
  <c r="R21" i="33"/>
  <c r="R22" i="33"/>
  <c r="R28" i="33"/>
  <c r="R23" i="33"/>
  <c r="R16" i="33"/>
  <c r="R18" i="33"/>
  <c r="R10" i="33" l="1"/>
  <c r="R25" i="33"/>
  <c r="R11" i="33" l="1"/>
  <c r="R13" i="33" l="1"/>
  <c r="R8" i="33" l="1"/>
  <c r="R9" i="33"/>
  <c r="J28" i="36" l="1"/>
  <c r="G28" i="36"/>
  <c r="G28" i="37"/>
  <c r="J16" i="36" l="1"/>
  <c r="J14" i="36"/>
  <c r="J21" i="36"/>
  <c r="G18" i="36"/>
  <c r="G18" i="37"/>
  <c r="G21" i="36"/>
  <c r="G21" i="37"/>
  <c r="G26" i="36"/>
  <c r="G26" i="37"/>
  <c r="G22" i="36"/>
  <c r="G22" i="37"/>
  <c r="G25" i="36"/>
  <c r="G25" i="37"/>
  <c r="G16" i="36"/>
  <c r="G16" i="37"/>
  <c r="G23" i="36"/>
  <c r="G23" i="37"/>
  <c r="G12" i="36"/>
  <c r="G12" i="37"/>
  <c r="J13" i="36"/>
  <c r="J19" i="36"/>
  <c r="J17" i="36"/>
  <c r="J22" i="36"/>
  <c r="J20" i="36"/>
  <c r="J25" i="36"/>
  <c r="G24" i="36"/>
  <c r="G24" i="37"/>
  <c r="G13" i="36"/>
  <c r="G13" i="37"/>
  <c r="G27" i="36"/>
  <c r="G27" i="37"/>
  <c r="G17" i="36"/>
  <c r="G17" i="37"/>
  <c r="G19" i="36"/>
  <c r="G19" i="37"/>
  <c r="G14" i="36"/>
  <c r="G14" i="37"/>
  <c r="J26" i="36"/>
  <c r="J24" i="36"/>
  <c r="J18" i="36"/>
  <c r="J27" i="36"/>
  <c r="J23" i="36"/>
  <c r="G20" i="36"/>
  <c r="G20" i="37"/>
  <c r="G11" i="36" l="1"/>
  <c r="G11" i="37"/>
  <c r="J12" i="36"/>
  <c r="G9" i="36"/>
  <c r="G9" i="37"/>
  <c r="M28" i="36"/>
  <c r="J11" i="36"/>
  <c r="G8" i="36"/>
  <c r="G8" i="37"/>
  <c r="G10" i="36"/>
  <c r="G10" i="37"/>
  <c r="J10" i="36"/>
  <c r="M20" i="36" l="1"/>
  <c r="M17" i="36"/>
  <c r="M13" i="36"/>
  <c r="M16" i="36"/>
  <c r="M26" i="36"/>
  <c r="M21" i="36"/>
  <c r="M25" i="36"/>
  <c r="J9" i="36"/>
  <c r="M14" i="36"/>
  <c r="M18" i="36"/>
  <c r="M24" i="36"/>
  <c r="J8" i="36"/>
  <c r="M22" i="36"/>
  <c r="P28" i="36"/>
  <c r="M19" i="36"/>
  <c r="M27" i="36"/>
  <c r="M23" i="36"/>
  <c r="P24" i="36" l="1"/>
  <c r="P14" i="36"/>
  <c r="P22" i="36"/>
  <c r="M12" i="36"/>
  <c r="M10" i="36"/>
  <c r="P18" i="36"/>
  <c r="P26" i="36"/>
  <c r="P25" i="36"/>
  <c r="P16" i="36"/>
  <c r="P13" i="36"/>
  <c r="P21" i="36"/>
  <c r="P23" i="36"/>
  <c r="P20" i="36"/>
  <c r="P17" i="36"/>
  <c r="P19" i="36"/>
  <c r="P27" i="36"/>
  <c r="M11" i="36"/>
  <c r="J21" i="37" l="1"/>
  <c r="P10" i="36"/>
  <c r="P12" i="36"/>
  <c r="M9" i="36"/>
  <c r="P11" i="36"/>
  <c r="M8" i="36"/>
  <c r="J25" i="37" l="1"/>
  <c r="M25" i="37"/>
  <c r="J28" i="37"/>
  <c r="M28" i="37"/>
  <c r="M21" i="37"/>
  <c r="P8" i="36"/>
  <c r="J26" i="37"/>
  <c r="J19" i="37"/>
  <c r="J24" i="37"/>
  <c r="J27" i="37"/>
  <c r="J16" i="37"/>
  <c r="J14" i="37"/>
  <c r="J22" i="37"/>
  <c r="P9" i="36"/>
  <c r="J18" i="37"/>
  <c r="S28" i="36"/>
  <c r="P28" i="37"/>
  <c r="J20" i="37"/>
  <c r="M24" i="37" l="1"/>
  <c r="M26" i="37"/>
  <c r="M27" i="37"/>
  <c r="J13" i="37"/>
  <c r="M13" i="37"/>
  <c r="M20" i="37"/>
  <c r="M16" i="37"/>
  <c r="M18" i="37"/>
  <c r="M19" i="37"/>
  <c r="J23" i="37"/>
  <c r="M23" i="37"/>
  <c r="J17" i="37"/>
  <c r="M17" i="37"/>
  <c r="M14" i="37"/>
  <c r="M10" i="37"/>
  <c r="M22" i="37"/>
  <c r="S18" i="37"/>
  <c r="V18" i="36"/>
  <c r="V24" i="36"/>
  <c r="S24" i="37"/>
  <c r="V27" i="36"/>
  <c r="S27" i="37"/>
  <c r="J11" i="37"/>
  <c r="S23" i="36"/>
  <c r="P23" i="37"/>
  <c r="S13" i="36"/>
  <c r="P13" i="37"/>
  <c r="S14" i="36"/>
  <c r="P14" i="37"/>
  <c r="S25" i="36"/>
  <c r="P25" i="37"/>
  <c r="S12" i="36"/>
  <c r="P12" i="37"/>
  <c r="S21" i="37"/>
  <c r="V21" i="36"/>
  <c r="S17" i="37"/>
  <c r="V17" i="36"/>
  <c r="V22" i="36"/>
  <c r="S22" i="37"/>
  <c r="V23" i="36"/>
  <c r="S23" i="37"/>
  <c r="P17" i="37"/>
  <c r="S17" i="36"/>
  <c r="P21" i="37"/>
  <c r="S21" i="36"/>
  <c r="J10" i="37"/>
  <c r="S22" i="36"/>
  <c r="P22" i="37"/>
  <c r="S26" i="36"/>
  <c r="P26" i="37"/>
  <c r="S20" i="37"/>
  <c r="V20" i="36"/>
  <c r="V26" i="36"/>
  <c r="S26" i="37"/>
  <c r="V14" i="36"/>
  <c r="S14" i="37"/>
  <c r="V13" i="36"/>
  <c r="S13" i="37"/>
  <c r="V25" i="36"/>
  <c r="S25" i="37"/>
  <c r="V23" i="37"/>
  <c r="S27" i="36"/>
  <c r="P27" i="37"/>
  <c r="P18" i="37"/>
  <c r="S18" i="36"/>
  <c r="P16" i="37"/>
  <c r="S16" i="36"/>
  <c r="P19" i="37"/>
  <c r="S19" i="36"/>
  <c r="S16" i="37"/>
  <c r="V16" i="36"/>
  <c r="S19" i="37"/>
  <c r="V19" i="36"/>
  <c r="J9" i="37"/>
  <c r="P20" i="37"/>
  <c r="S20" i="36"/>
  <c r="J12" i="37"/>
  <c r="S24" i="36"/>
  <c r="P24" i="37"/>
  <c r="M11" i="37" l="1"/>
  <c r="M9" i="37"/>
  <c r="M12" i="37"/>
  <c r="V26" i="37"/>
  <c r="V20" i="37"/>
  <c r="S10" i="37"/>
  <c r="P10" i="37"/>
  <c r="P8" i="37"/>
  <c r="S8" i="36"/>
  <c r="J8" i="37"/>
  <c r="V14" i="37"/>
  <c r="V22" i="37"/>
  <c r="V17" i="37"/>
  <c r="V16" i="37"/>
  <c r="V28" i="36"/>
  <c r="S28" i="37"/>
  <c r="V12" i="36"/>
  <c r="S12" i="37"/>
  <c r="V25" i="37"/>
  <c r="V27" i="37"/>
  <c r="V18" i="37"/>
  <c r="V21" i="37"/>
  <c r="V24" i="37"/>
  <c r="V19" i="37"/>
  <c r="V13" i="37"/>
  <c r="V28" i="37"/>
  <c r="P11" i="37"/>
  <c r="P9" i="37"/>
  <c r="S11" i="36" l="1"/>
  <c r="S10" i="36"/>
  <c r="S9" i="36"/>
  <c r="V10" i="36"/>
  <c r="M8" i="37"/>
  <c r="S9" i="37"/>
  <c r="V12" i="37"/>
  <c r="V11" i="37"/>
  <c r="S11" i="37"/>
  <c r="S8" i="37"/>
  <c r="V8" i="36"/>
  <c r="V10" i="37"/>
  <c r="V9" i="36" l="1"/>
  <c r="V11" i="36"/>
  <c r="V9" i="37"/>
  <c r="V8" i="37"/>
  <c r="V15" i="33" l="1"/>
  <c r="V28" i="33" l="1"/>
  <c r="G15" i="33"/>
  <c r="Y15" i="33" s="1"/>
  <c r="Z15" i="33" s="1"/>
  <c r="G28" i="33" l="1"/>
  <c r="Y28" i="33" s="1"/>
  <c r="Z28" i="33" s="1"/>
  <c r="V12" i="33" l="1"/>
  <c r="G12" i="33" l="1"/>
  <c r="Y12" i="33" s="1"/>
  <c r="Z12" i="33" s="1"/>
  <c r="V13" i="33" l="1"/>
  <c r="G13" i="33" l="1"/>
  <c r="Y13" i="33" s="1"/>
  <c r="Z13" i="33" s="1"/>
  <c r="V14" i="33"/>
  <c r="V9" i="33" l="1"/>
  <c r="G14" i="33" l="1"/>
  <c r="Y14" i="33" s="1"/>
  <c r="Z14" i="33" s="1"/>
  <c r="V24" i="33" l="1"/>
  <c r="G9" i="33"/>
  <c r="Y9" i="33" s="1"/>
  <c r="Z9" i="33" s="1"/>
  <c r="V27" i="33" l="1"/>
  <c r="G24" i="33"/>
  <c r="Y24" i="33" s="1"/>
  <c r="Z24" i="33" s="1"/>
  <c r="G27" i="33" l="1"/>
  <c r="Y27" i="33" s="1"/>
  <c r="Z27" i="33" s="1"/>
  <c r="V22" i="33"/>
  <c r="V23" i="33" l="1"/>
  <c r="G22" i="33" l="1"/>
  <c r="Y22" i="33" s="1"/>
  <c r="Z22" i="33" s="1"/>
  <c r="V21" i="33"/>
  <c r="G23" i="33" l="1"/>
  <c r="Y23" i="33" s="1"/>
  <c r="Z23" i="33" s="1"/>
  <c r="V16" i="33" l="1"/>
  <c r="G21" i="33"/>
  <c r="Y21" i="33" s="1"/>
  <c r="Z21" i="33" s="1"/>
  <c r="V17" i="33" l="1"/>
  <c r="G16" i="33" l="1"/>
  <c r="Y16" i="33" s="1"/>
  <c r="Z16" i="33" s="1"/>
  <c r="V19" i="33"/>
  <c r="G17" i="33" l="1"/>
  <c r="Y17" i="33" s="1"/>
  <c r="Z17" i="33" s="1"/>
  <c r="V20" i="33"/>
  <c r="G19" i="33" l="1"/>
  <c r="Y19" i="33" s="1"/>
  <c r="Z19" i="33" s="1"/>
  <c r="V18" i="33"/>
  <c r="G20" i="33" l="1"/>
  <c r="Y20" i="33" s="1"/>
  <c r="Z20" i="33" s="1"/>
  <c r="V10" i="33"/>
  <c r="V26" i="33"/>
  <c r="G18" i="33" l="1"/>
  <c r="Y18" i="33" s="1"/>
  <c r="Z18" i="33" s="1"/>
  <c r="G26" i="33" l="1"/>
  <c r="Y26" i="33" s="1"/>
  <c r="Z26" i="33" s="1"/>
  <c r="V25" i="33"/>
  <c r="G10" i="33"/>
  <c r="Y10" i="33" s="1"/>
  <c r="Z10" i="33" s="1"/>
  <c r="V8" i="33" l="1"/>
  <c r="V11" i="33"/>
  <c r="G25" i="33" l="1"/>
  <c r="Y25" i="33" s="1"/>
  <c r="Z25" i="33" s="1"/>
  <c r="G11" i="33" l="1"/>
  <c r="Y11" i="33" s="1"/>
  <c r="Z11" i="33" s="1"/>
  <c r="G8" i="33"/>
  <c r="Y8" i="33" s="1"/>
  <c r="Z8" i="33" s="1"/>
  <c r="U24" i="1" l="1"/>
  <c r="L13" i="29" l="1"/>
  <c r="H13" i="29"/>
  <c r="G14" i="29"/>
  <c r="G20" i="29"/>
  <c r="J13" i="29"/>
  <c r="L25" i="29"/>
  <c r="J25" i="29"/>
  <c r="H25" i="29"/>
  <c r="L16" i="29"/>
  <c r="H16" i="29"/>
  <c r="J16" i="29"/>
  <c r="G17" i="29"/>
  <c r="U23" i="1"/>
  <c r="M16" i="29" l="1"/>
  <c r="L17" i="29"/>
  <c r="O16" i="29"/>
  <c r="M25" i="29"/>
  <c r="O25" i="29"/>
  <c r="G21" i="29"/>
  <c r="G22" i="29"/>
  <c r="J20" i="29"/>
  <c r="H20" i="29"/>
  <c r="L24" i="29"/>
  <c r="J24" i="29"/>
  <c r="G26" i="29"/>
  <c r="H24" i="29"/>
  <c r="J17" i="29"/>
  <c r="H17" i="29"/>
  <c r="H14" i="29"/>
  <c r="J14" i="29"/>
  <c r="L14" i="29"/>
  <c r="L20" i="29"/>
  <c r="O13" i="29"/>
  <c r="M13" i="29"/>
  <c r="L21" i="29" l="1"/>
  <c r="M20" i="29"/>
  <c r="O20" i="29"/>
  <c r="G27" i="29"/>
  <c r="H22" i="29"/>
  <c r="G23" i="29"/>
  <c r="J22" i="29"/>
  <c r="O14" i="29"/>
  <c r="M14" i="29"/>
  <c r="L22" i="29"/>
  <c r="H21" i="29"/>
  <c r="J21" i="29"/>
  <c r="M17" i="29"/>
  <c r="O17" i="29"/>
  <c r="J26" i="29"/>
  <c r="H26" i="29"/>
  <c r="L26" i="29"/>
  <c r="M24" i="29"/>
  <c r="O24" i="29"/>
  <c r="L36" i="29"/>
  <c r="G28" i="29" l="1"/>
  <c r="J27" i="29"/>
  <c r="G37" i="29"/>
  <c r="G38" i="29"/>
  <c r="H27" i="29"/>
  <c r="L27" i="29"/>
  <c r="L23" i="29"/>
  <c r="O22" i="29"/>
  <c r="M22" i="29"/>
  <c r="M26" i="29"/>
  <c r="O26" i="29"/>
  <c r="J23" i="29"/>
  <c r="H23" i="29"/>
  <c r="O21" i="29"/>
  <c r="M21" i="29"/>
  <c r="L38" i="29" l="1"/>
  <c r="L37" i="29"/>
  <c r="O27" i="29"/>
  <c r="L28" i="29"/>
  <c r="M27" i="29"/>
  <c r="O23" i="29"/>
  <c r="M23" i="29"/>
  <c r="H28" i="29"/>
  <c r="J28" i="29"/>
  <c r="O28" i="29" l="1"/>
  <c r="M28" i="29"/>
  <c r="F8" i="1" l="1"/>
  <c r="K28" i="46"/>
  <c r="K28" i="2"/>
  <c r="K28" i="42" l="1"/>
  <c r="K28" i="45"/>
  <c r="L28" i="2"/>
  <c r="N28" i="2"/>
  <c r="N28" i="46"/>
  <c r="L28" i="46"/>
  <c r="K8" i="1"/>
  <c r="AC8" i="1"/>
  <c r="I8" i="1"/>
  <c r="G8" i="1"/>
  <c r="AD8" i="1" l="1"/>
  <c r="AF8" i="1"/>
  <c r="L28" i="45"/>
  <c r="N28" i="45"/>
  <c r="G28" i="45"/>
  <c r="AH8" i="1"/>
  <c r="L8" i="1"/>
  <c r="N8" i="1"/>
  <c r="N28" i="42"/>
  <c r="L28" i="42"/>
  <c r="G28" i="42"/>
  <c r="AI8" i="1" l="1"/>
  <c r="AK8" i="1"/>
  <c r="K14" i="46" l="1"/>
  <c r="K14" i="2"/>
  <c r="K12" i="2"/>
  <c r="K12" i="46"/>
  <c r="K23" i="46"/>
  <c r="K23" i="2"/>
  <c r="P30" i="2"/>
  <c r="P30" i="46"/>
  <c r="K30" i="2"/>
  <c r="K30" i="46"/>
  <c r="P31" i="46"/>
  <c r="P31" i="2"/>
  <c r="K31" i="2"/>
  <c r="K31" i="46"/>
  <c r="K15" i="46"/>
  <c r="K15" i="2"/>
  <c r="K16" i="46"/>
  <c r="K16" i="2"/>
  <c r="K10" i="46"/>
  <c r="K10" i="2"/>
  <c r="K17" i="46"/>
  <c r="K17" i="2"/>
  <c r="K18" i="46"/>
  <c r="K18" i="2"/>
  <c r="K19" i="2"/>
  <c r="K19" i="46"/>
  <c r="K21" i="46"/>
  <c r="K21" i="2"/>
  <c r="K13" i="2"/>
  <c r="K13" i="46"/>
  <c r="K8" i="46"/>
  <c r="K8" i="2"/>
  <c r="K9" i="46"/>
  <c r="K9" i="2"/>
  <c r="K20" i="46"/>
  <c r="K20" i="2"/>
  <c r="K20" i="42" l="1"/>
  <c r="K20" i="45"/>
  <c r="N20" i="2"/>
  <c r="L20" i="2"/>
  <c r="K7" i="46"/>
  <c r="K7" i="2"/>
  <c r="N20" i="46"/>
  <c r="L20" i="46"/>
  <c r="P11" i="2"/>
  <c r="P11" i="46"/>
  <c r="K9" i="45"/>
  <c r="L9" i="2"/>
  <c r="N9" i="2"/>
  <c r="K9" i="42"/>
  <c r="L31" i="46"/>
  <c r="N31" i="46"/>
  <c r="P23" i="46"/>
  <c r="P23" i="2"/>
  <c r="L15" i="2"/>
  <c r="K15" i="45"/>
  <c r="N15" i="2"/>
  <c r="K15" i="42"/>
  <c r="L15" i="46"/>
  <c r="N15" i="46"/>
  <c r="K29" i="46"/>
  <c r="K29" i="2"/>
  <c r="N9" i="46"/>
  <c r="L9" i="46"/>
  <c r="K31" i="45"/>
  <c r="K31" i="42"/>
  <c r="L31" i="2"/>
  <c r="N31" i="2"/>
  <c r="P18" i="46"/>
  <c r="P18" i="2"/>
  <c r="L10" i="46"/>
  <c r="N10" i="46"/>
  <c r="P21" i="2"/>
  <c r="P21" i="46"/>
  <c r="K22" i="2"/>
  <c r="K22" i="46"/>
  <c r="K26" i="46" s="1"/>
  <c r="K11" i="46"/>
  <c r="K11" i="2"/>
  <c r="L8" i="46"/>
  <c r="N8" i="46"/>
  <c r="S31" i="46"/>
  <c r="Q31" i="46"/>
  <c r="N13" i="46"/>
  <c r="L13" i="46"/>
  <c r="L30" i="46"/>
  <c r="N30" i="46"/>
  <c r="N8" i="2"/>
  <c r="K8" i="42"/>
  <c r="K8" i="45"/>
  <c r="L8" i="2"/>
  <c r="P7" i="46"/>
  <c r="P7" i="2"/>
  <c r="P14" i="2"/>
  <c r="P14" i="46"/>
  <c r="P8" i="46"/>
  <c r="P8" i="2"/>
  <c r="K13" i="45"/>
  <c r="K13" i="42"/>
  <c r="L13" i="2"/>
  <c r="N13" i="2"/>
  <c r="L30" i="2"/>
  <c r="K30" i="45"/>
  <c r="K30" i="42"/>
  <c r="N30" i="2"/>
  <c r="P15" i="46"/>
  <c r="P15" i="2"/>
  <c r="P20" i="2"/>
  <c r="P20" i="46"/>
  <c r="P13" i="46"/>
  <c r="P13" i="2"/>
  <c r="K21" i="42"/>
  <c r="K21" i="45"/>
  <c r="L21" i="2"/>
  <c r="N21" i="2"/>
  <c r="P12" i="46"/>
  <c r="P12" i="2"/>
  <c r="N21" i="46"/>
  <c r="L21" i="46"/>
  <c r="S30" i="46"/>
  <c r="Q30" i="46"/>
  <c r="P9" i="2"/>
  <c r="P9" i="46"/>
  <c r="P16" i="46"/>
  <c r="P16" i="2"/>
  <c r="F16" i="1"/>
  <c r="L19" i="46"/>
  <c r="N19" i="46"/>
  <c r="P30" i="45"/>
  <c r="P30" i="42"/>
  <c r="Q30" i="2"/>
  <c r="S30" i="2"/>
  <c r="K19" i="45"/>
  <c r="N19" i="2"/>
  <c r="L19" i="2"/>
  <c r="K19" i="42"/>
  <c r="L23" i="2"/>
  <c r="N23" i="2"/>
  <c r="K23" i="42"/>
  <c r="K23" i="45"/>
  <c r="K18" i="45"/>
  <c r="N18" i="2"/>
  <c r="L18" i="2"/>
  <c r="K18" i="42"/>
  <c r="L23" i="46"/>
  <c r="N23" i="46"/>
  <c r="P28" i="46"/>
  <c r="P28" i="2"/>
  <c r="F11" i="1"/>
  <c r="L18" i="46"/>
  <c r="N18" i="46"/>
  <c r="N12" i="46"/>
  <c r="L12" i="46"/>
  <c r="P17" i="46"/>
  <c r="P17" i="2"/>
  <c r="K17" i="45"/>
  <c r="L17" i="2"/>
  <c r="K17" i="42"/>
  <c r="N17" i="2"/>
  <c r="N12" i="2"/>
  <c r="K12" i="45"/>
  <c r="L12" i="2"/>
  <c r="K12" i="42"/>
  <c r="P22" i="46"/>
  <c r="P22" i="2"/>
  <c r="K16" i="45"/>
  <c r="K16" i="42"/>
  <c r="L16" i="2"/>
  <c r="N16" i="2"/>
  <c r="P10" i="46"/>
  <c r="P10" i="2"/>
  <c r="N17" i="46"/>
  <c r="L17" i="46"/>
  <c r="K14" i="45"/>
  <c r="K14" i="42"/>
  <c r="L14" i="2"/>
  <c r="N14" i="2"/>
  <c r="N16" i="46"/>
  <c r="L16" i="46"/>
  <c r="P31" i="45"/>
  <c r="P31" i="42"/>
  <c r="Q31" i="2"/>
  <c r="S31" i="2"/>
  <c r="P19" i="46"/>
  <c r="P19" i="2"/>
  <c r="P29" i="46"/>
  <c r="P29" i="2"/>
  <c r="K10" i="45"/>
  <c r="N10" i="2"/>
  <c r="L10" i="2"/>
  <c r="K10" i="42"/>
  <c r="L14" i="46"/>
  <c r="N14" i="46"/>
  <c r="F7" i="1"/>
  <c r="F17" i="1"/>
  <c r="F10" i="1"/>
  <c r="F9" i="1"/>
  <c r="F12" i="1"/>
  <c r="K11" i="1" l="1"/>
  <c r="F21" i="1"/>
  <c r="I11" i="1"/>
  <c r="G11" i="1"/>
  <c r="AC11" i="1"/>
  <c r="Q30" i="42"/>
  <c r="S30" i="42"/>
  <c r="P23" i="45"/>
  <c r="P23" i="42"/>
  <c r="S23" i="2"/>
  <c r="Q23" i="2"/>
  <c r="Q23" i="46"/>
  <c r="S23" i="46"/>
  <c r="P18" i="45"/>
  <c r="P18" i="42"/>
  <c r="S18" i="2"/>
  <c r="Q18" i="2"/>
  <c r="G9" i="42"/>
  <c r="L9" i="42"/>
  <c r="N9" i="42"/>
  <c r="N8" i="42"/>
  <c r="G8" i="42"/>
  <c r="L8" i="42"/>
  <c r="Q31" i="45"/>
  <c r="S31" i="45"/>
  <c r="L18" i="45"/>
  <c r="N18" i="45"/>
  <c r="G18" i="45"/>
  <c r="S15" i="46"/>
  <c r="Q15" i="46"/>
  <c r="L22" i="2"/>
  <c r="N22" i="2"/>
  <c r="K22" i="42"/>
  <c r="K22" i="45"/>
  <c r="Q14" i="46"/>
  <c r="S14" i="46"/>
  <c r="P13" i="45"/>
  <c r="P13" i="42"/>
  <c r="S13" i="2"/>
  <c r="Q13" i="2"/>
  <c r="P7" i="45"/>
  <c r="P7" i="42"/>
  <c r="Q7" i="2"/>
  <c r="S7" i="2"/>
  <c r="P24" i="2"/>
  <c r="Q18" i="46"/>
  <c r="S18" i="46"/>
  <c r="L23" i="45"/>
  <c r="N23" i="45"/>
  <c r="G23" i="45"/>
  <c r="Q9" i="46"/>
  <c r="S9" i="46"/>
  <c r="N31" i="42"/>
  <c r="L31" i="42"/>
  <c r="N9" i="45"/>
  <c r="L9" i="45"/>
  <c r="G9" i="45"/>
  <c r="L21" i="45"/>
  <c r="N21" i="45"/>
  <c r="G21" i="45"/>
  <c r="L21" i="42"/>
  <c r="N21" i="42"/>
  <c r="G21" i="42"/>
  <c r="P21" i="42"/>
  <c r="P21" i="45"/>
  <c r="S21" i="2"/>
  <c r="Q21" i="2"/>
  <c r="S13" i="46"/>
  <c r="Q13" i="46"/>
  <c r="P20" i="42"/>
  <c r="P20" i="45"/>
  <c r="S20" i="2"/>
  <c r="Q20" i="2"/>
  <c r="P34" i="2"/>
  <c r="P34" i="46"/>
  <c r="G17" i="42"/>
  <c r="L17" i="42"/>
  <c r="N17" i="42"/>
  <c r="L23" i="42"/>
  <c r="G23" i="42"/>
  <c r="N23" i="42"/>
  <c r="P9" i="42"/>
  <c r="P9" i="45"/>
  <c r="Q9" i="2"/>
  <c r="S9" i="2"/>
  <c r="L31" i="45"/>
  <c r="N31" i="45"/>
  <c r="P25" i="46"/>
  <c r="S11" i="46"/>
  <c r="Q11" i="46"/>
  <c r="S21" i="46"/>
  <c r="Q21" i="46"/>
  <c r="P14" i="45"/>
  <c r="P14" i="42"/>
  <c r="Q14" i="2"/>
  <c r="S14" i="2"/>
  <c r="Q7" i="46"/>
  <c r="P24" i="46"/>
  <c r="S7" i="46"/>
  <c r="S20" i="46"/>
  <c r="Q20" i="46"/>
  <c r="L8" i="45"/>
  <c r="G8" i="45"/>
  <c r="N8" i="45"/>
  <c r="P33" i="46"/>
  <c r="P33" i="2"/>
  <c r="P15" i="42"/>
  <c r="P15" i="45"/>
  <c r="Q15" i="2"/>
  <c r="S15" i="2"/>
  <c r="L30" i="42"/>
  <c r="N30" i="42"/>
  <c r="P11" i="45"/>
  <c r="P11" i="42"/>
  <c r="Q11" i="2"/>
  <c r="S11" i="2"/>
  <c r="P25" i="2"/>
  <c r="P29" i="42"/>
  <c r="P29" i="45"/>
  <c r="S29" i="2"/>
  <c r="Q29" i="2"/>
  <c r="P32" i="2"/>
  <c r="L26" i="46"/>
  <c r="N26" i="46"/>
  <c r="L18" i="42"/>
  <c r="N18" i="42"/>
  <c r="G18" i="42"/>
  <c r="K10" i="1"/>
  <c r="I10" i="1"/>
  <c r="AC10" i="1"/>
  <c r="G10" i="1"/>
  <c r="L17" i="45"/>
  <c r="N17" i="45"/>
  <c r="G17" i="45"/>
  <c r="L30" i="45"/>
  <c r="N30" i="45"/>
  <c r="Q29" i="46"/>
  <c r="S29" i="46"/>
  <c r="P32" i="46"/>
  <c r="P22" i="45"/>
  <c r="P22" i="42"/>
  <c r="Q22" i="2"/>
  <c r="S22" i="2"/>
  <c r="K16" i="1"/>
  <c r="I16" i="1"/>
  <c r="G16" i="1"/>
  <c r="G14" i="42"/>
  <c r="N14" i="42"/>
  <c r="L14" i="42"/>
  <c r="P17" i="42"/>
  <c r="P17" i="45"/>
  <c r="S17" i="2"/>
  <c r="Q17" i="2"/>
  <c r="L19" i="42"/>
  <c r="G19" i="42"/>
  <c r="N19" i="42"/>
  <c r="K26" i="42"/>
  <c r="N29" i="2"/>
  <c r="L29" i="2"/>
  <c r="K29" i="45"/>
  <c r="K32" i="2"/>
  <c r="K29" i="42"/>
  <c r="G16" i="45"/>
  <c r="N16" i="45"/>
  <c r="L16" i="45"/>
  <c r="L12" i="42"/>
  <c r="N12" i="42"/>
  <c r="G12" i="42"/>
  <c r="N14" i="45"/>
  <c r="L14" i="45"/>
  <c r="G14" i="45"/>
  <c r="Q17" i="46"/>
  <c r="S17" i="46"/>
  <c r="L29" i="46"/>
  <c r="K32" i="46"/>
  <c r="N29" i="46"/>
  <c r="K7" i="42"/>
  <c r="N7" i="2"/>
  <c r="K24" i="2"/>
  <c r="L7" i="2"/>
  <c r="K7" i="45"/>
  <c r="S28" i="46"/>
  <c r="Q28" i="46"/>
  <c r="P16" i="42"/>
  <c r="P16" i="45"/>
  <c r="S16" i="2"/>
  <c r="Q16" i="2"/>
  <c r="K26" i="2"/>
  <c r="P12" i="45"/>
  <c r="P12" i="42"/>
  <c r="S12" i="2"/>
  <c r="Q12" i="2"/>
  <c r="N7" i="46"/>
  <c r="K24" i="46"/>
  <c r="L7" i="46"/>
  <c r="P19" i="45"/>
  <c r="P19" i="42"/>
  <c r="P26" i="2"/>
  <c r="Q19" i="2"/>
  <c r="S19" i="2"/>
  <c r="S22" i="46"/>
  <c r="Q22" i="46"/>
  <c r="Q31" i="42"/>
  <c r="S31" i="42"/>
  <c r="N10" i="42"/>
  <c r="L10" i="42"/>
  <c r="G10" i="42"/>
  <c r="S12" i="46"/>
  <c r="Q12" i="46"/>
  <c r="L13" i="42"/>
  <c r="N13" i="42"/>
  <c r="G13" i="42"/>
  <c r="S30" i="45"/>
  <c r="Q30" i="45"/>
  <c r="P26" i="46"/>
  <c r="S19" i="46"/>
  <c r="Q19" i="46"/>
  <c r="L12" i="45"/>
  <c r="G12" i="45"/>
  <c r="N12" i="45"/>
  <c r="K9" i="1"/>
  <c r="I9" i="1"/>
  <c r="AC9" i="1"/>
  <c r="G9" i="1"/>
  <c r="K17" i="1"/>
  <c r="I17" i="1"/>
  <c r="G17" i="1"/>
  <c r="P10" i="45"/>
  <c r="P10" i="42"/>
  <c r="Q10" i="2"/>
  <c r="S10" i="2"/>
  <c r="N19" i="45"/>
  <c r="G19" i="45"/>
  <c r="L19" i="45"/>
  <c r="N13" i="45"/>
  <c r="G13" i="45"/>
  <c r="L13" i="45"/>
  <c r="N11" i="2"/>
  <c r="L11" i="2"/>
  <c r="K25" i="2"/>
  <c r="K11" i="45"/>
  <c r="K11" i="42"/>
  <c r="G15" i="42"/>
  <c r="L15" i="42"/>
  <c r="N15" i="42"/>
  <c r="P28" i="42"/>
  <c r="P28" i="45"/>
  <c r="Q28" i="2"/>
  <c r="S28" i="2"/>
  <c r="K12" i="1"/>
  <c r="I12" i="1"/>
  <c r="G12" i="1"/>
  <c r="AC12" i="1"/>
  <c r="F22" i="1"/>
  <c r="Q10" i="46"/>
  <c r="S10" i="46"/>
  <c r="P8" i="42"/>
  <c r="P8" i="45"/>
  <c r="Q8" i="2"/>
  <c r="S8" i="2"/>
  <c r="N11" i="46"/>
  <c r="L11" i="46"/>
  <c r="K25" i="46"/>
  <c r="N20" i="45"/>
  <c r="G20" i="45"/>
  <c r="L20" i="45"/>
  <c r="G16" i="42"/>
  <c r="N16" i="42"/>
  <c r="L16" i="42"/>
  <c r="S16" i="46"/>
  <c r="Q16" i="46"/>
  <c r="K7" i="1"/>
  <c r="AC7" i="1"/>
  <c r="A7" i="1"/>
  <c r="G7" i="1"/>
  <c r="I7" i="1"/>
  <c r="N10" i="45"/>
  <c r="L10" i="45"/>
  <c r="G10" i="45"/>
  <c r="S8" i="46"/>
  <c r="Q8" i="46"/>
  <c r="N22" i="46"/>
  <c r="L22" i="46"/>
  <c r="G15" i="45"/>
  <c r="N15" i="45"/>
  <c r="L15" i="45"/>
  <c r="L20" i="42"/>
  <c r="N20" i="42"/>
  <c r="G20" i="42"/>
  <c r="U36" i="2"/>
  <c r="K46" i="2" l="1"/>
  <c r="K45" i="46"/>
  <c r="P26" i="45"/>
  <c r="S19" i="45"/>
  <c r="Q19" i="45"/>
  <c r="K24" i="42"/>
  <c r="L7" i="42"/>
  <c r="N7" i="42"/>
  <c r="G7" i="42"/>
  <c r="Q26" i="46"/>
  <c r="S26" i="46"/>
  <c r="G26" i="42"/>
  <c r="L26" i="42"/>
  <c r="N26" i="42"/>
  <c r="Q29" i="45"/>
  <c r="S29" i="45"/>
  <c r="P32" i="45"/>
  <c r="U35" i="2"/>
  <c r="U35" i="46"/>
  <c r="U37" i="2"/>
  <c r="U36" i="46"/>
  <c r="F27" i="1"/>
  <c r="U9" i="46"/>
  <c r="U9" i="2"/>
  <c r="G22" i="1"/>
  <c r="I22" i="1"/>
  <c r="F33" i="1"/>
  <c r="N24" i="46"/>
  <c r="L24" i="46"/>
  <c r="K27" i="46"/>
  <c r="L32" i="46"/>
  <c r="N32" i="46"/>
  <c r="S29" i="42"/>
  <c r="Q29" i="42"/>
  <c r="P32" i="42"/>
  <c r="Q24" i="46"/>
  <c r="S24" i="46"/>
  <c r="P27" i="46"/>
  <c r="S13" i="42"/>
  <c r="Q13" i="42"/>
  <c r="U8" i="2"/>
  <c r="U8" i="46"/>
  <c r="U18" i="2"/>
  <c r="U18" i="46"/>
  <c r="U21" i="2"/>
  <c r="U21" i="46"/>
  <c r="N7" i="1"/>
  <c r="AH7" i="1"/>
  <c r="B7" i="1"/>
  <c r="L7" i="1"/>
  <c r="U12" i="2"/>
  <c r="U12" i="46"/>
  <c r="Q34" i="46"/>
  <c r="S34" i="46"/>
  <c r="S18" i="42"/>
  <c r="Q18" i="42"/>
  <c r="N12" i="1"/>
  <c r="L12" i="1"/>
  <c r="AH12" i="1"/>
  <c r="K22" i="1"/>
  <c r="Q12" i="42"/>
  <c r="S12" i="42"/>
  <c r="S11" i="42"/>
  <c r="Q11" i="42"/>
  <c r="P25" i="42"/>
  <c r="Q14" i="42"/>
  <c r="S14" i="42"/>
  <c r="P34" i="42"/>
  <c r="P34" i="45"/>
  <c r="S34" i="2"/>
  <c r="Q34" i="2"/>
  <c r="K26" i="45"/>
  <c r="L22" i="45"/>
  <c r="N22" i="45"/>
  <c r="G22" i="45"/>
  <c r="S18" i="45"/>
  <c r="Q18" i="45"/>
  <c r="Q13" i="45"/>
  <c r="S13" i="45"/>
  <c r="S10" i="42"/>
  <c r="Q10" i="42"/>
  <c r="Q12" i="45"/>
  <c r="S12" i="45"/>
  <c r="S17" i="45"/>
  <c r="Q17" i="45"/>
  <c r="S11" i="45"/>
  <c r="Q11" i="45"/>
  <c r="P25" i="45"/>
  <c r="Q14" i="45"/>
  <c r="S14" i="45"/>
  <c r="N22" i="42"/>
  <c r="G22" i="42"/>
  <c r="L22" i="42"/>
  <c r="Q10" i="45"/>
  <c r="S10" i="45"/>
  <c r="L26" i="2"/>
  <c r="N26" i="2"/>
  <c r="Q17" i="42"/>
  <c r="S17" i="42"/>
  <c r="U14" i="2"/>
  <c r="U14" i="46"/>
  <c r="U16" i="2"/>
  <c r="U16" i="46"/>
  <c r="S28" i="45"/>
  <c r="G29" i="45"/>
  <c r="Q28" i="45"/>
  <c r="AF10" i="1"/>
  <c r="AD10" i="1"/>
  <c r="Q20" i="45"/>
  <c r="S20" i="45"/>
  <c r="AD7" i="1"/>
  <c r="AF7" i="1"/>
  <c r="U19" i="46"/>
  <c r="U19" i="2"/>
  <c r="U11" i="2"/>
  <c r="U11" i="46"/>
  <c r="F26" i="1"/>
  <c r="F32" i="1" s="1"/>
  <c r="U13" i="2"/>
  <c r="U13" i="46"/>
  <c r="S28" i="42"/>
  <c r="Q28" i="42"/>
  <c r="G29" i="42"/>
  <c r="Q20" i="42"/>
  <c r="S20" i="42"/>
  <c r="U36" i="42"/>
  <c r="U57" i="2"/>
  <c r="V57" i="2" s="1"/>
  <c r="V36" i="2"/>
  <c r="X36" i="2"/>
  <c r="L17" i="1"/>
  <c r="N17" i="1"/>
  <c r="S23" i="42"/>
  <c r="Q23" i="42"/>
  <c r="U17" i="2"/>
  <c r="U17" i="46"/>
  <c r="Q16" i="45"/>
  <c r="S16" i="45"/>
  <c r="AH10" i="1"/>
  <c r="L10" i="1"/>
  <c r="N10" i="1"/>
  <c r="S15" i="45"/>
  <c r="Q15" i="45"/>
  <c r="S25" i="46"/>
  <c r="Q25" i="46"/>
  <c r="S23" i="45"/>
  <c r="Q23" i="45"/>
  <c r="Q25" i="2"/>
  <c r="S25" i="2"/>
  <c r="U20" i="46"/>
  <c r="U20" i="2"/>
  <c r="U10" i="46"/>
  <c r="U10" i="2"/>
  <c r="N25" i="46"/>
  <c r="L25" i="46"/>
  <c r="AD9" i="1"/>
  <c r="AF9" i="1"/>
  <c r="Q16" i="42"/>
  <c r="S16" i="42"/>
  <c r="Q15" i="42"/>
  <c r="S15" i="42"/>
  <c r="U23" i="46"/>
  <c r="U23" i="2"/>
  <c r="K25" i="42"/>
  <c r="G11" i="42"/>
  <c r="L11" i="42"/>
  <c r="N11" i="42"/>
  <c r="L16" i="1"/>
  <c r="N16" i="1"/>
  <c r="P33" i="42"/>
  <c r="P33" i="45"/>
  <c r="Q33" i="2"/>
  <c r="S33" i="2"/>
  <c r="U31" i="2"/>
  <c r="U31" i="46"/>
  <c r="L11" i="45"/>
  <c r="K25" i="45"/>
  <c r="N11" i="45"/>
  <c r="G11" i="45"/>
  <c r="L9" i="1"/>
  <c r="N9" i="1"/>
  <c r="AH9" i="1"/>
  <c r="S33" i="46"/>
  <c r="Q33" i="46"/>
  <c r="S21" i="45"/>
  <c r="Q21" i="45"/>
  <c r="P27" i="2"/>
  <c r="S24" i="2"/>
  <c r="Q24" i="2"/>
  <c r="AF11" i="1"/>
  <c r="AD11" i="1"/>
  <c r="AD12" i="1"/>
  <c r="AF12" i="1"/>
  <c r="U30" i="2"/>
  <c r="U30" i="46"/>
  <c r="L25" i="2"/>
  <c r="N25" i="2"/>
  <c r="G7" i="45"/>
  <c r="K24" i="45"/>
  <c r="L7" i="45"/>
  <c r="N7" i="45"/>
  <c r="L29" i="42"/>
  <c r="N29" i="42"/>
  <c r="K32" i="42"/>
  <c r="Q21" i="42"/>
  <c r="S21" i="42"/>
  <c r="AM12" i="41"/>
  <c r="L32" i="2"/>
  <c r="N32" i="2"/>
  <c r="Q22" i="42"/>
  <c r="S22" i="42"/>
  <c r="Q9" i="45"/>
  <c r="S9" i="45"/>
  <c r="U15" i="46"/>
  <c r="U15" i="2"/>
  <c r="S8" i="45"/>
  <c r="Q8" i="45"/>
  <c r="S26" i="2"/>
  <c r="Q26" i="2"/>
  <c r="N24" i="2"/>
  <c r="L24" i="2"/>
  <c r="K27" i="2"/>
  <c r="N29" i="45"/>
  <c r="L29" i="45"/>
  <c r="K32" i="45"/>
  <c r="Q22" i="45"/>
  <c r="S22" i="45"/>
  <c r="Q32" i="2"/>
  <c r="S32" i="2"/>
  <c r="AM17" i="41"/>
  <c r="S9" i="42"/>
  <c r="Q9" i="42"/>
  <c r="S7" i="42"/>
  <c r="Q7" i="42"/>
  <c r="P24" i="42"/>
  <c r="I21" i="1"/>
  <c r="G21" i="1"/>
  <c r="Q8" i="42"/>
  <c r="S8" i="42"/>
  <c r="P26" i="42"/>
  <c r="S19" i="42"/>
  <c r="Q19" i="42"/>
  <c r="Q32" i="46"/>
  <c r="S32" i="46"/>
  <c r="S7" i="45"/>
  <c r="Q7" i="45"/>
  <c r="P24" i="45"/>
  <c r="N11" i="1"/>
  <c r="L11" i="1"/>
  <c r="K21" i="1"/>
  <c r="AH11" i="1"/>
  <c r="U37" i="42" l="1"/>
  <c r="U36" i="45"/>
  <c r="U58" i="2"/>
  <c r="V58" i="2" s="1"/>
  <c r="X37" i="2"/>
  <c r="V37" i="2"/>
  <c r="AC21" i="1"/>
  <c r="X35" i="46"/>
  <c r="V35" i="46"/>
  <c r="U12" i="45"/>
  <c r="U12" i="42"/>
  <c r="V12" i="2"/>
  <c r="X12" i="2"/>
  <c r="U35" i="42"/>
  <c r="U35" i="45"/>
  <c r="AC19" i="1"/>
  <c r="V35" i="2"/>
  <c r="X35" i="2"/>
  <c r="T34" i="1"/>
  <c r="N26" i="45"/>
  <c r="G26" i="45"/>
  <c r="L26" i="45"/>
  <c r="U22" i="46"/>
  <c r="U26" i="46" s="1"/>
  <c r="U22" i="2"/>
  <c r="Q32" i="42"/>
  <c r="S32" i="42"/>
  <c r="Q32" i="45"/>
  <c r="S32" i="45"/>
  <c r="F25" i="1"/>
  <c r="U29" i="46"/>
  <c r="U29" i="2"/>
  <c r="P27" i="42"/>
  <c r="Q24" i="42"/>
  <c r="S24" i="42"/>
  <c r="U15" i="45"/>
  <c r="U15" i="42"/>
  <c r="V15" i="2"/>
  <c r="X15" i="2"/>
  <c r="G25" i="45"/>
  <c r="L25" i="45"/>
  <c r="N25" i="45"/>
  <c r="Q34" i="45"/>
  <c r="S34" i="45"/>
  <c r="P46" i="2"/>
  <c r="P38" i="46"/>
  <c r="P39" i="2"/>
  <c r="P45" i="46"/>
  <c r="F13" i="1"/>
  <c r="V15" i="46"/>
  <c r="X15" i="46"/>
  <c r="X30" i="46"/>
  <c r="V30" i="46"/>
  <c r="Q25" i="45"/>
  <c r="S25" i="45"/>
  <c r="S34" i="42"/>
  <c r="Q34" i="42"/>
  <c r="V12" i="46"/>
  <c r="X12" i="46"/>
  <c r="U30" i="45"/>
  <c r="U30" i="42"/>
  <c r="V30" i="2"/>
  <c r="X30" i="2"/>
  <c r="V31" i="46"/>
  <c r="X31" i="46"/>
  <c r="AI7" i="1"/>
  <c r="AK7" i="1"/>
  <c r="S27" i="46"/>
  <c r="Q27" i="46"/>
  <c r="V36" i="42"/>
  <c r="X36" i="42"/>
  <c r="U57" i="42"/>
  <c r="V57" i="42" s="1"/>
  <c r="U37" i="46"/>
  <c r="U38" i="2"/>
  <c r="AK11" i="1"/>
  <c r="AI11" i="1"/>
  <c r="U31" i="45"/>
  <c r="U31" i="42"/>
  <c r="V31" i="2"/>
  <c r="X31" i="2"/>
  <c r="X13" i="46"/>
  <c r="V13" i="46"/>
  <c r="L21" i="1"/>
  <c r="N21" i="1"/>
  <c r="AK10" i="1"/>
  <c r="AI10" i="1"/>
  <c r="U13" i="42"/>
  <c r="U13" i="45"/>
  <c r="V13" i="2"/>
  <c r="X13" i="2"/>
  <c r="X16" i="46"/>
  <c r="V16" i="46"/>
  <c r="S25" i="42"/>
  <c r="Q25" i="42"/>
  <c r="L27" i="46"/>
  <c r="N27" i="46"/>
  <c r="G27" i="46"/>
  <c r="AM17" i="43"/>
  <c r="AM18" i="41"/>
  <c r="U16" i="45"/>
  <c r="U16" i="42"/>
  <c r="V16" i="2"/>
  <c r="X16" i="2"/>
  <c r="X21" i="46"/>
  <c r="V21" i="46"/>
  <c r="U10" i="42"/>
  <c r="U10" i="45"/>
  <c r="V10" i="2"/>
  <c r="X10" i="2"/>
  <c r="K26" i="1"/>
  <c r="I26" i="1"/>
  <c r="G26" i="1"/>
  <c r="U21" i="42"/>
  <c r="U21" i="45"/>
  <c r="X21" i="2"/>
  <c r="V21" i="2"/>
  <c r="Q24" i="45"/>
  <c r="S24" i="45"/>
  <c r="P27" i="45"/>
  <c r="Q33" i="45"/>
  <c r="S33" i="45"/>
  <c r="V10" i="46"/>
  <c r="X10" i="46"/>
  <c r="X17" i="46"/>
  <c r="V17" i="46"/>
  <c r="U28" i="2"/>
  <c r="U28" i="46"/>
  <c r="X14" i="46"/>
  <c r="V14" i="46"/>
  <c r="I33" i="1"/>
  <c r="AC18" i="1"/>
  <c r="G33" i="1"/>
  <c r="S33" i="42"/>
  <c r="Q33" i="42"/>
  <c r="U17" i="42"/>
  <c r="U17" i="45"/>
  <c r="X17" i="2"/>
  <c r="V17" i="2"/>
  <c r="X11" i="46"/>
  <c r="U25" i="46"/>
  <c r="V11" i="46"/>
  <c r="U14" i="42"/>
  <c r="U14" i="45"/>
  <c r="X14" i="2"/>
  <c r="V14" i="2"/>
  <c r="X18" i="46"/>
  <c r="V18" i="46"/>
  <c r="L24" i="45"/>
  <c r="N24" i="45"/>
  <c r="K27" i="45"/>
  <c r="G24" i="45"/>
  <c r="AM12" i="43"/>
  <c r="AM13" i="41"/>
  <c r="S27" i="2"/>
  <c r="Q27" i="2"/>
  <c r="U20" i="45"/>
  <c r="U20" i="42"/>
  <c r="X20" i="2"/>
  <c r="V20" i="2"/>
  <c r="U11" i="45"/>
  <c r="U11" i="42"/>
  <c r="X11" i="2"/>
  <c r="V11" i="2"/>
  <c r="U25" i="2"/>
  <c r="L22" i="1"/>
  <c r="N22" i="1"/>
  <c r="U18" i="42"/>
  <c r="U18" i="45"/>
  <c r="X18" i="2"/>
  <c r="V18" i="2"/>
  <c r="N32" i="45"/>
  <c r="L32" i="45"/>
  <c r="G32" i="45"/>
  <c r="X20" i="46"/>
  <c r="V20" i="46"/>
  <c r="AI12" i="1"/>
  <c r="AK12" i="1"/>
  <c r="U9" i="42"/>
  <c r="U9" i="45"/>
  <c r="V9" i="2"/>
  <c r="X9" i="2"/>
  <c r="L24" i="42"/>
  <c r="N24" i="42"/>
  <c r="G24" i="42"/>
  <c r="K27" i="42"/>
  <c r="U33" i="46"/>
  <c r="U33" i="2"/>
  <c r="U19" i="45"/>
  <c r="U19" i="42"/>
  <c r="U26" i="2"/>
  <c r="X19" i="2"/>
  <c r="V19" i="2"/>
  <c r="X8" i="46"/>
  <c r="V8" i="46"/>
  <c r="V9" i="46"/>
  <c r="X9" i="46"/>
  <c r="L32" i="42"/>
  <c r="N32" i="42"/>
  <c r="G32" i="42"/>
  <c r="V19" i="46"/>
  <c r="X19" i="46"/>
  <c r="U8" i="42"/>
  <c r="U8" i="45"/>
  <c r="X8" i="2"/>
  <c r="V8" i="2"/>
  <c r="L27" i="2"/>
  <c r="N27" i="2"/>
  <c r="G27" i="2"/>
  <c r="K27" i="1"/>
  <c r="I27" i="1"/>
  <c r="G27" i="1"/>
  <c r="Q26" i="45"/>
  <c r="S26" i="45"/>
  <c r="X23" i="46"/>
  <c r="V23" i="46"/>
  <c r="G32" i="1"/>
  <c r="I32" i="1"/>
  <c r="AC17" i="1"/>
  <c r="S26" i="42"/>
  <c r="Q26" i="42"/>
  <c r="G25" i="42"/>
  <c r="L25" i="42"/>
  <c r="N25" i="42"/>
  <c r="K46" i="46"/>
  <c r="AI9" i="1"/>
  <c r="AK9" i="1"/>
  <c r="U23" i="45"/>
  <c r="U23" i="42"/>
  <c r="V23" i="2"/>
  <c r="X23" i="2"/>
  <c r="V36" i="46"/>
  <c r="X36" i="46"/>
  <c r="K46" i="42"/>
  <c r="K47" i="2"/>
  <c r="K45" i="45"/>
  <c r="AM18" i="43" l="1"/>
  <c r="K47" i="42"/>
  <c r="AM13" i="43"/>
  <c r="AJ23" i="42"/>
  <c r="X23" i="42"/>
  <c r="AI23" i="42"/>
  <c r="V23" i="42"/>
  <c r="F23" i="42"/>
  <c r="X19" i="42"/>
  <c r="F19" i="42"/>
  <c r="V19" i="42"/>
  <c r="AJ19" i="42"/>
  <c r="AI19" i="42"/>
  <c r="V31" i="45"/>
  <c r="X31" i="45"/>
  <c r="U34" i="1"/>
  <c r="W34" i="1"/>
  <c r="X26" i="2"/>
  <c r="V26" i="2"/>
  <c r="X23" i="45"/>
  <c r="V23" i="45"/>
  <c r="F23" i="45"/>
  <c r="V19" i="45"/>
  <c r="X19" i="45"/>
  <c r="F19" i="45"/>
  <c r="V21" i="45"/>
  <c r="F21" i="45"/>
  <c r="X21" i="45"/>
  <c r="X15" i="42"/>
  <c r="V15" i="42"/>
  <c r="AI15" i="42"/>
  <c r="F15" i="42"/>
  <c r="N27" i="1"/>
  <c r="L27" i="1"/>
  <c r="U33" i="42"/>
  <c r="U33" i="45"/>
  <c r="T32" i="1"/>
  <c r="V33" i="2"/>
  <c r="X33" i="2"/>
  <c r="X18" i="45"/>
  <c r="V18" i="45"/>
  <c r="F18" i="45"/>
  <c r="N27" i="45"/>
  <c r="G27" i="45"/>
  <c r="L27" i="45"/>
  <c r="AD18" i="1"/>
  <c r="AF18" i="1"/>
  <c r="X21" i="42"/>
  <c r="F21" i="42"/>
  <c r="V21" i="42"/>
  <c r="AI21" i="42"/>
  <c r="AJ21" i="42"/>
  <c r="V15" i="45"/>
  <c r="F15" i="45"/>
  <c r="X15" i="45"/>
  <c r="AJ31" i="42"/>
  <c r="V31" i="42"/>
  <c r="AK31" i="42" s="1"/>
  <c r="X31" i="42"/>
  <c r="X33" i="46"/>
  <c r="V33" i="46"/>
  <c r="AJ18" i="42"/>
  <c r="F18" i="42"/>
  <c r="AI18" i="42"/>
  <c r="X18" i="42"/>
  <c r="V18" i="42"/>
  <c r="U37" i="45"/>
  <c r="U38" i="42"/>
  <c r="U59" i="2"/>
  <c r="V59" i="2" s="1"/>
  <c r="V38" i="2"/>
  <c r="X38" i="2"/>
  <c r="AD19" i="1"/>
  <c r="AF19" i="1"/>
  <c r="K33" i="1"/>
  <c r="X37" i="46"/>
  <c r="V37" i="46"/>
  <c r="X35" i="45"/>
  <c r="V35" i="45"/>
  <c r="V8" i="45"/>
  <c r="F8" i="45"/>
  <c r="X8" i="45"/>
  <c r="L27" i="42"/>
  <c r="G27" i="42"/>
  <c r="N27" i="42"/>
  <c r="N26" i="1"/>
  <c r="L26" i="1"/>
  <c r="S27" i="42"/>
  <c r="Q27" i="42"/>
  <c r="V35" i="42"/>
  <c r="AH19" i="1"/>
  <c r="X35" i="42"/>
  <c r="V8" i="42"/>
  <c r="F8" i="42"/>
  <c r="X8" i="42"/>
  <c r="AI8" i="42"/>
  <c r="V28" i="46"/>
  <c r="X28" i="46"/>
  <c r="U29" i="45"/>
  <c r="U29" i="42"/>
  <c r="X29" i="2"/>
  <c r="V29" i="2"/>
  <c r="U32" i="2"/>
  <c r="X25" i="2"/>
  <c r="V25" i="2"/>
  <c r="U28" i="45"/>
  <c r="U28" i="42"/>
  <c r="U51" i="2"/>
  <c r="V51" i="2" s="1"/>
  <c r="V28" i="2"/>
  <c r="X28" i="2"/>
  <c r="F13" i="45"/>
  <c r="V13" i="45"/>
  <c r="X13" i="45"/>
  <c r="U32" i="46"/>
  <c r="V29" i="46"/>
  <c r="X29" i="46"/>
  <c r="V10" i="45"/>
  <c r="F10" i="45"/>
  <c r="X10" i="45"/>
  <c r="F13" i="42"/>
  <c r="V13" i="42"/>
  <c r="AI13" i="42"/>
  <c r="X13" i="42"/>
  <c r="K25" i="1"/>
  <c r="I25" i="1"/>
  <c r="G25" i="1"/>
  <c r="AI12" i="42"/>
  <c r="V12" i="42"/>
  <c r="X12" i="42"/>
  <c r="F12" i="42"/>
  <c r="X26" i="46"/>
  <c r="V26" i="46"/>
  <c r="V14" i="45"/>
  <c r="F14" i="45"/>
  <c r="X14" i="45"/>
  <c r="X10" i="42"/>
  <c r="AI10" i="42"/>
  <c r="V10" i="42"/>
  <c r="F10" i="42"/>
  <c r="K13" i="1"/>
  <c r="G13" i="1"/>
  <c r="AC13" i="1"/>
  <c r="I13" i="1"/>
  <c r="F14" i="1"/>
  <c r="V12" i="45"/>
  <c r="X12" i="45"/>
  <c r="F12" i="45"/>
  <c r="AF17" i="1"/>
  <c r="AD17" i="1"/>
  <c r="F11" i="42"/>
  <c r="U25" i="42"/>
  <c r="V11" i="42"/>
  <c r="AI11" i="42"/>
  <c r="X11" i="42"/>
  <c r="V14" i="42"/>
  <c r="X14" i="42"/>
  <c r="AI14" i="42"/>
  <c r="F14" i="42"/>
  <c r="V9" i="45"/>
  <c r="X9" i="45"/>
  <c r="F9" i="45"/>
  <c r="V11" i="45"/>
  <c r="U25" i="45"/>
  <c r="X11" i="45"/>
  <c r="F11" i="45"/>
  <c r="P39" i="42"/>
  <c r="P38" i="45"/>
  <c r="Q39" i="2"/>
  <c r="S39" i="2"/>
  <c r="P41" i="2"/>
  <c r="U34" i="2"/>
  <c r="AC20" i="1" s="1"/>
  <c r="U34" i="46"/>
  <c r="F9" i="42"/>
  <c r="V9" i="42"/>
  <c r="X9" i="42"/>
  <c r="AI9" i="42"/>
  <c r="X25" i="46"/>
  <c r="V25" i="46"/>
  <c r="Q38" i="46"/>
  <c r="S38" i="46"/>
  <c r="P40" i="46"/>
  <c r="AD21" i="1"/>
  <c r="AF21" i="1"/>
  <c r="K46" i="45"/>
  <c r="K32" i="1"/>
  <c r="P45" i="45"/>
  <c r="P46" i="42"/>
  <c r="F20" i="42"/>
  <c r="AI20" i="42"/>
  <c r="X20" i="42"/>
  <c r="V20" i="42"/>
  <c r="X16" i="42"/>
  <c r="V16" i="42"/>
  <c r="F16" i="42"/>
  <c r="AI16" i="42"/>
  <c r="U22" i="45"/>
  <c r="U22" i="42"/>
  <c r="V22" i="2"/>
  <c r="X22" i="2"/>
  <c r="F20" i="45"/>
  <c r="X20" i="45"/>
  <c r="V20" i="45"/>
  <c r="F16" i="45"/>
  <c r="X16" i="45"/>
  <c r="V16" i="45"/>
  <c r="X22" i="46"/>
  <c r="V22" i="46"/>
  <c r="V17" i="45"/>
  <c r="F17" i="45"/>
  <c r="X17" i="45"/>
  <c r="S27" i="45"/>
  <c r="Q27" i="45"/>
  <c r="X36" i="45"/>
  <c r="V36" i="45"/>
  <c r="V30" i="45"/>
  <c r="X30" i="45"/>
  <c r="X17" i="42"/>
  <c r="AI17" i="42"/>
  <c r="V17" i="42"/>
  <c r="F17" i="42"/>
  <c r="V30" i="42"/>
  <c r="AK30" i="42" s="1"/>
  <c r="AJ30" i="42"/>
  <c r="X30" i="42"/>
  <c r="U53" i="42"/>
  <c r="V53" i="42" s="1"/>
  <c r="AH21" i="1"/>
  <c r="U58" i="42"/>
  <c r="V58" i="42" s="1"/>
  <c r="X37" i="42"/>
  <c r="V37" i="42"/>
  <c r="F28" i="1"/>
  <c r="U26" i="42" l="1"/>
  <c r="F26" i="42"/>
  <c r="AI26" i="42"/>
  <c r="X26" i="42"/>
  <c r="V26" i="42"/>
  <c r="U34" i="42"/>
  <c r="U34" i="45"/>
  <c r="V34" i="2"/>
  <c r="X34" i="2"/>
  <c r="T33" i="1"/>
  <c r="U32" i="1"/>
  <c r="W32" i="1"/>
  <c r="K28" i="1"/>
  <c r="I28" i="1"/>
  <c r="G28" i="1"/>
  <c r="X32" i="46"/>
  <c r="V32" i="46"/>
  <c r="L33" i="1"/>
  <c r="N33" i="1"/>
  <c r="AH18" i="1"/>
  <c r="U53" i="2"/>
  <c r="S41" i="2"/>
  <c r="Q41" i="2"/>
  <c r="P43" i="2"/>
  <c r="V25" i="42"/>
  <c r="F25" i="42"/>
  <c r="AI25" i="42"/>
  <c r="X25" i="42"/>
  <c r="U56" i="2"/>
  <c r="V34" i="46"/>
  <c r="X34" i="46"/>
  <c r="AK21" i="1"/>
  <c r="AI21" i="1"/>
  <c r="U52" i="45"/>
  <c r="V52" i="45" s="1"/>
  <c r="X33" i="45"/>
  <c r="V33" i="45"/>
  <c r="AI19" i="1"/>
  <c r="AK19" i="1"/>
  <c r="X33" i="42"/>
  <c r="V33" i="42"/>
  <c r="Q38" i="45"/>
  <c r="S38" i="45"/>
  <c r="P40" i="45"/>
  <c r="L32" i="1"/>
  <c r="N32" i="1"/>
  <c r="AH17" i="1"/>
  <c r="Q39" i="42"/>
  <c r="S39" i="42"/>
  <c r="P41" i="42"/>
  <c r="U59" i="42"/>
  <c r="V59" i="42" s="1"/>
  <c r="X38" i="42"/>
  <c r="V38" i="42"/>
  <c r="F29" i="1"/>
  <c r="X28" i="42"/>
  <c r="V28" i="42"/>
  <c r="U51" i="42"/>
  <c r="V51" i="42" s="1"/>
  <c r="V37" i="45"/>
  <c r="X37" i="45"/>
  <c r="X25" i="45"/>
  <c r="F25" i="45"/>
  <c r="V25" i="45"/>
  <c r="A14" i="1"/>
  <c r="G14" i="1"/>
  <c r="I14" i="1"/>
  <c r="V28" i="45"/>
  <c r="U50" i="45"/>
  <c r="V50" i="45" s="1"/>
  <c r="X28" i="45"/>
  <c r="S40" i="46"/>
  <c r="Q40" i="46"/>
  <c r="P42" i="46"/>
  <c r="N25" i="1"/>
  <c r="L25" i="1"/>
  <c r="F22" i="42"/>
  <c r="AI22" i="42"/>
  <c r="V22" i="42"/>
  <c r="AJ22" i="42"/>
  <c r="X22" i="42"/>
  <c r="AD13" i="1"/>
  <c r="AF13" i="1"/>
  <c r="AC14" i="1"/>
  <c r="U52" i="2"/>
  <c r="V52" i="2" s="1"/>
  <c r="X32" i="2"/>
  <c r="AM20" i="41"/>
  <c r="V32" i="2"/>
  <c r="V22" i="45"/>
  <c r="X22" i="45"/>
  <c r="F22" i="45"/>
  <c r="N13" i="1"/>
  <c r="AH13" i="1"/>
  <c r="L13" i="1"/>
  <c r="K14" i="1"/>
  <c r="AF20" i="1"/>
  <c r="AD20" i="1"/>
  <c r="X29" i="42"/>
  <c r="U32" i="42"/>
  <c r="V29" i="42"/>
  <c r="AK29" i="42" s="1"/>
  <c r="AK32" i="42" s="1"/>
  <c r="AJ29" i="42"/>
  <c r="AJ32" i="42" s="1"/>
  <c r="U26" i="45"/>
  <c r="X29" i="45"/>
  <c r="U32" i="45"/>
  <c r="V29" i="45"/>
  <c r="K29" i="1" l="1"/>
  <c r="AK13" i="1"/>
  <c r="AI13" i="1"/>
  <c r="AH14" i="1"/>
  <c r="P43" i="46"/>
  <c r="S42" i="46"/>
  <c r="Q42" i="46"/>
  <c r="G42" i="46"/>
  <c r="P46" i="46"/>
  <c r="L29" i="1"/>
  <c r="N29" i="1"/>
  <c r="S41" i="42"/>
  <c r="Q41" i="42"/>
  <c r="P43" i="42"/>
  <c r="B14" i="1"/>
  <c r="N14" i="1"/>
  <c r="L14" i="1"/>
  <c r="L28" i="1"/>
  <c r="N28" i="1"/>
  <c r="AM20" i="43"/>
  <c r="AM22" i="41"/>
  <c r="AM21" i="41"/>
  <c r="AI17" i="1"/>
  <c r="AK17" i="1"/>
  <c r="V32" i="45"/>
  <c r="U51" i="45"/>
  <c r="V51" i="45" s="1"/>
  <c r="X32" i="45"/>
  <c r="U33" i="1"/>
  <c r="W33" i="1"/>
  <c r="V53" i="2"/>
  <c r="X26" i="45"/>
  <c r="F26" i="45"/>
  <c r="V26" i="45"/>
  <c r="AD14" i="1"/>
  <c r="AF14" i="1"/>
  <c r="Q40" i="45"/>
  <c r="S40" i="45"/>
  <c r="P42" i="45"/>
  <c r="V56" i="2"/>
  <c r="I29" i="1"/>
  <c r="G29" i="1"/>
  <c r="V34" i="45"/>
  <c r="X34" i="45"/>
  <c r="X34" i="42"/>
  <c r="V34" i="42"/>
  <c r="V32" i="42"/>
  <c r="X32" i="42"/>
  <c r="U52" i="42"/>
  <c r="V52" i="42" s="1"/>
  <c r="AI18" i="1"/>
  <c r="AK18" i="1"/>
  <c r="AH20" i="1"/>
  <c r="Q43" i="2"/>
  <c r="S43" i="2"/>
  <c r="G43" i="2"/>
  <c r="P44" i="2"/>
  <c r="P47" i="2"/>
  <c r="U56" i="42"/>
  <c r="V56" i="42" l="1"/>
  <c r="G43" i="42"/>
  <c r="P44" i="42"/>
  <c r="Q43" i="42"/>
  <c r="S43" i="42"/>
  <c r="P47" i="42"/>
  <c r="AM21" i="43"/>
  <c r="AM22" i="43"/>
  <c r="AI20" i="1"/>
  <c r="AK20" i="1"/>
  <c r="S42" i="45"/>
  <c r="Q42" i="45"/>
  <c r="G42" i="45"/>
  <c r="P43" i="45"/>
  <c r="P46" i="45"/>
  <c r="AK14" i="1"/>
  <c r="AI14" i="1"/>
  <c r="F15" i="1" l="1"/>
  <c r="K15" i="1" l="1"/>
  <c r="I15" i="1"/>
  <c r="G15" i="1"/>
  <c r="F20" i="1"/>
  <c r="U7" i="46" l="1"/>
  <c r="U7" i="2"/>
  <c r="G20" i="1"/>
  <c r="I20" i="1"/>
  <c r="F30" i="1"/>
  <c r="N15" i="1"/>
  <c r="L15" i="1"/>
  <c r="K20" i="1"/>
  <c r="F18" i="1"/>
  <c r="L20" i="1" l="1"/>
  <c r="N20" i="1"/>
  <c r="K30" i="1"/>
  <c r="I30" i="1"/>
  <c r="AC15" i="1"/>
  <c r="G30" i="1"/>
  <c r="F31" i="1"/>
  <c r="K18" i="1"/>
  <c r="I18" i="1"/>
  <c r="G18" i="1"/>
  <c r="F23" i="1"/>
  <c r="F19" i="1"/>
  <c r="U7" i="45"/>
  <c r="U7" i="42"/>
  <c r="U24" i="2"/>
  <c r="V7" i="2"/>
  <c r="X7" i="2"/>
  <c r="V7" i="46"/>
  <c r="X7" i="46"/>
  <c r="U24" i="46"/>
  <c r="AI7" i="42" l="1"/>
  <c r="X7" i="42"/>
  <c r="U24" i="42"/>
  <c r="V7" i="42"/>
  <c r="F7" i="42"/>
  <c r="AJ7" i="42"/>
  <c r="V7" i="45"/>
  <c r="F7" i="45"/>
  <c r="X7" i="45"/>
  <c r="U24" i="45"/>
  <c r="I19" i="1"/>
  <c r="G19" i="1"/>
  <c r="G23" i="1"/>
  <c r="I23" i="1"/>
  <c r="F34" i="1"/>
  <c r="F24" i="1"/>
  <c r="L18" i="1"/>
  <c r="N18" i="1"/>
  <c r="K23" i="1"/>
  <c r="K19" i="1"/>
  <c r="I31" i="1"/>
  <c r="AC16" i="1"/>
  <c r="G31" i="1"/>
  <c r="X24" i="2"/>
  <c r="V24" i="2"/>
  <c r="U27" i="2"/>
  <c r="AD15" i="1"/>
  <c r="AF15" i="1"/>
  <c r="N30" i="1"/>
  <c r="L30" i="1"/>
  <c r="AH15" i="1"/>
  <c r="K31" i="1"/>
  <c r="U27" i="46"/>
  <c r="X24" i="46"/>
  <c r="V24" i="46"/>
  <c r="I24" i="1" l="1"/>
  <c r="G24" i="1"/>
  <c r="F35" i="1"/>
  <c r="I34" i="1"/>
  <c r="G34" i="1"/>
  <c r="V27" i="46"/>
  <c r="X27" i="46"/>
  <c r="AH16" i="1"/>
  <c r="L31" i="1"/>
  <c r="N31" i="1"/>
  <c r="AI15" i="1"/>
  <c r="AK15" i="1"/>
  <c r="V24" i="45"/>
  <c r="U27" i="45"/>
  <c r="X24" i="45"/>
  <c r="F24" i="45"/>
  <c r="L19" i="1"/>
  <c r="N19" i="1"/>
  <c r="L23" i="1"/>
  <c r="N23" i="1"/>
  <c r="K34" i="1"/>
  <c r="K24" i="1"/>
  <c r="V27" i="2"/>
  <c r="X27" i="2"/>
  <c r="U50" i="2"/>
  <c r="U27" i="42"/>
  <c r="X24" i="42"/>
  <c r="V24" i="42"/>
  <c r="AI24" i="42"/>
  <c r="F24" i="42"/>
  <c r="AF16" i="1"/>
  <c r="AD16" i="1"/>
  <c r="F27" i="45" l="1"/>
  <c r="X27" i="45"/>
  <c r="V27" i="45"/>
  <c r="U49" i="45"/>
  <c r="AI27" i="42"/>
  <c r="F27" i="42"/>
  <c r="V27" i="42"/>
  <c r="X27" i="42"/>
  <c r="U50" i="42"/>
  <c r="AK16" i="1"/>
  <c r="AI16" i="1"/>
  <c r="W50" i="2"/>
  <c r="V50" i="2"/>
  <c r="N24" i="1"/>
  <c r="L24" i="1"/>
  <c r="G35" i="1"/>
  <c r="F36" i="1"/>
  <c r="I35" i="1"/>
  <c r="K35" i="1"/>
  <c r="N34" i="1"/>
  <c r="L34" i="1"/>
  <c r="AC24" i="1" l="1"/>
  <c r="G36" i="1"/>
  <c r="AD24" i="1" s="1"/>
  <c r="I36" i="1"/>
  <c r="AF24" i="1" s="1"/>
  <c r="V50" i="42"/>
  <c r="W50" i="42"/>
  <c r="U39" i="2"/>
  <c r="U38" i="46"/>
  <c r="F38" i="1"/>
  <c r="U45" i="46"/>
  <c r="U46" i="2"/>
  <c r="W49" i="45"/>
  <c r="V49" i="45"/>
  <c r="K36" i="1"/>
  <c r="N35" i="1"/>
  <c r="L35" i="1"/>
  <c r="U46" i="42" l="1"/>
  <c r="U45" i="45"/>
  <c r="U54" i="2"/>
  <c r="K38" i="1"/>
  <c r="F40" i="1"/>
  <c r="F39" i="1"/>
  <c r="N36" i="1"/>
  <c r="AK24" i="1" s="1"/>
  <c r="AH24" i="1"/>
  <c r="L36" i="1"/>
  <c r="AI24" i="1" s="1"/>
  <c r="U39" i="42"/>
  <c r="U38" i="45"/>
  <c r="U60" i="2"/>
  <c r="X39" i="2"/>
  <c r="V39" i="2"/>
  <c r="U41" i="2"/>
  <c r="X38" i="46"/>
  <c r="V38" i="46"/>
  <c r="U40" i="46"/>
  <c r="X41" i="2" l="1"/>
  <c r="V41" i="2"/>
  <c r="T36" i="1"/>
  <c r="AC26" i="1"/>
  <c r="U43" i="2"/>
  <c r="V38" i="45"/>
  <c r="X38" i="45"/>
  <c r="U40" i="45"/>
  <c r="U53" i="45"/>
  <c r="V53" i="45" s="1"/>
  <c r="X40" i="46"/>
  <c r="V40" i="46"/>
  <c r="U42" i="46"/>
  <c r="V60" i="2"/>
  <c r="V61" i="2" s="1"/>
  <c r="U61" i="2"/>
  <c r="K40" i="1"/>
  <c r="K39" i="1"/>
  <c r="U54" i="42"/>
  <c r="V54" i="42" s="1"/>
  <c r="V39" i="42"/>
  <c r="U60" i="42"/>
  <c r="X39" i="42"/>
  <c r="U41" i="42"/>
  <c r="V54" i="2"/>
  <c r="V55" i="2" s="1"/>
  <c r="U55" i="2"/>
  <c r="X40" i="45" l="1"/>
  <c r="V40" i="45"/>
  <c r="U42" i="45"/>
  <c r="V43" i="2"/>
  <c r="X43" i="2"/>
  <c r="U44" i="2"/>
  <c r="G44" i="2"/>
  <c r="U47" i="2"/>
  <c r="T35" i="1"/>
  <c r="U36" i="1"/>
  <c r="W36" i="1"/>
  <c r="G43" i="46"/>
  <c r="V42" i="46"/>
  <c r="U43" i="46"/>
  <c r="X42" i="46"/>
  <c r="U46" i="46"/>
  <c r="AD26" i="1"/>
  <c r="AF26" i="1" s="1"/>
  <c r="AC22" i="1"/>
  <c r="X41" i="42"/>
  <c r="V41" i="42"/>
  <c r="AH26" i="1"/>
  <c r="AH22" i="1" s="1"/>
  <c r="U43" i="42"/>
  <c r="V60" i="42"/>
  <c r="V61" i="42" s="1"/>
  <c r="U61" i="42"/>
  <c r="AD22" i="1" l="1"/>
  <c r="AF22" i="1"/>
  <c r="AC23" i="1"/>
  <c r="X42" i="45"/>
  <c r="V42" i="45"/>
  <c r="U43" i="45"/>
  <c r="G43" i="45"/>
  <c r="U46" i="45"/>
  <c r="W35" i="1"/>
  <c r="U35" i="1"/>
  <c r="X43" i="42"/>
  <c r="G44" i="42"/>
  <c r="U44" i="42"/>
  <c r="V43" i="42"/>
  <c r="U47" i="42"/>
  <c r="AK22" i="1"/>
  <c r="AI22" i="1"/>
  <c r="AH23" i="1"/>
  <c r="AD23" i="1" l="1"/>
  <c r="AF23" i="1"/>
  <c r="AK23" i="1"/>
  <c r="AI23" i="1"/>
</calcChain>
</file>

<file path=xl/sharedStrings.xml><?xml version="1.0" encoding="utf-8"?>
<sst xmlns="http://schemas.openxmlformats.org/spreadsheetml/2006/main" count="1030" uniqueCount="260">
  <si>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</si>
  <si>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</si>
  <si>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</si>
  <si>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</si>
  <si>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</si>
  <si>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</si>
  <si>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</si>
  <si>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</si>
  <si>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</si>
  <si>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</si>
  <si>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</si>
  <si>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</si>
  <si>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</si>
  <si>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</si>
  <si>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전년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</si>
  <si>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</si>
  <si>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</si>
  <si>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</si>
  <si>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</si>
  <si>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</si>
  <si>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</si>
  <si>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판매단가</t>
    <phoneticPr fontId="1" type="noConversion"/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</si>
  <si>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</si>
  <si>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</si>
  <si>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</si>
  <si>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</si>
  <si>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</si>
  <si>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</si>
  <si>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</si>
  <si>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</si>
  <si>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</si>
  <si>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</si>
  <si>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원주</t>
  </si>
  <si>
    <t>군산</t>
  </si>
  <si>
    <t>전주</t>
  </si>
  <si>
    <t>제주</t>
  </si>
  <si>
    <t>차이</t>
  </si>
  <si>
    <t>차이</t>
    <phoneticPr fontId="1" type="noConversion"/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</si>
  <si>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</si>
  <si>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</si>
  <si>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</si>
  <si>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</si>
  <si>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</si>
  <si>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(소계)</t>
  </si>
  <si>
    <t>변동비</t>
    <phoneticPr fontId="1" type="noConversion"/>
  </si>
  <si>
    <t>재료비</t>
    <phoneticPr fontId="1" type="noConversion"/>
  </si>
  <si>
    <t>운반비</t>
    <phoneticPr fontId="1" type="noConversion"/>
  </si>
  <si>
    <t>평균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</si>
  <si>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</si>
  <si>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</si>
  <si>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</si>
  <si>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</si>
  <si>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</si>
  <si>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</si>
  <si>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</si>
  <si>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</si>
  <si>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</si>
  <si>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기타권</t>
    <phoneticPr fontId="1" type="noConversion"/>
  </si>
  <si>
    <t>(소계)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</si>
  <si>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</si>
  <si>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</si>
  <si>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</si>
  <si>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</si>
  <si>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</si>
  <si>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</si>
  <si>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</si>
  <si>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</si>
  <si>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</si>
  <si>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</si>
  <si>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</si>
  <si>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</si>
  <si>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</si>
  <si>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</si>
  <si>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</si>
  <si>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</si>
  <si>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</si>
  <si>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[단위 : 톤, 천원]</t>
    <phoneticPr fontId="1" type="noConversion"/>
  </si>
  <si>
    <t>매출액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</si>
  <si>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</si>
  <si>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</si>
  <si>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</si>
  <si>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</si>
  <si>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</si>
  <si>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</si>
  <si>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</si>
  <si>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</si>
  <si>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</si>
  <si>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</si>
  <si>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</si>
  <si>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</si>
  <si>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</si>
  <si>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</si>
  <si>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</si>
  <si>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</si>
  <si>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</si>
  <si>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</si>
  <si>
    <t>대구</t>
    <phoneticPr fontId="1" type="noConversion"/>
  </si>
  <si>
    <t>울산</t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</si>
  <si>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</si>
  <si>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</si>
  <si>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</si>
  <si>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</si>
  <si>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</si>
  <si>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유류비</t>
    <phoneticPr fontId="1" type="noConversion"/>
  </si>
  <si>
    <t>변동비 계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</si>
  <si>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</si>
  <si>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</si>
  <si>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</si>
  <si>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</si>
  <si>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</si>
  <si>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</si>
  <si>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</si>
  <si>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</si>
  <si>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</si>
  <si>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</si>
  <si>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</si>
  <si>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</si>
  <si>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</si>
  <si>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</si>
  <si>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</si>
  <si>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</si>
  <si>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구분</t>
  </si>
  <si>
    <t>철강재</t>
  </si>
  <si>
    <t>기타</t>
  </si>
  <si>
    <t>판관비</t>
  </si>
  <si>
    <t>노무비</t>
  </si>
  <si>
    <t>경비</t>
  </si>
  <si>
    <t>판매단가</t>
  </si>
  <si>
    <t>마진률</t>
  </si>
  <si>
    <t>철강재 단가
및
마진률</t>
    <phoneticPr fontId="1" type="noConversion"/>
  </si>
  <si>
    <t xml:space="preserve"> * 자가이송 운반비 : 부산 3,500 / 김해 3,500 / 정관 8,000 / 양산 5,000 / 창원 8,000</t>
    <phoneticPr fontId="1" type="noConversion"/>
  </si>
  <si>
    <t>단가</t>
    <phoneticPr fontId="1" type="noConversion"/>
  </si>
  <si>
    <t>자가이송</t>
    <phoneticPr fontId="1" type="noConversion"/>
  </si>
  <si>
    <t>외부판매</t>
  </si>
  <si>
    <t>자가이송</t>
  </si>
  <si>
    <t>외부판매</t>
    <phoneticPr fontId="1" type="noConversion"/>
  </si>
  <si>
    <t>골재사업소 계</t>
    <phoneticPr fontId="1" type="noConversion"/>
  </si>
  <si>
    <t>부산 모래</t>
    <phoneticPr fontId="1" type="noConversion"/>
  </si>
  <si>
    <t>서부산 소계</t>
    <phoneticPr fontId="1" type="noConversion"/>
  </si>
  <si>
    <t>서부산 쇄사</t>
    <phoneticPr fontId="1" type="noConversion"/>
  </si>
  <si>
    <t>서부산 쇄석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</si>
  <si>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</si>
  <si>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</si>
  <si>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영업이익(공통비 미배부)</t>
    <phoneticPr fontId="1" type="noConversion"/>
  </si>
  <si>
    <t>물량 차이</t>
    <phoneticPr fontId="1" type="noConversion"/>
  </si>
  <si>
    <t>판매단가 차이</t>
    <phoneticPr fontId="1" type="noConversion"/>
  </si>
  <si>
    <t>제조원가 차이</t>
    <phoneticPr fontId="1" type="noConversion"/>
  </si>
  <si>
    <t>판관비 등 차이</t>
    <phoneticPr fontId="1" type="noConversion"/>
  </si>
  <si>
    <t>손익</t>
    <phoneticPr fontId="1" type="noConversion"/>
  </si>
  <si>
    <t>[단위 : 백만원, 천㎥]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</si>
  <si>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</si>
  <si>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</si>
  <si>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</si>
  <si>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</si>
  <si>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</si>
  <si>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</si>
  <si>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</si>
  <si>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[단위 : kg/㎥]</t>
    <phoneticPr fontId="1" type="noConversion"/>
  </si>
  <si>
    <t>OPC</t>
    <phoneticPr fontId="1" type="noConversion"/>
  </si>
  <si>
    <t>분체류</t>
    <phoneticPr fontId="1" type="noConversion"/>
  </si>
  <si>
    <t>분체류 치환률</t>
    <phoneticPr fontId="1" type="noConversion"/>
  </si>
  <si>
    <t>자갈</t>
    <phoneticPr fontId="1" type="noConversion"/>
  </si>
  <si>
    <t>모래</t>
    <phoneticPr fontId="1" type="noConversion"/>
  </si>
  <si>
    <t>혼화제</t>
    <phoneticPr fontId="1" type="noConversion"/>
  </si>
  <si>
    <t>* 공통비</t>
    <phoneticPr fontId="1" type="noConversion"/>
  </si>
  <si>
    <t>합계</t>
    <phoneticPr fontId="1" type="noConversion"/>
  </si>
  <si>
    <t>기타</t>
    <phoneticPr fontId="1" type="noConversion"/>
  </si>
  <si>
    <t>[단위 : ㎥, 천원]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</si>
  <si>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</si>
  <si>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</si>
  <si>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</si>
  <si>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</si>
  <si>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</si>
  <si>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>4월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</si>
  <si>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</si>
  <si>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</si>
  <si>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</si>
  <si>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</si>
  <si>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김포</t>
    <phoneticPr fontId="1" type="noConversion"/>
  </si>
  <si>
    <t>2월</t>
  </si>
  <si>
    <t>1월</t>
    <phoneticPr fontId="1" type="noConversion"/>
  </si>
  <si>
    <t>3월</t>
    <phoneticPr fontId="1" type="noConversion"/>
  </si>
  <si>
    <t>6월</t>
  </si>
  <si>
    <t>□ 기타내역(영업이익)</t>
    <phoneticPr fontId="1" type="noConversion"/>
  </si>
  <si>
    <t>부산크라샤 쇄석</t>
    <phoneticPr fontId="1" type="noConversion"/>
  </si>
  <si>
    <t>부산크라샤 쇄사</t>
    <phoneticPr fontId="1" type="noConversion"/>
  </si>
  <si>
    <t>부산크라샤 소계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</si>
  <si>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</si>
  <si>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</si>
  <si>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</si>
  <si>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</si>
  <si>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12월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</si>
  <si>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</si>
  <si>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</si>
  <si>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</si>
  <si>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</si>
  <si>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</si>
  <si>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</si>
  <si>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</si>
  <si>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</si>
  <si>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</si>
  <si>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</si>
  <si>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2월</t>
    <phoneticPr fontId="1" type="noConversion"/>
  </si>
  <si>
    <t>구분</t>
    <phoneticPr fontId="1" type="noConversion"/>
  </si>
  <si>
    <t>물량</t>
    <phoneticPr fontId="1" type="noConversion"/>
  </si>
  <si>
    <t>매출액</t>
    <phoneticPr fontId="1" type="noConversion"/>
  </si>
  <si>
    <t>영업이익</t>
    <phoneticPr fontId="1" type="noConversion"/>
  </si>
  <si>
    <t>계</t>
    <phoneticPr fontId="1" type="noConversion"/>
  </si>
  <si>
    <t>(단위 : 천㎥, 천톤, 억원)</t>
    <phoneticPr fontId="1" type="noConversion"/>
  </si>
  <si>
    <t>3월</t>
  </si>
  <si>
    <t>4월</t>
  </si>
  <si>
    <t>5월</t>
  </si>
  <si>
    <t>혼합석(25mm)</t>
  </si>
  <si>
    <t>혼합석(25mm)</t>
    <phoneticPr fontId="1" type="noConversion"/>
  </si>
  <si>
    <t>양산</t>
    <phoneticPr fontId="1" type="noConversion"/>
  </si>
  <si>
    <t>임대</t>
    <phoneticPr fontId="1" type="noConversion"/>
  </si>
  <si>
    <t>시그마 5백만원</t>
    <phoneticPr fontId="1" type="noConversion"/>
  </si>
  <si>
    <t>공통 상각비 7천만원</t>
    <phoneticPr fontId="1" type="noConversion"/>
  </si>
  <si>
    <t>회계팀 재고자산평가손실 8.3천만원</t>
    <phoneticPr fontId="1" type="noConversion"/>
  </si>
  <si>
    <t>서부산CR</t>
  </si>
  <si>
    <t>서부산CR</t>
    <phoneticPr fontId="1" type="noConversion"/>
  </si>
  <si>
    <t>부산CR</t>
  </si>
  <si>
    <t>부산CR</t>
    <phoneticPr fontId="1" type="noConversion"/>
  </si>
  <si>
    <t>부산모래장</t>
  </si>
  <si>
    <t>㎥</t>
    <phoneticPr fontId="1" type="noConversion"/>
  </si>
  <si>
    <t>서해사1</t>
    <phoneticPr fontId="1" type="noConversion"/>
  </si>
  <si>
    <t>공통비</t>
    <phoneticPr fontId="1" type="noConversion"/>
  </si>
  <si>
    <t>8월</t>
  </si>
  <si>
    <t>7월</t>
    <phoneticPr fontId="1" type="noConversion"/>
  </si>
  <si>
    <t>레미콘</t>
    <phoneticPr fontId="1" type="noConversion"/>
  </si>
  <si>
    <t>건자재</t>
    <phoneticPr fontId="1" type="noConversion"/>
  </si>
  <si>
    <t>골재</t>
    <phoneticPr fontId="1" type="noConversion"/>
  </si>
  <si>
    <t>기타</t>
    <phoneticPr fontId="1" type="noConversion"/>
  </si>
  <si>
    <t xml:space="preserve">  - OPC 소급분 : 삼표 2.5억(총 9.9억 中 1회차) → 8~11월 총 4회 소급예정</t>
    <phoneticPr fontId="1" type="noConversion"/>
  </si>
  <si>
    <t>9월</t>
    <phoneticPr fontId="1" type="noConversion"/>
  </si>
  <si>
    <t xml:space="preserve">  □ 3분기 총 대손 : 5.7억</t>
    <phoneticPr fontId="1" type="noConversion"/>
  </si>
  <si>
    <t xml:space="preserve">    - 집합대손 : 0.4억</t>
    <phoneticPr fontId="1" type="noConversion"/>
  </si>
  <si>
    <t xml:space="preserve">    - 개별 대손 : 11.7억(송학 0.9억, 계원토건 1.2억, 남양건설 1.7억, 선원건설 7.9억)</t>
    <phoneticPr fontId="1" type="noConversion"/>
  </si>
  <si>
    <t xml:space="preserve">    - 개별 대손환입 : -6.4억(신일 1.8억, 태영건설 3.1억, 남양건설 1.1억 등)</t>
    <phoneticPr fontId="1" type="noConversion"/>
  </si>
  <si>
    <t>2024년 10월 마감 손익</t>
    <phoneticPr fontId="1" type="noConversion"/>
  </si>
  <si>
    <t>□ 건재사업본부 손익실적(2024-10)</t>
    <phoneticPr fontId="1" type="noConversion"/>
  </si>
  <si>
    <t>10월</t>
  </si>
  <si>
    <t>10월 누계</t>
  </si>
  <si>
    <t>10월 주요지표</t>
    <phoneticPr fontId="1" type="noConversion"/>
  </si>
  <si>
    <t>□ 건재부문 실적(10월)</t>
    <phoneticPr fontId="1" type="noConversion"/>
  </si>
  <si>
    <t>□ 사업장별 손익실적(2024-10)</t>
  </si>
  <si>
    <t>□ 사업장별 손익실적(2024-10누계)</t>
  </si>
  <si>
    <t>□ 레미콘 원재료 원단위(2024-10)</t>
  </si>
  <si>
    <t>□ 2024년 레미콘 원재료단가(2024-10)</t>
  </si>
  <si>
    <t>□ 레미콘 단위당 공헌이익(2024-10)</t>
  </si>
  <si>
    <t>□ 레미콘 영업이익 차이분석(2024-10)</t>
  </si>
  <si>
    <t>10월누계</t>
  </si>
  <si>
    <t>□ 건자재 손익실적(2024-10)</t>
  </si>
  <si>
    <t>□ 2024년 골재사업소 손익(2024-10)</t>
  </si>
  <si>
    <t>□ 2024년 골재사업소 손익(2024-10누계)</t>
    <phoneticPr fontId="1" type="noConversion"/>
  </si>
  <si>
    <t xml:space="preserve">  ▶ 판매단가 소급</t>
    <phoneticPr fontId="1" type="noConversion"/>
  </si>
  <si>
    <t xml:space="preserve">    - GS : 952백만원</t>
    <phoneticPr fontId="1" type="noConversion"/>
  </si>
  <si>
    <t xml:space="preserve">    - 디엘이앤씨 53백만원, 삼환기업 40백만원, 디엘건설 7백만원</t>
    <phoneticPr fontId="1" type="noConversion"/>
  </si>
  <si>
    <t xml:space="preserve">  ▶ 운반비 소급</t>
    <phoneticPr fontId="1" type="noConversion"/>
  </si>
  <si>
    <t xml:space="preserve">    - 안양 : 4,350만원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</si>
</sst>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#,##0.000_);[Red]\(#,##0.000\)"/>
    <numFmt numFmtId="182" formatCode="#,##0.00_);[Red]\(#,##0.00\)"/>
    <numFmt numFmtId="183" formatCode="_-* #,##0.0_-;\-* #,##0.0_-;_-* &quot;-&quot;_-;_-@_-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8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4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/>
  </cellStyleXfs>
  <cellXfs count="859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9" fontId="0" fillId="0" borderId="0" xfId="0" applyNumberFormat="1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6" xfId="0" applyNumberFormat="1" applyFont="1" applyBorder="1" applyAlignment="1">
      <alignment horizontal="centerContinuous" vertical="center"/>
    </xf>
    <xf numFmtId="178" fontId="0" fillId="0" borderId="10" xfId="0" applyNumberFormat="1" applyBorder="1">
      <alignment vertical="center"/>
    </xf>
    <xf numFmtId="178" fontId="0" fillId="0" borderId="30" xfId="0" applyNumberFormat="1" applyBorder="1">
      <alignment vertical="center"/>
    </xf>
    <xf numFmtId="178" fontId="0" fillId="0" borderId="0" xfId="0" applyNumberFormat="1" applyBorder="1">
      <alignment vertical="center"/>
    </xf>
    <xf numFmtId="178" fontId="0" fillId="0" borderId="0" xfId="0" applyNumberForma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centerContinuous"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68" xfId="0" applyNumberFormat="1" applyFont="1" applyBorder="1" applyAlignment="1">
      <alignment horizontal="centerContinuous" vertical="center"/>
    </xf>
    <xf numFmtId="178" fontId="2" fillId="0" borderId="13" xfId="0" applyNumberFormat="1" applyFont="1" applyBorder="1">
      <alignment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5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5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5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5" fillId="0" borderId="13" xfId="0" applyNumberFormat="1" applyFont="1" applyBorder="1">
      <alignment vertical="center"/>
    </xf>
    <xf numFmtId="177" fontId="15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5" fillId="0" borderId="16" xfId="0" applyNumberFormat="1" applyFont="1" applyBorder="1">
      <alignment vertical="center"/>
    </xf>
    <xf numFmtId="177" fontId="15" fillId="0" borderId="17" xfId="0" applyNumberFormat="1" applyFont="1" applyBorder="1">
      <alignment vertical="center"/>
    </xf>
    <xf numFmtId="0" fontId="15" fillId="0" borderId="6" xfId="0" applyFont="1" applyBorder="1">
      <alignment vertical="center"/>
    </xf>
    <xf numFmtId="0" fontId="15" fillId="0" borderId="8" xfId="0" applyFont="1" applyBorder="1">
      <alignment vertical="center"/>
    </xf>
    <xf numFmtId="0" fontId="16" fillId="6" borderId="1" xfId="0" applyFont="1" applyFill="1" applyBorder="1" applyAlignment="1">
      <alignment horizontal="centerContinuous" vertical="center"/>
    </xf>
    <xf numFmtId="0" fontId="16" fillId="6" borderId="2" xfId="0" applyFont="1" applyFill="1" applyBorder="1" applyAlignment="1">
      <alignment horizontal="centerContinuous" vertical="center"/>
    </xf>
    <xf numFmtId="0" fontId="16" fillId="6" borderId="3" xfId="0" applyFont="1" applyFill="1" applyBorder="1" applyAlignment="1">
      <alignment horizontal="centerContinuous" vertical="center"/>
    </xf>
    <xf numFmtId="0" fontId="17" fillId="0" borderId="0" xfId="0" applyFont="1">
      <alignment vertical="center"/>
    </xf>
    <xf numFmtId="0" fontId="16" fillId="6" borderId="10" xfId="0" applyFont="1" applyFill="1" applyBorder="1" applyAlignment="1">
      <alignment horizontal="centerContinuous" vertical="center"/>
    </xf>
    <xf numFmtId="0" fontId="16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4" xfId="0" applyFont="1" applyBorder="1" applyAlignment="1">
      <alignment horizontal="centerContinuous" vertical="center"/>
    </xf>
    <xf numFmtId="176" fontId="2" fillId="0" borderId="66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2" fillId="0" borderId="12" xfId="0" applyNumberFormat="1" applyFont="1" applyBorder="1" applyAlignment="1">
      <alignment horizontal="center" vertical="center"/>
    </xf>
    <xf numFmtId="178" fontId="0" fillId="0" borderId="7" xfId="0" applyNumberForma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8" fillId="10" borderId="34" xfId="0" applyFont="1" applyFill="1" applyBorder="1" applyAlignment="1">
      <alignment horizontal="centerContinuous" vertical="center"/>
    </xf>
    <xf numFmtId="0" fontId="18" fillId="10" borderId="35" xfId="0" applyFont="1" applyFill="1" applyBorder="1" applyAlignment="1">
      <alignment horizontal="centerContinuous" vertical="center"/>
    </xf>
    <xf numFmtId="0" fontId="18" fillId="10" borderId="36" xfId="0" applyFont="1" applyFill="1" applyBorder="1" applyAlignment="1">
      <alignment horizontal="centerContinuous" vertical="center"/>
    </xf>
    <xf numFmtId="0" fontId="18" fillId="10" borderId="9" xfId="0" applyFont="1" applyFill="1" applyBorder="1" applyAlignment="1">
      <alignment horizontal="center" vertical="center"/>
    </xf>
    <xf numFmtId="0" fontId="18" fillId="10" borderId="10" xfId="0" applyFont="1" applyFill="1" applyBorder="1" applyAlignment="1">
      <alignment horizontal="center" vertical="center"/>
    </xf>
    <xf numFmtId="0" fontId="18" fillId="10" borderId="45" xfId="0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center" vertical="center"/>
    </xf>
    <xf numFmtId="0" fontId="18" fillId="10" borderId="15" xfId="0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18" fillId="10" borderId="50" xfId="0" applyFont="1" applyFill="1" applyBorder="1" applyAlignment="1">
      <alignment horizontal="center" vertical="center"/>
    </xf>
    <xf numFmtId="0" fontId="18" fillId="10" borderId="47" xfId="0" applyFont="1" applyFill="1" applyBorder="1" applyAlignment="1">
      <alignment horizontal="center" vertical="center"/>
    </xf>
    <xf numFmtId="178" fontId="9" fillId="0" borderId="0" xfId="0" applyNumberFormat="1" applyFont="1">
      <alignment vertical="center"/>
    </xf>
    <xf numFmtId="178" fontId="19" fillId="0" borderId="0" xfId="0" applyNumberFormat="1" applyFont="1">
      <alignment vertical="center"/>
    </xf>
    <xf numFmtId="178" fontId="0" fillId="0" borderId="0" xfId="0" applyNumberFormat="1" applyAlignment="1">
      <alignment horizontal="right" vertical="center"/>
    </xf>
    <xf numFmtId="178" fontId="18" fillId="0" borderId="0" xfId="0" applyNumberFormat="1" applyFont="1" applyFill="1" applyBorder="1" applyAlignment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0" fillId="0" borderId="5" xfId="0" applyNumberFormat="1" applyBorder="1">
      <alignment vertical="center"/>
    </xf>
    <xf numFmtId="178" fontId="6" fillId="0" borderId="4" xfId="0" applyNumberFormat="1" applyFont="1" applyBorder="1">
      <alignment vertical="center"/>
    </xf>
    <xf numFmtId="178" fontId="6" fillId="0" borderId="46" xfId="0" applyNumberFormat="1" applyFont="1" applyBorder="1">
      <alignment vertical="center"/>
    </xf>
    <xf numFmtId="178" fontId="6" fillId="0" borderId="18" xfId="0" applyNumberFormat="1" applyFont="1" applyBorder="1">
      <alignment vertical="center"/>
    </xf>
    <xf numFmtId="178" fontId="6" fillId="0" borderId="5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8" fontId="2" fillId="0" borderId="33" xfId="0" applyNumberFormat="1" applyFont="1" applyBorder="1" applyAlignment="1">
      <alignment horizontal="right" vertical="center"/>
    </xf>
    <xf numFmtId="178" fontId="6" fillId="0" borderId="0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8" fontId="0" fillId="0" borderId="8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0" fillId="0" borderId="55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7" xfId="0" applyNumberFormat="1" applyFont="1" applyBorder="1">
      <alignment vertical="center"/>
    </xf>
    <xf numFmtId="0" fontId="16" fillId="6" borderId="74" xfId="0" applyFont="1" applyFill="1" applyBorder="1" applyAlignment="1">
      <alignment horizontal="centerContinuous" vertical="center"/>
    </xf>
    <xf numFmtId="178" fontId="0" fillId="0" borderId="30" xfId="0" applyNumberFormat="1" applyBorder="1" applyAlignment="1">
      <alignment horizontal="center" vertical="center" wrapText="1"/>
    </xf>
    <xf numFmtId="178" fontId="0" fillId="0" borderId="0" xfId="0" applyNumberFormat="1" applyAlignment="1">
      <alignment vertical="center"/>
    </xf>
    <xf numFmtId="178" fontId="6" fillId="0" borderId="8" xfId="0" applyNumberFormat="1" applyFont="1" applyBorder="1">
      <alignment vertical="center"/>
    </xf>
    <xf numFmtId="178" fontId="6" fillId="0" borderId="6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63" xfId="0" applyNumberFormat="1" applyFont="1" applyBorder="1">
      <alignment vertical="center"/>
    </xf>
    <xf numFmtId="178" fontId="6" fillId="0" borderId="47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178" fontId="6" fillId="0" borderId="5" xfId="0" applyNumberFormat="1" applyFont="1" applyBorder="1">
      <alignment vertical="center"/>
    </xf>
    <xf numFmtId="178" fontId="6" fillId="0" borderId="31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center" vertical="center"/>
    </xf>
    <xf numFmtId="178" fontId="6" fillId="0" borderId="54" xfId="0" applyNumberFormat="1" applyFont="1" applyBorder="1">
      <alignment vertical="center"/>
    </xf>
    <xf numFmtId="178" fontId="6" fillId="0" borderId="32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" vertical="center"/>
    </xf>
    <xf numFmtId="178" fontId="2" fillId="0" borderId="19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vertical="center"/>
    </xf>
    <xf numFmtId="178" fontId="6" fillId="0" borderId="0" xfId="0" applyNumberFormat="1" applyFont="1" applyBorder="1" applyAlignment="1">
      <alignment vertical="center"/>
    </xf>
    <xf numFmtId="178" fontId="6" fillId="0" borderId="31" xfId="0" applyNumberFormat="1" applyFont="1" applyBorder="1" applyAlignment="1">
      <alignment vertical="center"/>
    </xf>
    <xf numFmtId="178" fontId="6" fillId="0" borderId="46" xfId="0" applyNumberFormat="1" applyFont="1" applyBorder="1" applyAlignment="1">
      <alignment vertical="center"/>
    </xf>
    <xf numFmtId="178" fontId="6" fillId="0" borderId="1" xfId="0" applyNumberFormat="1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178" fontId="6" fillId="0" borderId="27" xfId="0" applyNumberFormat="1" applyFont="1" applyBorder="1" applyAlignment="1">
      <alignment vertical="center"/>
    </xf>
    <xf numFmtId="178" fontId="6" fillId="0" borderId="39" xfId="0" applyNumberFormat="1" applyFont="1" applyBorder="1" applyAlignment="1">
      <alignment vertical="center"/>
    </xf>
    <xf numFmtId="178" fontId="2" fillId="0" borderId="30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vertical="center"/>
    </xf>
    <xf numFmtId="178" fontId="6" fillId="0" borderId="7" xfId="0" applyNumberFormat="1" applyFont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47" xfId="0" applyNumberFormat="1" applyFont="1" applyBorder="1" applyAlignment="1">
      <alignment vertical="center"/>
    </xf>
    <xf numFmtId="178" fontId="2" fillId="0" borderId="7" xfId="0" applyNumberFormat="1" applyFont="1" applyBorder="1" applyAlignment="1">
      <alignment horizontal="center" vertical="center"/>
    </xf>
    <xf numFmtId="178" fontId="6" fillId="0" borderId="22" xfId="0" applyNumberFormat="1" applyFont="1" applyBorder="1" applyAlignment="1">
      <alignment vertical="center"/>
    </xf>
    <xf numFmtId="178" fontId="6" fillId="0" borderId="23" xfId="0" applyNumberFormat="1" applyFont="1" applyBorder="1" applyAlignment="1">
      <alignment vertical="center"/>
    </xf>
    <xf numFmtId="178" fontId="6" fillId="0" borderId="33" xfId="0" applyNumberFormat="1" applyFont="1" applyBorder="1" applyAlignment="1">
      <alignment vertical="center"/>
    </xf>
    <xf numFmtId="178" fontId="6" fillId="0" borderId="49" xfId="0" applyNumberFormat="1" applyFont="1" applyBorder="1" applyAlignment="1">
      <alignment vertical="center"/>
    </xf>
    <xf numFmtId="178" fontId="2" fillId="0" borderId="33" xfId="0" applyNumberFormat="1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178" fontId="6" fillId="0" borderId="18" xfId="0" applyNumberFormat="1" applyFont="1" applyBorder="1" applyAlignment="1">
      <alignment vertical="center"/>
    </xf>
    <xf numFmtId="178" fontId="6" fillId="0" borderId="68" xfId="0" applyNumberFormat="1" applyFont="1" applyBorder="1" applyAlignment="1">
      <alignment vertical="center"/>
    </xf>
    <xf numFmtId="178" fontId="6" fillId="0" borderId="32" xfId="0" applyNumberFormat="1" applyFont="1" applyBorder="1" applyAlignment="1">
      <alignment vertical="center"/>
    </xf>
    <xf numFmtId="178" fontId="6" fillId="0" borderId="53" xfId="0" applyNumberFormat="1" applyFont="1" applyBorder="1" applyAlignment="1">
      <alignment vertical="center"/>
    </xf>
    <xf numFmtId="178" fontId="2" fillId="0" borderId="68" xfId="0" applyNumberFormat="1" applyFont="1" applyBorder="1" applyAlignment="1">
      <alignment horizontal="center" vertical="center"/>
    </xf>
    <xf numFmtId="178" fontId="20" fillId="0" borderId="22" xfId="0" applyNumberFormat="1" applyFont="1" applyBorder="1" applyAlignment="1">
      <alignment vertical="center"/>
    </xf>
    <xf numFmtId="178" fontId="20" fillId="0" borderId="23" xfId="0" applyNumberFormat="1" applyFont="1" applyBorder="1" applyAlignment="1">
      <alignment vertical="center"/>
    </xf>
    <xf numFmtId="178" fontId="20" fillId="0" borderId="33" xfId="0" applyNumberFormat="1" applyFont="1" applyBorder="1" applyAlignment="1">
      <alignment vertical="center"/>
    </xf>
    <xf numFmtId="178" fontId="20" fillId="0" borderId="49" xfId="0" applyNumberFormat="1" applyFont="1" applyBorder="1" applyAlignment="1">
      <alignment vertical="center"/>
    </xf>
    <xf numFmtId="178" fontId="21" fillId="0" borderId="33" xfId="0" applyNumberFormat="1" applyFont="1" applyBorder="1" applyAlignment="1">
      <alignment horizontal="center" vertical="center"/>
    </xf>
    <xf numFmtId="178" fontId="6" fillId="0" borderId="0" xfId="0" applyNumberFormat="1" applyFont="1" applyFill="1" applyBorder="1">
      <alignment vertical="center"/>
    </xf>
    <xf numFmtId="178" fontId="2" fillId="0" borderId="4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vertical="center"/>
    </xf>
    <xf numFmtId="178" fontId="6" fillId="0" borderId="2" xfId="0" applyNumberFormat="1" applyFont="1" applyFill="1" applyBorder="1" applyAlignment="1">
      <alignment vertical="center"/>
    </xf>
    <xf numFmtId="178" fontId="6" fillId="0" borderId="27" xfId="0" applyNumberFormat="1" applyFont="1" applyFill="1" applyBorder="1" applyAlignment="1">
      <alignment vertical="center"/>
    </xf>
    <xf numFmtId="178" fontId="6" fillId="0" borderId="39" xfId="0" applyNumberFormat="1" applyFont="1" applyFill="1" applyBorder="1" applyAlignment="1">
      <alignment vertical="center"/>
    </xf>
    <xf numFmtId="178" fontId="2" fillId="0" borderId="27" xfId="0" applyNumberFormat="1" applyFont="1" applyFill="1" applyBorder="1" applyAlignment="1">
      <alignment horizontal="center" vertical="center"/>
    </xf>
    <xf numFmtId="178" fontId="2" fillId="0" borderId="28" xfId="0" applyNumberFormat="1" applyFont="1" applyFill="1" applyBorder="1" applyAlignment="1">
      <alignment horizontal="center" vertical="center"/>
    </xf>
    <xf numFmtId="178" fontId="6" fillId="0" borderId="74" xfId="0" applyNumberFormat="1" applyFont="1" applyFill="1" applyBorder="1" applyAlignment="1">
      <alignment vertical="center"/>
    </xf>
    <xf numFmtId="178" fontId="6" fillId="0" borderId="66" xfId="0" applyNumberFormat="1" applyFont="1" applyFill="1" applyBorder="1" applyAlignment="1">
      <alignment vertical="center"/>
    </xf>
    <xf numFmtId="178" fontId="6" fillId="0" borderId="64" xfId="0" applyNumberFormat="1" applyFont="1" applyFill="1" applyBorder="1" applyAlignment="1">
      <alignment vertical="center"/>
    </xf>
    <xf numFmtId="178" fontId="6" fillId="0" borderId="45" xfId="0" applyNumberFormat="1" applyFont="1" applyFill="1" applyBorder="1" applyAlignment="1">
      <alignment vertical="center"/>
    </xf>
    <xf numFmtId="178" fontId="2" fillId="0" borderId="66" xfId="0" applyNumberFormat="1" applyFont="1" applyFill="1" applyBorder="1" applyAlignment="1">
      <alignment horizontal="center" vertical="center"/>
    </xf>
    <xf numFmtId="178" fontId="2" fillId="0" borderId="6" xfId="0" applyNumberFormat="1" applyFont="1" applyFill="1" applyBorder="1" applyAlignment="1">
      <alignment horizontal="center" vertical="center"/>
    </xf>
    <xf numFmtId="9" fontId="6" fillId="0" borderId="22" xfId="0" applyNumberFormat="1" applyFont="1" applyFill="1" applyBorder="1" applyAlignment="1">
      <alignment vertical="center"/>
    </xf>
    <xf numFmtId="9" fontId="6" fillId="0" borderId="23" xfId="0" applyNumberFormat="1" applyFont="1" applyFill="1" applyBorder="1" applyAlignment="1">
      <alignment vertical="center"/>
    </xf>
    <xf numFmtId="9" fontId="6" fillId="0" borderId="33" xfId="0" applyNumberFormat="1" applyFont="1" applyFill="1" applyBorder="1" applyAlignment="1">
      <alignment vertical="center"/>
    </xf>
    <xf numFmtId="9" fontId="6" fillId="0" borderId="49" xfId="0" applyNumberFormat="1" applyFont="1" applyFill="1" applyBorder="1" applyAlignment="1">
      <alignment vertical="center"/>
    </xf>
    <xf numFmtId="9" fontId="2" fillId="0" borderId="33" xfId="0" applyNumberFormat="1" applyFont="1" applyFill="1" applyBorder="1" applyAlignment="1">
      <alignment horizontal="right" vertical="center"/>
    </xf>
    <xf numFmtId="178" fontId="6" fillId="0" borderId="18" xfId="0" applyNumberFormat="1" applyFont="1" applyFill="1" applyBorder="1" applyAlignment="1">
      <alignment vertical="center"/>
    </xf>
    <xf numFmtId="178" fontId="6" fillId="0" borderId="68" xfId="0" applyNumberFormat="1" applyFont="1" applyFill="1" applyBorder="1" applyAlignment="1">
      <alignment vertical="center"/>
    </xf>
    <xf numFmtId="178" fontId="6" fillId="0" borderId="32" xfId="0" applyNumberFormat="1" applyFont="1" applyFill="1" applyBorder="1" applyAlignment="1">
      <alignment vertical="center"/>
    </xf>
    <xf numFmtId="178" fontId="6" fillId="0" borderId="53" xfId="0" applyNumberFormat="1" applyFont="1" applyFill="1" applyBorder="1" applyAlignment="1">
      <alignment vertical="center"/>
    </xf>
    <xf numFmtId="178" fontId="2" fillId="0" borderId="32" xfId="0" applyNumberFormat="1" applyFont="1" applyFill="1" applyBorder="1" applyAlignment="1">
      <alignment horizontal="center" vertical="center"/>
    </xf>
    <xf numFmtId="178" fontId="2" fillId="0" borderId="12" xfId="0" applyNumberFormat="1" applyFont="1" applyFill="1" applyBorder="1" applyAlignment="1">
      <alignment horizontal="center" vertical="center"/>
    </xf>
    <xf numFmtId="9" fontId="6" fillId="0" borderId="4" xfId="0" applyNumberFormat="1" applyFont="1" applyFill="1" applyBorder="1" applyAlignment="1">
      <alignment vertical="center"/>
    </xf>
    <xf numFmtId="9" fontId="6" fillId="0" borderId="0" xfId="0" applyNumberFormat="1" applyFont="1" applyFill="1" applyBorder="1" applyAlignment="1">
      <alignment vertical="center"/>
    </xf>
    <xf numFmtId="9" fontId="6" fillId="0" borderId="31" xfId="0" applyNumberFormat="1" applyFont="1" applyFill="1" applyBorder="1" applyAlignment="1">
      <alignment vertical="center"/>
    </xf>
    <xf numFmtId="9" fontId="6" fillId="0" borderId="46" xfId="0" applyNumberFormat="1" applyFont="1" applyFill="1" applyBorder="1" applyAlignment="1">
      <alignment vertical="center"/>
    </xf>
    <xf numFmtId="9" fontId="2" fillId="0" borderId="31" xfId="0" applyNumberFormat="1" applyFont="1" applyFill="1" applyBorder="1" applyAlignment="1">
      <alignment horizontal="right" vertical="center"/>
    </xf>
    <xf numFmtId="178" fontId="18" fillId="6" borderId="74" xfId="0" applyNumberFormat="1" applyFont="1" applyFill="1" applyBorder="1" applyAlignment="1">
      <alignment horizontal="center" vertical="center"/>
    </xf>
    <xf numFmtId="178" fontId="18" fillId="6" borderId="66" xfId="0" applyNumberFormat="1" applyFont="1" applyFill="1" applyBorder="1" applyAlignment="1">
      <alignment horizontal="center" vertical="center"/>
    </xf>
    <xf numFmtId="178" fontId="18" fillId="6" borderId="64" xfId="0" applyNumberFormat="1" applyFont="1" applyFill="1" applyBorder="1" applyAlignment="1">
      <alignment horizontal="center" vertical="center"/>
    </xf>
    <xf numFmtId="178" fontId="18" fillId="6" borderId="45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78" fontId="18" fillId="6" borderId="29" xfId="0" applyNumberFormat="1" applyFont="1" applyFill="1" applyBorder="1" applyAlignment="1">
      <alignment horizontal="centerContinuous" vertical="center"/>
    </xf>
    <xf numFmtId="178" fontId="18" fillId="6" borderId="28" xfId="0" applyNumberFormat="1" applyFont="1" applyFill="1" applyBorder="1" applyAlignment="1">
      <alignment horizontal="centerContinuous" vertical="center"/>
    </xf>
    <xf numFmtId="178" fontId="18" fillId="6" borderId="27" xfId="0" applyNumberFormat="1" applyFont="1" applyFill="1" applyBorder="1" applyAlignment="1">
      <alignment horizontal="centerContinuous" vertical="center"/>
    </xf>
    <xf numFmtId="178" fontId="18" fillId="0" borderId="0" xfId="0" applyNumberFormat="1" applyFont="1" applyFill="1" applyBorder="1" applyAlignment="1">
      <alignment horizontal="centerContinuous"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5" xfId="0" applyFont="1" applyBorder="1" applyAlignment="1">
      <alignment horizontal="centerContinuous" vertical="center"/>
    </xf>
    <xf numFmtId="176" fontId="2" fillId="0" borderId="76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5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5" fillId="0" borderId="1" xfId="0" applyNumberFormat="1" applyFont="1" applyBorder="1">
      <alignment vertical="center"/>
    </xf>
    <xf numFmtId="176" fontId="15" fillId="0" borderId="4" xfId="0" applyNumberFormat="1" applyFont="1" applyBorder="1">
      <alignment vertical="center"/>
    </xf>
    <xf numFmtId="176" fontId="15" fillId="0" borderId="22" xfId="0" applyNumberFormat="1" applyFont="1" applyBorder="1">
      <alignment vertical="center"/>
    </xf>
    <xf numFmtId="176" fontId="15" fillId="0" borderId="6" xfId="0" applyNumberFormat="1" applyFont="1" applyBorder="1">
      <alignment vertical="center"/>
    </xf>
    <xf numFmtId="176" fontId="15" fillId="9" borderId="1" xfId="0" applyNumberFormat="1" applyFont="1" applyFill="1" applyBorder="1">
      <alignment vertical="center"/>
    </xf>
    <xf numFmtId="176" fontId="15" fillId="9" borderId="4" xfId="0" applyNumberFormat="1" applyFont="1" applyFill="1" applyBorder="1">
      <alignment vertical="center"/>
    </xf>
    <xf numFmtId="176" fontId="15" fillId="9" borderId="22" xfId="0" applyNumberFormat="1" applyFont="1" applyFill="1" applyBorder="1">
      <alignment vertical="center"/>
    </xf>
    <xf numFmtId="176" fontId="15" fillId="9" borderId="6" xfId="0" applyNumberFormat="1" applyFont="1" applyFill="1" applyBorder="1">
      <alignment vertical="center"/>
    </xf>
    <xf numFmtId="177" fontId="15" fillId="0" borderId="4" xfId="0" applyNumberFormat="1" applyFont="1" applyBorder="1">
      <alignment vertical="center"/>
    </xf>
    <xf numFmtId="177" fontId="15" fillId="0" borderId="6" xfId="0" applyNumberFormat="1" applyFont="1" applyBorder="1">
      <alignment vertical="center"/>
    </xf>
    <xf numFmtId="0" fontId="16" fillId="6" borderId="45" xfId="0" applyFont="1" applyFill="1" applyBorder="1" applyAlignment="1">
      <alignment horizontal="centerContinuous" vertical="center"/>
    </xf>
    <xf numFmtId="177" fontId="15" fillId="0" borderId="46" xfId="0" applyNumberFormat="1" applyFont="1" applyBorder="1">
      <alignment vertical="center"/>
    </xf>
    <xf numFmtId="177" fontId="15" fillId="0" borderId="47" xfId="0" applyNumberFormat="1" applyFont="1" applyBorder="1">
      <alignment vertical="center"/>
    </xf>
    <xf numFmtId="0" fontId="16" fillId="6" borderId="81" xfId="0" applyFont="1" applyFill="1" applyBorder="1" applyAlignment="1">
      <alignment horizontal="centerContinuous" vertical="center"/>
    </xf>
    <xf numFmtId="177" fontId="15" fillId="0" borderId="78" xfId="0" applyNumberFormat="1" applyFont="1" applyBorder="1">
      <alignment vertical="center"/>
    </xf>
    <xf numFmtId="177" fontId="15" fillId="0" borderId="80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4" xfId="0" applyNumberFormat="1" applyBorder="1">
      <alignment vertical="center"/>
    </xf>
    <xf numFmtId="178" fontId="0" fillId="0" borderId="74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6" xfId="0" applyNumberFormat="1" applyBorder="1">
      <alignment vertical="center"/>
    </xf>
    <xf numFmtId="178" fontId="0" fillId="0" borderId="66" xfId="0" applyNumberFormat="1" applyBorder="1">
      <alignment vertical="center"/>
    </xf>
    <xf numFmtId="178" fontId="2" fillId="3" borderId="65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2" borderId="48" xfId="0" applyFont="1" applyFill="1" applyBorder="1" applyAlignment="1">
      <alignment horizontal="centerContinuous" vertical="center"/>
    </xf>
    <xf numFmtId="0" fontId="7" fillId="12" borderId="69" xfId="0" applyFont="1" applyFill="1" applyBorder="1" applyAlignment="1">
      <alignment horizontal="centerContinuous" vertical="center"/>
    </xf>
    <xf numFmtId="0" fontId="7" fillId="12" borderId="1" xfId="0" applyFont="1" applyFill="1" applyBorder="1" applyAlignment="1">
      <alignment horizontal="centerContinuous" vertical="center"/>
    </xf>
    <xf numFmtId="0" fontId="7" fillId="12" borderId="29" xfId="0" applyFont="1" applyFill="1" applyBorder="1" applyAlignment="1">
      <alignment horizontal="centerContinuous" vertical="center"/>
    </xf>
    <xf numFmtId="0" fontId="7" fillId="12" borderId="39" xfId="0" applyFont="1" applyFill="1" applyBorder="1" applyAlignment="1">
      <alignment horizontal="centerContinuous" vertical="center"/>
    </xf>
    <xf numFmtId="0" fontId="7" fillId="12" borderId="30" xfId="0" applyFont="1" applyFill="1" applyBorder="1" applyAlignment="1">
      <alignment horizontal="centerContinuous" vertical="center"/>
    </xf>
    <xf numFmtId="0" fontId="2" fillId="12" borderId="48" xfId="0" applyFont="1" applyFill="1" applyBorder="1" applyAlignment="1">
      <alignment horizontal="centerContinuous" vertical="center"/>
    </xf>
    <xf numFmtId="0" fontId="2" fillId="12" borderId="69" xfId="0" applyFont="1" applyFill="1" applyBorder="1" applyAlignment="1">
      <alignment horizontal="centerContinuous" vertical="center"/>
    </xf>
    <xf numFmtId="178" fontId="2" fillId="12" borderId="1" xfId="0" applyNumberFormat="1" applyFont="1" applyFill="1" applyBorder="1" applyAlignment="1">
      <alignment horizontal="centerContinuous" vertical="center"/>
    </xf>
    <xf numFmtId="178" fontId="2" fillId="12" borderId="29" xfId="0" applyNumberFormat="1" applyFont="1" applyFill="1" applyBorder="1" applyAlignment="1">
      <alignment horizontal="centerContinuous" vertical="center"/>
    </xf>
    <xf numFmtId="178" fontId="2" fillId="12" borderId="2" xfId="0" applyNumberFormat="1" applyFont="1" applyFill="1" applyBorder="1" applyAlignment="1">
      <alignment horizontal="centerContinuous" vertical="center"/>
    </xf>
    <xf numFmtId="178" fontId="2" fillId="12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3" xfId="0" applyNumberFormat="1" applyFont="1" applyBorder="1">
      <alignment vertical="center"/>
    </xf>
    <xf numFmtId="178" fontId="6" fillId="0" borderId="51" xfId="0" applyNumberFormat="1" applyFont="1" applyBorder="1">
      <alignment vertical="center"/>
    </xf>
    <xf numFmtId="177" fontId="6" fillId="0" borderId="5" xfId="0" applyNumberFormat="1" applyFont="1" applyBorder="1">
      <alignment vertical="center"/>
    </xf>
    <xf numFmtId="177" fontId="6" fillId="0" borderId="51" xfId="0" applyNumberFormat="1" applyFont="1" applyBorder="1">
      <alignment vertical="center"/>
    </xf>
    <xf numFmtId="177" fontId="6" fillId="0" borderId="8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Continuous" vertical="center"/>
    </xf>
    <xf numFmtId="0" fontId="16" fillId="6" borderId="67" xfId="0" applyFont="1" applyFill="1" applyBorder="1" applyAlignment="1">
      <alignment horizontal="centerContinuous" vertical="center"/>
    </xf>
    <xf numFmtId="178" fontId="6" fillId="0" borderId="70" xfId="0" applyNumberFormat="1" applyFont="1" applyBorder="1">
      <alignment vertical="center"/>
    </xf>
    <xf numFmtId="178" fontId="6" fillId="0" borderId="72" xfId="0" applyNumberFormat="1" applyFont="1" applyBorder="1">
      <alignment vertical="center"/>
    </xf>
    <xf numFmtId="178" fontId="6" fillId="0" borderId="71" xfId="0" applyNumberFormat="1" applyFont="1" applyBorder="1">
      <alignment vertical="center"/>
    </xf>
    <xf numFmtId="178" fontId="6" fillId="0" borderId="83" xfId="0" applyNumberFormat="1" applyFont="1" applyBorder="1">
      <alignment vertical="center"/>
    </xf>
    <xf numFmtId="178" fontId="6" fillId="0" borderId="84" xfId="0" applyNumberFormat="1" applyFont="1" applyBorder="1">
      <alignment vertical="center"/>
    </xf>
    <xf numFmtId="177" fontId="6" fillId="0" borderId="71" xfId="0" applyNumberFormat="1" applyFont="1" applyBorder="1">
      <alignment vertical="center"/>
    </xf>
    <xf numFmtId="177" fontId="6" fillId="0" borderId="83" xfId="0" applyNumberFormat="1" applyFont="1" applyBorder="1">
      <alignment vertical="center"/>
    </xf>
    <xf numFmtId="177" fontId="6" fillId="0" borderId="72" xfId="0" applyNumberFormat="1" applyFont="1" applyBorder="1">
      <alignment vertical="center"/>
    </xf>
    <xf numFmtId="0" fontId="16" fillId="6" borderId="69" xfId="0" applyFont="1" applyFill="1" applyBorder="1" applyAlignment="1">
      <alignment horizontal="centerContinuous" vertical="center"/>
    </xf>
    <xf numFmtId="0" fontId="16" fillId="6" borderId="55" xfId="0" applyFont="1" applyFill="1" applyBorder="1" applyAlignment="1">
      <alignment horizontal="centerContinuous"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76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178" fontId="6" fillId="0" borderId="50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18" fillId="6" borderId="10" xfId="0" applyNumberFormat="1" applyFont="1" applyFill="1" applyBorder="1" applyAlignment="1">
      <alignment horizontal="center" vertical="center"/>
    </xf>
    <xf numFmtId="178" fontId="2" fillId="0" borderId="29" xfId="0" applyNumberFormat="1" applyFont="1" applyFill="1" applyBorder="1" applyAlignment="1">
      <alignment vertical="center"/>
    </xf>
    <xf numFmtId="9" fontId="2" fillId="0" borderId="13" xfId="0" applyNumberFormat="1" applyFont="1" applyFill="1" applyBorder="1" applyAlignment="1">
      <alignment vertical="center"/>
    </xf>
    <xf numFmtId="178" fontId="2" fillId="0" borderId="20" xfId="0" applyNumberFormat="1" applyFont="1" applyFill="1" applyBorder="1" applyAlignment="1">
      <alignment vertical="center"/>
    </xf>
    <xf numFmtId="9" fontId="2" fillId="0" borderId="25" xfId="0" applyNumberFormat="1" applyFont="1" applyFill="1" applyBorder="1" applyAlignment="1">
      <alignment vertical="center"/>
    </xf>
    <xf numFmtId="178" fontId="2" fillId="0" borderId="10" xfId="0" applyNumberFormat="1" applyFont="1" applyFill="1" applyBorder="1" applyAlignment="1">
      <alignment vertical="center"/>
    </xf>
    <xf numFmtId="178" fontId="21" fillId="0" borderId="25" xfId="0" applyNumberFormat="1" applyFont="1" applyBorder="1" applyAlignment="1">
      <alignment vertical="center"/>
    </xf>
    <xf numFmtId="178" fontId="2" fillId="0" borderId="20" xfId="0" applyNumberFormat="1" applyFont="1" applyBorder="1" applyAlignment="1">
      <alignment vertical="center"/>
    </xf>
    <xf numFmtId="178" fontId="2" fillId="0" borderId="29" xfId="0" applyNumberFormat="1" applyFont="1" applyBorder="1" applyAlignment="1">
      <alignment vertical="center"/>
    </xf>
    <xf numFmtId="178" fontId="2" fillId="0" borderId="25" xfId="0" applyNumberFormat="1" applyFont="1" applyBorder="1" applyAlignment="1">
      <alignment vertical="center"/>
    </xf>
    <xf numFmtId="178" fontId="2" fillId="0" borderId="16" xfId="0" applyNumberFormat="1" applyFont="1" applyBorder="1" applyAlignment="1">
      <alignment vertical="center"/>
    </xf>
    <xf numFmtId="178" fontId="2" fillId="0" borderId="13" xfId="0" applyNumberFormat="1" applyFont="1" applyBorder="1" applyAlignment="1">
      <alignment vertical="center"/>
    </xf>
    <xf numFmtId="178" fontId="2" fillId="0" borderId="20" xfId="0" applyNumberFormat="1" applyFont="1" applyBorder="1">
      <alignment vertical="center"/>
    </xf>
    <xf numFmtId="178" fontId="2" fillId="0" borderId="16" xfId="0" applyNumberFormat="1" applyFont="1" applyBorder="1">
      <alignment vertical="center"/>
    </xf>
    <xf numFmtId="178" fontId="18" fillId="6" borderId="39" xfId="0" applyNumberFormat="1" applyFont="1" applyFill="1" applyBorder="1" applyAlignment="1">
      <alignment horizontal="centerContinuous" vertical="center"/>
    </xf>
    <xf numFmtId="178" fontId="18" fillId="6" borderId="85" xfId="0" applyNumberFormat="1" applyFont="1" applyFill="1" applyBorder="1" applyAlignment="1">
      <alignment horizontal="centerContinuous" vertical="center"/>
    </xf>
    <xf numFmtId="178" fontId="18" fillId="6" borderId="86" xfId="0" applyNumberFormat="1" applyFont="1" applyFill="1" applyBorder="1" applyAlignment="1">
      <alignment horizontal="centerContinuous" vertical="center"/>
    </xf>
    <xf numFmtId="178" fontId="18" fillId="6" borderId="87" xfId="0" applyNumberFormat="1" applyFont="1" applyFill="1" applyBorder="1" applyAlignment="1">
      <alignment horizontal="centerContinuous" vertical="center"/>
    </xf>
    <xf numFmtId="178" fontId="18" fillId="6" borderId="88" xfId="0" applyNumberFormat="1" applyFont="1" applyFill="1" applyBorder="1" applyAlignment="1">
      <alignment horizontal="center" vertical="center"/>
    </xf>
    <xf numFmtId="178" fontId="18" fillId="6" borderId="89" xfId="0" applyNumberFormat="1" applyFont="1" applyFill="1" applyBorder="1" applyAlignment="1">
      <alignment horizontal="center" vertical="center"/>
    </xf>
    <xf numFmtId="178" fontId="6" fillId="0" borderId="90" xfId="0" applyNumberFormat="1" applyFont="1" applyFill="1" applyBorder="1" applyAlignment="1">
      <alignment vertical="center"/>
    </xf>
    <xf numFmtId="178" fontId="6" fillId="0" borderId="91" xfId="0" applyNumberFormat="1" applyFont="1" applyFill="1" applyBorder="1" applyAlignment="1">
      <alignment vertical="center"/>
    </xf>
    <xf numFmtId="9" fontId="6" fillId="0" borderId="92" xfId="0" applyNumberFormat="1" applyFont="1" applyFill="1" applyBorder="1" applyAlignment="1">
      <alignment vertical="center"/>
    </xf>
    <xf numFmtId="9" fontId="6" fillId="0" borderId="93" xfId="0" applyNumberFormat="1" applyFont="1" applyFill="1" applyBorder="1" applyAlignment="1">
      <alignment vertical="center"/>
    </xf>
    <xf numFmtId="178" fontId="6" fillId="0" borderId="94" xfId="0" applyNumberFormat="1" applyFont="1" applyFill="1" applyBorder="1" applyAlignment="1">
      <alignment vertical="center"/>
    </xf>
    <xf numFmtId="178" fontId="6" fillId="0" borderId="95" xfId="0" applyNumberFormat="1" applyFont="1" applyFill="1" applyBorder="1" applyAlignment="1">
      <alignment vertical="center"/>
    </xf>
    <xf numFmtId="9" fontId="6" fillId="0" borderId="96" xfId="0" applyNumberFormat="1" applyFont="1" applyFill="1" applyBorder="1" applyAlignment="1">
      <alignment vertical="center"/>
    </xf>
    <xf numFmtId="9" fontId="6" fillId="0" borderId="97" xfId="0" applyNumberFormat="1" applyFont="1" applyFill="1" applyBorder="1" applyAlignment="1">
      <alignment vertical="center"/>
    </xf>
    <xf numFmtId="178" fontId="6" fillId="0" borderId="88" xfId="0" applyNumberFormat="1" applyFont="1" applyFill="1" applyBorder="1" applyAlignment="1">
      <alignment vertical="center"/>
    </xf>
    <xf numFmtId="178" fontId="6" fillId="0" borderId="89" xfId="0" applyNumberFormat="1" applyFont="1" applyFill="1" applyBorder="1" applyAlignment="1">
      <alignment vertical="center"/>
    </xf>
    <xf numFmtId="178" fontId="20" fillId="0" borderId="96" xfId="0" applyNumberFormat="1" applyFont="1" applyBorder="1" applyAlignment="1">
      <alignment vertical="center"/>
    </xf>
    <xf numFmtId="178" fontId="20" fillId="0" borderId="97" xfId="0" applyNumberFormat="1" applyFont="1" applyBorder="1" applyAlignment="1">
      <alignment vertical="center"/>
    </xf>
    <xf numFmtId="178" fontId="6" fillId="0" borderId="94" xfId="0" applyNumberFormat="1" applyFont="1" applyBorder="1" applyAlignment="1">
      <alignment vertical="center"/>
    </xf>
    <xf numFmtId="178" fontId="6" fillId="0" borderId="95" xfId="0" applyNumberFormat="1" applyFont="1" applyBorder="1" applyAlignment="1">
      <alignment vertical="center"/>
    </xf>
    <xf numFmtId="178" fontId="6" fillId="0" borderId="90" xfId="0" applyNumberFormat="1" applyFont="1" applyBorder="1" applyAlignment="1">
      <alignment vertical="center"/>
    </xf>
    <xf numFmtId="178" fontId="6" fillId="0" borderId="91" xfId="0" applyNumberFormat="1" applyFont="1" applyBorder="1" applyAlignment="1">
      <alignment vertical="center"/>
    </xf>
    <xf numFmtId="178" fontId="6" fillId="0" borderId="96" xfId="0" applyNumberFormat="1" applyFont="1" applyBorder="1" applyAlignment="1">
      <alignment vertical="center"/>
    </xf>
    <xf numFmtId="178" fontId="6" fillId="0" borderId="97" xfId="0" applyNumberFormat="1" applyFont="1" applyBorder="1" applyAlignment="1">
      <alignment vertical="center"/>
    </xf>
    <xf numFmtId="178" fontId="6" fillId="0" borderId="98" xfId="0" applyNumberFormat="1" applyFont="1" applyBorder="1" applyAlignment="1">
      <alignment vertical="center"/>
    </xf>
    <xf numFmtId="178" fontId="6" fillId="0" borderId="99" xfId="0" applyNumberFormat="1" applyFont="1" applyBorder="1" applyAlignment="1">
      <alignment vertical="center"/>
    </xf>
    <xf numFmtId="178" fontId="6" fillId="0" borderId="92" xfId="0" applyNumberFormat="1" applyFont="1" applyBorder="1" applyAlignment="1">
      <alignment vertical="center"/>
    </xf>
    <xf numFmtId="178" fontId="6" fillId="0" borderId="93" xfId="0" applyNumberFormat="1" applyFont="1" applyBorder="1" applyAlignment="1">
      <alignment vertical="center"/>
    </xf>
    <xf numFmtId="178" fontId="6" fillId="0" borderId="94" xfId="0" applyNumberFormat="1" applyFont="1" applyBorder="1">
      <alignment vertical="center"/>
    </xf>
    <xf numFmtId="178" fontId="6" fillId="0" borderId="95" xfId="0" applyNumberFormat="1" applyFont="1" applyBorder="1">
      <alignment vertical="center"/>
    </xf>
    <xf numFmtId="178" fontId="6" fillId="0" borderId="92" xfId="0" applyNumberFormat="1" applyFont="1" applyBorder="1">
      <alignment vertical="center"/>
    </xf>
    <xf numFmtId="178" fontId="6" fillId="0" borderId="93" xfId="0" applyNumberFormat="1" applyFont="1" applyBorder="1">
      <alignment vertical="center"/>
    </xf>
    <xf numFmtId="178" fontId="6" fillId="0" borderId="100" xfId="0" applyNumberFormat="1" applyFont="1" applyBorder="1">
      <alignment vertical="center"/>
    </xf>
    <xf numFmtId="178" fontId="2" fillId="0" borderId="73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4" borderId="0" xfId="0" applyNumberFormat="1" applyFont="1" applyFill="1">
      <alignment vertical="center"/>
    </xf>
    <xf numFmtId="178" fontId="22" fillId="0" borderId="20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horizontal="center" vertical="center"/>
    </xf>
    <xf numFmtId="178" fontId="6" fillId="0" borderId="73" xfId="0" applyNumberFormat="1" applyFont="1" applyFill="1" applyBorder="1">
      <alignment vertical="center"/>
    </xf>
    <xf numFmtId="41" fontId="8" fillId="0" borderId="94" xfId="1" applyFont="1" applyFill="1" applyBorder="1" applyAlignment="1">
      <alignment vertical="center"/>
    </xf>
    <xf numFmtId="41" fontId="8" fillId="0" borderId="92" xfId="1" applyFont="1" applyFill="1" applyBorder="1" applyAlignment="1">
      <alignment vertical="center"/>
    </xf>
    <xf numFmtId="41" fontId="8" fillId="0" borderId="92" xfId="1" applyFont="1" applyFill="1" applyBorder="1" applyAlignment="1">
      <alignment horizontal="center" vertical="center"/>
    </xf>
    <xf numFmtId="41" fontId="8" fillId="0" borderId="100" xfId="1" applyFont="1" applyFill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6" fillId="0" borderId="93" xfId="0" applyNumberFormat="1" applyFont="1" applyBorder="1" applyAlignment="1">
      <alignment horizontal="right" vertical="center"/>
    </xf>
    <xf numFmtId="178" fontId="22" fillId="0" borderId="95" xfId="0" applyNumberFormat="1" applyFont="1" applyFill="1" applyBorder="1" applyAlignment="1">
      <alignment horizontal="right" vertical="center"/>
    </xf>
    <xf numFmtId="178" fontId="22" fillId="0" borderId="93" xfId="0" applyNumberFormat="1" applyFont="1" applyFill="1" applyBorder="1" applyAlignment="1">
      <alignment horizontal="right" vertical="center"/>
    </xf>
    <xf numFmtId="178" fontId="6" fillId="0" borderId="93" xfId="0" applyNumberFormat="1" applyFont="1" applyFill="1" applyBorder="1" applyAlignment="1">
      <alignment horizontal="right" vertical="center"/>
    </xf>
    <xf numFmtId="178" fontId="6" fillId="0" borderId="101" xfId="0" applyNumberFormat="1" applyFont="1" applyFill="1" applyBorder="1" applyAlignment="1">
      <alignment horizontal="right" vertical="center"/>
    </xf>
    <xf numFmtId="41" fontId="0" fillId="0" borderId="0" xfId="1" applyFont="1" applyFill="1" applyBorder="1">
      <alignment vertical="center"/>
    </xf>
    <xf numFmtId="178" fontId="18" fillId="11" borderId="1" xfId="0" applyNumberFormat="1" applyFont="1" applyFill="1" applyBorder="1" applyAlignment="1">
      <alignment horizontal="centerContinuous" vertical="center"/>
    </xf>
    <xf numFmtId="178" fontId="18" fillId="11" borderId="2" xfId="0" applyNumberFormat="1" applyFont="1" applyFill="1" applyBorder="1" applyAlignment="1">
      <alignment horizontal="centerContinuous" vertical="center"/>
    </xf>
    <xf numFmtId="178" fontId="18" fillId="11" borderId="3" xfId="0" applyNumberFormat="1" applyFont="1" applyFill="1" applyBorder="1" applyAlignment="1">
      <alignment horizontal="centerContinuous" vertical="center"/>
    </xf>
    <xf numFmtId="178" fontId="18" fillId="11" borderId="74" xfId="0" applyNumberFormat="1" applyFont="1" applyFill="1" applyBorder="1" applyAlignment="1">
      <alignment horizontal="centerContinuous" vertical="center"/>
    </xf>
    <xf numFmtId="178" fontId="18" fillId="11" borderId="102" xfId="0" applyNumberFormat="1" applyFont="1" applyFill="1" applyBorder="1" applyAlignment="1">
      <alignment horizontal="centerContinuous" vertical="center"/>
    </xf>
    <xf numFmtId="178" fontId="18" fillId="11" borderId="50" xfId="0" applyNumberFormat="1" applyFont="1" applyFill="1" applyBorder="1" applyAlignment="1">
      <alignment horizontal="centerContinuous" vertical="center"/>
    </xf>
    <xf numFmtId="178" fontId="18" fillId="11" borderId="66" xfId="0" applyNumberFormat="1" applyFont="1" applyFill="1" applyBorder="1" applyAlignment="1">
      <alignment horizontal="centerContinuous" vertical="center"/>
    </xf>
    <xf numFmtId="178" fontId="18" fillId="11" borderId="11" xfId="0" applyNumberFormat="1" applyFont="1" applyFill="1" applyBorder="1" applyAlignment="1">
      <alignment horizontal="centerContinuous" vertical="center"/>
    </xf>
    <xf numFmtId="178" fontId="0" fillId="0" borderId="1" xfId="0" applyNumberFormat="1" applyBorder="1">
      <alignment vertical="center"/>
    </xf>
    <xf numFmtId="178" fontId="2" fillId="0" borderId="105" xfId="0" applyNumberFormat="1" applyFont="1" applyBorder="1">
      <alignment vertical="center"/>
    </xf>
    <xf numFmtId="178" fontId="0" fillId="0" borderId="3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4" xfId="0" applyNumberFormat="1" applyBorder="1">
      <alignment vertical="center"/>
    </xf>
    <xf numFmtId="178" fontId="2" fillId="0" borderId="109" xfId="0" applyNumberFormat="1" applyFont="1" applyBorder="1">
      <alignment vertical="center"/>
    </xf>
    <xf numFmtId="178" fontId="0" fillId="0" borderId="14" xfId="0" applyNumberFormat="1" applyBorder="1">
      <alignment vertical="center"/>
    </xf>
    <xf numFmtId="178" fontId="0" fillId="0" borderId="18" xfId="0" applyNumberFormat="1" applyBorder="1">
      <alignment vertical="center"/>
    </xf>
    <xf numFmtId="178" fontId="2" fillId="0" borderId="110" xfId="0" applyNumberFormat="1" applyFont="1" applyBorder="1">
      <alignment vertical="center"/>
    </xf>
    <xf numFmtId="178" fontId="0" fillId="0" borderId="54" xfId="0" applyNumberFormat="1" applyBorder="1">
      <alignment vertical="center"/>
    </xf>
    <xf numFmtId="178" fontId="2" fillId="0" borderId="68" xfId="0" applyNumberFormat="1" applyFont="1" applyBorder="1">
      <alignment vertical="center"/>
    </xf>
    <xf numFmtId="178" fontId="0" fillId="0" borderId="21" xfId="0" applyNumberFormat="1" applyBorder="1">
      <alignment vertical="center"/>
    </xf>
    <xf numFmtId="178" fontId="23" fillId="13" borderId="48" xfId="0" applyNumberFormat="1" applyFont="1" applyFill="1" applyBorder="1" applyAlignment="1">
      <alignment horizontal="right" vertical="center"/>
    </xf>
    <xf numFmtId="178" fontId="23" fillId="13" borderId="69" xfId="0" applyNumberFormat="1" applyFont="1" applyFill="1" applyBorder="1" applyAlignment="1">
      <alignment horizontal="right" vertical="center"/>
    </xf>
    <xf numFmtId="178" fontId="23" fillId="13" borderId="103" xfId="0" applyNumberFormat="1" applyFont="1" applyFill="1" applyBorder="1" applyAlignment="1">
      <alignment horizontal="right" vertical="center"/>
    </xf>
    <xf numFmtId="178" fontId="2" fillId="0" borderId="111" xfId="0" applyNumberFormat="1" applyFont="1" applyBorder="1">
      <alignment vertical="center"/>
    </xf>
    <xf numFmtId="178" fontId="23" fillId="13" borderId="112" xfId="0" applyNumberFormat="1" applyFont="1" applyFill="1" applyBorder="1" applyAlignment="1">
      <alignment horizontal="right" vertical="center"/>
    </xf>
    <xf numFmtId="178" fontId="24" fillId="14" borderId="1" xfId="0" applyNumberFormat="1" applyFont="1" applyFill="1" applyBorder="1" applyAlignment="1">
      <alignment horizontal="right" vertical="center"/>
    </xf>
    <xf numFmtId="178" fontId="24" fillId="14" borderId="2" xfId="0" applyNumberFormat="1" applyFont="1" applyFill="1" applyBorder="1" applyAlignment="1">
      <alignment horizontal="right" vertical="center"/>
    </xf>
    <xf numFmtId="178" fontId="24" fillId="14" borderId="106" xfId="0" applyNumberFormat="1" applyFont="1" applyFill="1" applyBorder="1" applyAlignment="1">
      <alignment horizontal="right" vertical="center"/>
    </xf>
    <xf numFmtId="178" fontId="24" fillId="14" borderId="4" xfId="0" applyNumberFormat="1" applyFont="1" applyFill="1" applyBorder="1" applyAlignment="1">
      <alignment horizontal="right" vertical="center"/>
    </xf>
    <xf numFmtId="178" fontId="23" fillId="13" borderId="104" xfId="0" applyNumberFormat="1" applyFont="1" applyFill="1" applyBorder="1" applyAlignment="1">
      <alignment horizontal="right" vertical="center"/>
    </xf>
    <xf numFmtId="178" fontId="23" fillId="13" borderId="67" xfId="0" applyNumberFormat="1" applyFont="1" applyFill="1" applyBorder="1" applyAlignment="1">
      <alignment horizontal="center" vertical="center"/>
    </xf>
    <xf numFmtId="178" fontId="24" fillId="14" borderId="70" xfId="0" applyNumberFormat="1" applyFont="1" applyFill="1" applyBorder="1" applyAlignment="1">
      <alignment horizontal="center" vertical="center"/>
    </xf>
    <xf numFmtId="178" fontId="24" fillId="14" borderId="113" xfId="0" applyNumberFormat="1" applyFont="1" applyFill="1" applyBorder="1" applyAlignment="1">
      <alignment horizontal="center" vertical="center"/>
    </xf>
    <xf numFmtId="178" fontId="24" fillId="14" borderId="71" xfId="0" applyNumberFormat="1" applyFont="1" applyFill="1" applyBorder="1" applyAlignment="1">
      <alignment horizontal="center" vertical="center"/>
    </xf>
    <xf numFmtId="178" fontId="0" fillId="0" borderId="70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0" borderId="84" xfId="0" applyNumberFormat="1" applyBorder="1" applyAlignment="1">
      <alignment horizontal="center" vertical="center"/>
    </xf>
    <xf numFmtId="178" fontId="24" fillId="14" borderId="108" xfId="0" applyNumberFormat="1" applyFont="1" applyFill="1" applyBorder="1" applyAlignment="1">
      <alignment horizontal="right" vertical="center"/>
    </xf>
    <xf numFmtId="178" fontId="24" fillId="14" borderId="0" xfId="0" applyNumberFormat="1" applyFont="1" applyFill="1" applyBorder="1" applyAlignment="1">
      <alignment horizontal="right" vertical="center"/>
    </xf>
    <xf numFmtId="178" fontId="24" fillId="14" borderId="105" xfId="0" applyNumberFormat="1" applyFont="1" applyFill="1" applyBorder="1" applyAlignment="1">
      <alignment horizontal="right" vertical="center"/>
    </xf>
    <xf numFmtId="178" fontId="24" fillId="14" borderId="107" xfId="0" applyNumberFormat="1" applyFont="1" applyFill="1" applyBorder="1" applyAlignment="1">
      <alignment horizontal="right" vertical="center"/>
    </xf>
    <xf numFmtId="178" fontId="24" fillId="14" borderId="109" xfId="0" applyNumberFormat="1" applyFont="1" applyFill="1" applyBorder="1" applyAlignment="1">
      <alignment horizontal="right" vertical="center"/>
    </xf>
    <xf numFmtId="178" fontId="24" fillId="14" borderId="30" xfId="0" applyNumberFormat="1" applyFont="1" applyFill="1" applyBorder="1" applyAlignment="1">
      <alignment horizontal="right" vertical="center"/>
    </xf>
    <xf numFmtId="178" fontId="24" fillId="14" borderId="44" xfId="0" applyNumberFormat="1" applyFont="1" applyFill="1" applyBorder="1" applyAlignment="1">
      <alignment horizontal="right" vertical="center"/>
    </xf>
    <xf numFmtId="178" fontId="24" fillId="14" borderId="17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23" fillId="13" borderId="55" xfId="0" applyNumberFormat="1" applyFont="1" applyFill="1" applyBorder="1" applyAlignment="1">
      <alignment horizontal="right" vertical="center"/>
    </xf>
    <xf numFmtId="178" fontId="24" fillId="14" borderId="3" xfId="0" applyNumberFormat="1" applyFont="1" applyFill="1" applyBorder="1" applyAlignment="1">
      <alignment horizontal="right" vertical="center"/>
    </xf>
    <xf numFmtId="178" fontId="24" fillId="14" borderId="52" xfId="0" applyNumberFormat="1" applyFont="1" applyFill="1" applyBorder="1" applyAlignment="1">
      <alignment horizontal="right" vertical="center"/>
    </xf>
    <xf numFmtId="178" fontId="24" fillId="14" borderId="5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2" fillId="0" borderId="105" xfId="0" applyNumberFormat="1" applyFont="1" applyBorder="1" applyAlignment="1">
      <alignment horizontal="right" vertical="center"/>
    </xf>
    <xf numFmtId="178" fontId="0" fillId="0" borderId="3" xfId="0" applyNumberForma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2" fillId="0" borderId="109" xfId="0" applyNumberFormat="1" applyFon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2" fillId="0" borderId="110" xfId="0" applyNumberFormat="1" applyFon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0" fillId="0" borderId="6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right" vertical="center"/>
    </xf>
    <xf numFmtId="178" fontId="2" fillId="0" borderId="114" xfId="0" applyNumberFormat="1" applyFont="1" applyBorder="1" applyAlignment="1">
      <alignment horizontal="right" vertical="center"/>
    </xf>
    <xf numFmtId="178" fontId="0" fillId="0" borderId="8" xfId="0" applyNumberFormat="1" applyBorder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9" fontId="0" fillId="0" borderId="1" xfId="0" applyNumberFormat="1" applyBorder="1">
      <alignment vertical="center"/>
    </xf>
    <xf numFmtId="9" fontId="2" fillId="0" borderId="105" xfId="0" applyNumberFormat="1" applyFont="1" applyBorder="1">
      <alignment vertical="center"/>
    </xf>
    <xf numFmtId="9" fontId="0" fillId="0" borderId="3" xfId="0" applyNumberFormat="1" applyBorder="1">
      <alignment vertical="center"/>
    </xf>
    <xf numFmtId="179" fontId="0" fillId="0" borderId="1" xfId="0" applyNumberFormat="1" applyBorder="1">
      <alignment vertical="center"/>
    </xf>
    <xf numFmtId="179" fontId="2" fillId="0" borderId="105" xfId="0" applyNumberFormat="1" applyFont="1" applyBorder="1">
      <alignment vertical="center"/>
    </xf>
    <xf numFmtId="179" fontId="0" fillId="0" borderId="3" xfId="0" applyNumberFormat="1" applyBorder="1">
      <alignment vertical="center"/>
    </xf>
    <xf numFmtId="9" fontId="0" fillId="0" borderId="4" xfId="0" applyNumberFormat="1" applyBorder="1">
      <alignment vertical="center"/>
    </xf>
    <xf numFmtId="9" fontId="2" fillId="0" borderId="109" xfId="0" applyNumberFormat="1" applyFont="1" applyBorder="1">
      <alignment vertical="center"/>
    </xf>
    <xf numFmtId="9" fontId="0" fillId="0" borderId="5" xfId="0" applyNumberFormat="1" applyBorder="1">
      <alignment vertical="center"/>
    </xf>
    <xf numFmtId="179" fontId="0" fillId="0" borderId="4" xfId="0" applyNumberFormat="1" applyBorder="1">
      <alignment vertical="center"/>
    </xf>
    <xf numFmtId="179" fontId="2" fillId="0" borderId="109" xfId="0" applyNumberFormat="1" applyFont="1" applyBorder="1">
      <alignment vertical="center"/>
    </xf>
    <xf numFmtId="179" fontId="0" fillId="0" borderId="5" xfId="0" applyNumberFormat="1" applyBorder="1">
      <alignment vertical="center"/>
    </xf>
    <xf numFmtId="9" fontId="0" fillId="0" borderId="18" xfId="0" applyNumberFormat="1" applyBorder="1">
      <alignment vertical="center"/>
    </xf>
    <xf numFmtId="9" fontId="2" fillId="0" borderId="110" xfId="0" applyNumberFormat="1" applyFont="1" applyBorder="1">
      <alignment vertical="center"/>
    </xf>
    <xf numFmtId="9" fontId="0" fillId="0" borderId="54" xfId="0" applyNumberFormat="1" applyBorder="1">
      <alignment vertical="center"/>
    </xf>
    <xf numFmtId="179" fontId="0" fillId="0" borderId="18" xfId="0" applyNumberFormat="1" applyBorder="1">
      <alignment vertical="center"/>
    </xf>
    <xf numFmtId="179" fontId="2" fillId="0" borderId="110" xfId="0" applyNumberFormat="1" applyFont="1" applyBorder="1">
      <alignment vertical="center"/>
    </xf>
    <xf numFmtId="179" fontId="0" fillId="0" borderId="54" xfId="0" applyNumberFormat="1" applyBorder="1">
      <alignment vertical="center"/>
    </xf>
    <xf numFmtId="178" fontId="0" fillId="0" borderId="6" xfId="0" applyNumberFormat="1" applyBorder="1">
      <alignment vertical="center"/>
    </xf>
    <xf numFmtId="178" fontId="2" fillId="0" borderId="11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9" fontId="2" fillId="0" borderId="11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179" fontId="0" fillId="0" borderId="6" xfId="0" applyNumberFormat="1" applyBorder="1">
      <alignment vertical="center"/>
    </xf>
    <xf numFmtId="179" fontId="2" fillId="0" borderId="114" xfId="0" applyNumberFormat="1" applyFont="1" applyBorder="1">
      <alignment vertical="center"/>
    </xf>
    <xf numFmtId="179" fontId="0" fillId="0" borderId="8" xfId="0" applyNumberFormat="1" applyBorder="1">
      <alignment vertical="center"/>
    </xf>
    <xf numFmtId="9" fontId="23" fillId="13" borderId="48" xfId="0" applyNumberFormat="1" applyFont="1" applyFill="1" applyBorder="1" applyAlignment="1">
      <alignment horizontal="right" vertical="center"/>
    </xf>
    <xf numFmtId="9" fontId="23" fillId="13" borderId="103" xfId="0" applyNumberFormat="1" applyFont="1" applyFill="1" applyBorder="1" applyAlignment="1">
      <alignment horizontal="right" vertical="center"/>
    </xf>
    <xf numFmtId="9" fontId="23" fillId="13" borderId="55" xfId="0" applyNumberFormat="1" applyFont="1" applyFill="1" applyBorder="1" applyAlignment="1">
      <alignment horizontal="right" vertical="center"/>
    </xf>
    <xf numFmtId="9" fontId="24" fillId="14" borderId="3" xfId="0" applyNumberFormat="1" applyFont="1" applyFill="1" applyBorder="1" applyAlignment="1">
      <alignment horizontal="right" vertical="center"/>
    </xf>
    <xf numFmtId="9" fontId="24" fillId="14" borderId="52" xfId="0" applyNumberFormat="1" applyFont="1" applyFill="1" applyBorder="1" applyAlignment="1">
      <alignment horizontal="right" vertical="center"/>
    </xf>
    <xf numFmtId="9" fontId="24" fillId="14" borderId="5" xfId="0" applyNumberFormat="1" applyFont="1" applyFill="1" applyBorder="1" applyAlignment="1">
      <alignment horizontal="right" vertical="center"/>
    </xf>
    <xf numFmtId="9" fontId="24" fillId="14" borderId="1" xfId="0" applyNumberFormat="1" applyFont="1" applyFill="1" applyBorder="1" applyAlignment="1">
      <alignment horizontal="right" vertical="center"/>
    </xf>
    <xf numFmtId="9" fontId="24" fillId="14" borderId="105" xfId="0" applyNumberFormat="1" applyFont="1" applyFill="1" applyBorder="1" applyAlignment="1">
      <alignment horizontal="right" vertical="center"/>
    </xf>
    <xf numFmtId="9" fontId="24" fillId="14" borderId="106" xfId="0" applyNumberFormat="1" applyFont="1" applyFill="1" applyBorder="1" applyAlignment="1">
      <alignment horizontal="right" vertical="center"/>
    </xf>
    <xf numFmtId="9" fontId="24" fillId="14" borderId="107" xfId="0" applyNumberFormat="1" applyFont="1" applyFill="1" applyBorder="1" applyAlignment="1">
      <alignment horizontal="right" vertical="center"/>
    </xf>
    <xf numFmtId="9" fontId="24" fillId="14" borderId="4" xfId="0" applyNumberFormat="1" applyFont="1" applyFill="1" applyBorder="1" applyAlignment="1">
      <alignment horizontal="right" vertical="center"/>
    </xf>
    <xf numFmtId="9" fontId="24" fillId="14" borderId="109" xfId="0" applyNumberFormat="1" applyFont="1" applyFill="1" applyBorder="1" applyAlignment="1">
      <alignment horizontal="right" vertical="center"/>
    </xf>
    <xf numFmtId="178" fontId="0" fillId="0" borderId="0" xfId="0" quotePrefix="1" applyNumberFormat="1">
      <alignment vertical="center"/>
    </xf>
    <xf numFmtId="178" fontId="23" fillId="13" borderId="48" xfId="1" applyNumberFormat="1" applyFont="1" applyFill="1" applyBorder="1" applyAlignment="1">
      <alignment horizontal="right" vertical="center"/>
    </xf>
    <xf numFmtId="178" fontId="23" fillId="13" borderId="103" xfId="1" applyNumberFormat="1" applyFont="1" applyFill="1" applyBorder="1" applyAlignment="1">
      <alignment horizontal="right" vertical="center"/>
    </xf>
    <xf numFmtId="178" fontId="23" fillId="13" borderId="55" xfId="1" applyNumberFormat="1" applyFont="1" applyFill="1" applyBorder="1" applyAlignment="1">
      <alignment horizontal="right" vertical="center"/>
    </xf>
    <xf numFmtId="178" fontId="24" fillId="14" borderId="1" xfId="1" applyNumberFormat="1" applyFont="1" applyFill="1" applyBorder="1" applyAlignment="1">
      <alignment horizontal="right" vertical="center"/>
    </xf>
    <xf numFmtId="178" fontId="24" fillId="14" borderId="105" xfId="1" applyNumberFormat="1" applyFont="1" applyFill="1" applyBorder="1" applyAlignment="1">
      <alignment horizontal="right" vertical="center"/>
    </xf>
    <xf numFmtId="178" fontId="24" fillId="14" borderId="3" xfId="1" applyNumberFormat="1" applyFont="1" applyFill="1" applyBorder="1" applyAlignment="1">
      <alignment horizontal="right" vertical="center"/>
    </xf>
    <xf numFmtId="178" fontId="24" fillId="14" borderId="106" xfId="1" applyNumberFormat="1" applyFont="1" applyFill="1" applyBorder="1" applyAlignment="1">
      <alignment horizontal="right" vertical="center"/>
    </xf>
    <xf numFmtId="178" fontId="24" fillId="14" borderId="107" xfId="1" applyNumberFormat="1" applyFont="1" applyFill="1" applyBorder="1" applyAlignment="1">
      <alignment horizontal="right" vertical="center"/>
    </xf>
    <xf numFmtId="178" fontId="24" fillId="14" borderId="52" xfId="1" applyNumberFormat="1" applyFont="1" applyFill="1" applyBorder="1" applyAlignment="1">
      <alignment horizontal="right" vertical="center"/>
    </xf>
    <xf numFmtId="178" fontId="24" fillId="14" borderId="4" xfId="1" applyNumberFormat="1" applyFont="1" applyFill="1" applyBorder="1" applyAlignment="1">
      <alignment horizontal="right" vertical="center"/>
    </xf>
    <xf numFmtId="178" fontId="24" fillId="14" borderId="109" xfId="1" applyNumberFormat="1" applyFont="1" applyFill="1" applyBorder="1" applyAlignment="1">
      <alignment horizontal="right" vertical="center"/>
    </xf>
    <xf numFmtId="178" fontId="24" fillId="14" borderId="5" xfId="1" applyNumberFormat="1" applyFont="1" applyFill="1" applyBorder="1" applyAlignment="1">
      <alignment horizontal="right" vertical="center"/>
    </xf>
    <xf numFmtId="178" fontId="0" fillId="0" borderId="1" xfId="1" applyNumberFormat="1" applyFont="1" applyBorder="1">
      <alignment vertical="center"/>
    </xf>
    <xf numFmtId="178" fontId="2" fillId="0" borderId="105" xfId="1" applyNumberFormat="1" applyFont="1" applyBorder="1">
      <alignment vertical="center"/>
    </xf>
    <xf numFmtId="178" fontId="0" fillId="0" borderId="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2" fillId="0" borderId="109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2" fillId="0" borderId="110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2" fillId="0" borderId="114" xfId="1" applyNumberFormat="1" applyFont="1" applyBorder="1">
      <alignment vertical="center"/>
    </xf>
    <xf numFmtId="178" fontId="0" fillId="0" borderId="8" xfId="1" applyNumberFormat="1" applyFont="1" applyBorder="1">
      <alignment vertical="center"/>
    </xf>
    <xf numFmtId="178" fontId="2" fillId="0" borderId="7" xfId="0" applyNumberFormat="1" applyFont="1" applyBorder="1" applyAlignment="1">
      <alignment horizontal="right" vertical="center"/>
    </xf>
    <xf numFmtId="0" fontId="16" fillId="6" borderId="118" xfId="0" applyFont="1" applyFill="1" applyBorder="1" applyAlignment="1">
      <alignment horizontal="centerContinuous" vertical="center"/>
    </xf>
    <xf numFmtId="0" fontId="16" fillId="6" borderId="119" xfId="0" applyFont="1" applyFill="1" applyBorder="1" applyAlignment="1">
      <alignment horizontal="centerContinuous" vertical="center"/>
    </xf>
    <xf numFmtId="178" fontId="6" fillId="0" borderId="90" xfId="0" applyNumberFormat="1" applyFont="1" applyBorder="1">
      <alignment vertical="center"/>
    </xf>
    <xf numFmtId="178" fontId="6" fillId="0" borderId="91" xfId="0" applyNumberFormat="1" applyFont="1" applyBorder="1">
      <alignment vertical="center"/>
    </xf>
    <xf numFmtId="178" fontId="6" fillId="0" borderId="98" xfId="0" applyNumberFormat="1" applyFont="1" applyBorder="1">
      <alignment vertical="center"/>
    </xf>
    <xf numFmtId="178" fontId="6" fillId="0" borderId="99" xfId="0" applyNumberFormat="1" applyFont="1" applyBorder="1">
      <alignment vertical="center"/>
    </xf>
    <xf numFmtId="178" fontId="6" fillId="0" borderId="96" xfId="0" applyNumberFormat="1" applyFont="1" applyBorder="1">
      <alignment vertical="center"/>
    </xf>
    <xf numFmtId="178" fontId="6" fillId="0" borderId="97" xfId="0" applyNumberFormat="1" applyFont="1" applyBorder="1">
      <alignment vertical="center"/>
    </xf>
    <xf numFmtId="178" fontId="6" fillId="0" borderId="88" xfId="0" applyNumberFormat="1" applyFont="1" applyBorder="1">
      <alignment vertical="center"/>
    </xf>
    <xf numFmtId="178" fontId="6" fillId="0" borderId="89" xfId="0" applyNumberFormat="1" applyFont="1" applyBorder="1">
      <alignment vertical="center"/>
    </xf>
    <xf numFmtId="177" fontId="6" fillId="0" borderId="92" xfId="0" applyNumberFormat="1" applyFont="1" applyBorder="1">
      <alignment vertical="center"/>
    </xf>
    <xf numFmtId="177" fontId="6" fillId="0" borderId="93" xfId="0" applyNumberFormat="1" applyFont="1" applyBorder="1">
      <alignment vertical="center"/>
    </xf>
    <xf numFmtId="177" fontId="6" fillId="0" borderId="96" xfId="0" applyNumberFormat="1" applyFont="1" applyBorder="1">
      <alignment vertical="center"/>
    </xf>
    <xf numFmtId="177" fontId="6" fillId="0" borderId="97" xfId="0" applyNumberFormat="1" applyFont="1" applyBorder="1">
      <alignment vertical="center"/>
    </xf>
    <xf numFmtId="177" fontId="6" fillId="0" borderId="100" xfId="0" applyNumberFormat="1" applyFont="1" applyBorder="1">
      <alignment vertical="center"/>
    </xf>
    <xf numFmtId="177" fontId="6" fillId="0" borderId="120" xfId="0" applyNumberFormat="1" applyFont="1" applyBorder="1">
      <alignment vertical="center"/>
    </xf>
    <xf numFmtId="177" fontId="6" fillId="0" borderId="121" xfId="0" applyNumberFormat="1" applyFont="1" applyBorder="1">
      <alignment vertical="center"/>
    </xf>
    <xf numFmtId="177" fontId="6" fillId="0" borderId="101" xfId="0" applyNumberFormat="1" applyFont="1" applyBorder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81" fontId="0" fillId="0" borderId="0" xfId="0" applyNumberFormat="1">
      <alignment vertical="center"/>
    </xf>
    <xf numFmtId="178" fontId="0" fillId="0" borderId="0" xfId="0" applyNumberFormat="1" applyAlignment="1">
      <alignment horizontal="center" vertical="center" wrapText="1"/>
    </xf>
    <xf numFmtId="182" fontId="0" fillId="0" borderId="0" xfId="0" applyNumberFormat="1">
      <alignment vertical="center"/>
    </xf>
    <xf numFmtId="178" fontId="0" fillId="4" borderId="0" xfId="0" applyNumberFormat="1" applyFill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5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5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106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108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106" xfId="0" applyNumberFormat="1" applyFont="1" applyBorder="1" applyAlignment="1">
      <alignment horizontal="centerContinuous" vertical="center"/>
    </xf>
    <xf numFmtId="178" fontId="6" fillId="0" borderId="108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4" xfId="0" applyNumberFormat="1" applyFont="1" applyFill="1" applyBorder="1" applyAlignment="1">
      <alignment vertical="center"/>
    </xf>
    <xf numFmtId="178" fontId="2" fillId="3" borderId="66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9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178" fontId="2" fillId="0" borderId="122" xfId="0" applyNumberFormat="1" applyFont="1" applyBorder="1">
      <alignment vertical="center"/>
    </xf>
    <xf numFmtId="178" fontId="0" fillId="0" borderId="17" xfId="0" applyNumberFormat="1" applyBorder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179" fontId="0" fillId="0" borderId="0" xfId="0" applyNumberFormat="1">
      <alignment vertical="center"/>
    </xf>
    <xf numFmtId="178" fontId="6" fillId="9" borderId="1" xfId="0" applyNumberFormat="1" applyFont="1" applyFill="1" applyBorder="1" applyAlignment="1">
      <alignment vertical="center"/>
    </xf>
    <xf numFmtId="9" fontId="0" fillId="0" borderId="0" xfId="0" applyNumberFormat="1" applyFont="1" applyAlignme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178" fontId="15" fillId="0" borderId="71" xfId="0" applyNumberFormat="1" applyFont="1" applyBorder="1" applyAlignment="1">
      <alignment horizontal="center" vertical="center"/>
    </xf>
    <xf numFmtId="0" fontId="15" fillId="0" borderId="72" xfId="0" applyFont="1" applyBorder="1" applyAlignment="1">
      <alignment horizontal="center" vertical="center"/>
    </xf>
    <xf numFmtId="178" fontId="15" fillId="0" borderId="71" xfId="1" applyNumberFormat="1" applyFont="1" applyBorder="1" applyAlignment="1">
      <alignment horizontal="right" vertical="center"/>
    </xf>
    <xf numFmtId="178" fontId="15" fillId="0" borderId="72" xfId="1" applyNumberFormat="1" applyFont="1" applyBorder="1" applyAlignment="1">
      <alignment horizontal="right" vertical="center"/>
    </xf>
    <xf numFmtId="179" fontId="15" fillId="0" borderId="71" xfId="0" applyNumberFormat="1" applyFont="1" applyBorder="1" applyAlignment="1">
      <alignment horizontal="right" vertical="center"/>
    </xf>
    <xf numFmtId="0" fontId="12" fillId="0" borderId="0" xfId="0" applyFont="1">
      <alignment vertical="center"/>
    </xf>
    <xf numFmtId="178" fontId="15" fillId="0" borderId="4" xfId="1" applyNumberFormat="1" applyFont="1" applyBorder="1" applyAlignment="1">
      <alignment horizontal="right" vertical="center"/>
    </xf>
    <xf numFmtId="178" fontId="15" fillId="0" borderId="6" xfId="1" applyNumberFormat="1" applyFont="1" applyBorder="1" applyAlignment="1">
      <alignment horizontal="right" vertical="center"/>
    </xf>
    <xf numFmtId="179" fontId="15" fillId="0" borderId="4" xfId="0" applyNumberFormat="1" applyFont="1" applyBorder="1" applyAlignment="1">
      <alignment horizontal="right" vertical="center"/>
    </xf>
    <xf numFmtId="178" fontId="15" fillId="0" borderId="5" xfId="1" applyNumberFormat="1" applyFont="1" applyBorder="1" applyAlignment="1">
      <alignment horizontal="right" vertical="center"/>
    </xf>
    <xf numFmtId="178" fontId="15" fillId="0" borderId="8" xfId="1" applyNumberFormat="1" applyFont="1" applyBorder="1" applyAlignment="1">
      <alignment horizontal="right" vertical="center"/>
    </xf>
    <xf numFmtId="179" fontId="15" fillId="0" borderId="5" xfId="0" applyNumberFormat="1" applyFont="1" applyBorder="1" applyAlignment="1">
      <alignment horizontal="right" vertical="center"/>
    </xf>
    <xf numFmtId="178" fontId="15" fillId="0" borderId="124" xfId="1" applyNumberFormat="1" applyFont="1" applyBorder="1" applyAlignment="1">
      <alignment horizontal="right" vertical="center"/>
    </xf>
    <xf numFmtId="178" fontId="15" fillId="0" borderId="125" xfId="1" applyNumberFormat="1" applyFont="1" applyBorder="1" applyAlignment="1">
      <alignment horizontal="right" vertical="center"/>
    </xf>
    <xf numFmtId="179" fontId="15" fillId="0" borderId="124" xfId="0" applyNumberFormat="1" applyFont="1" applyBorder="1" applyAlignment="1">
      <alignment horizontal="right" vertical="center"/>
    </xf>
    <xf numFmtId="178" fontId="15" fillId="0" borderId="0" xfId="1" applyNumberFormat="1" applyFont="1" applyBorder="1" applyAlignment="1">
      <alignment horizontal="right" vertical="center"/>
    </xf>
    <xf numFmtId="178" fontId="15" fillId="0" borderId="7" xfId="1" applyNumberFormat="1" applyFont="1" applyBorder="1" applyAlignment="1">
      <alignment horizontal="right" vertical="center"/>
    </xf>
    <xf numFmtId="179" fontId="15" fillId="0" borderId="0" xfId="0" applyNumberFormat="1" applyFont="1" applyBorder="1" applyAlignment="1">
      <alignment horizontal="right" vertical="center"/>
    </xf>
    <xf numFmtId="178" fontId="15" fillId="0" borderId="130" xfId="1" applyNumberFormat="1" applyFont="1" applyBorder="1" applyAlignment="1">
      <alignment horizontal="right" vertical="center"/>
    </xf>
    <xf numFmtId="178" fontId="15" fillId="0" borderId="131" xfId="1" applyNumberFormat="1" applyFont="1" applyBorder="1" applyAlignment="1">
      <alignment horizontal="right" vertical="center"/>
    </xf>
    <xf numFmtId="179" fontId="15" fillId="0" borderId="130" xfId="0" applyNumberFormat="1" applyFont="1" applyBorder="1" applyAlignment="1">
      <alignment horizontal="right" vertical="center"/>
    </xf>
    <xf numFmtId="0" fontId="14" fillId="15" borderId="133" xfId="0" applyFont="1" applyFill="1" applyBorder="1" applyAlignment="1">
      <alignment horizontal="center" vertical="center"/>
    </xf>
    <xf numFmtId="0" fontId="14" fillId="15" borderId="134" xfId="0" applyFont="1" applyFill="1" applyBorder="1" applyAlignment="1">
      <alignment horizontal="center" vertical="center"/>
    </xf>
    <xf numFmtId="0" fontId="14" fillId="15" borderId="135" xfId="0" applyFont="1" applyFill="1" applyBorder="1" applyAlignment="1">
      <alignment horizontal="center" vertical="center"/>
    </xf>
    <xf numFmtId="0" fontId="14" fillId="15" borderId="132" xfId="0" applyFont="1" applyFill="1" applyBorder="1" applyAlignment="1">
      <alignment horizontal="center" vertical="center"/>
    </xf>
    <xf numFmtId="0" fontId="14" fillId="15" borderId="136" xfId="0" applyFont="1" applyFill="1" applyBorder="1" applyAlignment="1">
      <alignment horizontal="center" vertical="center"/>
    </xf>
    <xf numFmtId="0" fontId="14" fillId="15" borderId="137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177" fontId="6" fillId="0" borderId="71" xfId="0" applyNumberFormat="1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right" vertical="center"/>
    </xf>
    <xf numFmtId="177" fontId="6" fillId="0" borderId="124" xfId="0" applyNumberFormat="1" applyFont="1" applyBorder="1" applyAlignment="1">
      <alignment horizontal="right" vertical="center"/>
    </xf>
    <xf numFmtId="177" fontId="6" fillId="0" borderId="5" xfId="0" applyNumberFormat="1" applyFont="1" applyBorder="1" applyAlignment="1">
      <alignment horizontal="right" vertical="center"/>
    </xf>
    <xf numFmtId="177" fontId="6" fillId="0" borderId="71" xfId="0" applyNumberFormat="1" applyFont="1" applyBorder="1" applyAlignment="1">
      <alignment horizontal="right" vertical="center"/>
    </xf>
    <xf numFmtId="177" fontId="6" fillId="0" borderId="130" xfId="0" applyNumberFormat="1" applyFont="1" applyBorder="1" applyAlignment="1">
      <alignment horizontal="right" vertical="center"/>
    </xf>
    <xf numFmtId="177" fontId="6" fillId="0" borderId="0" xfId="0" applyNumberFormat="1" applyFont="1" applyBorder="1" applyAlignment="1">
      <alignment horizontal="right" vertical="center"/>
    </xf>
    <xf numFmtId="177" fontId="6" fillId="0" borderId="0" xfId="0" applyNumberFormat="1" applyFont="1">
      <alignment vertical="center"/>
    </xf>
    <xf numFmtId="0" fontId="7" fillId="16" borderId="55" xfId="0" applyFont="1" applyFill="1" applyBorder="1" applyAlignment="1">
      <alignment horizontal="center" vertical="center"/>
    </xf>
    <xf numFmtId="178" fontId="7" fillId="16" borderId="48" xfId="1" applyNumberFormat="1" applyFont="1" applyFill="1" applyBorder="1" applyAlignment="1">
      <alignment horizontal="right" vertical="center"/>
    </xf>
    <xf numFmtId="178" fontId="7" fillId="16" borderId="55" xfId="1" applyNumberFormat="1" applyFont="1" applyFill="1" applyBorder="1" applyAlignment="1">
      <alignment horizontal="right" vertical="center"/>
    </xf>
    <xf numFmtId="178" fontId="7" fillId="16" borderId="67" xfId="1" applyNumberFormat="1" applyFont="1" applyFill="1" applyBorder="1" applyAlignment="1">
      <alignment horizontal="right" vertical="center"/>
    </xf>
    <xf numFmtId="178" fontId="7" fillId="16" borderId="129" xfId="1" applyNumberFormat="1" applyFont="1" applyFill="1" applyBorder="1" applyAlignment="1">
      <alignment horizontal="right" vertical="center"/>
    </xf>
    <xf numFmtId="178" fontId="7" fillId="16" borderId="69" xfId="1" applyNumberFormat="1" applyFont="1" applyFill="1" applyBorder="1" applyAlignment="1">
      <alignment horizontal="right" vertical="center"/>
    </xf>
    <xf numFmtId="178" fontId="7" fillId="16" borderId="3" xfId="0" applyNumberFormat="1" applyFont="1" applyFill="1" applyBorder="1" applyAlignment="1">
      <alignment horizontal="center" vertical="center"/>
    </xf>
    <xf numFmtId="179" fontId="7" fillId="16" borderId="1" xfId="0" applyNumberFormat="1" applyFont="1" applyFill="1" applyBorder="1" applyAlignment="1">
      <alignment horizontal="right" vertical="center"/>
    </xf>
    <xf numFmtId="179" fontId="7" fillId="16" borderId="3" xfId="0" applyNumberFormat="1" applyFont="1" applyFill="1" applyBorder="1" applyAlignment="1">
      <alignment horizontal="right" vertical="center"/>
    </xf>
    <xf numFmtId="179" fontId="7" fillId="16" borderId="70" xfId="0" applyNumberFormat="1" applyFont="1" applyFill="1" applyBorder="1" applyAlignment="1">
      <alignment horizontal="right" vertical="center"/>
    </xf>
    <xf numFmtId="179" fontId="7" fillId="16" borderId="128" xfId="0" applyNumberFormat="1" applyFont="1" applyFill="1" applyBorder="1" applyAlignment="1">
      <alignment horizontal="right" vertical="center"/>
    </xf>
    <xf numFmtId="179" fontId="7" fillId="16" borderId="2" xfId="0" applyNumberFormat="1" applyFont="1" applyFill="1" applyBorder="1" applyAlignment="1">
      <alignment horizontal="right" vertical="center"/>
    </xf>
    <xf numFmtId="177" fontId="6" fillId="9" borderId="138" xfId="0" applyNumberFormat="1" applyFont="1" applyFill="1" applyBorder="1" applyAlignment="1">
      <alignment horizontal="center" vertical="center"/>
    </xf>
    <xf numFmtId="177" fontId="6" fillId="9" borderId="139" xfId="0" applyNumberFormat="1" applyFont="1" applyFill="1" applyBorder="1" applyAlignment="1">
      <alignment horizontal="right" vertical="center"/>
    </xf>
    <xf numFmtId="177" fontId="6" fillId="9" borderId="138" xfId="0" applyNumberFormat="1" applyFont="1" applyFill="1" applyBorder="1" applyAlignment="1">
      <alignment horizontal="right" vertical="center"/>
    </xf>
    <xf numFmtId="177" fontId="6" fillId="9" borderId="140" xfId="0" applyNumberFormat="1" applyFont="1" applyFill="1" applyBorder="1" applyAlignment="1">
      <alignment horizontal="right" vertical="center"/>
    </xf>
    <xf numFmtId="177" fontId="6" fillId="9" borderId="141" xfId="0" applyNumberFormat="1" applyFont="1" applyFill="1" applyBorder="1" applyAlignment="1">
      <alignment horizontal="right" vertical="center"/>
    </xf>
    <xf numFmtId="177" fontId="6" fillId="9" borderId="60" xfId="0" applyNumberFormat="1" applyFont="1" applyFill="1" applyBorder="1" applyAlignment="1">
      <alignment horizontal="right" vertical="center"/>
    </xf>
    <xf numFmtId="178" fontId="14" fillId="7" borderId="126" xfId="1" applyNumberFormat="1" applyFont="1" applyFill="1" applyBorder="1" applyAlignment="1">
      <alignment horizontal="right" vertical="center"/>
    </xf>
    <xf numFmtId="179" fontId="14" fillId="5" borderId="123" xfId="0" applyNumberFormat="1" applyFont="1" applyFill="1" applyBorder="1" applyAlignment="1">
      <alignment horizontal="right" vertical="center"/>
    </xf>
    <xf numFmtId="177" fontId="6" fillId="9" borderId="127" xfId="0" applyNumberFormat="1" applyFont="1" applyFill="1" applyBorder="1" applyAlignment="1">
      <alignment horizontal="right" vertical="center"/>
    </xf>
    <xf numFmtId="179" fontId="15" fillId="0" borderId="4" xfId="1" applyNumberFormat="1" applyFont="1" applyBorder="1" applyAlignment="1">
      <alignment horizontal="right" vertical="center"/>
    </xf>
    <xf numFmtId="179" fontId="15" fillId="0" borderId="124" xfId="1" applyNumberFormat="1" applyFont="1" applyBorder="1" applyAlignment="1">
      <alignment horizontal="right" vertical="center"/>
    </xf>
    <xf numFmtId="179" fontId="15" fillId="0" borderId="5" xfId="1" applyNumberFormat="1" applyFont="1" applyBorder="1" applyAlignment="1">
      <alignment horizontal="right" vertical="center"/>
    </xf>
    <xf numFmtId="179" fontId="15" fillId="0" borderId="71" xfId="1" applyNumberFormat="1" applyFont="1" applyBorder="1" applyAlignment="1">
      <alignment horizontal="right" vertical="center"/>
    </xf>
    <xf numFmtId="179" fontId="15" fillId="0" borderId="130" xfId="1" applyNumberFormat="1" applyFont="1" applyBorder="1" applyAlignment="1">
      <alignment horizontal="right" vertical="center"/>
    </xf>
    <xf numFmtId="179" fontId="15" fillId="0" borderId="0" xfId="1" applyNumberFormat="1" applyFont="1" applyBorder="1" applyAlignment="1">
      <alignment horizontal="right" vertical="center"/>
    </xf>
    <xf numFmtId="0" fontId="15" fillId="12" borderId="71" xfId="0" applyFont="1" applyFill="1" applyBorder="1" applyAlignment="1">
      <alignment horizontal="center" vertical="center"/>
    </xf>
    <xf numFmtId="178" fontId="15" fillId="12" borderId="4" xfId="1" applyNumberFormat="1" applyFont="1" applyFill="1" applyBorder="1" applyAlignment="1">
      <alignment horizontal="right" vertical="center"/>
    </xf>
    <xf numFmtId="178" fontId="15" fillId="12" borderId="124" xfId="1" applyNumberFormat="1" applyFont="1" applyFill="1" applyBorder="1" applyAlignment="1">
      <alignment horizontal="right" vertical="center"/>
    </xf>
    <xf numFmtId="178" fontId="15" fillId="12" borderId="5" xfId="1" applyNumberFormat="1" applyFont="1" applyFill="1" applyBorder="1" applyAlignment="1">
      <alignment horizontal="right" vertical="center"/>
    </xf>
    <xf numFmtId="178" fontId="15" fillId="12" borderId="71" xfId="1" applyNumberFormat="1" applyFont="1" applyFill="1" applyBorder="1" applyAlignment="1">
      <alignment horizontal="right" vertical="center"/>
    </xf>
    <xf numFmtId="178" fontId="15" fillId="12" borderId="130" xfId="1" applyNumberFormat="1" applyFont="1" applyFill="1" applyBorder="1" applyAlignment="1">
      <alignment horizontal="right" vertical="center"/>
    </xf>
    <xf numFmtId="178" fontId="15" fillId="12" borderId="0" xfId="1" applyNumberFormat="1" applyFont="1" applyFill="1" applyBorder="1" applyAlignment="1">
      <alignment horizontal="right" vertical="center"/>
    </xf>
    <xf numFmtId="178" fontId="15" fillId="12" borderId="70" xfId="0" applyNumberFormat="1" applyFont="1" applyFill="1" applyBorder="1" applyAlignment="1">
      <alignment horizontal="center" vertical="center"/>
    </xf>
    <xf numFmtId="179" fontId="15" fillId="12" borderId="1" xfId="0" applyNumberFormat="1" applyFont="1" applyFill="1" applyBorder="1" applyAlignment="1">
      <alignment horizontal="right" vertical="center"/>
    </xf>
    <xf numFmtId="179" fontId="15" fillId="12" borderId="123" xfId="0" applyNumberFormat="1" applyFont="1" applyFill="1" applyBorder="1" applyAlignment="1">
      <alignment horizontal="right" vertical="center"/>
    </xf>
    <xf numFmtId="179" fontId="15" fillId="12" borderId="3" xfId="0" applyNumberFormat="1" applyFont="1" applyFill="1" applyBorder="1" applyAlignment="1">
      <alignment horizontal="right" vertical="center"/>
    </xf>
    <xf numFmtId="179" fontId="15" fillId="12" borderId="70" xfId="0" applyNumberFormat="1" applyFont="1" applyFill="1" applyBorder="1" applyAlignment="1">
      <alignment horizontal="right" vertical="center"/>
    </xf>
    <xf numFmtId="179" fontId="15" fillId="12" borderId="128" xfId="0" applyNumberFormat="1" applyFont="1" applyFill="1" applyBorder="1" applyAlignment="1">
      <alignment horizontal="right" vertical="center"/>
    </xf>
    <xf numFmtId="179" fontId="15" fillId="12" borderId="2" xfId="0" applyNumberFormat="1" applyFont="1" applyFill="1" applyBorder="1" applyAlignment="1">
      <alignment horizontal="right" vertical="center"/>
    </xf>
    <xf numFmtId="178" fontId="15" fillId="0" borderId="39" xfId="0" applyNumberFormat="1" applyFont="1" applyBorder="1">
      <alignment vertical="center"/>
    </xf>
    <xf numFmtId="178" fontId="15" fillId="0" borderId="29" xfId="0" applyNumberFormat="1" applyFont="1" applyBorder="1">
      <alignment vertical="center"/>
    </xf>
    <xf numFmtId="178" fontId="15" fillId="0" borderId="30" xfId="0" applyNumberFormat="1" applyFont="1" applyBorder="1">
      <alignment vertical="center"/>
    </xf>
    <xf numFmtId="178" fontId="15" fillId="0" borderId="46" xfId="0" applyNumberFormat="1" applyFont="1" applyBorder="1">
      <alignment vertical="center"/>
    </xf>
    <xf numFmtId="178" fontId="15" fillId="0" borderId="13" xfId="0" applyNumberFormat="1" applyFont="1" applyBorder="1">
      <alignment vertical="center"/>
    </xf>
    <xf numFmtId="178" fontId="15" fillId="0" borderId="14" xfId="0" applyNumberFormat="1" applyFont="1" applyBorder="1">
      <alignment vertical="center"/>
    </xf>
    <xf numFmtId="178" fontId="15" fillId="0" borderId="49" xfId="0" applyNumberFormat="1" applyFont="1" applyBorder="1">
      <alignment vertical="center"/>
    </xf>
    <xf numFmtId="178" fontId="15" fillId="0" borderId="25" xfId="0" applyNumberFormat="1" applyFont="1" applyBorder="1">
      <alignment vertical="center"/>
    </xf>
    <xf numFmtId="178" fontId="15" fillId="0" borderId="26" xfId="0" applyNumberFormat="1" applyFont="1" applyBorder="1">
      <alignment vertical="center"/>
    </xf>
    <xf numFmtId="178" fontId="15" fillId="0" borderId="47" xfId="0" applyNumberFormat="1" applyFont="1" applyBorder="1">
      <alignment vertical="center"/>
    </xf>
    <xf numFmtId="178" fontId="15" fillId="0" borderId="16" xfId="0" applyNumberFormat="1" applyFont="1" applyBorder="1">
      <alignment vertical="center"/>
    </xf>
    <xf numFmtId="178" fontId="15" fillId="0" borderId="17" xfId="0" applyNumberFormat="1" applyFont="1" applyBorder="1">
      <alignment vertical="center"/>
    </xf>
    <xf numFmtId="178" fontId="15" fillId="9" borderId="39" xfId="0" applyNumberFormat="1" applyFont="1" applyFill="1" applyBorder="1">
      <alignment vertical="center"/>
    </xf>
    <xf numFmtId="178" fontId="15" fillId="9" borderId="29" xfId="0" applyNumberFormat="1" applyFont="1" applyFill="1" applyBorder="1">
      <alignment vertical="center"/>
    </xf>
    <xf numFmtId="178" fontId="15" fillId="9" borderId="30" xfId="0" applyNumberFormat="1" applyFont="1" applyFill="1" applyBorder="1">
      <alignment vertical="center"/>
    </xf>
    <xf numFmtId="178" fontId="15" fillId="9" borderId="46" xfId="0" applyNumberFormat="1" applyFont="1" applyFill="1" applyBorder="1">
      <alignment vertical="center"/>
    </xf>
    <xf numFmtId="178" fontId="15" fillId="9" borderId="13" xfId="0" applyNumberFormat="1" applyFont="1" applyFill="1" applyBorder="1">
      <alignment vertical="center"/>
    </xf>
    <xf numFmtId="178" fontId="15" fillId="9" borderId="14" xfId="0" applyNumberFormat="1" applyFont="1" applyFill="1" applyBorder="1">
      <alignment vertical="center"/>
    </xf>
    <xf numFmtId="178" fontId="15" fillId="9" borderId="49" xfId="0" applyNumberFormat="1" applyFont="1" applyFill="1" applyBorder="1">
      <alignment vertical="center"/>
    </xf>
    <xf numFmtId="178" fontId="15" fillId="9" borderId="25" xfId="0" applyNumberFormat="1" applyFont="1" applyFill="1" applyBorder="1">
      <alignment vertical="center"/>
    </xf>
    <xf numFmtId="178" fontId="15" fillId="9" borderId="26" xfId="0" applyNumberFormat="1" applyFont="1" applyFill="1" applyBorder="1">
      <alignment vertical="center"/>
    </xf>
    <xf numFmtId="178" fontId="15" fillId="9" borderId="47" xfId="0" applyNumberFormat="1" applyFont="1" applyFill="1" applyBorder="1">
      <alignment vertical="center"/>
    </xf>
    <xf numFmtId="178" fontId="15" fillId="9" borderId="16" xfId="0" applyNumberFormat="1" applyFont="1" applyFill="1" applyBorder="1">
      <alignment vertical="center"/>
    </xf>
    <xf numFmtId="178" fontId="15" fillId="9" borderId="17" xfId="0" applyNumberFormat="1" applyFont="1" applyFill="1" applyBorder="1">
      <alignment vertical="center"/>
    </xf>
    <xf numFmtId="178" fontId="15" fillId="0" borderId="1" xfId="0" applyNumberFormat="1" applyFont="1" applyBorder="1">
      <alignment vertical="center"/>
    </xf>
    <xf numFmtId="178" fontId="15" fillId="0" borderId="77" xfId="0" applyNumberFormat="1" applyFont="1" applyBorder="1">
      <alignment vertical="center"/>
    </xf>
    <xf numFmtId="178" fontId="15" fillId="0" borderId="4" xfId="0" applyNumberFormat="1" applyFont="1" applyBorder="1">
      <alignment vertical="center"/>
    </xf>
    <xf numFmtId="178" fontId="15" fillId="0" borderId="78" xfId="0" applyNumberFormat="1" applyFont="1" applyBorder="1">
      <alignment vertical="center"/>
    </xf>
    <xf numFmtId="178" fontId="15" fillId="0" borderId="18" xfId="0" applyNumberFormat="1" applyFont="1" applyBorder="1">
      <alignment vertical="center"/>
    </xf>
    <xf numFmtId="178" fontId="15" fillId="0" borderId="82" xfId="0" applyNumberFormat="1" applyFont="1" applyBorder="1">
      <alignment vertical="center"/>
    </xf>
    <xf numFmtId="178" fontId="15" fillId="0" borderId="53" xfId="0" applyNumberFormat="1" applyFont="1" applyBorder="1">
      <alignment vertical="center"/>
    </xf>
    <xf numFmtId="178" fontId="15" fillId="0" borderId="20" xfId="0" applyNumberFormat="1" applyFont="1" applyBorder="1">
      <alignment vertical="center"/>
    </xf>
    <xf numFmtId="178" fontId="15" fillId="0" borderId="21" xfId="0" applyNumberFormat="1" applyFont="1" applyBorder="1">
      <alignment vertical="center"/>
    </xf>
    <xf numFmtId="178" fontId="15" fillId="0" borderId="22" xfId="0" applyNumberFormat="1" applyFont="1" applyBorder="1">
      <alignment vertical="center"/>
    </xf>
    <xf numFmtId="178" fontId="15" fillId="0" borderId="79" xfId="0" applyNumberFormat="1" applyFont="1" applyBorder="1">
      <alignment vertical="center"/>
    </xf>
    <xf numFmtId="178" fontId="14" fillId="7" borderId="82" xfId="0" applyNumberFormat="1" applyFont="1" applyFill="1" applyBorder="1">
      <alignment vertical="center"/>
    </xf>
    <xf numFmtId="178" fontId="14" fillId="5" borderId="78" xfId="0" applyNumberFormat="1" applyFont="1" applyFill="1" applyBorder="1">
      <alignment vertical="center"/>
    </xf>
    <xf numFmtId="183" fontId="6" fillId="0" borderId="0" xfId="1" applyNumberFormat="1" applyFont="1">
      <alignment vertical="center"/>
    </xf>
    <xf numFmtId="183" fontId="2" fillId="0" borderId="0" xfId="1" applyNumberFormat="1" applyFont="1">
      <alignment vertical="center"/>
    </xf>
    <xf numFmtId="183" fontId="0" fillId="0" borderId="0" xfId="1" applyNumberFormat="1" applyFont="1">
      <alignment vertical="center"/>
    </xf>
    <xf numFmtId="41" fontId="2" fillId="0" borderId="0" xfId="0" applyNumberFormat="1" applyFont="1">
      <alignment vertical="center"/>
    </xf>
    <xf numFmtId="179" fontId="6" fillId="0" borderId="4" xfId="1" applyNumberFormat="1" applyFont="1" applyFill="1" applyBorder="1" applyAlignment="1">
      <alignment vertical="center"/>
    </xf>
    <xf numFmtId="179" fontId="6" fillId="0" borderId="6" xfId="1" applyNumberFormat="1" applyFont="1" applyFill="1" applyBorder="1" applyAlignment="1">
      <alignment vertical="center"/>
    </xf>
    <xf numFmtId="177" fontId="0" fillId="0" borderId="0" xfId="0" applyNumberFormat="1" applyFont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9" fontId="6" fillId="0" borderId="0" xfId="1" applyNumberFormat="1" applyFont="1">
      <alignment vertical="center"/>
    </xf>
    <xf numFmtId="0" fontId="0" fillId="0" borderId="0" xfId="0" applyFont="1" applyAlignment="1">
      <alignment horizontal="right" vertical="center"/>
    </xf>
    <xf numFmtId="14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179" fontId="6" fillId="0" borderId="0" xfId="1" applyNumberFormat="1" applyFont="1" applyFill="1" applyBorder="1" applyAlignment="1">
      <alignment vertical="center"/>
    </xf>
    <xf numFmtId="178" fontId="2" fillId="9" borderId="4" xfId="1" applyNumberFormat="1" applyFont="1" applyFill="1" applyBorder="1" applyAlignment="1">
      <alignment vertical="center"/>
    </xf>
    <xf numFmtId="178" fontId="0" fillId="12" borderId="0" xfId="0" applyNumberFormat="1" applyFont="1" applyFill="1">
      <alignment vertical="center"/>
    </xf>
    <xf numFmtId="9" fontId="6" fillId="0" borderId="0" xfId="1" applyNumberFormat="1" applyFont="1" applyFill="1" applyBorder="1" applyAlignment="1">
      <alignment vertical="center"/>
    </xf>
    <xf numFmtId="9" fontId="0" fillId="0" borderId="0" xfId="1" applyNumberFormat="1" applyFont="1">
      <alignment vertical="center"/>
    </xf>
    <xf numFmtId="0" fontId="11" fillId="8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15" borderId="67" xfId="0" applyFont="1" applyFill="1" applyBorder="1" applyAlignment="1">
      <alignment horizontal="center" vertical="center"/>
    </xf>
    <xf numFmtId="0" fontId="14" fillId="15" borderId="70" xfId="0" applyFont="1" applyFill="1" applyBorder="1" applyAlignment="1">
      <alignment horizontal="center" vertical="center"/>
    </xf>
    <xf numFmtId="0" fontId="14" fillId="15" borderId="129" xfId="0" applyFont="1" applyFill="1" applyBorder="1" applyAlignment="1">
      <alignment horizontal="center" vertical="center"/>
    </xf>
    <xf numFmtId="0" fontId="14" fillId="15" borderId="55" xfId="0" applyFont="1" applyFill="1" applyBorder="1" applyAlignment="1">
      <alignment horizontal="center" vertical="center"/>
    </xf>
    <xf numFmtId="0" fontId="14" fillId="15" borderId="4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4" fillId="15" borderId="135" xfId="0" applyFont="1" applyFill="1" applyBorder="1" applyAlignment="1">
      <alignment horizontal="center" vertical="center"/>
    </xf>
    <xf numFmtId="0" fontId="14" fillId="15" borderId="132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9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8" fillId="11" borderId="70" xfId="0" applyNumberFormat="1" applyFont="1" applyFill="1" applyBorder="1" applyAlignment="1">
      <alignment horizontal="center" vertical="center"/>
    </xf>
    <xf numFmtId="178" fontId="18" fillId="11" borderId="72" xfId="0" applyNumberFormat="1" applyFont="1" applyFill="1" applyBorder="1" applyAlignment="1">
      <alignment horizontal="center" vertical="center"/>
    </xf>
    <xf numFmtId="178" fontId="18" fillId="11" borderId="1" xfId="0" applyNumberFormat="1" applyFont="1" applyFill="1" applyBorder="1" applyAlignment="1">
      <alignment horizontal="center" vertical="center"/>
    </xf>
    <xf numFmtId="178" fontId="18" fillId="11" borderId="2" xfId="0" applyNumberFormat="1" applyFont="1" applyFill="1" applyBorder="1" applyAlignment="1">
      <alignment horizontal="center" vertical="center"/>
    </xf>
    <xf numFmtId="178" fontId="18" fillId="11" borderId="6" xfId="0" applyNumberFormat="1" applyFont="1" applyFill="1" applyBorder="1" applyAlignment="1">
      <alignment horizontal="center" vertical="center"/>
    </xf>
    <xf numFmtId="178" fontId="18" fillId="11" borderId="7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0" fontId="16" fillId="6" borderId="115" xfId="0" applyFont="1" applyFill="1" applyBorder="1" applyAlignment="1">
      <alignment horizontal="center" vertical="center"/>
    </xf>
    <xf numFmtId="0" fontId="16" fillId="6" borderId="116" xfId="0" applyFont="1" applyFill="1" applyBorder="1" applyAlignment="1">
      <alignment horizontal="center" vertical="center"/>
    </xf>
    <xf numFmtId="0" fontId="16" fillId="6" borderId="117" xfId="0" applyFont="1" applyFill="1" applyBorder="1" applyAlignment="1">
      <alignment horizontal="center" vertical="center"/>
    </xf>
    <xf numFmtId="178" fontId="18" fillId="6" borderId="1" xfId="0" applyNumberFormat="1" applyFont="1" applyFill="1" applyBorder="1" applyAlignment="1">
      <alignment horizontal="center" vertical="center"/>
    </xf>
    <xf numFmtId="178" fontId="18" fillId="6" borderId="3" xfId="0" applyNumberFormat="1" applyFont="1" applyFill="1" applyBorder="1" applyAlignment="1">
      <alignment horizontal="center" vertical="center"/>
    </xf>
    <xf numFmtId="178" fontId="18" fillId="6" borderId="6" xfId="0" applyNumberFormat="1" applyFont="1" applyFill="1" applyBorder="1" applyAlignment="1">
      <alignment horizontal="center" vertical="center"/>
    </xf>
    <xf numFmtId="178" fontId="18" fillId="6" borderId="8" xfId="0" applyNumberFormat="1" applyFont="1" applyFill="1" applyBorder="1" applyAlignment="1">
      <alignment horizontal="center"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건자재!$Z$37:$AN$37</c:f>
              <c:strCache>
                <c:ptCount val="10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</c:strCache>
            </c:strRef>
          </c:cat>
          <c:val>
            <c:numRef>
              <c:f>건자재!$Z$38:$AN$38</c:f>
              <c:numCache>
                <c:formatCode>#,##0_);[Red]\(#,##0\)</c:formatCode>
                <c:ptCount val="10"/>
                <c:pt idx="0">
                  <c:v>920730.85338998202</c:v>
                </c:pt>
                <c:pt idx="1">
                  <c:v>886130.8859870329</c:v>
                </c:pt>
                <c:pt idx="2">
                  <c:v>873530.5235919673</c:v>
                </c:pt>
                <c:pt idx="3">
                  <c:v>853042.90795678552</c:v>
                </c:pt>
                <c:pt idx="4">
                  <c:v>811389.30758305453</c:v>
                </c:pt>
                <c:pt idx="5">
                  <c:v>785072.67759542307</c:v>
                </c:pt>
                <c:pt idx="6">
                  <c:v>751049.2097042331</c:v>
                </c:pt>
                <c:pt idx="7">
                  <c:v>846014.52770958561</c:v>
                </c:pt>
                <c:pt idx="8">
                  <c:v>879572.42936012533</c:v>
                </c:pt>
                <c:pt idx="9">
                  <c:v>818946.47731031897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lineChart>
        <c:grouping val="standard"/>
        <c:varyColors val="0"/>
        <c:ser>
          <c:idx val="1"/>
          <c:order val="1"/>
          <c:tx>
            <c:strRef>
              <c:f>건자재!$R$39</c:f>
              <c:strCache>
                <c:ptCount val="1"/>
                <c:pt idx="0">
                  <c:v>마진률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건자재!$Z$37:$AN$37</c:f>
              <c:strCache>
                <c:ptCount val="10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</c:strCache>
            </c:strRef>
          </c:cat>
          <c:val>
            <c:numRef>
              <c:f>건자재!$Z$39:$AN$39</c:f>
              <c:numCache>
                <c:formatCode>0.0%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496360"/>
        <c:axId val="62226988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400000"/>
          <c:min val="3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valAx>
        <c:axId val="622269880"/>
        <c:scaling>
          <c:orientation val="minMax"/>
          <c:max val="0.15000000000000002"/>
          <c:min val="1.0000000000000002E-3"/>
        </c:scaling>
        <c:delete val="0"/>
        <c:axPos val="r"/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496360"/>
        <c:crosses val="max"/>
        <c:crossBetween val="between"/>
      </c:valAx>
      <c:catAx>
        <c:axId val="725496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2269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302559</xdr:colOff>
      <xdr:row>30</xdr:row>
      <xdr:rowOff>11206</xdr:rowOff>
    </xdr:from>
    <xdr:to>
      <xdr:col>36</xdr:col>
      <xdr:colOff>250759</xdr:colOff>
      <xdr:row>42</xdr:row>
      <xdr:rowOff>225121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2D9DF8-F762-4BB9-AD34-6DBB3AA6A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41353" y="7429500"/>
          <a:ext cx="2200582" cy="31722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27</xdr:row>
      <xdr:rowOff>299358</xdr:rowOff>
    </xdr:from>
    <xdr:to>
      <xdr:col>13</xdr:col>
      <xdr:colOff>966107</xdr:colOff>
      <xdr:row>34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B01E3CC-2C56-45D5-94BE-AA7FCAC4D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1_&#51665;&#44228;/2024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4&#45380;_&#54637;&#47785;&#48324;&#49552;&#51061;&#49892;&#51201;_&#54620;&#49457;&#54252;&#5463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0_&#48372;&#44256;&#49436;/2023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4-09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11/01_&#47112;&#48120;&#53080;/&#47112;&#48120;&#53080;&#50896;&#44032;&#49552;&#51061;(2024-10)&#44228;&#54925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11/01_&#47112;&#48120;&#53080;/&#47112;&#48120;&#53080;&#50896;&#44032;&#49552;&#51061;(2024-10)&#51204;&#45380;&#45824;&#48708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11/02_&#44148;&#51088;&#51116;/&#44148;&#51088;&#51116;&#50689;&#50629;&#49552;&#51061;(202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2_&#44148;&#51088;&#51116;/&#44148;&#51088;&#51116;&#50689;&#50629;&#49552;&#51061;(2023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11/03_&#44264;&#51116;/&#44264;&#51116;&#50896;&#44032;&#49552;&#51061;(2024-10)&#44228;&#54925;&#45824;&#48708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3_&#44264;&#51116;/&#44264;&#51116;&#50896;&#44032;&#49552;&#51061;(2023-10)&#44228;&#54925;&#45824;&#48708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11/01_&#47112;&#48120;&#53080;/&#47112;&#48120;&#53080;&#50896;&#44032;&#49552;&#51061;(2024-10&#45572;&#44228;)&#44228;&#54925;&#45824;&#48708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11/01_&#47112;&#48120;&#53080;/&#47112;&#48120;&#53080;&#50896;&#44032;&#49552;&#51061;(2024-10&#45572;&#44228;)&#51204;&#45380;&#45824;&#48708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148;&#51088;&#51116;/2024&#45380;_&#50696;&#49328;&#50836;&#44396;&#50504;_&#44148;&#51088;&#51116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9436;&#48512;&#49328;&#53356;&#46972;&#49380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53356;&#46972;&#49380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47784;&#47000;&#51109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11/03_&#44264;&#51116;/&#44264;&#51116;&#49892;&#51201;(2024-1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하반기"/>
      <sheetName val="4분기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2"/>
      <sheetName val="Sheet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D6" t="str">
            <v>구분</v>
          </cell>
        </row>
      </sheetData>
      <sheetData sheetId="8"/>
      <sheetData sheetId="9"/>
      <sheetData sheetId="10"/>
      <sheetData sheetId="11"/>
      <sheetData sheetId="12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W6"/>
          <cell r="X6"/>
          <cell r="Y6"/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K6"/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임금인상</v>
          </cell>
          <cell r="AS6" t="str">
            <v>시멘트소급</v>
          </cell>
          <cell r="AT6" t="str">
            <v>기타</v>
          </cell>
          <cell r="AU6" t="str">
            <v>기타 계</v>
          </cell>
          <cell r="AV6"/>
        </row>
        <row r="7">
          <cell r="D7" t="str">
            <v>물     량</v>
          </cell>
          <cell r="E7"/>
          <cell r="F7">
            <v>43000</v>
          </cell>
          <cell r="G7">
            <v>35000</v>
          </cell>
          <cell r="H7">
            <v>24000</v>
          </cell>
          <cell r="I7">
            <v>19500</v>
          </cell>
          <cell r="J7">
            <v>24000</v>
          </cell>
          <cell r="K7">
            <v>26000</v>
          </cell>
          <cell r="L7">
            <v>13000</v>
          </cell>
          <cell r="M7">
            <v>18000</v>
          </cell>
          <cell r="N7">
            <v>12000</v>
          </cell>
          <cell r="O7">
            <v>17000</v>
          </cell>
          <cell r="P7">
            <v>16500</v>
          </cell>
          <cell r="Q7">
            <v>12000</v>
          </cell>
          <cell r="R7">
            <v>28000</v>
          </cell>
          <cell r="S7">
            <v>13000</v>
          </cell>
          <cell r="T7">
            <v>7000</v>
          </cell>
          <cell r="U7">
            <v>6000</v>
          </cell>
          <cell r="V7">
            <v>7000</v>
          </cell>
          <cell r="W7">
            <v>0</v>
          </cell>
          <cell r="X7">
            <v>0</v>
          </cell>
          <cell r="Y7">
            <v>0</v>
          </cell>
          <cell r="Z7">
            <v>321000</v>
          </cell>
          <cell r="AA7">
            <v>8900</v>
          </cell>
          <cell r="AB7">
            <v>51352.963333333333</v>
          </cell>
          <cell r="AC7">
            <v>43565.728071919184</v>
          </cell>
          <cell r="AD7">
            <v>29254.222470020948</v>
          </cell>
          <cell r="AE7">
            <v>124172.91387527347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/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/>
          <cell r="AV7"/>
          <cell r="AW7"/>
          <cell r="AX7"/>
          <cell r="AY7"/>
          <cell r="AZ7"/>
        </row>
        <row r="8">
          <cell r="D8" t="str">
            <v>매 출 액</v>
          </cell>
          <cell r="E8">
            <v>46303006.971386179</v>
          </cell>
          <cell r="F8">
            <v>4325957.2</v>
          </cell>
          <cell r="G8">
            <v>3730145.7100000004</v>
          </cell>
          <cell r="H8">
            <v>2408383.2280439865</v>
          </cell>
          <cell r="I8">
            <v>1886774.5</v>
          </cell>
          <cell r="J8">
            <v>2582403.3585000001</v>
          </cell>
          <cell r="K8">
            <v>2719003.52</v>
          </cell>
          <cell r="L8">
            <v>1313000</v>
          </cell>
          <cell r="M8">
            <v>1872000</v>
          </cell>
          <cell r="N8">
            <v>1166521.8300000003</v>
          </cell>
          <cell r="O8">
            <v>1729667</v>
          </cell>
          <cell r="P8">
            <v>1613040</v>
          </cell>
          <cell r="Q8">
            <v>1213489.5</v>
          </cell>
          <cell r="R8">
            <v>2828015</v>
          </cell>
          <cell r="S8">
            <v>1320080.7600000002</v>
          </cell>
          <cell r="T8">
            <v>761472.20699999994</v>
          </cell>
          <cell r="U8">
            <v>647400</v>
          </cell>
          <cell r="V8">
            <v>887600</v>
          </cell>
          <cell r="W8">
            <v>0</v>
          </cell>
          <cell r="X8">
            <v>0</v>
          </cell>
          <cell r="Y8">
            <v>0</v>
          </cell>
          <cell r="Z8">
            <v>33004953.81354399</v>
          </cell>
          <cell r="AA8">
            <v>10873416.842105264</v>
          </cell>
          <cell r="AB8">
            <v>637549.44999999995</v>
          </cell>
          <cell r="AC8">
            <v>790015.55908893293</v>
          </cell>
          <cell r="AD8">
            <v>832163.80631466</v>
          </cell>
          <cell r="AE8">
            <v>2259728.8154035928</v>
          </cell>
          <cell r="AF8">
            <v>12500</v>
          </cell>
          <cell r="AG8">
            <v>50000</v>
          </cell>
          <cell r="AH8">
            <v>28340</v>
          </cell>
          <cell r="AI8">
            <v>67047.50033333333</v>
          </cell>
          <cell r="AJ8">
            <v>5250</v>
          </cell>
          <cell r="AK8">
            <v>0</v>
          </cell>
          <cell r="AL8">
            <v>163137.50033333333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  <cell r="AV8"/>
          <cell r="AW8"/>
          <cell r="AX8"/>
          <cell r="AY8"/>
          <cell r="AZ8"/>
        </row>
        <row r="9">
          <cell r="D9" t="str">
            <v xml:space="preserve"> - 단  위  당</v>
          </cell>
          <cell r="E9"/>
          <cell r="F9">
            <v>100603.65581395349</v>
          </cell>
          <cell r="G9">
            <v>106575.59171428572</v>
          </cell>
          <cell r="H9">
            <v>100349.30116849944</v>
          </cell>
          <cell r="I9">
            <v>96757.666666666672</v>
          </cell>
          <cell r="J9">
            <v>107600.1399375</v>
          </cell>
          <cell r="K9">
            <v>104577.05846153846</v>
          </cell>
          <cell r="L9">
            <v>101000</v>
          </cell>
          <cell r="M9">
            <v>104000</v>
          </cell>
          <cell r="N9">
            <v>97210.152500000026</v>
          </cell>
          <cell r="O9">
            <v>101745.11764705883</v>
          </cell>
          <cell r="P9">
            <v>97760</v>
          </cell>
          <cell r="Q9">
            <v>101124.125</v>
          </cell>
          <cell r="R9">
            <v>101000.53571428572</v>
          </cell>
          <cell r="S9">
            <v>101544.67384615388</v>
          </cell>
          <cell r="T9">
            <v>108781.74385714284</v>
          </cell>
          <cell r="U9">
            <v>107900</v>
          </cell>
          <cell r="V9">
            <v>126800</v>
          </cell>
          <cell r="W9">
            <v>0</v>
          </cell>
          <cell r="X9">
            <v>0</v>
          </cell>
          <cell r="Y9">
            <v>0</v>
          </cell>
          <cell r="Z9">
            <v>102819.17075870401</v>
          </cell>
          <cell r="AA9">
            <v>1221732.2294500296</v>
          </cell>
          <cell r="AB9">
            <v>12415.046934324919</v>
          </cell>
          <cell r="AC9">
            <v>18133.877110575526</v>
          </cell>
          <cell r="AD9">
            <v>28445.938263012878</v>
          </cell>
          <cell r="AE9">
            <v>18198.242635051607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/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/>
          <cell r="AV9"/>
          <cell r="AW9"/>
          <cell r="AX9"/>
          <cell r="AY9"/>
          <cell r="AZ9"/>
        </row>
        <row r="10">
          <cell r="D10" t="str">
            <v>매출원가</v>
          </cell>
          <cell r="E10">
            <v>39096608.085755304</v>
          </cell>
          <cell r="F10">
            <v>3588085.4749571327</v>
          </cell>
          <cell r="G10">
            <v>3035340.4914543587</v>
          </cell>
          <cell r="H10">
            <v>1998331.1935519238</v>
          </cell>
          <cell r="I10">
            <v>1528115.3954178717</v>
          </cell>
          <cell r="J10">
            <v>2062616.0953758534</v>
          </cell>
          <cell r="K10">
            <v>2150741.6697355979</v>
          </cell>
          <cell r="L10">
            <v>1092144.3962906329</v>
          </cell>
          <cell r="M10">
            <v>1531404.4939858117</v>
          </cell>
          <cell r="N10">
            <v>937255.11575627024</v>
          </cell>
          <cell r="O10">
            <v>1347948.5293052769</v>
          </cell>
          <cell r="P10">
            <v>1275232.9394704595</v>
          </cell>
          <cell r="Q10">
            <v>1044949.6278116482</v>
          </cell>
          <cell r="R10">
            <v>2310155.7540074284</v>
          </cell>
          <cell r="S10">
            <v>1043170.7116102534</v>
          </cell>
          <cell r="T10">
            <v>540862.88027852844</v>
          </cell>
          <cell r="U10">
            <v>509073.8883388887</v>
          </cell>
          <cell r="V10">
            <v>701155.73670625477</v>
          </cell>
          <cell r="W10">
            <v>0</v>
          </cell>
          <cell r="X10">
            <v>0</v>
          </cell>
          <cell r="Y10">
            <v>0</v>
          </cell>
          <cell r="Z10">
            <v>26696584.394054189</v>
          </cell>
          <cell r="AA10">
            <v>10595361.504336843</v>
          </cell>
          <cell r="AB10">
            <v>420462.23333333328</v>
          </cell>
          <cell r="AC10">
            <v>622308.47650343436</v>
          </cell>
          <cell r="AD10">
            <v>723637.56252750487</v>
          </cell>
          <cell r="AE10">
            <v>1766408.2723642725</v>
          </cell>
          <cell r="AF10">
            <v>141.58099999999999</v>
          </cell>
          <cell r="AG10">
            <v>780.69200000000001</v>
          </cell>
          <cell r="AH10">
            <v>459.28500000000003</v>
          </cell>
          <cell r="AI10">
            <v>273.40800000000002</v>
          </cell>
          <cell r="AJ10">
            <v>191.119</v>
          </cell>
          <cell r="AK10">
            <v>0</v>
          </cell>
          <cell r="AL10">
            <v>1846.0849999999998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36407.829999999994</v>
          </cell>
          <cell r="AS10">
            <v>0</v>
          </cell>
          <cell r="AT10">
            <v>0</v>
          </cell>
          <cell r="AU10">
            <v>36407.829999999994</v>
          </cell>
          <cell r="AV10"/>
          <cell r="AW10"/>
          <cell r="AX10"/>
          <cell r="AY10"/>
          <cell r="AZ10"/>
        </row>
        <row r="11">
          <cell r="D11" t="str">
            <v xml:space="preserve"> - 단  위  당</v>
          </cell>
          <cell r="E11"/>
          <cell r="F11">
            <v>83443.848254817043</v>
          </cell>
          <cell r="G11">
            <v>86724.014041553106</v>
          </cell>
          <cell r="H11">
            <v>83263.79973133016</v>
          </cell>
          <cell r="I11">
            <v>78364.892072711373</v>
          </cell>
          <cell r="J11">
            <v>85942.337307327223</v>
          </cell>
          <cell r="K11">
            <v>82720.833451369152</v>
          </cell>
          <cell r="L11">
            <v>84011.107406971758</v>
          </cell>
          <cell r="M11">
            <v>85078.027443656218</v>
          </cell>
          <cell r="N11">
            <v>78104.592979689187</v>
          </cell>
          <cell r="O11">
            <v>79291.08995913394</v>
          </cell>
          <cell r="P11">
            <v>77286.844816391473</v>
          </cell>
          <cell r="Q11">
            <v>87079.135650970682</v>
          </cell>
          <cell r="R11">
            <v>82505.562643122452</v>
          </cell>
          <cell r="S11">
            <v>80243.900893096419</v>
          </cell>
          <cell r="T11">
            <v>77266.125754075489</v>
          </cell>
          <cell r="U11">
            <v>84845.648056481456</v>
          </cell>
          <cell r="V11">
            <v>100165.10524375069</v>
          </cell>
          <cell r="W11">
            <v>0</v>
          </cell>
          <cell r="X11">
            <v>0</v>
          </cell>
          <cell r="Y11">
            <v>0</v>
          </cell>
          <cell r="Z11">
            <v>83166.92957649281</v>
          </cell>
          <cell r="AA11">
            <v>1190490.0566670611</v>
          </cell>
          <cell r="AB11">
            <v>8187.6917326874154</v>
          </cell>
          <cell r="AC11">
            <v>14284.358463517814</v>
          </cell>
          <cell r="AD11">
            <v>24736.174863955861</v>
          </cell>
          <cell r="AE11">
            <v>14225.391168146027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/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/>
          <cell r="AV11"/>
          <cell r="AW11"/>
          <cell r="AX11"/>
          <cell r="AY11"/>
          <cell r="AZ11"/>
        </row>
        <row r="12">
          <cell r="D12" t="str">
            <v>매출이익</v>
          </cell>
          <cell r="E12">
            <v>7206398.8856308758</v>
          </cell>
          <cell r="F12">
            <v>737871.72504286747</v>
          </cell>
          <cell r="G12">
            <v>694805.21854564175</v>
          </cell>
          <cell r="H12">
            <v>410052.03449206264</v>
          </cell>
          <cell r="I12">
            <v>358659.10458212835</v>
          </cell>
          <cell r="J12">
            <v>519787.26312414673</v>
          </cell>
          <cell r="K12">
            <v>568261.85026440211</v>
          </cell>
          <cell r="L12">
            <v>220855.6037093671</v>
          </cell>
          <cell r="M12">
            <v>340595.50601418829</v>
          </cell>
          <cell r="N12">
            <v>229266.71424373006</v>
          </cell>
          <cell r="O12">
            <v>381718.47069472307</v>
          </cell>
          <cell r="P12">
            <v>337807.06052954053</v>
          </cell>
          <cell r="Q12">
            <v>168539.87218835182</v>
          </cell>
          <cell r="R12">
            <v>517859.24599257158</v>
          </cell>
          <cell r="S12">
            <v>276910.04838974681</v>
          </cell>
          <cell r="T12">
            <v>220609.3267214715</v>
          </cell>
          <cell r="U12">
            <v>138326.1116611113</v>
          </cell>
          <cell r="V12">
            <v>186444.26329374523</v>
          </cell>
          <cell r="W12">
            <v>0</v>
          </cell>
          <cell r="X12">
            <v>0</v>
          </cell>
          <cell r="Y12">
            <v>0</v>
          </cell>
          <cell r="Z12">
            <v>6308369.4194898009</v>
          </cell>
          <cell r="AA12">
            <v>278055.33776842058</v>
          </cell>
          <cell r="AB12">
            <v>217087.21666666667</v>
          </cell>
          <cell r="AC12">
            <v>167707.08258549857</v>
          </cell>
          <cell r="AD12">
            <v>108526.24378715514</v>
          </cell>
          <cell r="AE12">
            <v>493320.54303932027</v>
          </cell>
          <cell r="AF12">
            <v>12358.419</v>
          </cell>
          <cell r="AG12">
            <v>49219.307999999997</v>
          </cell>
          <cell r="AH12">
            <v>27880.715</v>
          </cell>
          <cell r="AI12">
            <v>66774.092333333334</v>
          </cell>
          <cell r="AJ12">
            <v>5058.8810000000003</v>
          </cell>
          <cell r="AK12">
            <v>0</v>
          </cell>
          <cell r="AL12">
            <v>161291.41533333334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-36407.829999999994</v>
          </cell>
          <cell r="AS12">
            <v>0</v>
          </cell>
          <cell r="AT12">
            <v>1770</v>
          </cell>
          <cell r="AU12">
            <v>-34637.829999999994</v>
          </cell>
          <cell r="AV12"/>
          <cell r="AW12"/>
          <cell r="AX12"/>
          <cell r="AY12"/>
          <cell r="AZ12"/>
        </row>
        <row r="13">
          <cell r="D13" t="str">
            <v>판 관 비</v>
          </cell>
          <cell r="E13">
            <v>778492.10200000007</v>
          </cell>
          <cell r="F13">
            <v>65459.599999999991</v>
          </cell>
          <cell r="G13">
            <v>61094.44</v>
          </cell>
          <cell r="H13">
            <v>45880.41</v>
          </cell>
          <cell r="I13">
            <v>34879.03</v>
          </cell>
          <cell r="J13">
            <v>53351.16</v>
          </cell>
          <cell r="K13">
            <v>48775</v>
          </cell>
          <cell r="L13">
            <v>34963.57</v>
          </cell>
          <cell r="M13">
            <v>46024.53</v>
          </cell>
          <cell r="N13">
            <v>34502.870000000003</v>
          </cell>
          <cell r="O13">
            <v>39501.69</v>
          </cell>
          <cell r="P13">
            <v>34257.94</v>
          </cell>
          <cell r="Q13">
            <v>25812.420000000002</v>
          </cell>
          <cell r="R13">
            <v>40206.259999999995</v>
          </cell>
          <cell r="S13">
            <v>24542.47</v>
          </cell>
          <cell r="T13">
            <v>9912.1500000000015</v>
          </cell>
          <cell r="U13">
            <v>9835.630000000001</v>
          </cell>
          <cell r="V13">
            <v>14799.39</v>
          </cell>
          <cell r="W13">
            <v>0</v>
          </cell>
          <cell r="X13">
            <v>0</v>
          </cell>
          <cell r="Y13">
            <v>0</v>
          </cell>
          <cell r="Z13">
            <v>623798.56000000006</v>
          </cell>
          <cell r="AA13">
            <v>117362.95999999999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414.08499999999998</v>
          </cell>
          <cell r="AN13">
            <v>237.679</v>
          </cell>
          <cell r="AO13">
            <v>145.50200000000001</v>
          </cell>
          <cell r="AP13">
            <v>150</v>
          </cell>
          <cell r="AQ13">
            <v>9494.7459999999992</v>
          </cell>
          <cell r="AR13">
            <v>26888.569999999996</v>
          </cell>
          <cell r="AS13">
            <v>0</v>
          </cell>
          <cell r="AT13">
            <v>0</v>
          </cell>
          <cell r="AU13">
            <v>37330.581999999995</v>
          </cell>
          <cell r="AV13"/>
          <cell r="AW13"/>
          <cell r="AX13"/>
          <cell r="AY13"/>
          <cell r="AZ13"/>
        </row>
        <row r="14">
          <cell r="D14" t="str">
            <v xml:space="preserve"> - 노   무   비</v>
          </cell>
          <cell r="E14">
            <v>565788.56000000006</v>
          </cell>
          <cell r="F14">
            <v>48296.539999999994</v>
          </cell>
          <cell r="G14">
            <v>46077.93</v>
          </cell>
          <cell r="H14">
            <v>34163.040000000001</v>
          </cell>
          <cell r="I14">
            <v>25384.5</v>
          </cell>
          <cell r="J14">
            <v>40364</v>
          </cell>
          <cell r="K14">
            <v>33482.83</v>
          </cell>
          <cell r="L14">
            <v>25437.74</v>
          </cell>
          <cell r="M14">
            <v>33056.31</v>
          </cell>
          <cell r="N14">
            <v>26198.02</v>
          </cell>
          <cell r="O14">
            <v>30100.890000000003</v>
          </cell>
          <cell r="P14">
            <v>25518.92</v>
          </cell>
          <cell r="Q14">
            <v>18858.050000000003</v>
          </cell>
          <cell r="R14">
            <v>29242.879999999997</v>
          </cell>
          <cell r="S14">
            <v>17960.63</v>
          </cell>
          <cell r="T14">
            <v>6740.76</v>
          </cell>
          <cell r="U14">
            <v>5981.55</v>
          </cell>
          <cell r="V14">
            <v>10553.53</v>
          </cell>
          <cell r="W14">
            <v>0</v>
          </cell>
          <cell r="X14">
            <v>0</v>
          </cell>
          <cell r="Y14">
            <v>0</v>
          </cell>
          <cell r="Z14">
            <v>457418.12000000005</v>
          </cell>
          <cell r="AA14">
            <v>83504.47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24865.969999999998</v>
          </cell>
          <cell r="AS14">
            <v>0</v>
          </cell>
          <cell r="AT14">
            <v>0</v>
          </cell>
          <cell r="AU14">
            <v>24865.969999999998</v>
          </cell>
          <cell r="AV14"/>
          <cell r="AW14"/>
          <cell r="AX14"/>
          <cell r="AY14"/>
          <cell r="AZ14"/>
        </row>
        <row r="15">
          <cell r="D15" t="str">
            <v xml:space="preserve"> - 경        비</v>
          </cell>
          <cell r="E15">
            <v>212703.54199999999</v>
          </cell>
          <cell r="F15">
            <v>17163.059999999998</v>
          </cell>
          <cell r="G15">
            <v>15016.51</v>
          </cell>
          <cell r="H15">
            <v>11717.37</v>
          </cell>
          <cell r="I15">
            <v>9494.5300000000007</v>
          </cell>
          <cell r="J15">
            <v>12987.16</v>
          </cell>
          <cell r="K15">
            <v>15292.169999999998</v>
          </cell>
          <cell r="L15">
            <v>9525.83</v>
          </cell>
          <cell r="M15">
            <v>12968.220000000001</v>
          </cell>
          <cell r="N15">
            <v>8304.85</v>
          </cell>
          <cell r="O15">
            <v>9400.7999999999993</v>
          </cell>
          <cell r="P15">
            <v>8739.02</v>
          </cell>
          <cell r="Q15">
            <v>6954.37</v>
          </cell>
          <cell r="R15">
            <v>10963.380000000001</v>
          </cell>
          <cell r="S15">
            <v>6581.84</v>
          </cell>
          <cell r="T15">
            <v>3171.3900000000003</v>
          </cell>
          <cell r="U15">
            <v>3854.08</v>
          </cell>
          <cell r="V15">
            <v>4245.8599999999997</v>
          </cell>
          <cell r="W15">
            <v>0</v>
          </cell>
          <cell r="X15">
            <v>0</v>
          </cell>
          <cell r="Y15">
            <v>0</v>
          </cell>
          <cell r="Z15">
            <v>166380.44</v>
          </cell>
          <cell r="AA15">
            <v>33858.49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414.08499999999998</v>
          </cell>
          <cell r="AN15">
            <v>237.679</v>
          </cell>
          <cell r="AO15">
            <v>145.50200000000001</v>
          </cell>
          <cell r="AP15">
            <v>150</v>
          </cell>
          <cell r="AQ15">
            <v>9494.7459999999992</v>
          </cell>
          <cell r="AR15">
            <v>2022.6</v>
          </cell>
          <cell r="AS15">
            <v>0</v>
          </cell>
          <cell r="AT15">
            <v>0</v>
          </cell>
          <cell r="AU15">
            <v>12464.611999999999</v>
          </cell>
          <cell r="AV15"/>
          <cell r="AW15"/>
          <cell r="AX15"/>
          <cell r="AY15"/>
          <cell r="AZ15"/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/>
          <cell r="AW16"/>
          <cell r="AX16"/>
          <cell r="AY16"/>
          <cell r="AZ16"/>
        </row>
        <row r="17">
          <cell r="D17" t="str">
            <v>EBITDA</v>
          </cell>
          <cell r="E17">
            <v>6427906.7836308759</v>
          </cell>
          <cell r="F17">
            <v>672412.1250428675</v>
          </cell>
          <cell r="G17">
            <v>633710.77854564181</v>
          </cell>
          <cell r="H17">
            <v>364171.6244920626</v>
          </cell>
          <cell r="I17">
            <v>323780.07458212832</v>
          </cell>
          <cell r="J17">
            <v>466436.1031241467</v>
          </cell>
          <cell r="K17">
            <v>519486.85026440211</v>
          </cell>
          <cell r="L17">
            <v>185892.0337093671</v>
          </cell>
          <cell r="M17">
            <v>294570.97601418826</v>
          </cell>
          <cell r="N17">
            <v>194763.84424373007</v>
          </cell>
          <cell r="O17">
            <v>342216.78069472307</v>
          </cell>
          <cell r="P17">
            <v>303549.12052954052</v>
          </cell>
          <cell r="Q17">
            <v>142727.4521883518</v>
          </cell>
          <cell r="R17">
            <v>477652.98599257157</v>
          </cell>
          <cell r="S17">
            <v>252367.57838974681</v>
          </cell>
          <cell r="T17">
            <v>210697.17672147151</v>
          </cell>
          <cell r="U17">
            <v>128490.48166111129</v>
          </cell>
          <cell r="V17">
            <v>171644.87329374522</v>
          </cell>
          <cell r="W17">
            <v>0</v>
          </cell>
          <cell r="X17">
            <v>0</v>
          </cell>
          <cell r="Y17">
            <v>0</v>
          </cell>
          <cell r="Z17">
            <v>5684570.8594898004</v>
          </cell>
          <cell r="AA17">
            <v>160692.37776842059</v>
          </cell>
          <cell r="AB17">
            <v>217087.21666666667</v>
          </cell>
          <cell r="AC17">
            <v>167707.08258549857</v>
          </cell>
          <cell r="AD17">
            <v>108526.24378715514</v>
          </cell>
          <cell r="AE17">
            <v>493320.54303932027</v>
          </cell>
          <cell r="AF17">
            <v>12358.419</v>
          </cell>
          <cell r="AG17">
            <v>49219.307999999997</v>
          </cell>
          <cell r="AH17">
            <v>27880.715</v>
          </cell>
          <cell r="AI17">
            <v>66774.092333333334</v>
          </cell>
          <cell r="AJ17">
            <v>5058.8810000000003</v>
          </cell>
          <cell r="AK17">
            <v>0</v>
          </cell>
          <cell r="AL17">
            <v>161291.41533333334</v>
          </cell>
          <cell r="AM17">
            <v>-414.08499999999998</v>
          </cell>
          <cell r="AN17">
            <v>-237.679</v>
          </cell>
          <cell r="AO17">
            <v>-145.50200000000001</v>
          </cell>
          <cell r="AP17">
            <v>-150</v>
          </cell>
          <cell r="AQ17">
            <v>-9494.7459999999992</v>
          </cell>
          <cell r="AR17">
            <v>-63296.399999999994</v>
          </cell>
          <cell r="AS17">
            <v>0</v>
          </cell>
          <cell r="AT17">
            <v>1770</v>
          </cell>
          <cell r="AU17">
            <v>-71968.411999999982</v>
          </cell>
          <cell r="AV17"/>
          <cell r="AW17"/>
          <cell r="AX17"/>
          <cell r="AY17"/>
          <cell r="AZ17"/>
        </row>
        <row r="18">
          <cell r="D18" t="str">
            <v>감가상각비</v>
          </cell>
          <cell r="E18">
            <v>573381.0167786167</v>
          </cell>
          <cell r="F18">
            <v>30258.43844444444</v>
          </cell>
          <cell r="G18">
            <v>34461.201683911124</v>
          </cell>
          <cell r="H18">
            <v>19365.797555555557</v>
          </cell>
          <cell r="I18">
            <v>19446.767777777775</v>
          </cell>
          <cell r="J18">
            <v>47248.159333333337</v>
          </cell>
          <cell r="K18">
            <v>29220.166777777777</v>
          </cell>
          <cell r="L18">
            <v>13037.444888888889</v>
          </cell>
          <cell r="M18">
            <v>24735.857777777783</v>
          </cell>
          <cell r="N18">
            <v>11475.898111111112</v>
          </cell>
          <cell r="O18">
            <v>32560.991888888886</v>
          </cell>
          <cell r="P18">
            <v>14967.475474676306</v>
          </cell>
          <cell r="Q18">
            <v>12710.483222222223</v>
          </cell>
          <cell r="R18">
            <v>34097.991222222219</v>
          </cell>
          <cell r="S18">
            <v>23608.662666666667</v>
          </cell>
          <cell r="T18">
            <v>10301.92511111111</v>
          </cell>
          <cell r="U18">
            <v>5428.9927777777775</v>
          </cell>
          <cell r="V18">
            <v>10192.983842236315</v>
          </cell>
          <cell r="W18">
            <v>0</v>
          </cell>
          <cell r="X18">
            <v>0</v>
          </cell>
          <cell r="Y18">
            <v>0</v>
          </cell>
          <cell r="Z18">
            <v>373119.23855637922</v>
          </cell>
          <cell r="AA18">
            <v>4908.0999999999995</v>
          </cell>
          <cell r="AB18">
            <v>33214.15588888889</v>
          </cell>
          <cell r="AC18">
            <v>56856.659666666674</v>
          </cell>
          <cell r="AD18">
            <v>35106.999222222221</v>
          </cell>
          <cell r="AE18">
            <v>125177.81477777779</v>
          </cell>
          <cell r="AF18">
            <v>3388.672</v>
          </cell>
          <cell r="AG18">
            <v>5622.5950000000003</v>
          </cell>
          <cell r="AH18">
            <v>8281.2160000000003</v>
          </cell>
          <cell r="AI18">
            <v>8489.6080000000002</v>
          </cell>
          <cell r="AJ18">
            <v>1312.8920000000001</v>
          </cell>
          <cell r="AK18">
            <v>0</v>
          </cell>
          <cell r="AL18">
            <v>27094.983</v>
          </cell>
          <cell r="AM18">
            <v>5225.2884444596393</v>
          </cell>
          <cell r="AN18">
            <v>1056.4570000000001</v>
          </cell>
          <cell r="AO18">
            <v>353.67200000000003</v>
          </cell>
          <cell r="AP18">
            <v>432.17</v>
          </cell>
          <cell r="AQ18">
            <v>18257.885000000002</v>
          </cell>
          <cell r="AR18">
            <v>0</v>
          </cell>
          <cell r="AS18">
            <v>0</v>
          </cell>
          <cell r="AT18">
            <v>17755.408000000003</v>
          </cell>
          <cell r="AU18">
            <v>43080.880444459646</v>
          </cell>
          <cell r="AV18"/>
          <cell r="AW18"/>
          <cell r="AX18"/>
          <cell r="AY18"/>
          <cell r="AZ18"/>
        </row>
        <row r="19">
          <cell r="D19" t="str">
            <v xml:space="preserve"> - 제        조</v>
          </cell>
          <cell r="E19">
            <v>500025.03633415705</v>
          </cell>
          <cell r="F19">
            <v>27930.816444444441</v>
          </cell>
          <cell r="G19">
            <v>31851.319683911126</v>
          </cell>
          <cell r="H19">
            <v>17300.203555555556</v>
          </cell>
          <cell r="I19">
            <v>18254.779777777774</v>
          </cell>
          <cell r="J19">
            <v>44145.857333333333</v>
          </cell>
          <cell r="K19">
            <v>27655.764777777778</v>
          </cell>
          <cell r="L19">
            <v>11843.845888888889</v>
          </cell>
          <cell r="M19">
            <v>22878.205777777781</v>
          </cell>
          <cell r="N19">
            <v>9988.6461111111112</v>
          </cell>
          <cell r="O19">
            <v>31342.225888888886</v>
          </cell>
          <cell r="P19">
            <v>13762.087474676306</v>
          </cell>
          <cell r="Q19">
            <v>11608.328222222222</v>
          </cell>
          <cell r="R19">
            <v>32509.790222222218</v>
          </cell>
          <cell r="S19">
            <v>22765.504666666668</v>
          </cell>
          <cell r="T19">
            <v>9859.0561111111092</v>
          </cell>
          <cell r="U19">
            <v>5058.5927777777779</v>
          </cell>
          <cell r="V19">
            <v>9367.6138422363147</v>
          </cell>
          <cell r="W19">
            <v>0</v>
          </cell>
          <cell r="X19">
            <v>0</v>
          </cell>
          <cell r="Y19">
            <v>0</v>
          </cell>
          <cell r="Z19">
            <v>348122.63855637924</v>
          </cell>
          <cell r="AA19">
            <v>0</v>
          </cell>
          <cell r="AB19">
            <v>33214.15588888889</v>
          </cell>
          <cell r="AC19">
            <v>56856.659666666674</v>
          </cell>
          <cell r="AD19">
            <v>34736.599222222219</v>
          </cell>
          <cell r="AE19">
            <v>124807.4147777778</v>
          </cell>
          <cell r="AF19">
            <v>3388.672</v>
          </cell>
          <cell r="AG19">
            <v>5622.5950000000003</v>
          </cell>
          <cell r="AH19">
            <v>8281.2160000000003</v>
          </cell>
          <cell r="AI19">
            <v>8489.6080000000002</v>
          </cell>
          <cell r="AJ19">
            <v>1312.8920000000001</v>
          </cell>
          <cell r="AK19">
            <v>0</v>
          </cell>
          <cell r="AL19">
            <v>27094.983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/>
          <cell r="AW19"/>
          <cell r="AX19"/>
          <cell r="AY19"/>
          <cell r="AZ19"/>
        </row>
        <row r="20">
          <cell r="D20" t="str">
            <v xml:space="preserve"> - 판        매</v>
          </cell>
          <cell r="E20">
            <v>73355.980444459652</v>
          </cell>
          <cell r="F20">
            <v>2327.6220000000003</v>
          </cell>
          <cell r="G20">
            <v>2609.8820000000001</v>
          </cell>
          <cell r="H20">
            <v>2065.5940000000001</v>
          </cell>
          <cell r="I20">
            <v>1191.9880000000001</v>
          </cell>
          <cell r="J20">
            <v>3102.3020000000001</v>
          </cell>
          <cell r="K20">
            <v>1564.402</v>
          </cell>
          <cell r="L20">
            <v>1193.5990000000002</v>
          </cell>
          <cell r="M20">
            <v>1857.652</v>
          </cell>
          <cell r="N20">
            <v>1487.2520000000002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843.15800000000002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24996.6</v>
          </cell>
          <cell r="AA20">
            <v>4908.0999999999995</v>
          </cell>
          <cell r="AB20">
            <v>0</v>
          </cell>
          <cell r="AC20">
            <v>0</v>
          </cell>
          <cell r="AD20">
            <v>370.4</v>
          </cell>
          <cell r="AE20">
            <v>370.4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5225.2884444596393</v>
          </cell>
          <cell r="AN20">
            <v>1056.4570000000001</v>
          </cell>
          <cell r="AO20">
            <v>353.67200000000003</v>
          </cell>
          <cell r="AP20">
            <v>432.17</v>
          </cell>
          <cell r="AQ20">
            <v>18257.885000000002</v>
          </cell>
          <cell r="AR20">
            <v>0</v>
          </cell>
          <cell r="AS20">
            <v>0</v>
          </cell>
          <cell r="AT20">
            <v>17755.408000000003</v>
          </cell>
          <cell r="AU20">
            <v>43080.880444459646</v>
          </cell>
          <cell r="AV20"/>
          <cell r="AW20"/>
          <cell r="AX20"/>
          <cell r="AY20"/>
          <cell r="AZ20"/>
        </row>
        <row r="21">
          <cell r="D21" t="str">
            <v>영업이익 I</v>
          </cell>
          <cell r="E21">
            <v>5854525.7668522596</v>
          </cell>
          <cell r="F21">
            <v>642153.68659842305</v>
          </cell>
          <cell r="G21">
            <v>599249.57686173066</v>
          </cell>
          <cell r="H21">
            <v>344805.82693650707</v>
          </cell>
          <cell r="I21">
            <v>304333.30680435052</v>
          </cell>
          <cell r="J21">
            <v>419187.94379081338</v>
          </cell>
          <cell r="K21">
            <v>490266.68348662433</v>
          </cell>
          <cell r="L21">
            <v>172854.58882047821</v>
          </cell>
          <cell r="M21">
            <v>269835.11823641049</v>
          </cell>
          <cell r="N21">
            <v>183287.94613261896</v>
          </cell>
          <cell r="O21">
            <v>309655.78880583419</v>
          </cell>
          <cell r="P21">
            <v>288581.64505486423</v>
          </cell>
          <cell r="Q21">
            <v>130016.96896612959</v>
          </cell>
          <cell r="R21">
            <v>443554.99477034935</v>
          </cell>
          <cell r="S21">
            <v>228758.91572308014</v>
          </cell>
          <cell r="T21">
            <v>200395.2516103604</v>
          </cell>
          <cell r="U21">
            <v>123061.48888333351</v>
          </cell>
          <cell r="V21">
            <v>161451.88945150891</v>
          </cell>
          <cell r="W21">
            <v>0</v>
          </cell>
          <cell r="X21">
            <v>0</v>
          </cell>
          <cell r="Y21">
            <v>0</v>
          </cell>
          <cell r="Z21">
            <v>5311451.620933421</v>
          </cell>
          <cell r="AA21">
            <v>155784.27776842058</v>
          </cell>
          <cell r="AB21">
            <v>183873.06077777778</v>
          </cell>
          <cell r="AC21">
            <v>110850.4229188319</v>
          </cell>
          <cell r="AD21">
            <v>73419.244564932917</v>
          </cell>
          <cell r="AE21">
            <v>368142.72826154251</v>
          </cell>
          <cell r="AF21">
            <v>8969.7469999999994</v>
          </cell>
          <cell r="AG21">
            <v>43596.712999999996</v>
          </cell>
          <cell r="AH21">
            <v>19599.499</v>
          </cell>
          <cell r="AI21">
            <v>58284.484333333334</v>
          </cell>
          <cell r="AJ21">
            <v>3745.9890000000005</v>
          </cell>
          <cell r="AK21">
            <v>0</v>
          </cell>
          <cell r="AL21">
            <v>134196.43233333333</v>
          </cell>
          <cell r="AM21">
            <v>-5639.3734444596394</v>
          </cell>
          <cell r="AN21">
            <v>-1294.1360000000002</v>
          </cell>
          <cell r="AO21">
            <v>-499.17400000000004</v>
          </cell>
          <cell r="AP21">
            <v>-582.17000000000007</v>
          </cell>
          <cell r="AQ21">
            <v>-27752.631000000001</v>
          </cell>
          <cell r="AR21">
            <v>-63296.399999999994</v>
          </cell>
          <cell r="AS21">
            <v>0</v>
          </cell>
          <cell r="AT21">
            <v>-15985.408000000003</v>
          </cell>
          <cell r="AU21">
            <v>-115049.29244445963</v>
          </cell>
          <cell r="AV21"/>
          <cell r="AW21"/>
          <cell r="AX21"/>
          <cell r="AY21"/>
          <cell r="AZ21"/>
        </row>
        <row r="22">
          <cell r="D22" t="str">
            <v>공    통    비</v>
          </cell>
          <cell r="E22">
            <v>1274321.8321245667</v>
          </cell>
          <cell r="F22">
            <v>163716.26299677027</v>
          </cell>
          <cell r="G22">
            <v>141167.72030815156</v>
          </cell>
          <cell r="H22">
            <v>91145.493062081106</v>
          </cell>
          <cell r="I22">
            <v>71405.16097977107</v>
          </cell>
          <cell r="J22">
            <v>97715.916428199911</v>
          </cell>
          <cell r="K22">
            <v>102884.74875692093</v>
          </cell>
          <cell r="L22">
            <v>49682.787875845483</v>
          </cell>
          <cell r="M22">
            <v>70834.865882393555</v>
          </cell>
          <cell r="N22">
            <v>44140.180222721319</v>
          </cell>
          <cell r="O22">
            <v>65449.107887928418</v>
          </cell>
          <cell r="P22">
            <v>61036.042768662446</v>
          </cell>
          <cell r="Q22">
            <v>45917.396358008991</v>
          </cell>
          <cell r="R22">
            <v>102787.26632205457</v>
          </cell>
          <cell r="S22">
            <v>47979.764125982438</v>
          </cell>
          <cell r="T22">
            <v>27676.531608832222</v>
          </cell>
          <cell r="U22">
            <v>23530.453769480759</v>
          </cell>
          <cell r="V22">
            <v>32260.7827707617</v>
          </cell>
          <cell r="W22">
            <v>0</v>
          </cell>
          <cell r="X22">
            <v>0</v>
          </cell>
          <cell r="Y22">
            <v>0</v>
          </cell>
          <cell r="Z22">
            <v>1239330.4821245668</v>
          </cell>
          <cell r="AA22">
            <v>0</v>
          </cell>
          <cell r="AB22">
            <v>9872.2978594549222</v>
          </cell>
          <cell r="AC22">
            <v>12233.198401990241</v>
          </cell>
          <cell r="AD22">
            <v>12885.853738554835</v>
          </cell>
          <cell r="AE22">
            <v>34991.35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/>
          <cell r="AW22"/>
          <cell r="AX22"/>
          <cell r="AY22"/>
          <cell r="AZ22"/>
        </row>
        <row r="23">
          <cell r="D23" t="str">
            <v xml:space="preserve"> - 영업공통비</v>
          </cell>
          <cell r="E23">
            <v>256265.24333333329</v>
          </cell>
          <cell r="F23">
            <v>30279.650566741297</v>
          </cell>
          <cell r="G23">
            <v>26109.252459046314</v>
          </cell>
          <cell r="H23">
            <v>16857.541395918648</v>
          </cell>
          <cell r="I23">
            <v>13206.527461306834</v>
          </cell>
          <cell r="J23">
            <v>18060.21477535653</v>
          </cell>
          <cell r="K23">
            <v>19015.537361550567</v>
          </cell>
          <cell r="L23">
            <v>9182.5554369697529</v>
          </cell>
          <cell r="M23">
            <v>13091.960226966776</v>
          </cell>
          <cell r="N23">
            <v>8158.1503217139434</v>
          </cell>
          <cell r="O23">
            <v>12096.544642038964</v>
          </cell>
          <cell r="P23">
            <v>11280.905728903039</v>
          </cell>
          <cell r="Q23">
            <v>8486.6219390180559</v>
          </cell>
          <cell r="R23">
            <v>15555.53377016794</v>
          </cell>
          <cell r="S23">
            <v>7261.1216141105915</v>
          </cell>
          <cell r="T23">
            <v>4188.487907961171</v>
          </cell>
          <cell r="U23">
            <v>3561.0322303123303</v>
          </cell>
          <cell r="V23">
            <v>4882.2554952505789</v>
          </cell>
          <cell r="W23">
            <v>0</v>
          </cell>
          <cell r="X23">
            <v>0</v>
          </cell>
          <cell r="Y23">
            <v>0</v>
          </cell>
          <cell r="Z23">
            <v>221273.89333333328</v>
          </cell>
          <cell r="AA23">
            <v>0</v>
          </cell>
          <cell r="AB23">
            <v>9872.2978594549222</v>
          </cell>
          <cell r="AC23">
            <v>12233.198401990241</v>
          </cell>
          <cell r="AD23">
            <v>12885.853738554835</v>
          </cell>
          <cell r="AE23">
            <v>34991.35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/>
          <cell r="AW23"/>
          <cell r="AX23"/>
          <cell r="AY23"/>
          <cell r="AZ23"/>
        </row>
        <row r="24">
          <cell r="D24" t="str">
            <v xml:space="preserve"> - 부문공통비</v>
          </cell>
          <cell r="E24">
            <v>417734.37466666655</v>
          </cell>
          <cell r="F24">
            <v>54752.417954761622</v>
          </cell>
          <cell r="G24">
            <v>47211.40027600852</v>
          </cell>
          <cell r="H24">
            <v>30482.226013956475</v>
          </cell>
          <cell r="I24">
            <v>23880.371726836867</v>
          </cell>
          <cell r="J24">
            <v>32684.749634687123</v>
          </cell>
          <cell r="K24">
            <v>34413.659281582361</v>
          </cell>
          <cell r="L24">
            <v>16618.270003827594</v>
          </cell>
          <cell r="M24">
            <v>23693.375054962115</v>
          </cell>
          <cell r="N24">
            <v>14764.337194439509</v>
          </cell>
          <cell r="O24">
            <v>21891.906491020916</v>
          </cell>
          <cell r="P24">
            <v>20415.791505692356</v>
          </cell>
          <cell r="Q24">
            <v>15358.793722627377</v>
          </cell>
          <cell r="R24">
            <v>35793.386782082627</v>
          </cell>
          <cell r="S24">
            <v>16707.889182435596</v>
          </cell>
          <cell r="T24">
            <v>9637.7385653743295</v>
          </cell>
          <cell r="U24">
            <v>8193.9588731743988</v>
          </cell>
          <cell r="V24">
            <v>11234.102403196781</v>
          </cell>
          <cell r="W24">
            <v>0</v>
          </cell>
          <cell r="X24">
            <v>0</v>
          </cell>
          <cell r="Y24">
            <v>0</v>
          </cell>
          <cell r="Z24">
            <v>417734.37466666655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/>
          <cell r="AW24"/>
          <cell r="AX24"/>
          <cell r="AY24"/>
          <cell r="AZ24"/>
        </row>
        <row r="25">
          <cell r="D25" t="str">
            <v xml:space="preserve"> - 본사공통비</v>
          </cell>
          <cell r="E25">
            <v>600322.21412456699</v>
          </cell>
          <cell r="F25">
            <v>78684.194475267344</v>
          </cell>
          <cell r="G25">
            <v>67847.067573096705</v>
          </cell>
          <cell r="H25">
            <v>43805.725652205976</v>
          </cell>
          <cell r="I25">
            <v>34318.261791627367</v>
          </cell>
          <cell r="J25">
            <v>46970.952018156248</v>
          </cell>
          <cell r="K25">
            <v>49455.552113788006</v>
          </cell>
          <cell r="L25">
            <v>23881.962435048135</v>
          </cell>
          <cell r="M25">
            <v>34049.53060046467</v>
          </cell>
          <cell r="N25">
            <v>21217.692706567868</v>
          </cell>
          <cell r="O25">
            <v>31460.656754868545</v>
          </cell>
          <cell r="P25">
            <v>29339.345534067055</v>
          </cell>
          <cell r="Q25">
            <v>22071.980696363553</v>
          </cell>
          <cell r="R25">
            <v>51438.345769804</v>
          </cell>
          <cell r="S25">
            <v>24010.753329436251</v>
          </cell>
          <cell r="T25">
            <v>13850.305135496723</v>
          </cell>
          <cell r="U25">
            <v>11775.462665994031</v>
          </cell>
          <cell r="V25">
            <v>16144.424872314339</v>
          </cell>
          <cell r="W25">
            <v>0</v>
          </cell>
          <cell r="X25">
            <v>0</v>
          </cell>
          <cell r="Y25">
            <v>0</v>
          </cell>
          <cell r="Z25">
            <v>600322.21412456699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/>
          <cell r="AW25"/>
          <cell r="AX25"/>
          <cell r="AY25"/>
          <cell r="AZ25"/>
        </row>
        <row r="26">
          <cell r="D26" t="str">
            <v>영업이익 II</v>
          </cell>
          <cell r="E26">
            <v>4580203.934727693</v>
          </cell>
          <cell r="F26">
            <v>478437.42360165279</v>
          </cell>
          <cell r="G26">
            <v>458081.8565535791</v>
          </cell>
          <cell r="H26">
            <v>253660.33387442597</v>
          </cell>
          <cell r="I26">
            <v>232928.14582457946</v>
          </cell>
          <cell r="J26">
            <v>321472.02736261347</v>
          </cell>
          <cell r="K26">
            <v>387381.93472970341</v>
          </cell>
          <cell r="L26">
            <v>123171.80094463273</v>
          </cell>
          <cell r="M26">
            <v>199000.25235401693</v>
          </cell>
          <cell r="N26">
            <v>139147.76590989763</v>
          </cell>
          <cell r="O26">
            <v>244206.68091790576</v>
          </cell>
          <cell r="P26">
            <v>227545.60228620179</v>
          </cell>
          <cell r="Q26">
            <v>84099.572608120594</v>
          </cell>
          <cell r="R26">
            <v>340767.7284482948</v>
          </cell>
          <cell r="S26">
            <v>180779.15159709769</v>
          </cell>
          <cell r="T26">
            <v>172718.72000152819</v>
          </cell>
          <cell r="U26">
            <v>99531.035113852762</v>
          </cell>
          <cell r="V26">
            <v>129191.10668074721</v>
          </cell>
          <cell r="W26">
            <v>0</v>
          </cell>
          <cell r="X26">
            <v>0</v>
          </cell>
          <cell r="Y26">
            <v>0</v>
          </cell>
          <cell r="Z26">
            <v>4072121.1388088539</v>
          </cell>
          <cell r="AA26">
            <v>155784.27776842058</v>
          </cell>
          <cell r="AB26">
            <v>174000.76291832284</v>
          </cell>
          <cell r="AC26">
            <v>98617.224516841656</v>
          </cell>
          <cell r="AD26">
            <v>60533.390826378083</v>
          </cell>
          <cell r="AE26">
            <v>333151.37826154253</v>
          </cell>
          <cell r="AF26">
            <v>8969.7469999999994</v>
          </cell>
          <cell r="AG26">
            <v>43596.712999999996</v>
          </cell>
          <cell r="AH26">
            <v>19599.499</v>
          </cell>
          <cell r="AI26">
            <v>58284.484333333334</v>
          </cell>
          <cell r="AJ26">
            <v>3745.9890000000005</v>
          </cell>
          <cell r="AK26">
            <v>0</v>
          </cell>
          <cell r="AL26">
            <v>134196.43233333333</v>
          </cell>
          <cell r="AM26">
            <v>-5639.3734444596394</v>
          </cell>
          <cell r="AN26">
            <v>-1294.1360000000002</v>
          </cell>
          <cell r="AO26">
            <v>-499.17400000000004</v>
          </cell>
          <cell r="AP26">
            <v>-582.17000000000007</v>
          </cell>
          <cell r="AQ26">
            <v>-27752.631000000001</v>
          </cell>
          <cell r="AR26">
            <v>-63296.399999999994</v>
          </cell>
          <cell r="AS26">
            <v>0</v>
          </cell>
          <cell r="AT26">
            <v>-15985.408000000003</v>
          </cell>
          <cell r="AU26">
            <v>-115049.29244445963</v>
          </cell>
          <cell r="AV26"/>
          <cell r="AW26"/>
          <cell r="AX26"/>
          <cell r="AY26"/>
          <cell r="AZ26"/>
        </row>
        <row r="27">
          <cell r="E27">
            <v>4645445.739727689</v>
          </cell>
          <cell r="F27">
            <v>478437.42360165279</v>
          </cell>
          <cell r="G27">
            <v>458081.8565535791</v>
          </cell>
          <cell r="H27">
            <v>253660.33387442597</v>
          </cell>
          <cell r="I27">
            <v>232928.14582457952</v>
          </cell>
          <cell r="J27">
            <v>321472.02736261347</v>
          </cell>
          <cell r="K27">
            <v>387381.93472970341</v>
          </cell>
          <cell r="L27">
            <v>123171.80094463273</v>
          </cell>
          <cell r="M27">
            <v>199000.25235401693</v>
          </cell>
          <cell r="N27">
            <v>139147.76590989763</v>
          </cell>
          <cell r="O27">
            <v>244206.68091790576</v>
          </cell>
          <cell r="P27">
            <v>227545.60228620179</v>
          </cell>
          <cell r="Q27">
            <v>84099.572608120594</v>
          </cell>
          <cell r="R27">
            <v>340767.7284482948</v>
          </cell>
          <cell r="S27">
            <v>180779.15159709769</v>
          </cell>
          <cell r="T27">
            <v>172718.72000152819</v>
          </cell>
          <cell r="U27">
            <v>99531.035113852762</v>
          </cell>
          <cell r="V27">
            <v>129191.10668074721</v>
          </cell>
          <cell r="W27">
            <v>0</v>
          </cell>
          <cell r="X27">
            <v>0</v>
          </cell>
          <cell r="Y27">
            <v>0</v>
          </cell>
          <cell r="Z27">
            <v>4072121.1388088507</v>
          </cell>
          <cell r="AA27">
            <v>155784.27776842058</v>
          </cell>
          <cell r="AB27">
            <v>174000.76291832284</v>
          </cell>
          <cell r="AC27">
            <v>98617.224516841656</v>
          </cell>
          <cell r="AD27">
            <v>60533.390826378083</v>
          </cell>
          <cell r="AE27">
            <v>333151.37826154259</v>
          </cell>
          <cell r="AF27">
            <v>8969.7469999999994</v>
          </cell>
          <cell r="AG27">
            <v>43596.712999999996</v>
          </cell>
          <cell r="AH27">
            <v>19599.499</v>
          </cell>
          <cell r="AI27">
            <v>58284.484333333334</v>
          </cell>
          <cell r="AJ27">
            <v>3745.9890000000005</v>
          </cell>
          <cell r="AK27">
            <v>0</v>
          </cell>
          <cell r="AL27">
            <v>134196.43233333333</v>
          </cell>
          <cell r="AM27">
            <v>-5639.3734444596394</v>
          </cell>
          <cell r="AN27">
            <v>-1294.1360000000002</v>
          </cell>
          <cell r="AO27">
            <v>0</v>
          </cell>
          <cell r="AP27">
            <v>0</v>
          </cell>
          <cell r="AQ27">
            <v>-17755.408000000003</v>
          </cell>
          <cell r="AR27">
            <v>0</v>
          </cell>
          <cell r="AS27">
            <v>0</v>
          </cell>
          <cell r="AT27">
            <v>-25118.569999999996</v>
          </cell>
          <cell r="AU27">
            <v>-49807.487444459635</v>
          </cell>
          <cell r="AV27"/>
          <cell r="AW27"/>
          <cell r="AX27"/>
          <cell r="AY27"/>
          <cell r="AZ27"/>
        </row>
        <row r="28">
          <cell r="E28">
            <v>-65241.804999995977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-499.17400000000004</v>
          </cell>
          <cell r="AP28">
            <v>-582.17000000000007</v>
          </cell>
          <cell r="AQ28">
            <v>-9997.2229999999981</v>
          </cell>
          <cell r="AR28">
            <v>-63296.399999999994</v>
          </cell>
          <cell r="AS28">
            <v>0</v>
          </cell>
          <cell r="AT28">
            <v>9133.161999999993</v>
          </cell>
          <cell r="AU28">
            <v>-65241.804999999993</v>
          </cell>
        </row>
        <row r="29"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</row>
        <row r="30">
          <cell r="E30">
            <v>454072.91387527349</v>
          </cell>
          <cell r="F30">
            <v>43000</v>
          </cell>
          <cell r="G30">
            <v>35000</v>
          </cell>
          <cell r="H30">
            <v>24000</v>
          </cell>
          <cell r="I30">
            <v>19500</v>
          </cell>
          <cell r="J30">
            <v>24000</v>
          </cell>
          <cell r="K30">
            <v>26000</v>
          </cell>
          <cell r="L30">
            <v>13000</v>
          </cell>
          <cell r="M30">
            <v>18000</v>
          </cell>
          <cell r="N30">
            <v>12000</v>
          </cell>
          <cell r="O30">
            <v>17000</v>
          </cell>
          <cell r="P30">
            <v>16500</v>
          </cell>
          <cell r="Q30">
            <v>12000</v>
          </cell>
          <cell r="R30">
            <v>28000</v>
          </cell>
          <cell r="S30">
            <v>13000</v>
          </cell>
          <cell r="T30">
            <v>7000</v>
          </cell>
          <cell r="U30">
            <v>6000</v>
          </cell>
          <cell r="V30">
            <v>7000</v>
          </cell>
          <cell r="W30">
            <v>0</v>
          </cell>
          <cell r="X30">
            <v>0</v>
          </cell>
          <cell r="Y30">
            <v>0</v>
          </cell>
          <cell r="Z30">
            <v>321000</v>
          </cell>
          <cell r="AA30">
            <v>8900</v>
          </cell>
          <cell r="AB30">
            <v>51352.963333333333</v>
          </cell>
          <cell r="AC30">
            <v>43565.728071919184</v>
          </cell>
          <cell r="AD30">
            <v>29254.222470020948</v>
          </cell>
          <cell r="AE30">
            <v>124172.91387527347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46303006.971386179</v>
          </cell>
          <cell r="F31">
            <v>4325957.2</v>
          </cell>
          <cell r="G31">
            <v>3730145.7100000004</v>
          </cell>
          <cell r="H31">
            <v>2408383.2280439865</v>
          </cell>
          <cell r="I31">
            <v>1886774.5</v>
          </cell>
          <cell r="J31">
            <v>2582403.3585000001</v>
          </cell>
          <cell r="K31">
            <v>2719003.52</v>
          </cell>
          <cell r="L31">
            <v>1313000</v>
          </cell>
          <cell r="M31">
            <v>1872000</v>
          </cell>
          <cell r="N31">
            <v>1166521.8300000003</v>
          </cell>
          <cell r="O31">
            <v>1729667</v>
          </cell>
          <cell r="P31">
            <v>1613040</v>
          </cell>
          <cell r="Q31">
            <v>1213489.5</v>
          </cell>
          <cell r="R31">
            <v>2828015</v>
          </cell>
          <cell r="S31">
            <v>1320080.7600000002</v>
          </cell>
          <cell r="T31">
            <v>761472.20699999994</v>
          </cell>
          <cell r="U31">
            <v>647400</v>
          </cell>
          <cell r="V31">
            <v>887600</v>
          </cell>
          <cell r="W31">
            <v>0</v>
          </cell>
          <cell r="X31">
            <v>0</v>
          </cell>
          <cell r="Y31">
            <v>0</v>
          </cell>
          <cell r="Z31">
            <v>33004953.81354399</v>
          </cell>
          <cell r="AA31">
            <v>10873416.842105264</v>
          </cell>
          <cell r="AB31">
            <v>637549.44999999995</v>
          </cell>
          <cell r="AC31">
            <v>790015.55908893293</v>
          </cell>
          <cell r="AD31">
            <v>832163.80631466</v>
          </cell>
          <cell r="AE31">
            <v>2259728.8154035928</v>
          </cell>
          <cell r="AF31">
            <v>12500</v>
          </cell>
          <cell r="AG31">
            <v>50000</v>
          </cell>
          <cell r="AH31">
            <v>28340</v>
          </cell>
          <cell r="AI31">
            <v>67047.50033333333</v>
          </cell>
          <cell r="AJ31">
            <v>5250</v>
          </cell>
          <cell r="AK31">
            <v>0</v>
          </cell>
          <cell r="AL31">
            <v>163137.50033333333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39596633.122089468</v>
          </cell>
          <cell r="F32">
            <v>3616016.2914015772</v>
          </cell>
          <cell r="G32">
            <v>3067191.81113827</v>
          </cell>
          <cell r="H32">
            <v>2015631.3971074794</v>
          </cell>
          <cell r="I32">
            <v>1546370.1751956495</v>
          </cell>
          <cell r="J32">
            <v>2106761.9527091868</v>
          </cell>
          <cell r="K32">
            <v>2178397.4345133756</v>
          </cell>
          <cell r="L32">
            <v>1103988.2421795218</v>
          </cell>
          <cell r="M32">
            <v>1554282.6997635895</v>
          </cell>
          <cell r="N32">
            <v>947243.7618673814</v>
          </cell>
          <cell r="O32">
            <v>1379290.7551941657</v>
          </cell>
          <cell r="P32">
            <v>1288995.0269451358</v>
          </cell>
          <cell r="Q32">
            <v>1056557.9560338703</v>
          </cell>
          <cell r="R32">
            <v>2342665.5442296509</v>
          </cell>
          <cell r="S32">
            <v>1065936.2162769202</v>
          </cell>
          <cell r="T32">
            <v>550721.93638963951</v>
          </cell>
          <cell r="U32">
            <v>514132.48111666646</v>
          </cell>
          <cell r="V32">
            <v>710523.35054849111</v>
          </cell>
          <cell r="W32">
            <v>0</v>
          </cell>
          <cell r="X32">
            <v>0</v>
          </cell>
          <cell r="Y32">
            <v>0</v>
          </cell>
          <cell r="Z32">
            <v>27044707.032610569</v>
          </cell>
          <cell r="AA32">
            <v>10595361.504336843</v>
          </cell>
          <cell r="AB32">
            <v>453676.38922222215</v>
          </cell>
          <cell r="AC32">
            <v>679165.136170101</v>
          </cell>
          <cell r="AD32">
            <v>758374.16174972709</v>
          </cell>
          <cell r="AE32">
            <v>1891215.6871420504</v>
          </cell>
          <cell r="AF32">
            <v>3530.2530000000002</v>
          </cell>
          <cell r="AG32">
            <v>6403.2870000000003</v>
          </cell>
          <cell r="AH32">
            <v>8740.5010000000002</v>
          </cell>
          <cell r="AI32">
            <v>8763.0159999999996</v>
          </cell>
          <cell r="AJ32">
            <v>1504.011</v>
          </cell>
          <cell r="AK32">
            <v>0</v>
          </cell>
          <cell r="AL32">
            <v>28941.067999999999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36407.829999999994</v>
          </cell>
          <cell r="AS32">
            <v>0</v>
          </cell>
          <cell r="AT32">
            <v>0</v>
          </cell>
          <cell r="AU32">
            <v>36407.829999999994</v>
          </cell>
        </row>
        <row r="33">
          <cell r="D33" t="str">
            <v>매출이익</v>
          </cell>
          <cell r="E33">
            <v>6706373.849296717</v>
          </cell>
          <cell r="F33">
            <v>709940.908598423</v>
          </cell>
          <cell r="G33">
            <v>662953.89886173047</v>
          </cell>
          <cell r="H33">
            <v>392751.83093650709</v>
          </cell>
          <cell r="I33">
            <v>340404.3248043505</v>
          </cell>
          <cell r="J33">
            <v>475641.40579081327</v>
          </cell>
          <cell r="K33">
            <v>540606.08548662439</v>
          </cell>
          <cell r="L33">
            <v>209011.75782047817</v>
          </cell>
          <cell r="M33">
            <v>317717.30023641046</v>
          </cell>
          <cell r="N33">
            <v>219278.06813261891</v>
          </cell>
          <cell r="O33">
            <v>350376.24480583426</v>
          </cell>
          <cell r="P33">
            <v>324044.97305486421</v>
          </cell>
          <cell r="Q33">
            <v>156931.54396612966</v>
          </cell>
          <cell r="R33">
            <v>485349.45577034913</v>
          </cell>
          <cell r="S33">
            <v>254144.54372308007</v>
          </cell>
          <cell r="T33">
            <v>210750.27061036043</v>
          </cell>
          <cell r="U33">
            <v>133267.51888333354</v>
          </cell>
          <cell r="V33">
            <v>177076.64945150889</v>
          </cell>
          <cell r="W33">
            <v>0</v>
          </cell>
          <cell r="X33">
            <v>0</v>
          </cell>
          <cell r="Y33">
            <v>0</v>
          </cell>
          <cell r="Z33">
            <v>5960246.7809334211</v>
          </cell>
          <cell r="AA33">
            <v>278055.33776842058</v>
          </cell>
          <cell r="AB33">
            <v>183873.06077777781</v>
          </cell>
          <cell r="AC33">
            <v>110850.42291883193</v>
          </cell>
          <cell r="AD33">
            <v>73789.644564932911</v>
          </cell>
          <cell r="AE33">
            <v>368513.12826154241</v>
          </cell>
          <cell r="AF33">
            <v>8969.7469999999994</v>
          </cell>
          <cell r="AG33">
            <v>43596.713000000003</v>
          </cell>
          <cell r="AH33">
            <v>19599.499</v>
          </cell>
          <cell r="AI33">
            <v>58284.484333333327</v>
          </cell>
          <cell r="AJ33">
            <v>3745.989</v>
          </cell>
          <cell r="AK33">
            <v>0</v>
          </cell>
          <cell r="AL33">
            <v>134196.43233333333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-36407.829999999994</v>
          </cell>
          <cell r="AS33">
            <v>0</v>
          </cell>
          <cell r="AT33">
            <v>1770</v>
          </cell>
          <cell r="AU33">
            <v>-34637.829999999994</v>
          </cell>
        </row>
        <row r="34">
          <cell r="D34" t="str">
            <v>판관비</v>
          </cell>
          <cell r="E34">
            <v>2126169.9145690268</v>
          </cell>
          <cell r="F34">
            <v>231503.48499677025</v>
          </cell>
          <cell r="G34">
            <v>204872.04230815158</v>
          </cell>
          <cell r="H34">
            <v>139091.49706208112</v>
          </cell>
          <cell r="I34">
            <v>107476.17897977107</v>
          </cell>
          <cell r="J34">
            <v>154169.37842819991</v>
          </cell>
          <cell r="K34">
            <v>153224.15075692092</v>
          </cell>
          <cell r="L34">
            <v>85839.956875845484</v>
          </cell>
          <cell r="M34">
            <v>118717.04788239356</v>
          </cell>
          <cell r="N34">
            <v>80130.302222721322</v>
          </cell>
          <cell r="O34">
            <v>106169.56388792842</v>
          </cell>
          <cell r="P34">
            <v>96499.370768662455</v>
          </cell>
          <cell r="Q34">
            <v>72831.971358008988</v>
          </cell>
          <cell r="R34">
            <v>144581.72732205456</v>
          </cell>
          <cell r="S34">
            <v>73365.392125982442</v>
          </cell>
          <cell r="T34">
            <v>38031.550608832222</v>
          </cell>
          <cell r="U34">
            <v>33736.483769480757</v>
          </cell>
          <cell r="V34">
            <v>47885.542770761698</v>
          </cell>
          <cell r="W34">
            <v>0</v>
          </cell>
          <cell r="X34">
            <v>0</v>
          </cell>
          <cell r="Y34">
            <v>0</v>
          </cell>
          <cell r="Z34">
            <v>1888125.6421245669</v>
          </cell>
          <cell r="AA34">
            <v>122271.06</v>
          </cell>
          <cell r="AB34">
            <v>9872.2978594549222</v>
          </cell>
          <cell r="AC34">
            <v>12233.198401990241</v>
          </cell>
          <cell r="AD34">
            <v>13256.253738554835</v>
          </cell>
          <cell r="AE34">
            <v>35361.75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5639.3734444596394</v>
          </cell>
          <cell r="AN34">
            <v>1294.1360000000002</v>
          </cell>
          <cell r="AO34">
            <v>499.17400000000004</v>
          </cell>
          <cell r="AP34">
            <v>582.17000000000007</v>
          </cell>
          <cell r="AQ34">
            <v>27752.631000000001</v>
          </cell>
          <cell r="AR34">
            <v>26888.569999999996</v>
          </cell>
          <cell r="AS34">
            <v>0</v>
          </cell>
          <cell r="AT34">
            <v>17755.408000000003</v>
          </cell>
          <cell r="AU34">
            <v>80411.462444459641</v>
          </cell>
        </row>
        <row r="35">
          <cell r="D35" t="str">
            <v>영업이익</v>
          </cell>
          <cell r="E35">
            <v>4580203.9347276911</v>
          </cell>
          <cell r="F35">
            <v>478437.42360165273</v>
          </cell>
          <cell r="G35">
            <v>458081.85655357887</v>
          </cell>
          <cell r="H35">
            <v>253660.33387442597</v>
          </cell>
          <cell r="I35">
            <v>232928.14582457943</v>
          </cell>
          <cell r="J35">
            <v>321472.02736261336</v>
          </cell>
          <cell r="K35">
            <v>387381.93472970347</v>
          </cell>
          <cell r="L35">
            <v>123171.80094463269</v>
          </cell>
          <cell r="M35">
            <v>199000.25235401691</v>
          </cell>
          <cell r="N35">
            <v>139147.76590989757</v>
          </cell>
          <cell r="O35">
            <v>244206.68091790582</v>
          </cell>
          <cell r="P35">
            <v>227545.60228620176</v>
          </cell>
          <cell r="Q35">
            <v>84099.572608120667</v>
          </cell>
          <cell r="R35">
            <v>340767.72844829457</v>
          </cell>
          <cell r="S35">
            <v>180779.15159709763</v>
          </cell>
          <cell r="T35">
            <v>172718.72000152821</v>
          </cell>
          <cell r="U35">
            <v>99531.035113852791</v>
          </cell>
          <cell r="V35">
            <v>129191.10668074718</v>
          </cell>
          <cell r="W35">
            <v>0</v>
          </cell>
          <cell r="X35">
            <v>0</v>
          </cell>
          <cell r="Y35">
            <v>0</v>
          </cell>
          <cell r="Z35">
            <v>4072121.1388088539</v>
          </cell>
          <cell r="AA35">
            <v>155784.27776842058</v>
          </cell>
          <cell r="AB35">
            <v>174000.76291832287</v>
          </cell>
          <cell r="AC35">
            <v>98617.224516841685</v>
          </cell>
          <cell r="AD35">
            <v>60533.390826378076</v>
          </cell>
          <cell r="AE35">
            <v>333151.37826154241</v>
          </cell>
          <cell r="AF35">
            <v>8969.7469999999994</v>
          </cell>
          <cell r="AG35">
            <v>43596.713000000003</v>
          </cell>
          <cell r="AH35">
            <v>19599.499</v>
          </cell>
          <cell r="AI35">
            <v>58284.484333333327</v>
          </cell>
          <cell r="AJ35">
            <v>3745.989</v>
          </cell>
          <cell r="AK35">
            <v>0</v>
          </cell>
          <cell r="AL35">
            <v>134196.43233333333</v>
          </cell>
          <cell r="AM35">
            <v>-5639.3734444596394</v>
          </cell>
          <cell r="AN35">
            <v>-1294.1360000000002</v>
          </cell>
          <cell r="AO35">
            <v>-499.17400000000004</v>
          </cell>
          <cell r="AP35">
            <v>-582.17000000000007</v>
          </cell>
          <cell r="AQ35">
            <v>-27752.631000000001</v>
          </cell>
          <cell r="AR35">
            <v>-63296.399999999994</v>
          </cell>
          <cell r="AS35">
            <v>0</v>
          </cell>
          <cell r="AT35">
            <v>-15985.408000000003</v>
          </cell>
          <cell r="AU35">
            <v>-115049.29244445963</v>
          </cell>
        </row>
      </sheetData>
      <sheetData sheetId="13">
        <row r="6">
          <cell r="D6" t="str">
            <v>구분</v>
          </cell>
        </row>
      </sheetData>
      <sheetData sheetId="14"/>
      <sheetData sheetId="15"/>
      <sheetData sheetId="16"/>
      <sheetData sheetId="17">
        <row r="26">
          <cell r="E26">
            <v>8767461.1192195099</v>
          </cell>
        </row>
      </sheetData>
      <sheetData sheetId="18">
        <row r="6">
          <cell r="D6" t="str">
            <v>구분</v>
          </cell>
        </row>
      </sheetData>
      <sheetData sheetId="19"/>
      <sheetData sheetId="20"/>
      <sheetData sheetId="21"/>
      <sheetData sheetId="22"/>
      <sheetData sheetId="23"/>
      <sheetData sheetId="24"/>
      <sheetData sheetId="25">
        <row r="8">
          <cell r="E8">
            <v>492564858.41542453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39055</v>
          </cell>
          <cell r="H7">
            <v>26461</v>
          </cell>
          <cell r="I7">
            <v>26270</v>
          </cell>
          <cell r="J7">
            <v>12124</v>
          </cell>
          <cell r="K7">
            <v>16752</v>
          </cell>
          <cell r="L7">
            <v>19663</v>
          </cell>
          <cell r="M7">
            <v>13655</v>
          </cell>
          <cell r="N7">
            <v>21756</v>
          </cell>
          <cell r="O7">
            <v>13908</v>
          </cell>
          <cell r="P7">
            <v>14580</v>
          </cell>
          <cell r="Q7">
            <v>15640</v>
          </cell>
          <cell r="R7">
            <v>14267</v>
          </cell>
          <cell r="S7">
            <v>35142.5</v>
          </cell>
          <cell r="T7">
            <v>5544</v>
          </cell>
          <cell r="U7">
            <v>9023</v>
          </cell>
          <cell r="V7">
            <v>9669.5</v>
          </cell>
          <cell r="W7">
            <v>3047</v>
          </cell>
          <cell r="X7"/>
          <cell r="Y7"/>
          <cell r="Z7">
            <v>296557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296557</v>
          </cell>
          <cell r="AJ7">
            <v>20119</v>
          </cell>
          <cell r="AK7">
            <v>1360</v>
          </cell>
          <cell r="AL7">
            <v>38611</v>
          </cell>
          <cell r="AM7"/>
          <cell r="AN7">
            <v>60090</v>
          </cell>
          <cell r="AO7">
            <v>8972.0079999999998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38619550.917000003</v>
          </cell>
          <cell r="G8">
            <v>3682427.3119999999</v>
          </cell>
          <cell r="H8">
            <v>2558609.0619999999</v>
          </cell>
          <cell r="I8">
            <v>2323423.034</v>
          </cell>
          <cell r="J8">
            <v>1149060.6040000001</v>
          </cell>
          <cell r="K8">
            <v>1728981.16</v>
          </cell>
          <cell r="L8">
            <v>1865551.9169999999</v>
          </cell>
          <cell r="M8">
            <v>1233987</v>
          </cell>
          <cell r="N8">
            <v>2122010.7220000001</v>
          </cell>
          <cell r="O8">
            <v>1309097.2</v>
          </cell>
          <cell r="P8">
            <v>1357685.3</v>
          </cell>
          <cell r="Q8">
            <v>1465484.05</v>
          </cell>
          <cell r="R8">
            <v>1420624.5</v>
          </cell>
          <cell r="S8">
            <v>3417063.906</v>
          </cell>
          <cell r="T8">
            <v>603983.277</v>
          </cell>
          <cell r="U8">
            <v>1002988.55</v>
          </cell>
          <cell r="V8">
            <v>921159.86499999999</v>
          </cell>
          <cell r="W8">
            <v>366414.06800000003</v>
          </cell>
          <cell r="X8"/>
          <cell r="Y8"/>
          <cell r="Z8">
            <v>28528551.526999999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E8"/>
          <cell r="AF8"/>
          <cell r="AG8"/>
          <cell r="AH8">
            <v>90840</v>
          </cell>
          <cell r="AI8">
            <v>28619391.526999999</v>
          </cell>
          <cell r="AJ8">
            <v>571110</v>
          </cell>
          <cell r="AK8">
            <v>15640</v>
          </cell>
          <cell r="AL8">
            <v>659068.5</v>
          </cell>
          <cell r="AM8"/>
          <cell r="AN8">
            <v>1245818.5</v>
          </cell>
          <cell r="AO8">
            <v>8678685.2690000013</v>
          </cell>
          <cell r="AP8">
            <v>0</v>
          </cell>
          <cell r="AQ8"/>
          <cell r="AR8"/>
          <cell r="AS8">
            <v>8678685.2690000013</v>
          </cell>
          <cell r="AT8">
            <v>5512.5</v>
          </cell>
          <cell r="AU8">
            <v>6650</v>
          </cell>
          <cell r="AV8">
            <v>61674.921000000002</v>
          </cell>
          <cell r="AW8"/>
          <cell r="AX8"/>
          <cell r="AY8"/>
          <cell r="AZ8"/>
          <cell r="BA8">
            <v>73837.421000000002</v>
          </cell>
          <cell r="BB8">
            <v>0</v>
          </cell>
          <cell r="BC8">
            <v>1818.2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1818.2</v>
          </cell>
          <cell r="BK8"/>
          <cell r="BL8"/>
          <cell r="BM8"/>
          <cell r="BN8"/>
          <cell r="BO8"/>
        </row>
        <row r="9">
          <cell r="F9"/>
          <cell r="G9">
            <v>94288.242529765717</v>
          </cell>
          <cell r="H9">
            <v>96693.589131174173</v>
          </cell>
          <cell r="I9">
            <v>88443.967795964985</v>
          </cell>
          <cell r="J9">
            <v>94775.701418673707</v>
          </cell>
          <cell r="K9">
            <v>103210.43218720151</v>
          </cell>
          <cell r="L9">
            <v>94876.26084524233</v>
          </cell>
          <cell r="M9">
            <v>90368.87586964482</v>
          </cell>
          <cell r="N9">
            <v>97536.80465159037</v>
          </cell>
          <cell r="O9">
            <v>94125.48173712971</v>
          </cell>
          <cell r="P9">
            <v>93119.705075445818</v>
          </cell>
          <cell r="Q9">
            <v>93701.026214833764</v>
          </cell>
          <cell r="R9">
            <v>99574.157145861085</v>
          </cell>
          <cell r="S9">
            <v>97234.513936117233</v>
          </cell>
          <cell r="T9">
            <v>108943.59253246753</v>
          </cell>
          <cell r="U9">
            <v>111159.09896930068</v>
          </cell>
          <cell r="V9">
            <v>95264.477480738409</v>
          </cell>
          <cell r="W9">
            <v>120254.04266491633</v>
          </cell>
          <cell r="X9"/>
          <cell r="Y9"/>
          <cell r="Z9">
            <v>96199.218116584656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96505.533597251109</v>
          </cell>
          <cell r="AJ9">
            <v>28386.599731596998</v>
          </cell>
          <cell r="AK9">
            <v>11500</v>
          </cell>
          <cell r="AL9">
            <v>17069.449120716894</v>
          </cell>
          <cell r="AM9"/>
          <cell r="AN9"/>
          <cell r="AO9">
            <v>967306.90264654264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34706502.109540001</v>
          </cell>
          <cell r="G10">
            <v>3423441.3805800001</v>
          </cell>
          <cell r="H10">
            <v>2397118.9923200002</v>
          </cell>
          <cell r="I10">
            <v>2180249.8712900002</v>
          </cell>
          <cell r="J10">
            <v>1019563.98471</v>
          </cell>
          <cell r="K10">
            <v>1541775.13579</v>
          </cell>
          <cell r="L10">
            <v>1629575.7836500001</v>
          </cell>
          <cell r="M10">
            <v>1165748.2493</v>
          </cell>
          <cell r="N10">
            <v>1893922.28201</v>
          </cell>
          <cell r="O10">
            <v>1111002.48771</v>
          </cell>
          <cell r="P10">
            <v>1201129.8735199999</v>
          </cell>
          <cell r="Q10">
            <v>1310927.1272499999</v>
          </cell>
          <cell r="R10">
            <v>1220109.4398000001</v>
          </cell>
          <cell r="S10">
            <v>2814758.4365700004</v>
          </cell>
          <cell r="T10">
            <v>482113.56242999999</v>
          </cell>
          <cell r="U10">
            <v>711894.12233000004</v>
          </cell>
          <cell r="V10">
            <v>813356.24967999989</v>
          </cell>
          <cell r="W10">
            <v>335220.29768999998</v>
          </cell>
          <cell r="X10"/>
          <cell r="Y10"/>
          <cell r="Z10">
            <v>25251907.276630007</v>
          </cell>
          <cell r="AA10">
            <v>593.60500000000002</v>
          </cell>
          <cell r="AB10">
            <v>0</v>
          </cell>
          <cell r="AC10">
            <v>3399.78</v>
          </cell>
          <cell r="AD10">
            <v>9479.9339999999993</v>
          </cell>
          <cell r="AE10"/>
          <cell r="AF10"/>
          <cell r="AG10"/>
          <cell r="AH10">
            <v>13473.319</v>
          </cell>
          <cell r="AI10">
            <v>25265380.595630005</v>
          </cell>
          <cell r="AJ10">
            <v>464287.71178000001</v>
          </cell>
          <cell r="AK10">
            <v>63357.021439999997</v>
          </cell>
          <cell r="AL10">
            <v>694978.03169000009</v>
          </cell>
          <cell r="AM10"/>
          <cell r="AN10">
            <v>1222622.7649100001</v>
          </cell>
          <cell r="AO10">
            <v>8468169.4929999989</v>
          </cell>
          <cell r="AP10">
            <v>0</v>
          </cell>
          <cell r="AQ10"/>
          <cell r="AR10"/>
          <cell r="AS10">
            <v>8468169.4929999989</v>
          </cell>
          <cell r="AT10">
            <v>143.00399999999999</v>
          </cell>
          <cell r="AU10">
            <v>186.25200000000001</v>
          </cell>
          <cell r="AV10">
            <v>0</v>
          </cell>
          <cell r="AW10"/>
          <cell r="AX10"/>
          <cell r="AY10"/>
          <cell r="AZ10"/>
          <cell r="BA10">
            <v>329.25599999999997</v>
          </cell>
          <cell r="BB10">
            <v>0</v>
          </cell>
          <cell r="BC10">
            <v>0</v>
          </cell>
          <cell r="BD10">
            <v>-250000</v>
          </cell>
          <cell r="BE10">
            <v>0</v>
          </cell>
          <cell r="BF10">
            <v>0</v>
          </cell>
          <cell r="BG10">
            <v>0</v>
          </cell>
          <cell r="BH10"/>
          <cell r="BI10"/>
          <cell r="BJ10">
            <v>-250000</v>
          </cell>
          <cell r="BK10"/>
          <cell r="BL10"/>
          <cell r="BM10"/>
          <cell r="BN10"/>
          <cell r="BO10"/>
        </row>
        <row r="11">
          <cell r="F11"/>
          <cell r="G11">
            <v>87656.929473306867</v>
          </cell>
          <cell r="H11">
            <v>90590.642542609887</v>
          </cell>
          <cell r="I11">
            <v>82993.904502854974</v>
          </cell>
          <cell r="J11">
            <v>84094.686960574065</v>
          </cell>
          <cell r="K11">
            <v>92035.287475525314</v>
          </cell>
          <cell r="L11">
            <v>82875.236924680881</v>
          </cell>
          <cell r="M11">
            <v>85371.530523617723</v>
          </cell>
          <cell r="N11">
            <v>87052.871943831589</v>
          </cell>
          <cell r="O11">
            <v>79882.261123813631</v>
          </cell>
          <cell r="P11">
            <v>82382.021503429336</v>
          </cell>
          <cell r="Q11">
            <v>83818.870028772362</v>
          </cell>
          <cell r="R11">
            <v>85519.69158197238</v>
          </cell>
          <cell r="S11">
            <v>80095.566239453663</v>
          </cell>
          <cell r="T11">
            <v>86961.320784632029</v>
          </cell>
          <cell r="U11">
            <v>78897.719420370166</v>
          </cell>
          <cell r="V11">
            <v>84115.647104814096</v>
          </cell>
          <cell r="W11">
            <v>110016.50728257302</v>
          </cell>
          <cell r="X11"/>
          <cell r="Y11"/>
          <cell r="Z11">
            <v>85150.265468796919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85195.697945521446</v>
          </cell>
          <cell r="AJ11">
            <v>23077.076980963269</v>
          </cell>
          <cell r="AK11">
            <v>46586.045176470587</v>
          </cell>
          <cell r="AL11">
            <v>17999.482833648442</v>
          </cell>
          <cell r="AM11"/>
          <cell r="AN11"/>
          <cell r="AO11">
            <v>943843.28380001429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3913048.8074600026</v>
          </cell>
          <cell r="G12">
            <v>258985.9314199998</v>
          </cell>
          <cell r="H12">
            <v>161490.06967999972</v>
          </cell>
          <cell r="I12">
            <v>143173.16270999983</v>
          </cell>
          <cell r="J12">
            <v>129496.61929000006</v>
          </cell>
          <cell r="K12">
            <v>187206.02420999995</v>
          </cell>
          <cell r="L12">
            <v>235976.13334999979</v>
          </cell>
          <cell r="M12">
            <v>68238.750699999975</v>
          </cell>
          <cell r="N12">
            <v>228088.4399900001</v>
          </cell>
          <cell r="O12">
            <v>198094.71228999994</v>
          </cell>
          <cell r="P12">
            <v>156555.42648000014</v>
          </cell>
          <cell r="Q12">
            <v>154556.92275000014</v>
          </cell>
          <cell r="R12">
            <v>200515.06019999995</v>
          </cell>
          <cell r="S12">
            <v>602305.46942999959</v>
          </cell>
          <cell r="T12">
            <v>121869.71457000001</v>
          </cell>
          <cell r="U12">
            <v>291094.42767</v>
          </cell>
          <cell r="V12">
            <v>107803.6153200001</v>
          </cell>
          <cell r="W12">
            <v>31193.770310000051</v>
          </cell>
          <cell r="X12"/>
          <cell r="Y12"/>
          <cell r="Z12">
            <v>3276644.2503699991</v>
          </cell>
          <cell r="AA12">
            <v>49406.394999999997</v>
          </cell>
          <cell r="AB12">
            <v>0</v>
          </cell>
          <cell r="AC12">
            <v>9100.2199999999993</v>
          </cell>
          <cell r="AD12">
            <v>18860.065999999999</v>
          </cell>
          <cell r="AE12"/>
          <cell r="AF12"/>
          <cell r="AG12"/>
          <cell r="AH12">
            <v>77366.680999999997</v>
          </cell>
          <cell r="AI12">
            <v>3354010.9313699938</v>
          </cell>
          <cell r="AJ12">
            <v>106822.28821999999</v>
          </cell>
          <cell r="AK12">
            <v>-47717.021439999997</v>
          </cell>
          <cell r="AL12">
            <v>-35909.531690000091</v>
          </cell>
          <cell r="AM12"/>
          <cell r="AN12">
            <v>23195.735089999856</v>
          </cell>
          <cell r="AO12">
            <v>210515.7760000024</v>
          </cell>
          <cell r="AP12">
            <v>0</v>
          </cell>
          <cell r="AQ12"/>
          <cell r="AR12"/>
          <cell r="AS12">
            <v>210515.7760000024</v>
          </cell>
          <cell r="AT12">
            <v>5369.4960000000001</v>
          </cell>
          <cell r="AU12">
            <v>6463.7479999999996</v>
          </cell>
          <cell r="AV12">
            <v>61674.921000000002</v>
          </cell>
          <cell r="AW12"/>
          <cell r="AX12"/>
          <cell r="AY12"/>
          <cell r="AZ12"/>
          <cell r="BA12">
            <v>73508.165000000008</v>
          </cell>
          <cell r="BB12">
            <v>0</v>
          </cell>
          <cell r="BC12">
            <v>1818.2</v>
          </cell>
          <cell r="BD12">
            <v>250000</v>
          </cell>
          <cell r="BE12">
            <v>0</v>
          </cell>
          <cell r="BF12">
            <v>0</v>
          </cell>
          <cell r="BG12">
            <v>0</v>
          </cell>
          <cell r="BH12"/>
          <cell r="BI12"/>
          <cell r="BJ12">
            <v>251818.2</v>
          </cell>
          <cell r="BK12"/>
          <cell r="BL12"/>
          <cell r="BM12"/>
          <cell r="BN12"/>
          <cell r="BO12"/>
        </row>
        <row r="13">
          <cell r="F13">
            <v>895537.97899999982</v>
          </cell>
          <cell r="G13">
            <v>78018.736000000004</v>
          </cell>
          <cell r="H13">
            <v>62346.042000000001</v>
          </cell>
          <cell r="I13">
            <v>49325.035000000003</v>
          </cell>
          <cell r="J13">
            <v>37593.241999999998</v>
          </cell>
          <cell r="K13">
            <v>56640.882999999994</v>
          </cell>
          <cell r="L13">
            <v>54342.644999999997</v>
          </cell>
          <cell r="M13">
            <v>40407.507000000005</v>
          </cell>
          <cell r="N13">
            <v>52487.308000000005</v>
          </cell>
          <cell r="O13">
            <v>33659.544999999998</v>
          </cell>
          <cell r="P13">
            <v>48655.961000000003</v>
          </cell>
          <cell r="Q13">
            <v>38486.351999999999</v>
          </cell>
          <cell r="R13">
            <v>28026.71</v>
          </cell>
          <cell r="S13">
            <v>48507.920999999995</v>
          </cell>
          <cell r="T13">
            <v>11861.206</v>
          </cell>
          <cell r="U13">
            <v>11757.76</v>
          </cell>
          <cell r="V13">
            <v>35398.331000000006</v>
          </cell>
          <cell r="W13">
            <v>14216.352999999999</v>
          </cell>
          <cell r="X13"/>
          <cell r="Y13"/>
          <cell r="Z13">
            <v>701731.53699999989</v>
          </cell>
          <cell r="AA13">
            <v>0</v>
          </cell>
          <cell r="AB13">
            <v>175.99299999999999</v>
          </cell>
          <cell r="AC13">
            <v>0</v>
          </cell>
          <cell r="AD13">
            <v>0</v>
          </cell>
          <cell r="AE13"/>
          <cell r="AF13"/>
          <cell r="AG13"/>
          <cell r="AH13">
            <v>175.99299999999999</v>
          </cell>
          <cell r="AI13">
            <v>701907.52999999991</v>
          </cell>
          <cell r="AJ13">
            <v>0</v>
          </cell>
          <cell r="AK13">
            <v>23017.728999999999</v>
          </cell>
          <cell r="AL13">
            <v>0</v>
          </cell>
          <cell r="AM13"/>
          <cell r="AN13">
            <v>23017.728999999999</v>
          </cell>
          <cell r="AO13">
            <v>161074.67800000001</v>
          </cell>
          <cell r="AP13">
            <v>0</v>
          </cell>
          <cell r="AQ13"/>
          <cell r="AR13"/>
          <cell r="AS13">
            <v>161074.67800000001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9538.0419999999995</v>
          </cell>
          <cell r="BG13">
            <v>0</v>
          </cell>
          <cell r="BH13"/>
          <cell r="BI13"/>
          <cell r="BJ13">
            <v>9538.0419999999995</v>
          </cell>
          <cell r="BK13"/>
          <cell r="BL13"/>
          <cell r="BM13"/>
          <cell r="BN13"/>
          <cell r="BO13"/>
        </row>
        <row r="14">
          <cell r="F14">
            <v>594936.95299999986</v>
          </cell>
          <cell r="G14">
            <v>52903.495999999999</v>
          </cell>
          <cell r="H14">
            <v>46361.891000000003</v>
          </cell>
          <cell r="I14">
            <v>38308.783000000003</v>
          </cell>
          <cell r="J14">
            <v>28231.363999999998</v>
          </cell>
          <cell r="K14">
            <v>35370.161999999997</v>
          </cell>
          <cell r="L14">
            <v>38314.544999999998</v>
          </cell>
          <cell r="M14">
            <v>28919.710000000003</v>
          </cell>
          <cell r="N14">
            <v>38120.112000000001</v>
          </cell>
          <cell r="O14">
            <v>21890.323</v>
          </cell>
          <cell r="P14">
            <v>35417.953000000001</v>
          </cell>
          <cell r="Q14">
            <v>29422.236999999997</v>
          </cell>
          <cell r="R14">
            <v>21010.527999999998</v>
          </cell>
          <cell r="S14">
            <v>35327.100999999995</v>
          </cell>
          <cell r="T14">
            <v>8127.7820000000002</v>
          </cell>
          <cell r="U14">
            <v>7787.9449999999997</v>
          </cell>
          <cell r="V14">
            <v>23927.633000000002</v>
          </cell>
          <cell r="W14">
            <v>11017.909</v>
          </cell>
          <cell r="X14"/>
          <cell r="Y14"/>
          <cell r="Z14">
            <v>500459.47399999993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500459.47399999993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94469.845000000001</v>
          </cell>
          <cell r="AP14">
            <v>0</v>
          </cell>
          <cell r="AQ14"/>
          <cell r="AR14"/>
          <cell r="AS14">
            <v>94469.845000000001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7.6340000000000003</v>
          </cell>
          <cell r="BG14">
            <v>0</v>
          </cell>
          <cell r="BH14"/>
          <cell r="BI14"/>
          <cell r="BJ14">
            <v>7.6340000000000003</v>
          </cell>
          <cell r="BK14"/>
          <cell r="BL14"/>
          <cell r="BM14"/>
          <cell r="BN14"/>
          <cell r="BO14"/>
        </row>
        <row r="15">
          <cell r="F15">
            <v>300601.02600000001</v>
          </cell>
          <cell r="G15">
            <v>25115.239999999998</v>
          </cell>
          <cell r="H15">
            <v>15984.151000000002</v>
          </cell>
          <cell r="I15">
            <v>11016.251999999999</v>
          </cell>
          <cell r="J15">
            <v>9361.8780000000006</v>
          </cell>
          <cell r="K15">
            <v>21270.720999999998</v>
          </cell>
          <cell r="L15">
            <v>16028.1</v>
          </cell>
          <cell r="M15">
            <v>11487.797</v>
          </cell>
          <cell r="N15">
            <v>14367.196</v>
          </cell>
          <cell r="O15">
            <v>11769.222</v>
          </cell>
          <cell r="P15">
            <v>13238.008000000002</v>
          </cell>
          <cell r="Q15">
            <v>9064.1149999999998</v>
          </cell>
          <cell r="R15">
            <v>7016.1819999999998</v>
          </cell>
          <cell r="S15">
            <v>13180.820000000002</v>
          </cell>
          <cell r="T15">
            <v>3733.424</v>
          </cell>
          <cell r="U15">
            <v>3969.8150000000001</v>
          </cell>
          <cell r="V15">
            <v>11470.698</v>
          </cell>
          <cell r="W15">
            <v>3198.444</v>
          </cell>
          <cell r="X15"/>
          <cell r="Y15"/>
          <cell r="Z15">
            <v>201272.06299999999</v>
          </cell>
          <cell r="AA15">
            <v>0</v>
          </cell>
          <cell r="AB15">
            <v>175.99299999999999</v>
          </cell>
          <cell r="AC15">
            <v>0</v>
          </cell>
          <cell r="AD15">
            <v>0</v>
          </cell>
          <cell r="AE15"/>
          <cell r="AF15"/>
          <cell r="AG15"/>
          <cell r="AH15">
            <v>175.99299999999999</v>
          </cell>
          <cell r="AI15">
            <v>201448.05599999998</v>
          </cell>
          <cell r="AJ15">
            <v>0</v>
          </cell>
          <cell r="AK15">
            <v>23017.728999999999</v>
          </cell>
          <cell r="AL15">
            <v>0</v>
          </cell>
          <cell r="AM15"/>
          <cell r="AN15">
            <v>23017.728999999999</v>
          </cell>
          <cell r="AO15">
            <v>66604.833000000013</v>
          </cell>
          <cell r="AP15">
            <v>0</v>
          </cell>
          <cell r="AQ15"/>
          <cell r="AR15"/>
          <cell r="AS15">
            <v>66604.833000000013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9530.4079999999994</v>
          </cell>
          <cell r="BG15">
            <v>0</v>
          </cell>
          <cell r="BH15"/>
          <cell r="BI15"/>
          <cell r="BJ15">
            <v>9530.4079999999994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3017510.8284600028</v>
          </cell>
          <cell r="G17">
            <v>180967.1954199998</v>
          </cell>
          <cell r="H17">
            <v>99144.027679999723</v>
          </cell>
          <cell r="I17">
            <v>93848.127709999826</v>
          </cell>
          <cell r="J17">
            <v>91903.377290000062</v>
          </cell>
          <cell r="K17">
            <v>130565.14120999994</v>
          </cell>
          <cell r="L17">
            <v>181633.4883499998</v>
          </cell>
          <cell r="M17">
            <v>27831.24369999997</v>
          </cell>
          <cell r="N17">
            <v>175601.13199000008</v>
          </cell>
          <cell r="O17">
            <v>164435.16728999995</v>
          </cell>
          <cell r="P17">
            <v>107899.46548000013</v>
          </cell>
          <cell r="Q17">
            <v>116070.57075000014</v>
          </cell>
          <cell r="R17">
            <v>172488.35019999996</v>
          </cell>
          <cell r="S17">
            <v>553797.54842999962</v>
          </cell>
          <cell r="T17">
            <v>110008.50857000001</v>
          </cell>
          <cell r="U17">
            <v>279336.66767</v>
          </cell>
          <cell r="V17">
            <v>72405.284320000093</v>
          </cell>
          <cell r="W17">
            <v>16977.417310000052</v>
          </cell>
          <cell r="X17"/>
          <cell r="Y17"/>
          <cell r="Z17">
            <v>2574912.7133699991</v>
          </cell>
          <cell r="AA17">
            <v>49406.394999999997</v>
          </cell>
          <cell r="AB17">
            <v>-175.99299999999999</v>
          </cell>
          <cell r="AC17">
            <v>9100.2199999999993</v>
          </cell>
          <cell r="AD17">
            <v>18860.065999999999</v>
          </cell>
          <cell r="AE17"/>
          <cell r="AF17"/>
          <cell r="AG17"/>
          <cell r="AH17">
            <v>77190.687999999995</v>
          </cell>
          <cell r="AI17">
            <v>2652103.401369994</v>
          </cell>
          <cell r="AJ17">
            <v>106822.28821999999</v>
          </cell>
          <cell r="AK17">
            <v>-70734.750440000003</v>
          </cell>
          <cell r="AL17">
            <v>-35909.531690000091</v>
          </cell>
          <cell r="AM17"/>
          <cell r="AN17">
            <v>178.00608999985707</v>
          </cell>
          <cell r="AO17">
            <v>49441.098000002385</v>
          </cell>
          <cell r="AP17">
            <v>0</v>
          </cell>
          <cell r="AQ17"/>
          <cell r="AR17"/>
          <cell r="AS17">
            <v>49441.098000002385</v>
          </cell>
          <cell r="AT17">
            <v>5369.4960000000001</v>
          </cell>
          <cell r="AU17">
            <v>6463.7479999999996</v>
          </cell>
          <cell r="AV17">
            <v>61674.921000000002</v>
          </cell>
          <cell r="AW17"/>
          <cell r="AX17"/>
          <cell r="AY17"/>
          <cell r="AZ17"/>
          <cell r="BA17">
            <v>73508.165000000008</v>
          </cell>
          <cell r="BB17">
            <v>0</v>
          </cell>
          <cell r="BC17">
            <v>1818.2</v>
          </cell>
          <cell r="BD17">
            <v>250000</v>
          </cell>
          <cell r="BE17">
            <v>0</v>
          </cell>
          <cell r="BF17">
            <v>-9538.0419999999995</v>
          </cell>
          <cell r="BG17">
            <v>0</v>
          </cell>
          <cell r="BH17"/>
          <cell r="BI17"/>
          <cell r="BJ17">
            <v>242280.15800000002</v>
          </cell>
          <cell r="BK17"/>
          <cell r="BL17"/>
          <cell r="BM17"/>
          <cell r="BN17"/>
          <cell r="BO17"/>
        </row>
        <row r="18">
          <cell r="F18">
            <v>595888.06645999989</v>
          </cell>
          <cell r="G18">
            <v>29545.923419999999</v>
          </cell>
          <cell r="H18">
            <v>35250.367680000003</v>
          </cell>
          <cell r="I18">
            <v>20399.449710000001</v>
          </cell>
          <cell r="J18">
            <v>17241.308289999997</v>
          </cell>
          <cell r="K18">
            <v>72913.948209999988</v>
          </cell>
          <cell r="L18">
            <v>49027.430350000002</v>
          </cell>
          <cell r="M18">
            <v>17433.1967</v>
          </cell>
          <cell r="N18">
            <v>32833.505989999998</v>
          </cell>
          <cell r="O18">
            <v>12080.549289999999</v>
          </cell>
          <cell r="P18">
            <v>31320.604479999998</v>
          </cell>
          <cell r="Q18">
            <v>15436.419750000001</v>
          </cell>
          <cell r="R18">
            <v>14717.8662</v>
          </cell>
          <cell r="S18">
            <v>35656.406429999995</v>
          </cell>
          <cell r="T18">
            <v>5700.1985700000005</v>
          </cell>
          <cell r="U18">
            <v>10791.27967</v>
          </cell>
          <cell r="V18">
            <v>21109.477320000002</v>
          </cell>
          <cell r="W18">
            <v>12183.347310000001</v>
          </cell>
          <cell r="X18"/>
          <cell r="Y18"/>
          <cell r="Z18">
            <v>433641.27936999995</v>
          </cell>
          <cell r="AA18">
            <v>5669.0559999999996</v>
          </cell>
          <cell r="AB18">
            <v>353.67200000000003</v>
          </cell>
          <cell r="AC18">
            <v>0</v>
          </cell>
          <cell r="AD18">
            <v>0</v>
          </cell>
          <cell r="AE18"/>
          <cell r="AF18"/>
          <cell r="AG18"/>
          <cell r="AH18">
            <v>6022.7279999999992</v>
          </cell>
          <cell r="AI18">
            <v>439664.00736999995</v>
          </cell>
          <cell r="AJ18">
            <v>29596.161219999998</v>
          </cell>
          <cell r="AK18">
            <v>12575.912560000001</v>
          </cell>
          <cell r="AL18">
            <v>57155.151310000001</v>
          </cell>
          <cell r="AM18"/>
          <cell r="AN18">
            <v>99327.225089999993</v>
          </cell>
          <cell r="AO18">
            <v>5435.7690000000002</v>
          </cell>
          <cell r="AP18">
            <v>855.83600000000001</v>
          </cell>
          <cell r="AQ18"/>
          <cell r="AR18"/>
          <cell r="AS18">
            <v>6291.6050000000005</v>
          </cell>
          <cell r="AT18">
            <v>1312.8920000000001</v>
          </cell>
          <cell r="AU18">
            <v>8489.6080000000002</v>
          </cell>
          <cell r="AV18">
            <v>0</v>
          </cell>
          <cell r="AW18"/>
          <cell r="AX18"/>
          <cell r="AY18"/>
          <cell r="AZ18"/>
          <cell r="BA18">
            <v>9802.5</v>
          </cell>
          <cell r="BB18">
            <v>0</v>
          </cell>
          <cell r="BC18">
            <v>17716.904999999999</v>
          </cell>
          <cell r="BD18">
            <v>0</v>
          </cell>
          <cell r="BE18">
            <v>0</v>
          </cell>
          <cell r="BF18">
            <v>23085.823999999997</v>
          </cell>
          <cell r="BG18">
            <v>0</v>
          </cell>
          <cell r="BH18"/>
          <cell r="BI18"/>
          <cell r="BJ18">
            <v>40802.728999999992</v>
          </cell>
          <cell r="BK18"/>
          <cell r="BL18"/>
          <cell r="BM18"/>
          <cell r="BN18"/>
          <cell r="BO18"/>
        </row>
        <row r="19">
          <cell r="F19">
            <v>526376.68545999995</v>
          </cell>
          <cell r="G19">
            <v>27218.306420000001</v>
          </cell>
          <cell r="H19">
            <v>33305.236680000002</v>
          </cell>
          <cell r="I19">
            <v>18628.205710000002</v>
          </cell>
          <cell r="J19">
            <v>16049.322289999998</v>
          </cell>
          <cell r="K19">
            <v>71037.885209999993</v>
          </cell>
          <cell r="L19">
            <v>47463.031350000005</v>
          </cell>
          <cell r="M19">
            <v>16239.599699999999</v>
          </cell>
          <cell r="N19">
            <v>31270.203989999998</v>
          </cell>
          <cell r="O19">
            <v>11330.515289999999</v>
          </cell>
          <cell r="P19">
            <v>30101.840479999999</v>
          </cell>
          <cell r="Q19">
            <v>14231.033750000001</v>
          </cell>
          <cell r="R19">
            <v>13615.7122</v>
          </cell>
          <cell r="S19">
            <v>34068.208429999999</v>
          </cell>
          <cell r="T19">
            <v>5329.7995700000001</v>
          </cell>
          <cell r="U19">
            <v>10348.410669999999</v>
          </cell>
          <cell r="V19">
            <v>19982.614320000001</v>
          </cell>
          <cell r="W19">
            <v>11357.97831</v>
          </cell>
          <cell r="X19"/>
          <cell r="Y19"/>
          <cell r="Z19">
            <v>411577.90436999995</v>
          </cell>
          <cell r="AA19">
            <v>5669.0559999999996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5669.0559999999996</v>
          </cell>
          <cell r="AI19">
            <v>417246.96036999993</v>
          </cell>
          <cell r="AJ19">
            <v>29596.161219999998</v>
          </cell>
          <cell r="AK19">
            <v>12575.912560000001</v>
          </cell>
          <cell r="AL19">
            <v>57155.151310000001</v>
          </cell>
          <cell r="AM19"/>
          <cell r="AN19">
            <v>99327.225089999993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AW19"/>
          <cell r="AX19"/>
          <cell r="AY19"/>
          <cell r="AZ19"/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69511.380999999994</v>
          </cell>
          <cell r="G20">
            <v>2327.6170000000002</v>
          </cell>
          <cell r="H20">
            <v>1945.1310000000001</v>
          </cell>
          <cell r="I20">
            <v>1771.2439999999999</v>
          </cell>
          <cell r="J20">
            <v>1191.9860000000001</v>
          </cell>
          <cell r="K20">
            <v>1876.0630000000001</v>
          </cell>
          <cell r="L20">
            <v>1564.3989999999999</v>
          </cell>
          <cell r="M20">
            <v>1193.597</v>
          </cell>
          <cell r="N20">
            <v>1563.3019999999999</v>
          </cell>
          <cell r="O20">
            <v>750.03399999999999</v>
          </cell>
          <cell r="P20">
            <v>1218.7639999999999</v>
          </cell>
          <cell r="Q20">
            <v>1205.386</v>
          </cell>
          <cell r="R20">
            <v>1102.154</v>
          </cell>
          <cell r="S20">
            <v>1588.1980000000001</v>
          </cell>
          <cell r="T20">
            <v>370.399</v>
          </cell>
          <cell r="U20">
            <v>442.86900000000003</v>
          </cell>
          <cell r="V20">
            <v>1126.8630000000001</v>
          </cell>
          <cell r="W20">
            <v>825.36900000000003</v>
          </cell>
          <cell r="X20"/>
          <cell r="Y20"/>
          <cell r="Z20">
            <v>22063.374999999996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E20"/>
          <cell r="AF20"/>
          <cell r="AG20"/>
          <cell r="AH20">
            <v>353.67200000000003</v>
          </cell>
          <cell r="AI20">
            <v>22417.046999999995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5435.7690000000002</v>
          </cell>
          <cell r="AP20">
            <v>855.83600000000001</v>
          </cell>
          <cell r="AQ20"/>
          <cell r="AR20"/>
          <cell r="AS20">
            <v>6291.6050000000005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17716.904999999999</v>
          </cell>
          <cell r="BD20">
            <v>0</v>
          </cell>
          <cell r="BE20">
            <v>0</v>
          </cell>
          <cell r="BF20">
            <v>23085.823999999997</v>
          </cell>
          <cell r="BG20">
            <v>0</v>
          </cell>
          <cell r="BH20"/>
          <cell r="BI20"/>
          <cell r="BJ20">
            <v>40802.728999999992</v>
          </cell>
          <cell r="BK20"/>
          <cell r="BL20"/>
          <cell r="BM20"/>
          <cell r="BN20"/>
          <cell r="BO20"/>
        </row>
        <row r="21">
          <cell r="F21">
            <v>2421622.7620000029</v>
          </cell>
          <cell r="G21">
            <v>151421.27199999979</v>
          </cell>
          <cell r="H21">
            <v>63893.65999999972</v>
          </cell>
          <cell r="I21">
            <v>73448.677999999825</v>
          </cell>
          <cell r="J21">
            <v>74662.069000000061</v>
          </cell>
          <cell r="K21">
            <v>57651.192999999956</v>
          </cell>
          <cell r="L21">
            <v>132606.05799999979</v>
          </cell>
          <cell r="M21">
            <v>10398.04699999997</v>
          </cell>
          <cell r="N21">
            <v>142767.62600000008</v>
          </cell>
          <cell r="O21">
            <v>152354.61799999996</v>
          </cell>
          <cell r="P21">
            <v>76578.861000000135</v>
          </cell>
          <cell r="Q21">
            <v>100634.15100000014</v>
          </cell>
          <cell r="R21">
            <v>157770.48399999997</v>
          </cell>
          <cell r="S21">
            <v>518141.14199999964</v>
          </cell>
          <cell r="T21">
            <v>104308.31</v>
          </cell>
          <cell r="U21">
            <v>268545.38799999998</v>
          </cell>
          <cell r="V21">
            <v>51295.807000000088</v>
          </cell>
          <cell r="W21">
            <v>4794.0700000000506</v>
          </cell>
          <cell r="X21"/>
          <cell r="Y21"/>
          <cell r="Z21">
            <v>2141271.433999999</v>
          </cell>
          <cell r="AA21">
            <v>43737.339</v>
          </cell>
          <cell r="AB21">
            <v>-529.66499999999996</v>
          </cell>
          <cell r="AC21">
            <v>9100.2199999999993</v>
          </cell>
          <cell r="AD21">
            <v>18860.065999999999</v>
          </cell>
          <cell r="AE21"/>
          <cell r="AF21"/>
          <cell r="AG21"/>
          <cell r="AH21">
            <v>71167.959999999992</v>
          </cell>
          <cell r="AI21">
            <v>2212439.3939999943</v>
          </cell>
          <cell r="AJ21">
            <v>77226.126999999993</v>
          </cell>
          <cell r="AK21">
            <v>-83310.663</v>
          </cell>
          <cell r="AL21">
            <v>-93064.683000000092</v>
          </cell>
          <cell r="AM21"/>
          <cell r="AN21">
            <v>-99149.219000000128</v>
          </cell>
          <cell r="AO21">
            <v>44005.329000002384</v>
          </cell>
          <cell r="AP21">
            <v>-855.83600000000001</v>
          </cell>
          <cell r="AQ21"/>
          <cell r="AR21"/>
          <cell r="AS21">
            <v>43149.493000002381</v>
          </cell>
          <cell r="AT21">
            <v>4056.6040000000003</v>
          </cell>
          <cell r="AU21">
            <v>-2025.8600000000006</v>
          </cell>
          <cell r="AV21">
            <v>61674.921000000002</v>
          </cell>
          <cell r="AW21"/>
          <cell r="AX21"/>
          <cell r="AY21"/>
          <cell r="AZ21"/>
          <cell r="BA21">
            <v>63705.665000000008</v>
          </cell>
          <cell r="BB21">
            <v>0</v>
          </cell>
          <cell r="BC21">
            <v>-15898.704999999998</v>
          </cell>
          <cell r="BD21">
            <v>250000</v>
          </cell>
          <cell r="BE21">
            <v>0</v>
          </cell>
          <cell r="BF21">
            <v>-32623.865999999995</v>
          </cell>
          <cell r="BG21">
            <v>0</v>
          </cell>
          <cell r="BH21"/>
          <cell r="BI21"/>
          <cell r="BJ21">
            <v>201477.42900000003</v>
          </cell>
          <cell r="BK21"/>
          <cell r="BL21"/>
          <cell r="BM21"/>
          <cell r="BN21"/>
          <cell r="BO21"/>
        </row>
        <row r="22">
          <cell r="F22">
            <v>1247387.1419973243</v>
          </cell>
          <cell r="G22">
            <v>154271.67137263485</v>
          </cell>
          <cell r="H22">
            <v>107190.41081887063</v>
          </cell>
          <cell r="I22">
            <v>97337.523429941968</v>
          </cell>
          <cell r="J22">
            <v>48138.764154247969</v>
          </cell>
          <cell r="K22">
            <v>74355.052745878027</v>
          </cell>
          <cell r="L22">
            <v>80228.29536714495</v>
          </cell>
          <cell r="M22">
            <v>53067.766494764932</v>
          </cell>
          <cell r="N22">
            <v>91257.338606065983</v>
          </cell>
          <cell r="O22">
            <v>56297.890114361478</v>
          </cell>
          <cell r="P22">
            <v>58387.427480009821</v>
          </cell>
          <cell r="Q22">
            <v>63023.326313164085</v>
          </cell>
          <cell r="R22">
            <v>61094.135710296934</v>
          </cell>
          <cell r="S22">
            <v>136392.65124840254</v>
          </cell>
          <cell r="T22">
            <v>24108.088910798473</v>
          </cell>
          <cell r="U22">
            <v>40034.448072827749</v>
          </cell>
          <cell r="V22">
            <v>36768.243049350385</v>
          </cell>
          <cell r="W22">
            <v>14625.476012163426</v>
          </cell>
          <cell r="X22"/>
          <cell r="Y22"/>
          <cell r="Z22">
            <v>1196578.5099009243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1196578.5099009243</v>
          </cell>
          <cell r="AJ22">
            <v>23291.769931256538</v>
          </cell>
          <cell r="AK22">
            <v>637.85134514340871</v>
          </cell>
          <cell r="AL22">
            <v>26879.01082</v>
          </cell>
          <cell r="AM22"/>
          <cell r="AN22">
            <v>50808.632096399946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/>
          <cell r="BI22"/>
          <cell r="BJ22">
            <v>0</v>
          </cell>
          <cell r="BK22"/>
          <cell r="BL22"/>
          <cell r="BM22"/>
          <cell r="BN22"/>
          <cell r="BO22"/>
        </row>
        <row r="23">
          <cell r="F23">
            <v>249724.23199732427</v>
          </cell>
          <cell r="G23">
            <v>25494.676000948395</v>
          </cell>
          <cell r="H23">
            <v>17714.106354852192</v>
          </cell>
          <cell r="I23">
            <v>16085.834816600585</v>
          </cell>
          <cell r="J23">
            <v>7955.3309060494139</v>
          </cell>
          <cell r="K23">
            <v>13891.402013794534</v>
          </cell>
          <cell r="L23">
            <v>14988.672089782664</v>
          </cell>
          <cell r="M23">
            <v>9914.3992389114737</v>
          </cell>
          <cell r="N23">
            <v>17049.175953359954</v>
          </cell>
          <cell r="O23">
            <v>10517.867921899615</v>
          </cell>
          <cell r="P23">
            <v>10908.246282174201</v>
          </cell>
          <cell r="Q23">
            <v>11774.349284033709</v>
          </cell>
          <cell r="R23">
            <v>11413.927749302864</v>
          </cell>
          <cell r="S23">
            <v>16895.595224036726</v>
          </cell>
          <cell r="T23">
            <v>2986.3816571767834</v>
          </cell>
          <cell r="U23">
            <v>4959.2542080901667</v>
          </cell>
          <cell r="V23">
            <v>4554.6541252390371</v>
          </cell>
          <cell r="W23">
            <v>1811.7260746719758</v>
          </cell>
          <cell r="X23"/>
          <cell r="Y23"/>
          <cell r="Z23">
            <v>198915.59990092431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198915.59990092431</v>
          </cell>
          <cell r="AJ23">
            <v>23291.769931256538</v>
          </cell>
          <cell r="AK23">
            <v>637.85134514340871</v>
          </cell>
          <cell r="AL23">
            <v>26879.01082</v>
          </cell>
          <cell r="AM23"/>
          <cell r="AN23">
            <v>50808.632096399946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392078.28099999996</v>
          </cell>
          <cell r="G24">
            <v>50608.940626725089</v>
          </cell>
          <cell r="H24">
            <v>35163.89683614175</v>
          </cell>
          <cell r="I24">
            <v>31931.649538686524</v>
          </cell>
          <cell r="J24">
            <v>15791.958661299674</v>
          </cell>
          <cell r="K24">
            <v>23762.018217174864</v>
          </cell>
          <cell r="L24">
            <v>25638.959904478943</v>
          </cell>
          <cell r="M24">
            <v>16959.133073351106</v>
          </cell>
          <cell r="N24">
            <v>29163.566729208542</v>
          </cell>
          <cell r="O24">
            <v>17991.399926215858</v>
          </cell>
          <cell r="P24">
            <v>18659.163892676843</v>
          </cell>
          <cell r="Q24">
            <v>20140.68140168699</v>
          </cell>
          <cell r="R24">
            <v>19524.160256763545</v>
          </cell>
          <cell r="S24">
            <v>46961.954625128878</v>
          </cell>
          <cell r="T24">
            <v>8300.7623003497465</v>
          </cell>
          <cell r="U24">
            <v>13784.437186532328</v>
          </cell>
          <cell r="V24">
            <v>12659.835745729202</v>
          </cell>
          <cell r="W24">
            <v>5035.7620778500277</v>
          </cell>
          <cell r="X24"/>
          <cell r="Y24"/>
          <cell r="Z24">
            <v>392078.28099999996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392078.28099999996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605584.62900000007</v>
          </cell>
          <cell r="G25">
            <v>78168.054744961366</v>
          </cell>
          <cell r="H25">
            <v>54312.407627876688</v>
          </cell>
          <cell r="I25">
            <v>49320.039074654851</v>
          </cell>
          <cell r="J25">
            <v>24391.474586898887</v>
          </cell>
          <cell r="K25">
            <v>36701.632514908633</v>
          </cell>
          <cell r="L25">
            <v>39600.663372883333</v>
          </cell>
          <cell r="M25">
            <v>26194.23418250235</v>
          </cell>
          <cell r="N25">
            <v>45044.595923497487</v>
          </cell>
          <cell r="O25">
            <v>27788.622266246006</v>
          </cell>
          <cell r="P25">
            <v>28820.017305158774</v>
          </cell>
          <cell r="Q25">
            <v>31108.295627443385</v>
          </cell>
          <cell r="R25">
            <v>30156.047704230521</v>
          </cell>
          <cell r="S25">
            <v>72535.101399236941</v>
          </cell>
          <cell r="T25">
            <v>12820.944953271943</v>
          </cell>
          <cell r="U25">
            <v>21290.756678205253</v>
          </cell>
          <cell r="V25">
            <v>19553.753178382147</v>
          </cell>
          <cell r="W25">
            <v>7777.9878596414228</v>
          </cell>
          <cell r="X25"/>
          <cell r="Y25"/>
          <cell r="Z25">
            <v>605584.62900000007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605584.62900000007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/>
          <cell r="BI25"/>
          <cell r="BJ25">
            <v>0</v>
          </cell>
          <cell r="BK25"/>
          <cell r="BL25"/>
          <cell r="BM25"/>
          <cell r="BN25"/>
          <cell r="BO25"/>
        </row>
        <row r="26">
          <cell r="F26">
            <v>1174235.6200026786</v>
          </cell>
          <cell r="G26">
            <v>-2850.39937263506</v>
          </cell>
          <cell r="H26">
            <v>-43296.750818870911</v>
          </cell>
          <cell r="I26">
            <v>-23888.845429942143</v>
          </cell>
          <cell r="J26">
            <v>26523.304845752093</v>
          </cell>
          <cell r="K26">
            <v>-16703.859745878071</v>
          </cell>
          <cell r="L26">
            <v>52377.762632854836</v>
          </cell>
          <cell r="M26">
            <v>-42669.719494764962</v>
          </cell>
          <cell r="N26">
            <v>51510.287393934093</v>
          </cell>
          <cell r="O26">
            <v>96056.72788563848</v>
          </cell>
          <cell r="P26">
            <v>18191.433519990314</v>
          </cell>
          <cell r="Q26">
            <v>37610.824686836058</v>
          </cell>
          <cell r="R26">
            <v>96676.348289703034</v>
          </cell>
          <cell r="S26">
            <v>381748.4907515971</v>
          </cell>
          <cell r="T26">
            <v>80200.221089201528</v>
          </cell>
          <cell r="U26">
            <v>228510.93992717224</v>
          </cell>
          <cell r="V26">
            <v>14527.563950649703</v>
          </cell>
          <cell r="W26">
            <v>-9831.4060121633756</v>
          </cell>
          <cell r="X26"/>
          <cell r="Y26"/>
          <cell r="Z26">
            <v>944692.92409907468</v>
          </cell>
          <cell r="AA26">
            <v>43737.339</v>
          </cell>
          <cell r="AB26">
            <v>-529.66499999999996</v>
          </cell>
          <cell r="AC26">
            <v>9100.2199999999993</v>
          </cell>
          <cell r="AD26">
            <v>18860.065999999999</v>
          </cell>
          <cell r="AE26"/>
          <cell r="AF26"/>
          <cell r="AG26"/>
          <cell r="AH26">
            <v>71167.959999999992</v>
          </cell>
          <cell r="AI26">
            <v>1015860.88409907</v>
          </cell>
          <cell r="AJ26">
            <v>53934.357068743455</v>
          </cell>
          <cell r="AK26">
            <v>-83948.514345143412</v>
          </cell>
          <cell r="AL26">
            <v>-119943.69382000009</v>
          </cell>
          <cell r="AM26"/>
          <cell r="AN26">
            <v>-149957.85109640006</v>
          </cell>
          <cell r="AO26">
            <v>44005.329000002384</v>
          </cell>
          <cell r="AP26">
            <v>-855.83600000000001</v>
          </cell>
          <cell r="AQ26"/>
          <cell r="AR26"/>
          <cell r="AS26">
            <v>43149.493000002381</v>
          </cell>
          <cell r="AT26">
            <v>4056.6040000000003</v>
          </cell>
          <cell r="AU26">
            <v>-2025.8600000000006</v>
          </cell>
          <cell r="AV26">
            <v>61674.921000000002</v>
          </cell>
          <cell r="AW26"/>
          <cell r="AX26"/>
          <cell r="AY26"/>
          <cell r="AZ26"/>
          <cell r="BA26">
            <v>63705.665000000008</v>
          </cell>
          <cell r="BB26">
            <v>0</v>
          </cell>
          <cell r="BC26">
            <v>-15898.704999999998</v>
          </cell>
          <cell r="BD26">
            <v>250000</v>
          </cell>
          <cell r="BE26">
            <v>0</v>
          </cell>
          <cell r="BF26">
            <v>-32623.865999999995</v>
          </cell>
          <cell r="BG26">
            <v>0</v>
          </cell>
          <cell r="BH26"/>
          <cell r="BI26"/>
          <cell r="BJ26">
            <v>201477.42900000003</v>
          </cell>
          <cell r="BK26"/>
          <cell r="BL26"/>
          <cell r="BM26"/>
          <cell r="BN26"/>
          <cell r="BO26"/>
        </row>
        <row r="27">
          <cell r="F27">
            <v>1174235.6200026777</v>
          </cell>
          <cell r="G27">
            <v>-2850.3993726350109</v>
          </cell>
          <cell r="H27">
            <v>-43296.750818870911</v>
          </cell>
          <cell r="I27">
            <v>-23888.845429942128</v>
          </cell>
          <cell r="J27">
            <v>26523.304845752096</v>
          </cell>
          <cell r="K27">
            <v>-16703.859745878079</v>
          </cell>
          <cell r="L27">
            <v>52377.762632854843</v>
          </cell>
          <cell r="M27">
            <v>-42669.719494764962</v>
          </cell>
          <cell r="N27">
            <v>51510.28739393413</v>
          </cell>
          <cell r="O27">
            <v>96056.727885638451</v>
          </cell>
          <cell r="P27">
            <v>18191.433519990311</v>
          </cell>
          <cell r="Q27">
            <v>37610.824686836058</v>
          </cell>
          <cell r="R27">
            <v>96676.348289703048</v>
          </cell>
          <cell r="S27">
            <v>381748.4907515971</v>
          </cell>
          <cell r="T27">
            <v>80200.221089201528</v>
          </cell>
          <cell r="U27">
            <v>228510.93992717221</v>
          </cell>
          <cell r="V27">
            <v>14527.563950649715</v>
          </cell>
          <cell r="W27">
            <v>-9831.4060121633756</v>
          </cell>
          <cell r="X27"/>
          <cell r="Y27"/>
          <cell r="Z27">
            <v>944692.92409907503</v>
          </cell>
          <cell r="AA27">
            <v>43737.339</v>
          </cell>
          <cell r="AB27">
            <v>-529.66499999999996</v>
          </cell>
          <cell r="AC27">
            <v>9100.2199999999993</v>
          </cell>
          <cell r="AD27">
            <v>18860.065999999999</v>
          </cell>
          <cell r="AE27"/>
          <cell r="AF27"/>
          <cell r="AG27"/>
          <cell r="AH27">
            <v>71167.959999999992</v>
          </cell>
          <cell r="AI27">
            <v>1015860.884099075</v>
          </cell>
          <cell r="AJ27">
            <v>53934.357068743455</v>
          </cell>
          <cell r="AK27">
            <v>-83948.514345143412</v>
          </cell>
          <cell r="AL27">
            <v>-119943.69382000009</v>
          </cell>
          <cell r="AM27"/>
          <cell r="AN27">
            <v>-149957.85109640006</v>
          </cell>
          <cell r="AO27">
            <v>44005.329000002384</v>
          </cell>
          <cell r="AP27">
            <v>-855.83600000000001</v>
          </cell>
          <cell r="AQ27"/>
          <cell r="AR27"/>
          <cell r="AS27">
            <v>43149.493000002381</v>
          </cell>
          <cell r="AT27">
            <v>4056.6040000000003</v>
          </cell>
          <cell r="AU27">
            <v>-2025.8600000000006</v>
          </cell>
          <cell r="AV27">
            <v>61674.921000000002</v>
          </cell>
          <cell r="AW27"/>
          <cell r="AX27"/>
          <cell r="AY27"/>
          <cell r="AZ27"/>
          <cell r="BA27">
            <v>63705.665000000001</v>
          </cell>
          <cell r="BB27">
            <v>0</v>
          </cell>
          <cell r="BC27">
            <v>-15898.704999999998</v>
          </cell>
          <cell r="BD27">
            <v>250000</v>
          </cell>
          <cell r="BE27">
            <v>0</v>
          </cell>
          <cell r="BF27">
            <v>-32623.865999999998</v>
          </cell>
          <cell r="BG27">
            <v>0</v>
          </cell>
          <cell r="BH27"/>
          <cell r="BI27"/>
          <cell r="BJ27">
            <v>201477.429</v>
          </cell>
          <cell r="BK27"/>
          <cell r="BL27"/>
          <cell r="BM27"/>
          <cell r="BN27"/>
          <cell r="BO27"/>
        </row>
        <row r="28">
          <cell r="F28">
            <v>0</v>
          </cell>
          <cell r="G28">
            <v>-4.9112713895738125E-11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-5.005858838558197E-9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39055</v>
          </cell>
          <cell r="H31">
            <v>26461</v>
          </cell>
          <cell r="I31">
            <v>26270</v>
          </cell>
          <cell r="J31">
            <v>12124</v>
          </cell>
          <cell r="K31">
            <v>16752</v>
          </cell>
          <cell r="L31">
            <v>19663</v>
          </cell>
          <cell r="M31">
            <v>13655</v>
          </cell>
          <cell r="N31">
            <v>21756</v>
          </cell>
          <cell r="O31">
            <v>13908</v>
          </cell>
          <cell r="P31">
            <v>14580</v>
          </cell>
          <cell r="Q31">
            <v>15640</v>
          </cell>
          <cell r="R31">
            <v>14267</v>
          </cell>
          <cell r="S31">
            <v>35142.5</v>
          </cell>
          <cell r="T31">
            <v>5544</v>
          </cell>
          <cell r="U31">
            <v>9023</v>
          </cell>
          <cell r="V31">
            <v>9669.5</v>
          </cell>
          <cell r="W31">
            <v>3047</v>
          </cell>
          <cell r="X31">
            <v>0</v>
          </cell>
          <cell r="Y31">
            <v>0</v>
          </cell>
          <cell r="Z31">
            <v>296557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296557</v>
          </cell>
          <cell r="AJ31">
            <v>20119</v>
          </cell>
          <cell r="AK31">
            <v>1360</v>
          </cell>
          <cell r="AL31">
            <v>38611</v>
          </cell>
          <cell r="AM31"/>
          <cell r="AN31">
            <v>60090</v>
          </cell>
          <cell r="AO31">
            <v>8972.0079999999998</v>
          </cell>
          <cell r="AP31">
            <v>0</v>
          </cell>
          <cell r="AQ31"/>
          <cell r="AR31"/>
          <cell r="AS31">
            <v>8972.0079999999998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38619550.917000003</v>
          </cell>
          <cell r="G32">
            <v>3682427.3119999999</v>
          </cell>
          <cell r="H32">
            <v>2558609.0619999999</v>
          </cell>
          <cell r="I32">
            <v>2323423.034</v>
          </cell>
          <cell r="J32">
            <v>1149060.6040000001</v>
          </cell>
          <cell r="K32">
            <v>1728981.16</v>
          </cell>
          <cell r="L32">
            <v>1865551.9169999999</v>
          </cell>
          <cell r="M32">
            <v>1233987</v>
          </cell>
          <cell r="N32">
            <v>2122010.7220000001</v>
          </cell>
          <cell r="O32">
            <v>1309097.2</v>
          </cell>
          <cell r="P32">
            <v>1357685.3</v>
          </cell>
          <cell r="Q32">
            <v>1465484.05</v>
          </cell>
          <cell r="R32">
            <v>1420624.5</v>
          </cell>
          <cell r="S32">
            <v>3417063.906</v>
          </cell>
          <cell r="T32">
            <v>603983.277</v>
          </cell>
          <cell r="U32">
            <v>1002988.55</v>
          </cell>
          <cell r="V32">
            <v>921159.86499999999</v>
          </cell>
          <cell r="W32">
            <v>366414.06800000003</v>
          </cell>
          <cell r="X32">
            <v>0</v>
          </cell>
          <cell r="Y32">
            <v>0</v>
          </cell>
          <cell r="Z32">
            <v>28528551.526999999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E32"/>
          <cell r="AF32"/>
          <cell r="AG32"/>
          <cell r="AH32">
            <v>90840</v>
          </cell>
          <cell r="AI32">
            <v>28619391.526999999</v>
          </cell>
          <cell r="AJ32">
            <v>571110</v>
          </cell>
          <cell r="AK32">
            <v>15640</v>
          </cell>
          <cell r="AL32">
            <v>659068.5</v>
          </cell>
          <cell r="AM32"/>
          <cell r="AN32">
            <v>1245818.5</v>
          </cell>
          <cell r="AO32">
            <v>8678685.2690000013</v>
          </cell>
          <cell r="AP32">
            <v>0</v>
          </cell>
          <cell r="AQ32"/>
          <cell r="AR32"/>
          <cell r="AS32">
            <v>8678685.2690000013</v>
          </cell>
          <cell r="AT32">
            <v>5512.5</v>
          </cell>
          <cell r="AU32">
            <v>6650</v>
          </cell>
          <cell r="AV32">
            <v>61674.921000000002</v>
          </cell>
          <cell r="AW32"/>
          <cell r="AX32"/>
          <cell r="AY32"/>
          <cell r="AZ32"/>
          <cell r="BA32">
            <v>73837.421000000002</v>
          </cell>
          <cell r="BB32">
            <v>0</v>
          </cell>
          <cell r="BC32">
            <v>1818.2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1818.2</v>
          </cell>
        </row>
        <row r="33">
          <cell r="F33">
            <v>35232878.794999994</v>
          </cell>
          <cell r="G33">
            <v>3450659.6869999999</v>
          </cell>
          <cell r="H33">
            <v>2430424.2290000003</v>
          </cell>
          <cell r="I33">
            <v>2198878.077</v>
          </cell>
          <cell r="J33">
            <v>1035613.307</v>
          </cell>
          <cell r="K33">
            <v>1612813.0209999999</v>
          </cell>
          <cell r="L33">
            <v>1677038.8150000002</v>
          </cell>
          <cell r="M33">
            <v>1181987.8489999999</v>
          </cell>
          <cell r="N33">
            <v>1925192.486</v>
          </cell>
          <cell r="O33">
            <v>1122333.003</v>
          </cell>
          <cell r="P33">
            <v>1231231.7139999999</v>
          </cell>
          <cell r="Q33">
            <v>1325158.1609999998</v>
          </cell>
          <cell r="R33">
            <v>1233725.152</v>
          </cell>
          <cell r="S33">
            <v>2848826.6450000005</v>
          </cell>
          <cell r="T33">
            <v>487443.36199999996</v>
          </cell>
          <cell r="U33">
            <v>722242.53300000005</v>
          </cell>
          <cell r="V33">
            <v>833338.86399999994</v>
          </cell>
          <cell r="W33">
            <v>346578.27599999995</v>
          </cell>
          <cell r="X33">
            <v>0</v>
          </cell>
          <cell r="Y33">
            <v>0</v>
          </cell>
          <cell r="Z33">
            <v>25663485.180999998</v>
          </cell>
          <cell r="AA33">
            <v>6262.6610000000001</v>
          </cell>
          <cell r="AB33">
            <v>0</v>
          </cell>
          <cell r="AC33">
            <v>3399.78</v>
          </cell>
          <cell r="AD33">
            <v>9479.9339999999993</v>
          </cell>
          <cell r="AE33"/>
          <cell r="AF33"/>
          <cell r="AG33"/>
          <cell r="AH33">
            <v>19142.375</v>
          </cell>
          <cell r="AI33">
            <v>25682627.555999998</v>
          </cell>
          <cell r="AJ33">
            <v>493883.87300000002</v>
          </cell>
          <cell r="AK33">
            <v>75932.933999999994</v>
          </cell>
          <cell r="AL33">
            <v>752133.18300000008</v>
          </cell>
          <cell r="AM33"/>
          <cell r="AN33">
            <v>1321949.9900000002</v>
          </cell>
          <cell r="AO33">
            <v>8468169.4929999989</v>
          </cell>
          <cell r="AP33">
            <v>0</v>
          </cell>
          <cell r="AQ33"/>
          <cell r="AR33"/>
          <cell r="AS33">
            <v>8468169.4929999989</v>
          </cell>
          <cell r="AT33">
            <v>1455.896</v>
          </cell>
          <cell r="AU33">
            <v>8675.86</v>
          </cell>
          <cell r="AV33">
            <v>0</v>
          </cell>
          <cell r="AW33"/>
          <cell r="AX33"/>
          <cell r="AY33"/>
          <cell r="AZ33"/>
          <cell r="BA33">
            <v>10131.756000000001</v>
          </cell>
          <cell r="BB33">
            <v>0</v>
          </cell>
          <cell r="BC33">
            <v>0</v>
          </cell>
          <cell r="BD33">
            <v>-250000</v>
          </cell>
          <cell r="BE33">
            <v>0</v>
          </cell>
          <cell r="BF33">
            <v>0</v>
          </cell>
          <cell r="BG33">
            <v>0</v>
          </cell>
          <cell r="BH33"/>
          <cell r="BI33"/>
          <cell r="BJ33">
            <v>-250000</v>
          </cell>
        </row>
        <row r="34">
          <cell r="F34">
            <v>3386672.1220000088</v>
          </cell>
          <cell r="G34">
            <v>231767.625</v>
          </cell>
          <cell r="H34">
            <v>128184.83299999963</v>
          </cell>
          <cell r="I34">
            <v>124544.95699999994</v>
          </cell>
          <cell r="J34">
            <v>113447.29700000002</v>
          </cell>
          <cell r="K34">
            <v>116168.13899999997</v>
          </cell>
          <cell r="L34">
            <v>188513.10199999972</v>
          </cell>
          <cell r="M34">
            <v>51999.151000000071</v>
          </cell>
          <cell r="N34">
            <v>196818.23600000003</v>
          </cell>
          <cell r="O34">
            <v>186764.19699999993</v>
          </cell>
          <cell r="P34">
            <v>126453.58600000013</v>
          </cell>
          <cell r="Q34">
            <v>140325.8890000002</v>
          </cell>
          <cell r="R34">
            <v>186899.348</v>
          </cell>
          <cell r="S34">
            <v>568237.26099999947</v>
          </cell>
          <cell r="T34">
            <v>116539.91500000004</v>
          </cell>
          <cell r="U34">
            <v>280746.01699999999</v>
          </cell>
          <cell r="V34">
            <v>87821.001000000047</v>
          </cell>
          <cell r="W34">
            <v>19835.792000000074</v>
          </cell>
          <cell r="X34">
            <v>0</v>
          </cell>
          <cell r="Y34">
            <v>0</v>
          </cell>
          <cell r="Z34">
            <v>2865066.3460000008</v>
          </cell>
          <cell r="AA34">
            <v>43737.339</v>
          </cell>
          <cell r="AB34">
            <v>0</v>
          </cell>
          <cell r="AC34">
            <v>9100.2199999999993</v>
          </cell>
          <cell r="AD34">
            <v>18860.065999999999</v>
          </cell>
          <cell r="AE34"/>
          <cell r="AF34"/>
          <cell r="AG34"/>
          <cell r="AH34">
            <v>71697.625</v>
          </cell>
          <cell r="AI34">
            <v>2936763.9710000008</v>
          </cell>
          <cell r="AJ34">
            <v>77226.126999999979</v>
          </cell>
          <cell r="AK34">
            <v>-60292.933999999994</v>
          </cell>
          <cell r="AL34">
            <v>-93064.683000000077</v>
          </cell>
          <cell r="AM34"/>
          <cell r="AN34">
            <v>-76131.490000000224</v>
          </cell>
          <cell r="AO34">
            <v>210515.7760000024</v>
          </cell>
          <cell r="AP34">
            <v>0</v>
          </cell>
          <cell r="AQ34"/>
          <cell r="AR34"/>
          <cell r="AS34">
            <v>210515.7760000024</v>
          </cell>
          <cell r="AT34">
            <v>4056.6040000000003</v>
          </cell>
          <cell r="AU34">
            <v>-2025.8600000000006</v>
          </cell>
          <cell r="AV34">
            <v>61674.921000000002</v>
          </cell>
          <cell r="AW34"/>
          <cell r="AX34"/>
          <cell r="AY34"/>
          <cell r="AZ34"/>
          <cell r="BA34">
            <v>63705.665000000001</v>
          </cell>
          <cell r="BB34">
            <v>0</v>
          </cell>
          <cell r="BC34">
            <v>1818.2</v>
          </cell>
          <cell r="BD34">
            <v>250000</v>
          </cell>
          <cell r="BE34">
            <v>0</v>
          </cell>
          <cell r="BF34">
            <v>0</v>
          </cell>
          <cell r="BG34">
            <v>0</v>
          </cell>
          <cell r="BH34"/>
          <cell r="BI34"/>
          <cell r="BJ34">
            <v>251818.2</v>
          </cell>
        </row>
        <row r="35">
          <cell r="F35">
            <v>2212436.5019973242</v>
          </cell>
          <cell r="G35">
            <v>234618.02437263486</v>
          </cell>
          <cell r="H35">
            <v>171481.58381887063</v>
          </cell>
          <cell r="I35">
            <v>148433.80242994198</v>
          </cell>
          <cell r="J35">
            <v>86923.992154247971</v>
          </cell>
          <cell r="K35">
            <v>132871.99874587802</v>
          </cell>
          <cell r="L35">
            <v>136135.33936714494</v>
          </cell>
          <cell r="M35">
            <v>94668.870494764924</v>
          </cell>
          <cell r="N35">
            <v>145307.94860606597</v>
          </cell>
          <cell r="O35">
            <v>90707.469114361476</v>
          </cell>
          <cell r="P35">
            <v>108262.15248000983</v>
          </cell>
          <cell r="Q35">
            <v>102715.06431316408</v>
          </cell>
          <cell r="R35">
            <v>90222.999710296936</v>
          </cell>
          <cell r="S35">
            <v>186488.77024840255</v>
          </cell>
          <cell r="T35">
            <v>36339.693910798473</v>
          </cell>
          <cell r="U35">
            <v>52235.077072827749</v>
          </cell>
          <cell r="V35">
            <v>73293.437049350396</v>
          </cell>
          <cell r="W35">
            <v>29667.198012163426</v>
          </cell>
          <cell r="X35">
            <v>0</v>
          </cell>
          <cell r="Y35">
            <v>0</v>
          </cell>
          <cell r="Z35">
            <v>1920373.4219009243</v>
          </cell>
          <cell r="AA35">
            <v>0</v>
          </cell>
          <cell r="AB35">
            <v>529.66499999999996</v>
          </cell>
          <cell r="AC35">
            <v>0</v>
          </cell>
          <cell r="AD35">
            <v>0</v>
          </cell>
          <cell r="AE35"/>
          <cell r="AF35"/>
          <cell r="AG35"/>
          <cell r="AH35">
            <v>529.66499999999996</v>
          </cell>
          <cell r="AI35">
            <v>1920903.0869009243</v>
          </cell>
          <cell r="AJ35">
            <v>23291.769931256538</v>
          </cell>
          <cell r="AK35">
            <v>23655.580345143408</v>
          </cell>
          <cell r="AL35">
            <v>26879.01082</v>
          </cell>
          <cell r="AM35"/>
          <cell r="AN35">
            <v>73826.361096399938</v>
          </cell>
          <cell r="AO35">
            <v>166510.44700000001</v>
          </cell>
          <cell r="AP35">
            <v>855.83600000000001</v>
          </cell>
          <cell r="AQ35"/>
          <cell r="AR35"/>
          <cell r="AS35">
            <v>167366.28300000002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17716.904999999999</v>
          </cell>
          <cell r="BD35">
            <v>0</v>
          </cell>
          <cell r="BE35">
            <v>0</v>
          </cell>
          <cell r="BF35">
            <v>32623.865999999995</v>
          </cell>
          <cell r="BG35">
            <v>0</v>
          </cell>
          <cell r="BH35"/>
          <cell r="BI35"/>
          <cell r="BJ35">
            <v>50340.770999999993</v>
          </cell>
        </row>
        <row r="36">
          <cell r="F36">
            <v>1174235.6200026846</v>
          </cell>
          <cell r="G36">
            <v>-2850.3993726348563</v>
          </cell>
          <cell r="H36">
            <v>-43296.750818870991</v>
          </cell>
          <cell r="I36">
            <v>-23888.845429942041</v>
          </cell>
          <cell r="J36">
            <v>26523.304845752049</v>
          </cell>
          <cell r="K36">
            <v>-16703.859745878057</v>
          </cell>
          <cell r="L36">
            <v>52377.762632854778</v>
          </cell>
          <cell r="M36">
            <v>-42669.719494764853</v>
          </cell>
          <cell r="N36">
            <v>51510.287393934064</v>
          </cell>
          <cell r="O36">
            <v>96056.727885638451</v>
          </cell>
          <cell r="P36">
            <v>18191.4335199903</v>
          </cell>
          <cell r="Q36">
            <v>37610.824686836117</v>
          </cell>
          <cell r="R36">
            <v>96676.348289703063</v>
          </cell>
          <cell r="S36">
            <v>381748.49075159692</v>
          </cell>
          <cell r="T36">
            <v>80200.221089201572</v>
          </cell>
          <cell r="U36">
            <v>228510.93992717224</v>
          </cell>
          <cell r="V36">
            <v>14527.563950649652</v>
          </cell>
          <cell r="W36">
            <v>-9831.406012163352</v>
          </cell>
          <cell r="X36">
            <v>0</v>
          </cell>
          <cell r="Y36">
            <v>0</v>
          </cell>
          <cell r="Z36">
            <v>944692.92409907654</v>
          </cell>
          <cell r="AA36">
            <v>43737.339</v>
          </cell>
          <cell r="AB36">
            <v>-529.66499999999996</v>
          </cell>
          <cell r="AC36">
            <v>9100.2199999999993</v>
          </cell>
          <cell r="AD36">
            <v>18860.065999999999</v>
          </cell>
          <cell r="AE36"/>
          <cell r="AF36"/>
          <cell r="AG36"/>
          <cell r="AH36">
            <v>71167.960000000006</v>
          </cell>
          <cell r="AI36">
            <v>1015860.8840990765</v>
          </cell>
          <cell r="AJ36">
            <v>53934.35706874344</v>
          </cell>
          <cell r="AK36">
            <v>-83948.514345143398</v>
          </cell>
          <cell r="AL36">
            <v>-119943.69382000007</v>
          </cell>
          <cell r="AM36"/>
          <cell r="AN36">
            <v>-149957.85109640018</v>
          </cell>
          <cell r="AO36">
            <v>44005.329000002384</v>
          </cell>
          <cell r="AP36">
            <v>-855.83600000000001</v>
          </cell>
          <cell r="AQ36"/>
          <cell r="AR36"/>
          <cell r="AS36">
            <v>43149.493000002374</v>
          </cell>
          <cell r="AT36">
            <v>4056.6040000000003</v>
          </cell>
          <cell r="AU36">
            <v>-2025.8600000000006</v>
          </cell>
          <cell r="AV36">
            <v>61674.921000000002</v>
          </cell>
          <cell r="AW36"/>
          <cell r="AX36"/>
          <cell r="AY36"/>
          <cell r="AZ36"/>
          <cell r="BA36">
            <v>63705.665000000001</v>
          </cell>
          <cell r="BB36">
            <v>0</v>
          </cell>
          <cell r="BC36">
            <v>-15898.704999999998</v>
          </cell>
          <cell r="BD36">
            <v>250000</v>
          </cell>
          <cell r="BE36">
            <v>0</v>
          </cell>
          <cell r="BF36">
            <v>-32623.865999999995</v>
          </cell>
          <cell r="BG36">
            <v>0</v>
          </cell>
          <cell r="BH36"/>
          <cell r="BI36"/>
          <cell r="BJ36">
            <v>201477.429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-12792</v>
          </cell>
          <cell r="AK38">
            <v>0</v>
          </cell>
          <cell r="AL38">
            <v>-25763</v>
          </cell>
          <cell r="AM38"/>
          <cell r="AN38">
            <v>-38555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-822340.5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-373128</v>
          </cell>
          <cell r="AK39">
            <v>0</v>
          </cell>
          <cell r="AL39">
            <v>-449212.5</v>
          </cell>
          <cell r="AM39"/>
          <cell r="AN39">
            <v>-822340.5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-822340.50000000012</v>
          </cell>
          <cell r="G40"/>
          <cell r="H40"/>
          <cell r="I40"/>
          <cell r="J40"/>
          <cell r="K40">
            <v>-40468.673000000003</v>
          </cell>
          <cell r="L40">
            <v>50335.392</v>
          </cell>
          <cell r="M40">
            <v>-5145.3450000000003</v>
          </cell>
          <cell r="N40">
            <v>-12255</v>
          </cell>
          <cell r="O40">
            <v>0</v>
          </cell>
          <cell r="P40">
            <v>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-7533.6260000000029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-7533.6260000000029</v>
          </cell>
          <cell r="AJ40">
            <v>-314224.77100000001</v>
          </cell>
          <cell r="AK40">
            <v>0</v>
          </cell>
          <cell r="AL40">
            <v>-500582.103</v>
          </cell>
          <cell r="AM40"/>
          <cell r="AN40">
            <v>-814806.87400000007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40468.673000000003</v>
          </cell>
          <cell r="L41">
            <v>-50335.392</v>
          </cell>
          <cell r="M41">
            <v>5145.3450000000003</v>
          </cell>
          <cell r="N41">
            <v>12255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7533.6260000000029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7533.6260000000029</v>
          </cell>
          <cell r="AJ41">
            <v>-58903.228999999992</v>
          </cell>
          <cell r="AK41">
            <v>0</v>
          </cell>
          <cell r="AL41">
            <v>51369.603000000003</v>
          </cell>
          <cell r="AM41"/>
          <cell r="AN41">
            <v>-7533.6259999999311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40468.673000000003</v>
          </cell>
          <cell r="L43">
            <v>-50335.392</v>
          </cell>
          <cell r="M43">
            <v>5145.3450000000003</v>
          </cell>
          <cell r="N43">
            <v>12255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7533.6260000000029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7533.6260000000029</v>
          </cell>
          <cell r="AJ43">
            <v>-58903.228999999992</v>
          </cell>
          <cell r="AK43">
            <v>0</v>
          </cell>
          <cell r="AL43">
            <v>51369.603000000003</v>
          </cell>
          <cell r="AM43"/>
          <cell r="AN43">
            <v>-7533.6259999999311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39055</v>
          </cell>
          <cell r="H45">
            <v>26461</v>
          </cell>
          <cell r="I45">
            <v>26270</v>
          </cell>
          <cell r="J45">
            <v>12124</v>
          </cell>
          <cell r="K45">
            <v>16752</v>
          </cell>
          <cell r="L45">
            <v>19663</v>
          </cell>
          <cell r="M45">
            <v>13655</v>
          </cell>
          <cell r="N45">
            <v>21756</v>
          </cell>
          <cell r="O45">
            <v>13908</v>
          </cell>
          <cell r="P45">
            <v>14580</v>
          </cell>
          <cell r="Q45">
            <v>15640</v>
          </cell>
          <cell r="R45">
            <v>14267</v>
          </cell>
          <cell r="S45">
            <v>35142.5</v>
          </cell>
          <cell r="T45">
            <v>5544</v>
          </cell>
          <cell r="U45">
            <v>9023</v>
          </cell>
          <cell r="V45">
            <v>9669.5</v>
          </cell>
          <cell r="W45">
            <v>3047</v>
          </cell>
          <cell r="X45">
            <v>0</v>
          </cell>
          <cell r="Y45">
            <v>0</v>
          </cell>
          <cell r="Z45">
            <v>296557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296557</v>
          </cell>
          <cell r="AJ45">
            <v>7327</v>
          </cell>
          <cell r="AK45">
            <v>1360</v>
          </cell>
          <cell r="AL45">
            <v>12848</v>
          </cell>
          <cell r="AM45"/>
          <cell r="AN45">
            <v>21535</v>
          </cell>
          <cell r="AO45">
            <v>8972.0079999999998</v>
          </cell>
          <cell r="AP45">
            <v>0</v>
          </cell>
          <cell r="AQ45"/>
          <cell r="AR45"/>
          <cell r="AS45">
            <v>8972.0079999999998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37797210.417000003</v>
          </cell>
          <cell r="G46">
            <v>3682427.3119999999</v>
          </cell>
          <cell r="H46">
            <v>2558609.0619999999</v>
          </cell>
          <cell r="I46">
            <v>2323423.034</v>
          </cell>
          <cell r="J46">
            <v>1149060.6040000001</v>
          </cell>
          <cell r="K46">
            <v>1728981.16</v>
          </cell>
          <cell r="L46">
            <v>1865551.9169999999</v>
          </cell>
          <cell r="M46">
            <v>1233987</v>
          </cell>
          <cell r="N46">
            <v>2122010.7220000001</v>
          </cell>
          <cell r="O46">
            <v>1309097.2</v>
          </cell>
          <cell r="P46">
            <v>1357685.3</v>
          </cell>
          <cell r="Q46">
            <v>1465484.05</v>
          </cell>
          <cell r="R46">
            <v>1420624.5</v>
          </cell>
          <cell r="S46">
            <v>3417063.906</v>
          </cell>
          <cell r="T46">
            <v>603983.277</v>
          </cell>
          <cell r="U46">
            <v>1002988.55</v>
          </cell>
          <cell r="V46">
            <v>921159.86499999999</v>
          </cell>
          <cell r="W46">
            <v>366414.06800000003</v>
          </cell>
          <cell r="X46">
            <v>0</v>
          </cell>
          <cell r="Y46">
            <v>0</v>
          </cell>
          <cell r="Z46">
            <v>28528551.526999999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E46"/>
          <cell r="AF46"/>
          <cell r="AG46"/>
          <cell r="AH46">
            <v>90840</v>
          </cell>
          <cell r="AI46">
            <v>28619391.526999999</v>
          </cell>
          <cell r="AJ46">
            <v>197982</v>
          </cell>
          <cell r="AK46">
            <v>15640</v>
          </cell>
          <cell r="AL46">
            <v>209856</v>
          </cell>
          <cell r="AM46"/>
          <cell r="AN46">
            <v>423478</v>
          </cell>
          <cell r="AO46">
            <v>8678685.2690000013</v>
          </cell>
          <cell r="AP46">
            <v>0</v>
          </cell>
          <cell r="AQ46"/>
          <cell r="AR46"/>
          <cell r="AS46">
            <v>8678685.2690000013</v>
          </cell>
          <cell r="AT46">
            <v>5512.5</v>
          </cell>
          <cell r="AU46">
            <v>6650</v>
          </cell>
          <cell r="AV46">
            <v>61674.921000000002</v>
          </cell>
          <cell r="AW46"/>
          <cell r="AX46"/>
          <cell r="AY46"/>
          <cell r="AZ46"/>
          <cell r="BA46">
            <v>73837.421000000002</v>
          </cell>
          <cell r="BB46">
            <v>0</v>
          </cell>
          <cell r="BC46">
            <v>1818.2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1818.2</v>
          </cell>
        </row>
        <row r="47">
          <cell r="F47">
            <v>34410538.294999994</v>
          </cell>
          <cell r="G47">
            <v>3450659.6869999999</v>
          </cell>
          <cell r="H47">
            <v>2430424.2290000003</v>
          </cell>
          <cell r="I47">
            <v>2198878.077</v>
          </cell>
          <cell r="J47">
            <v>1035613.307</v>
          </cell>
          <cell r="K47">
            <v>1572344.348</v>
          </cell>
          <cell r="L47">
            <v>1727374.2070000002</v>
          </cell>
          <cell r="M47">
            <v>1176842.504</v>
          </cell>
          <cell r="N47">
            <v>1912937.486</v>
          </cell>
          <cell r="O47">
            <v>1122333.003</v>
          </cell>
          <cell r="P47">
            <v>1231231.7139999999</v>
          </cell>
          <cell r="Q47">
            <v>1325158.1609999998</v>
          </cell>
          <cell r="R47">
            <v>1233725.152</v>
          </cell>
          <cell r="S47">
            <v>2848826.6450000005</v>
          </cell>
          <cell r="T47">
            <v>487443.36199999996</v>
          </cell>
          <cell r="U47">
            <v>722242.53300000005</v>
          </cell>
          <cell r="V47">
            <v>833338.86399999994</v>
          </cell>
          <cell r="W47">
            <v>346578.27599999995</v>
          </cell>
          <cell r="X47">
            <v>0</v>
          </cell>
          <cell r="Y47">
            <v>0</v>
          </cell>
          <cell r="Z47">
            <v>25655951.555</v>
          </cell>
          <cell r="AA47">
            <v>6262.6610000000001</v>
          </cell>
          <cell r="AB47">
            <v>0</v>
          </cell>
          <cell r="AC47">
            <v>3399.78</v>
          </cell>
          <cell r="AD47">
            <v>9479.9339999999993</v>
          </cell>
          <cell r="AE47"/>
          <cell r="AF47"/>
          <cell r="AG47"/>
          <cell r="AH47">
            <v>19142.375</v>
          </cell>
          <cell r="AI47">
            <v>25675093.93</v>
          </cell>
          <cell r="AJ47">
            <v>179659.10200000001</v>
          </cell>
          <cell r="AK47">
            <v>75932.933999999994</v>
          </cell>
          <cell r="AL47">
            <v>251551.08000000007</v>
          </cell>
          <cell r="AM47"/>
          <cell r="AN47">
            <v>507143.1160000001</v>
          </cell>
          <cell r="AO47">
            <v>8468169.4929999989</v>
          </cell>
          <cell r="AP47">
            <v>0</v>
          </cell>
          <cell r="AQ47"/>
          <cell r="AR47"/>
          <cell r="AS47">
            <v>8468169.4929999989</v>
          </cell>
          <cell r="AT47">
            <v>1455.896</v>
          </cell>
          <cell r="AU47">
            <v>8675.86</v>
          </cell>
          <cell r="AV47">
            <v>0</v>
          </cell>
          <cell r="AW47"/>
          <cell r="AX47"/>
          <cell r="AY47"/>
          <cell r="AZ47"/>
          <cell r="BA47">
            <v>10131.756000000001</v>
          </cell>
          <cell r="BB47">
            <v>0</v>
          </cell>
          <cell r="BC47">
            <v>0</v>
          </cell>
          <cell r="BD47">
            <v>-250000</v>
          </cell>
          <cell r="BE47">
            <v>0</v>
          </cell>
          <cell r="BF47">
            <v>0</v>
          </cell>
          <cell r="BG47">
            <v>0</v>
          </cell>
          <cell r="BH47"/>
          <cell r="BI47"/>
          <cell r="BJ47">
            <v>-250000</v>
          </cell>
        </row>
        <row r="48">
          <cell r="F48">
            <v>3386672.1220000088</v>
          </cell>
          <cell r="G48">
            <v>231767.625</v>
          </cell>
          <cell r="H48">
            <v>128184.83299999963</v>
          </cell>
          <cell r="I48">
            <v>124544.95699999994</v>
          </cell>
          <cell r="J48">
            <v>113447.29700000002</v>
          </cell>
          <cell r="K48">
            <v>156636.81199999992</v>
          </cell>
          <cell r="L48">
            <v>138177.70999999973</v>
          </cell>
          <cell r="M48">
            <v>57144.496000000043</v>
          </cell>
          <cell r="N48">
            <v>209073.23600000003</v>
          </cell>
          <cell r="O48">
            <v>186764.19699999993</v>
          </cell>
          <cell r="P48">
            <v>126453.58600000013</v>
          </cell>
          <cell r="Q48">
            <v>140325.8890000002</v>
          </cell>
          <cell r="R48">
            <v>186899.348</v>
          </cell>
          <cell r="S48">
            <v>568237.26099999947</v>
          </cell>
          <cell r="T48">
            <v>116539.91500000004</v>
          </cell>
          <cell r="U48">
            <v>280746.01699999999</v>
          </cell>
          <cell r="V48">
            <v>87821.001000000047</v>
          </cell>
          <cell r="W48">
            <v>19835.792000000074</v>
          </cell>
          <cell r="X48">
            <v>0</v>
          </cell>
          <cell r="Y48">
            <v>0</v>
          </cell>
          <cell r="Z48">
            <v>2872599.9719999991</v>
          </cell>
          <cell r="AA48">
            <v>43737.339</v>
          </cell>
          <cell r="AB48">
            <v>0</v>
          </cell>
          <cell r="AC48">
            <v>9100.2199999999993</v>
          </cell>
          <cell r="AD48">
            <v>18860.065999999999</v>
          </cell>
          <cell r="AE48"/>
          <cell r="AF48"/>
          <cell r="AG48"/>
          <cell r="AH48">
            <v>71697.625</v>
          </cell>
          <cell r="AI48">
            <v>2944297.5969999991</v>
          </cell>
          <cell r="AJ48">
            <v>18322.897999999986</v>
          </cell>
          <cell r="AK48">
            <v>-60292.933999999994</v>
          </cell>
          <cell r="AL48">
            <v>-41695.080000000075</v>
          </cell>
          <cell r="AM48"/>
          <cell r="AN48">
            <v>-83665.116000000096</v>
          </cell>
          <cell r="AO48">
            <v>210515.7760000024</v>
          </cell>
          <cell r="AP48">
            <v>0</v>
          </cell>
          <cell r="AQ48"/>
          <cell r="AR48"/>
          <cell r="AS48">
            <v>210515.7760000024</v>
          </cell>
          <cell r="AT48">
            <v>4056.6040000000003</v>
          </cell>
          <cell r="AU48">
            <v>-2025.8600000000006</v>
          </cell>
          <cell r="AV48">
            <v>61674.921000000002</v>
          </cell>
          <cell r="AW48"/>
          <cell r="AX48"/>
          <cell r="AY48"/>
          <cell r="AZ48"/>
          <cell r="BA48">
            <v>63705.665000000001</v>
          </cell>
          <cell r="BB48">
            <v>0</v>
          </cell>
          <cell r="BC48">
            <v>1818.2</v>
          </cell>
          <cell r="BD48">
            <v>250000</v>
          </cell>
          <cell r="BE48">
            <v>0</v>
          </cell>
          <cell r="BF48">
            <v>0</v>
          </cell>
          <cell r="BG48">
            <v>0</v>
          </cell>
          <cell r="BH48"/>
          <cell r="BI48"/>
          <cell r="BJ48">
            <v>251818.2</v>
          </cell>
        </row>
        <row r="49">
          <cell r="F49">
            <v>2212436.5019973242</v>
          </cell>
          <cell r="G49">
            <v>234618.02437263486</v>
          </cell>
          <cell r="H49">
            <v>171481.58381887063</v>
          </cell>
          <cell r="I49">
            <v>148433.80242994198</v>
          </cell>
          <cell r="J49">
            <v>86923.992154247971</v>
          </cell>
          <cell r="K49">
            <v>132871.99874587802</v>
          </cell>
          <cell r="L49">
            <v>136135.33936714494</v>
          </cell>
          <cell r="M49">
            <v>94668.870494764924</v>
          </cell>
          <cell r="N49">
            <v>145307.94860606597</v>
          </cell>
          <cell r="O49">
            <v>90707.469114361476</v>
          </cell>
          <cell r="P49">
            <v>108262.15248000983</v>
          </cell>
          <cell r="Q49">
            <v>102715.06431316408</v>
          </cell>
          <cell r="R49">
            <v>90222.999710296936</v>
          </cell>
          <cell r="S49">
            <v>186488.77024840255</v>
          </cell>
          <cell r="T49">
            <v>36339.693910798473</v>
          </cell>
          <cell r="U49">
            <v>52235.077072827749</v>
          </cell>
          <cell r="V49">
            <v>73293.437049350396</v>
          </cell>
          <cell r="W49">
            <v>29667.198012163426</v>
          </cell>
          <cell r="X49">
            <v>0</v>
          </cell>
          <cell r="Y49">
            <v>0</v>
          </cell>
          <cell r="Z49">
            <v>1920373.4219009243</v>
          </cell>
          <cell r="AA49">
            <v>0</v>
          </cell>
          <cell r="AB49">
            <v>529.66499999999996</v>
          </cell>
          <cell r="AC49">
            <v>0</v>
          </cell>
          <cell r="AD49">
            <v>0</v>
          </cell>
          <cell r="AE49"/>
          <cell r="AF49"/>
          <cell r="AG49"/>
          <cell r="AH49">
            <v>529.66499999999996</v>
          </cell>
          <cell r="AI49">
            <v>1920903.0869009243</v>
          </cell>
          <cell r="AJ49">
            <v>23291.769931256538</v>
          </cell>
          <cell r="AK49">
            <v>23655.580345143408</v>
          </cell>
          <cell r="AL49">
            <v>26879.01082</v>
          </cell>
          <cell r="AM49"/>
          <cell r="AN49">
            <v>73826.361096399938</v>
          </cell>
          <cell r="AO49">
            <v>166510.44700000001</v>
          </cell>
          <cell r="AP49">
            <v>855.83600000000001</v>
          </cell>
          <cell r="AQ49"/>
          <cell r="AR49"/>
          <cell r="AS49">
            <v>167366.28300000002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17716.904999999999</v>
          </cell>
          <cell r="BD49">
            <v>0</v>
          </cell>
          <cell r="BE49">
            <v>0</v>
          </cell>
          <cell r="BF49">
            <v>32623.865999999995</v>
          </cell>
          <cell r="BG49">
            <v>0</v>
          </cell>
          <cell r="BH49"/>
          <cell r="BI49"/>
          <cell r="BJ49">
            <v>50340.770999999993</v>
          </cell>
        </row>
        <row r="50">
          <cell r="F50">
            <v>1174235.6200026846</v>
          </cell>
          <cell r="G50">
            <v>-2850.3993726348563</v>
          </cell>
          <cell r="H50">
            <v>-43296.750818870991</v>
          </cell>
          <cell r="I50">
            <v>-23888.845429942041</v>
          </cell>
          <cell r="J50">
            <v>26523.304845752049</v>
          </cell>
          <cell r="K50">
            <v>23764.813254121895</v>
          </cell>
          <cell r="L50">
            <v>2042.3706328547851</v>
          </cell>
          <cell r="M50">
            <v>-37524.374494764881</v>
          </cell>
          <cell r="N50">
            <v>63765.287393934064</v>
          </cell>
          <cell r="O50">
            <v>96056.727885638451</v>
          </cell>
          <cell r="P50">
            <v>18191.4335199903</v>
          </cell>
          <cell r="Q50">
            <v>37610.824686836117</v>
          </cell>
          <cell r="R50">
            <v>96676.348289703063</v>
          </cell>
          <cell r="S50">
            <v>381748.49075159692</v>
          </cell>
          <cell r="T50">
            <v>80200.221089201572</v>
          </cell>
          <cell r="U50">
            <v>228510.93992717224</v>
          </cell>
          <cell r="V50">
            <v>14527.563950649652</v>
          </cell>
          <cell r="W50">
            <v>-9831.406012163352</v>
          </cell>
          <cell r="X50">
            <v>0</v>
          </cell>
          <cell r="Y50">
            <v>0</v>
          </cell>
          <cell r="Z50">
            <v>952226.55009907484</v>
          </cell>
          <cell r="AA50">
            <v>43737.339</v>
          </cell>
          <cell r="AB50">
            <v>-529.66499999999996</v>
          </cell>
          <cell r="AC50">
            <v>9100.2199999999993</v>
          </cell>
          <cell r="AD50">
            <v>18860.065999999999</v>
          </cell>
          <cell r="AE50"/>
          <cell r="AF50"/>
          <cell r="AG50"/>
          <cell r="AH50">
            <v>71167.960000000006</v>
          </cell>
          <cell r="AI50">
            <v>1023394.5100990748</v>
          </cell>
          <cell r="AJ50">
            <v>-4968.8719312565518</v>
          </cell>
          <cell r="AK50">
            <v>-83948.514345143398</v>
          </cell>
          <cell r="AL50">
            <v>-68574.09082000007</v>
          </cell>
          <cell r="AM50"/>
          <cell r="AN50">
            <v>-157491.47709640005</v>
          </cell>
          <cell r="AO50">
            <v>44005.329000002384</v>
          </cell>
          <cell r="AP50">
            <v>-855.83600000000001</v>
          </cell>
          <cell r="AQ50"/>
          <cell r="AR50"/>
          <cell r="AS50">
            <v>43149.493000002374</v>
          </cell>
          <cell r="AT50">
            <v>4056.6040000000003</v>
          </cell>
          <cell r="AU50">
            <v>-2025.8600000000006</v>
          </cell>
          <cell r="AV50">
            <v>61674.921000000002</v>
          </cell>
          <cell r="AW50"/>
          <cell r="AX50"/>
          <cell r="AY50"/>
          <cell r="AZ50"/>
          <cell r="BA50">
            <v>63705.665000000001</v>
          </cell>
          <cell r="BB50">
            <v>0</v>
          </cell>
          <cell r="BC50">
            <v>-15898.704999999998</v>
          </cell>
          <cell r="BD50">
            <v>250000</v>
          </cell>
          <cell r="BE50">
            <v>0</v>
          </cell>
          <cell r="BF50">
            <v>-32623.865999999995</v>
          </cell>
          <cell r="BG50">
            <v>0</v>
          </cell>
          <cell r="BH50"/>
          <cell r="BI50"/>
          <cell r="BJ50">
            <v>201477.429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22"/>
      <sheetData sheetId="23">
        <row r="6">
          <cell r="F6" t="str">
            <v>합계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  <sheetName val="2023년_항목별손익실적_한성포함"/>
    </sheetNames>
    <sheetDataSet>
      <sheetData sheetId="0"/>
      <sheetData sheetId="1"/>
      <sheetData sheetId="2"/>
      <sheetData sheetId="3"/>
      <sheetData sheetId="4"/>
      <sheetData sheetId="5">
        <row r="6">
          <cell r="G6" t="str">
            <v>안양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 t="str">
            <v>포항</v>
          </cell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경포임대</v>
          </cell>
          <cell r="AW6" t="str">
            <v>기타임대</v>
          </cell>
          <cell r="AX6" t="str">
            <v>한스타워</v>
          </cell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51430</v>
          </cell>
          <cell r="H7">
            <v>36932</v>
          </cell>
          <cell r="I7">
            <v>29047</v>
          </cell>
          <cell r="J7">
            <v>18626</v>
          </cell>
          <cell r="K7">
            <v>22457</v>
          </cell>
          <cell r="L7">
            <v>28123</v>
          </cell>
          <cell r="M7">
            <v>15318</v>
          </cell>
          <cell r="N7">
            <v>21851</v>
          </cell>
          <cell r="O7">
            <v>11729</v>
          </cell>
          <cell r="P7">
            <v>20989</v>
          </cell>
          <cell r="Q7">
            <v>20446.5</v>
          </cell>
          <cell r="R7">
            <v>8732</v>
          </cell>
          <cell r="S7">
            <v>30139</v>
          </cell>
          <cell r="T7">
            <v>6439</v>
          </cell>
          <cell r="U7">
            <v>8605.5</v>
          </cell>
          <cell r="V7">
            <v>12439.5</v>
          </cell>
          <cell r="W7">
            <v>7210.5</v>
          </cell>
          <cell r="X7"/>
          <cell r="Y7"/>
          <cell r="Z7">
            <v>350514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/>
          <cell r="AG7"/>
          <cell r="AH7">
            <v>0</v>
          </cell>
          <cell r="AI7">
            <v>350514</v>
          </cell>
          <cell r="AJ7">
            <v>29978</v>
          </cell>
          <cell r="AK7">
            <v>33644</v>
          </cell>
          <cell r="AL7">
            <v>34889</v>
          </cell>
          <cell r="AM7"/>
          <cell r="AN7">
            <v>98511</v>
          </cell>
          <cell r="AO7">
            <v>9070.0450000000001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47628924.318000004</v>
          </cell>
          <cell r="G8">
            <v>4899020.38</v>
          </cell>
          <cell r="H8">
            <v>3681783.3819999998</v>
          </cell>
          <cell r="I8">
            <v>2795761.1189999999</v>
          </cell>
          <cell r="J8">
            <v>1753747.199</v>
          </cell>
          <cell r="K8">
            <v>2382323.4</v>
          </cell>
          <cell r="L8">
            <v>2771162</v>
          </cell>
          <cell r="M8">
            <v>1480842.5</v>
          </cell>
          <cell r="N8">
            <v>2160273.9</v>
          </cell>
          <cell r="O8">
            <v>1101109.909</v>
          </cell>
          <cell r="P8">
            <v>2019150.4</v>
          </cell>
          <cell r="Q8">
            <v>1901503.3</v>
          </cell>
          <cell r="R8">
            <v>821182.2</v>
          </cell>
          <cell r="S8">
            <v>2877945.1</v>
          </cell>
          <cell r="T8">
            <v>663018.52800000005</v>
          </cell>
          <cell r="U8">
            <v>903966.03799999994</v>
          </cell>
          <cell r="V8">
            <v>1210665.7050000001</v>
          </cell>
          <cell r="W8">
            <v>853325.46500000008</v>
          </cell>
          <cell r="X8"/>
          <cell r="Y8"/>
          <cell r="Z8">
            <v>34276780.525000006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E8">
            <v>0</v>
          </cell>
          <cell r="AF8"/>
          <cell r="AG8"/>
          <cell r="AH8">
            <v>90840</v>
          </cell>
          <cell r="AI8">
            <v>34367620.525000006</v>
          </cell>
          <cell r="AJ8">
            <v>855205</v>
          </cell>
          <cell r="AK8">
            <v>400760</v>
          </cell>
          <cell r="AL8">
            <v>596328</v>
          </cell>
          <cell r="AM8"/>
          <cell r="AN8">
            <v>1852293</v>
          </cell>
          <cell r="AO8">
            <v>11314060.175999999</v>
          </cell>
          <cell r="AP8">
            <v>0</v>
          </cell>
          <cell r="AQ8"/>
          <cell r="AR8"/>
          <cell r="AS8">
            <v>11314060.175999999</v>
          </cell>
          <cell r="AT8">
            <v>5250</v>
          </cell>
          <cell r="AU8">
            <v>7425</v>
          </cell>
          <cell r="AV8">
            <v>0</v>
          </cell>
          <cell r="AW8">
            <v>80501.517000000007</v>
          </cell>
          <cell r="AX8">
            <v>0</v>
          </cell>
          <cell r="AY8"/>
          <cell r="AZ8"/>
          <cell r="BA8">
            <v>93176.517000000007</v>
          </cell>
          <cell r="BB8">
            <v>0</v>
          </cell>
          <cell r="BC8">
            <v>1774.1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1774.1</v>
          </cell>
          <cell r="BK8"/>
          <cell r="BL8"/>
          <cell r="BM8"/>
          <cell r="BN8"/>
          <cell r="BO8"/>
        </row>
        <row r="9">
          <cell r="F9"/>
          <cell r="G9">
            <v>95256.083608788642</v>
          </cell>
          <cell r="H9">
            <v>99690.874634463325</v>
          </cell>
          <cell r="I9">
            <v>96249.565153027841</v>
          </cell>
          <cell r="J9">
            <v>94155.868087619456</v>
          </cell>
          <cell r="K9">
            <v>106083.77788662777</v>
          </cell>
          <cell r="L9">
            <v>98537.211535042487</v>
          </cell>
          <cell r="M9">
            <v>96673.358140749449</v>
          </cell>
          <cell r="N9">
            <v>98863.846048235777</v>
          </cell>
          <cell r="O9">
            <v>93879.265836814724</v>
          </cell>
          <cell r="P9">
            <v>96200.40973843442</v>
          </cell>
          <cell r="Q9">
            <v>92998.963147727001</v>
          </cell>
          <cell r="R9">
            <v>94042.853870819963</v>
          </cell>
          <cell r="S9">
            <v>95489.070639370926</v>
          </cell>
          <cell r="T9">
            <v>102969.17658021432</v>
          </cell>
          <cell r="U9">
            <v>105045.14996223345</v>
          </cell>
          <cell r="V9">
            <v>97324.306041239615</v>
          </cell>
          <cell r="W9">
            <v>118344.83947021705</v>
          </cell>
          <cell r="X9"/>
          <cell r="Y9"/>
          <cell r="Z9">
            <v>97790.046973872682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/>
          <cell r="AG9"/>
          <cell r="AH9">
            <v>0</v>
          </cell>
          <cell r="AI9">
            <v>98049.209232726804</v>
          </cell>
          <cell r="AJ9">
            <v>28527.753686036427</v>
          </cell>
          <cell r="AK9">
            <v>11911.782189989299</v>
          </cell>
          <cell r="AL9">
            <v>17092.149388059272</v>
          </cell>
          <cell r="AM9"/>
          <cell r="AN9"/>
          <cell r="AO9">
            <v>1247409.4865019964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40077928.12788</v>
          </cell>
          <cell r="G10">
            <v>3919068.3758900003</v>
          </cell>
          <cell r="H10">
            <v>3032527.70255</v>
          </cell>
          <cell r="I10">
            <v>2519144.9048800003</v>
          </cell>
          <cell r="J10">
            <v>1445509.0391599999</v>
          </cell>
          <cell r="K10">
            <v>1826603.5389200002</v>
          </cell>
          <cell r="L10">
            <v>2031711.25703</v>
          </cell>
          <cell r="M10">
            <v>1204449.9969999997</v>
          </cell>
          <cell r="N10">
            <v>1699282.5654499999</v>
          </cell>
          <cell r="O10">
            <v>899823.19327000005</v>
          </cell>
          <cell r="P10">
            <v>1511833.90493</v>
          </cell>
          <cell r="Q10">
            <v>1445911.0546400002</v>
          </cell>
          <cell r="R10">
            <v>738617.13786999998</v>
          </cell>
          <cell r="S10">
            <v>2351568.17289</v>
          </cell>
          <cell r="T10">
            <v>518494.49816999998</v>
          </cell>
          <cell r="U10">
            <v>632119.75824</v>
          </cell>
          <cell r="V10">
            <v>913344.94137000002</v>
          </cell>
          <cell r="W10">
            <v>672749.53255</v>
          </cell>
          <cell r="X10"/>
          <cell r="Y10"/>
          <cell r="Z10">
            <v>27362759.574809998</v>
          </cell>
          <cell r="AA10">
            <v>514.80200000000002</v>
          </cell>
          <cell r="AB10">
            <v>0</v>
          </cell>
          <cell r="AC10">
            <v>3482.0329999999999</v>
          </cell>
          <cell r="AD10">
            <v>8745.3989999999994</v>
          </cell>
          <cell r="AE10">
            <v>0</v>
          </cell>
          <cell r="AF10"/>
          <cell r="AG10"/>
          <cell r="AH10">
            <v>12742.234</v>
          </cell>
          <cell r="AI10">
            <v>27375501.808809999</v>
          </cell>
          <cell r="AJ10">
            <v>779871.59482</v>
          </cell>
          <cell r="AK10">
            <v>347876.42701999994</v>
          </cell>
          <cell r="AL10">
            <v>465306.06023</v>
          </cell>
          <cell r="AM10"/>
          <cell r="AN10">
            <v>1593054.08207</v>
          </cell>
          <cell r="AO10">
            <v>11109065.92</v>
          </cell>
          <cell r="AP10">
            <v>0</v>
          </cell>
          <cell r="AQ10"/>
          <cell r="AR10"/>
          <cell r="AS10">
            <v>11109065.92</v>
          </cell>
          <cell r="AT10">
            <v>126.027</v>
          </cell>
          <cell r="AU10">
            <v>180.29</v>
          </cell>
          <cell r="AV10">
            <v>0</v>
          </cell>
          <cell r="AW10">
            <v>0</v>
          </cell>
          <cell r="AX10">
            <v>0</v>
          </cell>
          <cell r="AY10"/>
          <cell r="AZ10"/>
          <cell r="BA10">
            <v>306.31700000000001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/>
          <cell r="BI10"/>
          <cell r="BJ10">
            <v>0</v>
          </cell>
          <cell r="BK10"/>
          <cell r="BL10"/>
          <cell r="BM10"/>
          <cell r="BN10"/>
          <cell r="BO10"/>
        </row>
        <row r="11">
          <cell r="F11"/>
          <cell r="G11">
            <v>76201.990587011474</v>
          </cell>
          <cell r="H11">
            <v>82111.115091248779</v>
          </cell>
          <cell r="I11">
            <v>86726.508929665724</v>
          </cell>
          <cell r="J11">
            <v>77607.056757221086</v>
          </cell>
          <cell r="K11">
            <v>81337.825128913042</v>
          </cell>
          <cell r="L11">
            <v>72243.759806208443</v>
          </cell>
          <cell r="M11">
            <v>78629.716477346883</v>
          </cell>
          <cell r="N11">
            <v>77766.810006407031</v>
          </cell>
          <cell r="O11">
            <v>76717.809981243074</v>
          </cell>
          <cell r="P11">
            <v>72029.820616989848</v>
          </cell>
          <cell r="Q11">
            <v>70716.800168243964</v>
          </cell>
          <cell r="R11">
            <v>84587.39554168575</v>
          </cell>
          <cell r="S11">
            <v>78024.094126878786</v>
          </cell>
          <cell r="T11">
            <v>80524.071776673401</v>
          </cell>
          <cell r="U11">
            <v>73455.320230085403</v>
          </cell>
          <cell r="V11">
            <v>73422.962447847574</v>
          </cell>
          <cell r="W11">
            <v>93301.370577629845</v>
          </cell>
          <cell r="X11"/>
          <cell r="Y11"/>
          <cell r="Z11">
            <v>78064.66952763655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/>
          <cell r="AG11"/>
          <cell r="AH11">
            <v>0</v>
          </cell>
          <cell r="AI11">
            <v>78101.022523522595</v>
          </cell>
          <cell r="AJ11">
            <v>26014.797345386614</v>
          </cell>
          <cell r="AK11">
            <v>10339.924712281534</v>
          </cell>
          <cell r="AL11">
            <v>13336.755430938118</v>
          </cell>
          <cell r="AM11"/>
          <cell r="AN11"/>
          <cell r="AO11">
            <v>1224808.2473681222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7550996.1901200041</v>
          </cell>
          <cell r="G12">
            <v>979952.00410999963</v>
          </cell>
          <cell r="H12">
            <v>649255.6794499997</v>
          </cell>
          <cell r="I12">
            <v>276616.21411999967</v>
          </cell>
          <cell r="J12">
            <v>308238.15984000009</v>
          </cell>
          <cell r="K12">
            <v>555719.86107999971</v>
          </cell>
          <cell r="L12">
            <v>739450.74297000002</v>
          </cell>
          <cell r="M12">
            <v>276392.50300000026</v>
          </cell>
          <cell r="N12">
            <v>460991.33455000003</v>
          </cell>
          <cell r="O12">
            <v>201286.71572999994</v>
          </cell>
          <cell r="P12">
            <v>507316.49506999995</v>
          </cell>
          <cell r="Q12">
            <v>455592.24535999983</v>
          </cell>
          <cell r="R12">
            <v>82565.062129999977</v>
          </cell>
          <cell r="S12">
            <v>526376.92711000005</v>
          </cell>
          <cell r="T12">
            <v>144524.02983000007</v>
          </cell>
          <cell r="U12">
            <v>271846.27975999995</v>
          </cell>
          <cell r="V12">
            <v>297320.76363000006</v>
          </cell>
          <cell r="W12">
            <v>180575.93245000008</v>
          </cell>
          <cell r="X12"/>
          <cell r="Y12"/>
          <cell r="Z12">
            <v>6914020.9501899993</v>
          </cell>
          <cell r="AA12">
            <v>49485.197999999997</v>
          </cell>
          <cell r="AB12">
            <v>0</v>
          </cell>
          <cell r="AC12">
            <v>9017.9670000000006</v>
          </cell>
          <cell r="AD12">
            <v>19594.601000000002</v>
          </cell>
          <cell r="AE12">
            <v>0</v>
          </cell>
          <cell r="AF12"/>
          <cell r="AG12"/>
          <cell r="AH12">
            <v>78097.766000000003</v>
          </cell>
          <cell r="AI12">
            <v>6992118.7161900066</v>
          </cell>
          <cell r="AJ12">
            <v>75333.405180000002</v>
          </cell>
          <cell r="AK12">
            <v>52883.572980000055</v>
          </cell>
          <cell r="AL12">
            <v>131021.93977</v>
          </cell>
          <cell r="AM12"/>
          <cell r="AN12">
            <v>259238.91793</v>
          </cell>
          <cell r="AO12">
            <v>204994.25599999912</v>
          </cell>
          <cell r="AP12">
            <v>0</v>
          </cell>
          <cell r="AQ12"/>
          <cell r="AR12"/>
          <cell r="AS12">
            <v>204994.25599999912</v>
          </cell>
          <cell r="AT12">
            <v>5123.973</v>
          </cell>
          <cell r="AU12">
            <v>7244.71</v>
          </cell>
          <cell r="AV12">
            <v>0</v>
          </cell>
          <cell r="AW12">
            <v>80501.517000000007</v>
          </cell>
          <cell r="AX12">
            <v>0</v>
          </cell>
          <cell r="AY12"/>
          <cell r="AZ12"/>
          <cell r="BA12">
            <v>92870.200000000012</v>
          </cell>
          <cell r="BB12">
            <v>0</v>
          </cell>
          <cell r="BC12">
            <v>1774.1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/>
          <cell r="BI12"/>
          <cell r="BJ12">
            <v>1774.1</v>
          </cell>
          <cell r="BK12"/>
          <cell r="BL12"/>
          <cell r="BM12"/>
          <cell r="BN12"/>
          <cell r="BO12"/>
        </row>
        <row r="13">
          <cell r="F13">
            <v>772054.76399999985</v>
          </cell>
          <cell r="G13">
            <v>71485.870999999999</v>
          </cell>
          <cell r="H13">
            <v>65943.25</v>
          </cell>
          <cell r="I13">
            <v>46874.630000000005</v>
          </cell>
          <cell r="J13">
            <v>30980.206000000002</v>
          </cell>
          <cell r="K13">
            <v>60178.555999999997</v>
          </cell>
          <cell r="L13">
            <v>45788.518000000004</v>
          </cell>
          <cell r="M13">
            <v>36083.29</v>
          </cell>
          <cell r="N13">
            <v>48002.783000000003</v>
          </cell>
          <cell r="O13">
            <v>33182.975999999995</v>
          </cell>
          <cell r="P13">
            <v>39626.669000000002</v>
          </cell>
          <cell r="Q13">
            <v>32924.269</v>
          </cell>
          <cell r="R13">
            <v>23781.909</v>
          </cell>
          <cell r="S13">
            <v>40097.953999999998</v>
          </cell>
          <cell r="T13">
            <v>9918.6229999999996</v>
          </cell>
          <cell r="U13">
            <v>9669.3130000000001</v>
          </cell>
          <cell r="V13">
            <v>25055.951000000001</v>
          </cell>
          <cell r="W13">
            <v>16358.68</v>
          </cell>
          <cell r="X13"/>
          <cell r="Y13"/>
          <cell r="Z13">
            <v>635953.44799999986</v>
          </cell>
          <cell r="AA13">
            <v>0</v>
          </cell>
          <cell r="AB13">
            <v>181.59899999999999</v>
          </cell>
          <cell r="AC13">
            <v>0</v>
          </cell>
          <cell r="AD13">
            <v>0</v>
          </cell>
          <cell r="AE13">
            <v>0</v>
          </cell>
          <cell r="AF13"/>
          <cell r="AG13"/>
          <cell r="AH13">
            <v>181.59899999999999</v>
          </cell>
          <cell r="AI13">
            <v>636135.0469999999</v>
          </cell>
          <cell r="AJ13">
            <v>9241.0550000000003</v>
          </cell>
          <cell r="AK13">
            <v>0</v>
          </cell>
          <cell r="AL13">
            <v>450</v>
          </cell>
          <cell r="AM13"/>
          <cell r="AN13">
            <v>9691.0550000000003</v>
          </cell>
          <cell r="AO13">
            <v>114764.71900000001</v>
          </cell>
          <cell r="AP13">
            <v>0</v>
          </cell>
          <cell r="AQ13"/>
          <cell r="AR13"/>
          <cell r="AS13">
            <v>114764.71900000001</v>
          </cell>
          <cell r="AT13">
            <v>0</v>
          </cell>
          <cell r="AU13">
            <v>0</v>
          </cell>
          <cell r="AV13">
            <v>161.97399999999999</v>
          </cell>
          <cell r="AW13">
            <v>0</v>
          </cell>
          <cell r="AX13">
            <v>7927.73</v>
          </cell>
          <cell r="AY13"/>
          <cell r="AZ13"/>
          <cell r="BA13">
            <v>8089.7039999999997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3374.239</v>
          </cell>
          <cell r="BG13">
            <v>0</v>
          </cell>
          <cell r="BH13"/>
          <cell r="BI13"/>
          <cell r="BJ13">
            <v>3374.239</v>
          </cell>
          <cell r="BK13"/>
          <cell r="BL13"/>
          <cell r="BM13"/>
          <cell r="BN13"/>
          <cell r="BO13"/>
        </row>
        <row r="14">
          <cell r="F14">
            <v>543211.54599999986</v>
          </cell>
          <cell r="G14">
            <v>48631.585999999996</v>
          </cell>
          <cell r="H14">
            <v>46183.523000000001</v>
          </cell>
          <cell r="I14">
            <v>34713.216</v>
          </cell>
          <cell r="J14">
            <v>23080.654000000002</v>
          </cell>
          <cell r="K14">
            <v>40555.918999999994</v>
          </cell>
          <cell r="L14">
            <v>33548.239000000001</v>
          </cell>
          <cell r="M14">
            <v>25524.651000000002</v>
          </cell>
          <cell r="N14">
            <v>33439.124000000003</v>
          </cell>
          <cell r="O14">
            <v>25682.428999999996</v>
          </cell>
          <cell r="P14">
            <v>28595.056</v>
          </cell>
          <cell r="Q14">
            <v>24963.034</v>
          </cell>
          <cell r="R14">
            <v>18165.876</v>
          </cell>
          <cell r="S14">
            <v>28302.32</v>
          </cell>
          <cell r="T14">
            <v>5742.5659999999998</v>
          </cell>
          <cell r="U14">
            <v>6576.0730000000003</v>
          </cell>
          <cell r="V14">
            <v>17522.626</v>
          </cell>
          <cell r="W14">
            <v>10167.892</v>
          </cell>
          <cell r="X14"/>
          <cell r="Y14"/>
          <cell r="Z14">
            <v>451394.78399999993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/>
          <cell r="AG14"/>
          <cell r="AH14">
            <v>0</v>
          </cell>
          <cell r="AI14">
            <v>451394.78399999993</v>
          </cell>
          <cell r="AJ14">
            <v>7624.2080000000005</v>
          </cell>
          <cell r="AK14">
            <v>0</v>
          </cell>
          <cell r="AL14">
            <v>0</v>
          </cell>
          <cell r="AM14"/>
          <cell r="AN14">
            <v>7624.2080000000005</v>
          </cell>
          <cell r="AO14">
            <v>84192.554000000004</v>
          </cell>
          <cell r="AP14">
            <v>0</v>
          </cell>
          <cell r="AQ14"/>
          <cell r="AR14"/>
          <cell r="AS14">
            <v>84192.554000000004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228723.21799999999</v>
          </cell>
          <cell r="G15">
            <v>22854.285</v>
          </cell>
          <cell r="H15">
            <v>19759.726999999999</v>
          </cell>
          <cell r="I15">
            <v>12161.414000000001</v>
          </cell>
          <cell r="J15">
            <v>7899.5519999999997</v>
          </cell>
          <cell r="K15">
            <v>19622.636999999999</v>
          </cell>
          <cell r="L15">
            <v>12240.279</v>
          </cell>
          <cell r="M15">
            <v>10558.638999999999</v>
          </cell>
          <cell r="N15">
            <v>14563.659</v>
          </cell>
          <cell r="O15">
            <v>7500.5469999999996</v>
          </cell>
          <cell r="P15">
            <v>11031.612999999999</v>
          </cell>
          <cell r="Q15">
            <v>7961.2350000000006</v>
          </cell>
          <cell r="R15">
            <v>5616.0330000000004</v>
          </cell>
          <cell r="S15">
            <v>11795.634</v>
          </cell>
          <cell r="T15">
            <v>4176.0569999999998</v>
          </cell>
          <cell r="U15">
            <v>3093.2400000000002</v>
          </cell>
          <cell r="V15">
            <v>7533.3249999999998</v>
          </cell>
          <cell r="W15">
            <v>6190.7880000000005</v>
          </cell>
          <cell r="X15"/>
          <cell r="Y15"/>
          <cell r="Z15">
            <v>184558.66399999999</v>
          </cell>
          <cell r="AA15">
            <v>0</v>
          </cell>
          <cell r="AB15">
            <v>181.59899999999999</v>
          </cell>
          <cell r="AC15">
            <v>0</v>
          </cell>
          <cell r="AD15">
            <v>0</v>
          </cell>
          <cell r="AE15">
            <v>0</v>
          </cell>
          <cell r="AF15"/>
          <cell r="AG15"/>
          <cell r="AH15">
            <v>181.59899999999999</v>
          </cell>
          <cell r="AI15">
            <v>184740.26299999998</v>
          </cell>
          <cell r="AJ15">
            <v>1616.8469999999998</v>
          </cell>
          <cell r="AK15">
            <v>0</v>
          </cell>
          <cell r="AL15">
            <v>450</v>
          </cell>
          <cell r="AM15"/>
          <cell r="AN15">
            <v>2066.8469999999998</v>
          </cell>
          <cell r="AO15">
            <v>30572.165000000001</v>
          </cell>
          <cell r="AP15">
            <v>0</v>
          </cell>
          <cell r="AQ15"/>
          <cell r="AR15"/>
          <cell r="AS15">
            <v>30572.165000000001</v>
          </cell>
          <cell r="AT15">
            <v>0</v>
          </cell>
          <cell r="AU15">
            <v>0</v>
          </cell>
          <cell r="AV15">
            <v>161.97399999999999</v>
          </cell>
          <cell r="AW15">
            <v>0</v>
          </cell>
          <cell r="AX15">
            <v>7927.73</v>
          </cell>
          <cell r="AY15"/>
          <cell r="AZ15"/>
          <cell r="BA15">
            <v>8089.7039999999997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3254.239</v>
          </cell>
          <cell r="BG15">
            <v>0</v>
          </cell>
          <cell r="BH15"/>
          <cell r="BI15"/>
          <cell r="BJ15">
            <v>3254.239</v>
          </cell>
          <cell r="BK15"/>
          <cell r="BL15"/>
          <cell r="BM15"/>
          <cell r="BN15"/>
          <cell r="BO15"/>
        </row>
        <row r="16">
          <cell r="F16">
            <v>120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120</v>
          </cell>
          <cell r="BG16">
            <v>0</v>
          </cell>
          <cell r="BH16"/>
          <cell r="BI16"/>
          <cell r="BJ16">
            <v>120</v>
          </cell>
          <cell r="BK16"/>
          <cell r="BL16"/>
          <cell r="BM16"/>
          <cell r="BN16"/>
          <cell r="BO16"/>
        </row>
        <row r="17">
          <cell r="F17">
            <v>6778941.4261200046</v>
          </cell>
          <cell r="G17">
            <v>908466.13310999959</v>
          </cell>
          <cell r="H17">
            <v>583312.4294499997</v>
          </cell>
          <cell r="I17">
            <v>229741.58411999966</v>
          </cell>
          <cell r="J17">
            <v>277257.95384000009</v>
          </cell>
          <cell r="K17">
            <v>495541.30507999973</v>
          </cell>
          <cell r="L17">
            <v>693662.22496999998</v>
          </cell>
          <cell r="M17">
            <v>240309.21300000025</v>
          </cell>
          <cell r="N17">
            <v>412988.55155000003</v>
          </cell>
          <cell r="O17">
            <v>168103.73972999994</v>
          </cell>
          <cell r="P17">
            <v>467689.82606999995</v>
          </cell>
          <cell r="Q17">
            <v>422667.97635999986</v>
          </cell>
          <cell r="R17">
            <v>58783.153129999977</v>
          </cell>
          <cell r="S17">
            <v>486278.97311000002</v>
          </cell>
          <cell r="T17">
            <v>134605.40683000008</v>
          </cell>
          <cell r="U17">
            <v>262176.96675999992</v>
          </cell>
          <cell r="V17">
            <v>272264.81263000006</v>
          </cell>
          <cell r="W17">
            <v>164217.25245000009</v>
          </cell>
          <cell r="X17"/>
          <cell r="Y17"/>
          <cell r="Z17">
            <v>6278067.5021899994</v>
          </cell>
          <cell r="AA17">
            <v>49485.197999999997</v>
          </cell>
          <cell r="AB17">
            <v>-181.59899999999999</v>
          </cell>
          <cell r="AC17">
            <v>9017.9670000000006</v>
          </cell>
          <cell r="AD17">
            <v>19594.601000000002</v>
          </cell>
          <cell r="AE17">
            <v>0</v>
          </cell>
          <cell r="AF17"/>
          <cell r="AG17"/>
          <cell r="AH17">
            <v>77916.167000000001</v>
          </cell>
          <cell r="AI17">
            <v>6355983.6691900063</v>
          </cell>
          <cell r="AJ17">
            <v>66092.350180000009</v>
          </cell>
          <cell r="AK17">
            <v>52883.572980000055</v>
          </cell>
          <cell r="AL17">
            <v>130571.93977</v>
          </cell>
          <cell r="AM17"/>
          <cell r="AN17">
            <v>249547.86293</v>
          </cell>
          <cell r="AO17">
            <v>90229.536999999109</v>
          </cell>
          <cell r="AP17">
            <v>0</v>
          </cell>
          <cell r="AQ17"/>
          <cell r="AR17"/>
          <cell r="AS17">
            <v>90229.536999999109</v>
          </cell>
          <cell r="AT17">
            <v>5123.973</v>
          </cell>
          <cell r="AU17">
            <v>7244.71</v>
          </cell>
          <cell r="AV17">
            <v>-161.97399999999999</v>
          </cell>
          <cell r="AW17">
            <v>80501.517000000007</v>
          </cell>
          <cell r="AX17">
            <v>-7927.73</v>
          </cell>
          <cell r="AY17"/>
          <cell r="AZ17"/>
          <cell r="BA17">
            <v>84780.496000000014</v>
          </cell>
          <cell r="BB17">
            <v>0</v>
          </cell>
          <cell r="BC17">
            <v>1774.1</v>
          </cell>
          <cell r="BD17">
            <v>0</v>
          </cell>
          <cell r="BE17">
            <v>0</v>
          </cell>
          <cell r="BF17">
            <v>-3374.239</v>
          </cell>
          <cell r="BG17">
            <v>0</v>
          </cell>
          <cell r="BH17"/>
          <cell r="BI17"/>
          <cell r="BJ17">
            <v>-1600.1390000000001</v>
          </cell>
          <cell r="BK17"/>
          <cell r="BL17"/>
          <cell r="BM17"/>
          <cell r="BN17"/>
          <cell r="BO17"/>
        </row>
        <row r="18">
          <cell r="F18">
            <v>607390.68212000013</v>
          </cell>
          <cell r="G18">
            <v>29859.716109999998</v>
          </cell>
          <cell r="H18">
            <v>34332.126449999996</v>
          </cell>
          <cell r="I18">
            <v>18929.018120000001</v>
          </cell>
          <cell r="J18">
            <v>18518.985840000001</v>
          </cell>
          <cell r="K18">
            <v>86148.255080000003</v>
          </cell>
          <cell r="L18">
            <v>46864.728970000004</v>
          </cell>
          <cell r="M18">
            <v>18603.547999999999</v>
          </cell>
          <cell r="N18">
            <v>28830.242550000003</v>
          </cell>
          <cell r="O18">
            <v>11396.656730000001</v>
          </cell>
          <cell r="P18">
            <v>32694.912069999998</v>
          </cell>
          <cell r="Q18">
            <v>14521.148359999999</v>
          </cell>
          <cell r="R18">
            <v>12507.023130000001</v>
          </cell>
          <cell r="S18">
            <v>34006.080109999995</v>
          </cell>
          <cell r="T18">
            <v>5271.3958299999995</v>
          </cell>
          <cell r="U18">
            <v>10125.18476</v>
          </cell>
          <cell r="V18">
            <v>23731.064629999997</v>
          </cell>
          <cell r="W18">
            <v>10402.907450000001</v>
          </cell>
          <cell r="X18"/>
          <cell r="Y18"/>
          <cell r="Z18">
            <v>436742.99418999994</v>
          </cell>
          <cell r="AA18">
            <v>5672.5910000000003</v>
          </cell>
          <cell r="AB18">
            <v>353.67200000000003</v>
          </cell>
          <cell r="AC18">
            <v>0</v>
          </cell>
          <cell r="AD18">
            <v>0</v>
          </cell>
          <cell r="AE18">
            <v>0</v>
          </cell>
          <cell r="AF18"/>
          <cell r="AG18"/>
          <cell r="AH18">
            <v>6026.2630000000008</v>
          </cell>
          <cell r="AI18">
            <v>442769.25719000009</v>
          </cell>
          <cell r="AJ18">
            <v>34759.733180000003</v>
          </cell>
          <cell r="AK18">
            <v>11868.14098</v>
          </cell>
          <cell r="AL18">
            <v>61127.932770000007</v>
          </cell>
          <cell r="AM18"/>
          <cell r="AN18">
            <v>107755.80692999999</v>
          </cell>
          <cell r="AO18">
            <v>4908.1000000000004</v>
          </cell>
          <cell r="AP18">
            <v>855.83600000000001</v>
          </cell>
          <cell r="AQ18"/>
          <cell r="AR18"/>
          <cell r="AS18">
            <v>5763.9360000000006</v>
          </cell>
          <cell r="AT18">
            <v>1312.8920000000001</v>
          </cell>
          <cell r="AU18">
            <v>8489.6080000000002</v>
          </cell>
          <cell r="AV18">
            <v>432.17</v>
          </cell>
          <cell r="AW18">
            <v>0</v>
          </cell>
          <cell r="AX18">
            <v>18257.884999999998</v>
          </cell>
          <cell r="AY18"/>
          <cell r="AZ18"/>
          <cell r="BA18">
            <v>28492.555</v>
          </cell>
          <cell r="BB18">
            <v>0</v>
          </cell>
          <cell r="BC18">
            <v>16569.026000000002</v>
          </cell>
          <cell r="BD18">
            <v>0</v>
          </cell>
          <cell r="BE18">
            <v>0</v>
          </cell>
          <cell r="BF18">
            <v>6040.1010000000006</v>
          </cell>
          <cell r="BG18">
            <v>0</v>
          </cell>
          <cell r="BH18"/>
          <cell r="BI18"/>
          <cell r="BJ18">
            <v>22609.127</v>
          </cell>
          <cell r="BK18"/>
          <cell r="BL18"/>
          <cell r="BM18"/>
          <cell r="BN18"/>
          <cell r="BO18"/>
        </row>
        <row r="19">
          <cell r="F19">
            <v>535462.7281200001</v>
          </cell>
          <cell r="G19">
            <v>27532.094109999998</v>
          </cell>
          <cell r="H19">
            <v>31722.244449999998</v>
          </cell>
          <cell r="I19">
            <v>16863.42412</v>
          </cell>
          <cell r="J19">
            <v>17326.99784</v>
          </cell>
          <cell r="K19">
            <v>83901.789080000002</v>
          </cell>
          <cell r="L19">
            <v>45300.326970000002</v>
          </cell>
          <cell r="M19">
            <v>17409.949000000001</v>
          </cell>
          <cell r="N19">
            <v>26972.590550000001</v>
          </cell>
          <cell r="O19">
            <v>9909.4047300000002</v>
          </cell>
          <cell r="P19">
            <v>31476.146069999999</v>
          </cell>
          <cell r="Q19">
            <v>13315.76036</v>
          </cell>
          <cell r="R19">
            <v>11404.868130000001</v>
          </cell>
          <cell r="S19">
            <v>32417.879109999998</v>
          </cell>
          <cell r="T19">
            <v>4900.9958299999998</v>
          </cell>
          <cell r="U19">
            <v>9682.3157599999995</v>
          </cell>
          <cell r="V19">
            <v>22887.906629999998</v>
          </cell>
          <cell r="W19">
            <v>9577.5374499999998</v>
          </cell>
          <cell r="X19"/>
          <cell r="Y19"/>
          <cell r="Z19">
            <v>412602.23019000009</v>
          </cell>
          <cell r="AA19">
            <v>5672.5910000000003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/>
          <cell r="AG19"/>
          <cell r="AH19">
            <v>5672.5910000000003</v>
          </cell>
          <cell r="AI19">
            <v>418274.8211900001</v>
          </cell>
          <cell r="AJ19">
            <v>34389.333180000001</v>
          </cell>
          <cell r="AK19">
            <v>11868.14098</v>
          </cell>
          <cell r="AL19">
            <v>61127.932770000007</v>
          </cell>
          <cell r="AM19"/>
          <cell r="AN19">
            <v>107385.40693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AW19">
            <v>0</v>
          </cell>
          <cell r="AX19">
            <v>0</v>
          </cell>
          <cell r="AY19"/>
          <cell r="AZ19"/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71927.953999999998</v>
          </cell>
          <cell r="G20">
            <v>2327.6219999999998</v>
          </cell>
          <cell r="H20">
            <v>2609.8820000000001</v>
          </cell>
          <cell r="I20">
            <v>2065.5940000000001</v>
          </cell>
          <cell r="J20">
            <v>1191.9880000000001</v>
          </cell>
          <cell r="K20">
            <v>2246.4659999999999</v>
          </cell>
          <cell r="L20">
            <v>1564.402</v>
          </cell>
          <cell r="M20">
            <v>1193.5989999999999</v>
          </cell>
          <cell r="N20">
            <v>1857.652</v>
          </cell>
          <cell r="O20">
            <v>1487.252</v>
          </cell>
          <cell r="P20">
            <v>1218.7660000000001</v>
          </cell>
          <cell r="Q20">
            <v>1205.3879999999999</v>
          </cell>
          <cell r="R20">
            <v>1102.155</v>
          </cell>
          <cell r="S20">
            <v>1588.201</v>
          </cell>
          <cell r="T20">
            <v>370.4</v>
          </cell>
          <cell r="U20">
            <v>442.86900000000003</v>
          </cell>
          <cell r="V20">
            <v>843.15800000000002</v>
          </cell>
          <cell r="W20">
            <v>825.37</v>
          </cell>
          <cell r="X20"/>
          <cell r="Y20"/>
          <cell r="Z20">
            <v>24140.763999999996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E20">
            <v>0</v>
          </cell>
          <cell r="AF20"/>
          <cell r="AG20"/>
          <cell r="AH20">
            <v>353.67200000000003</v>
          </cell>
          <cell r="AI20">
            <v>24494.435999999994</v>
          </cell>
          <cell r="AJ20">
            <v>370.4</v>
          </cell>
          <cell r="AK20">
            <v>0</v>
          </cell>
          <cell r="AL20">
            <v>0</v>
          </cell>
          <cell r="AM20"/>
          <cell r="AN20">
            <v>370.4</v>
          </cell>
          <cell r="AO20">
            <v>4908.1000000000004</v>
          </cell>
          <cell r="AP20">
            <v>855.83600000000001</v>
          </cell>
          <cell r="AQ20"/>
          <cell r="AR20"/>
          <cell r="AS20">
            <v>5763.9360000000006</v>
          </cell>
          <cell r="AT20">
            <v>0</v>
          </cell>
          <cell r="AU20">
            <v>0</v>
          </cell>
          <cell r="AV20">
            <v>432.17</v>
          </cell>
          <cell r="AW20">
            <v>0</v>
          </cell>
          <cell r="AX20">
            <v>18257.884999999998</v>
          </cell>
          <cell r="AY20"/>
          <cell r="AZ20"/>
          <cell r="BA20">
            <v>18690.054999999997</v>
          </cell>
          <cell r="BB20">
            <v>0</v>
          </cell>
          <cell r="BC20">
            <v>16569.026000000002</v>
          </cell>
          <cell r="BD20">
            <v>0</v>
          </cell>
          <cell r="BE20">
            <v>0</v>
          </cell>
          <cell r="BF20">
            <v>6040.1010000000006</v>
          </cell>
          <cell r="BG20">
            <v>0</v>
          </cell>
          <cell r="BH20"/>
          <cell r="BI20"/>
          <cell r="BJ20">
            <v>22609.127</v>
          </cell>
          <cell r="BK20"/>
          <cell r="BL20"/>
          <cell r="BM20"/>
          <cell r="BN20"/>
          <cell r="BO20"/>
        </row>
        <row r="21">
          <cell r="F21">
            <v>6171550.7440000046</v>
          </cell>
          <cell r="G21">
            <v>878606.41699999955</v>
          </cell>
          <cell r="H21">
            <v>548980.30299999972</v>
          </cell>
          <cell r="I21">
            <v>210812.56599999967</v>
          </cell>
          <cell r="J21">
            <v>258738.96800000008</v>
          </cell>
          <cell r="K21">
            <v>409393.0499999997</v>
          </cell>
          <cell r="L21">
            <v>646797.49599999993</v>
          </cell>
          <cell r="M21">
            <v>221705.66500000024</v>
          </cell>
          <cell r="N21">
            <v>384158.30900000001</v>
          </cell>
          <cell r="O21">
            <v>156707.08299999996</v>
          </cell>
          <cell r="P21">
            <v>434994.91399999993</v>
          </cell>
          <cell r="Q21">
            <v>408146.82799999986</v>
          </cell>
          <cell r="R21">
            <v>46276.129999999976</v>
          </cell>
          <cell r="S21">
            <v>452272.89300000004</v>
          </cell>
          <cell r="T21">
            <v>129334.01100000009</v>
          </cell>
          <cell r="U21">
            <v>252051.78199999992</v>
          </cell>
          <cell r="V21">
            <v>248533.74800000005</v>
          </cell>
          <cell r="W21">
            <v>153814.34500000009</v>
          </cell>
          <cell r="X21"/>
          <cell r="Y21"/>
          <cell r="Z21">
            <v>5841324.5079999994</v>
          </cell>
          <cell r="AA21">
            <v>43812.606999999996</v>
          </cell>
          <cell r="AB21">
            <v>-535.27099999999996</v>
          </cell>
          <cell r="AC21">
            <v>9017.9670000000006</v>
          </cell>
          <cell r="AD21">
            <v>19594.601000000002</v>
          </cell>
          <cell r="AE21">
            <v>0</v>
          </cell>
          <cell r="AF21"/>
          <cell r="AG21"/>
          <cell r="AH21">
            <v>71889.903999999995</v>
          </cell>
          <cell r="AI21">
            <v>5913214.4120000061</v>
          </cell>
          <cell r="AJ21">
            <v>31332.617000000006</v>
          </cell>
          <cell r="AK21">
            <v>41015.432000000059</v>
          </cell>
          <cell r="AL21">
            <v>69444.006999999983</v>
          </cell>
          <cell r="AM21"/>
          <cell r="AN21">
            <v>141792.05600000001</v>
          </cell>
          <cell r="AO21">
            <v>85321.436999999103</v>
          </cell>
          <cell r="AP21">
            <v>-855.83600000000001</v>
          </cell>
          <cell r="AQ21"/>
          <cell r="AR21"/>
          <cell r="AS21">
            <v>84465.600999999107</v>
          </cell>
          <cell r="AT21">
            <v>3811.0810000000001</v>
          </cell>
          <cell r="AU21">
            <v>-1244.8980000000001</v>
          </cell>
          <cell r="AV21">
            <v>-594.14400000000001</v>
          </cell>
          <cell r="AW21">
            <v>80501.517000000007</v>
          </cell>
          <cell r="AX21">
            <v>-26185.614999999998</v>
          </cell>
          <cell r="AY21"/>
          <cell r="AZ21"/>
          <cell r="BA21">
            <v>56287.941000000013</v>
          </cell>
          <cell r="BB21">
            <v>0</v>
          </cell>
          <cell r="BC21">
            <v>-14794.926000000001</v>
          </cell>
          <cell r="BD21">
            <v>0</v>
          </cell>
          <cell r="BE21">
            <v>0</v>
          </cell>
          <cell r="BF21">
            <v>-9414.34</v>
          </cell>
          <cell r="BG21">
            <v>0</v>
          </cell>
          <cell r="BH21"/>
          <cell r="BI21"/>
          <cell r="BJ21">
            <v>-24209.266</v>
          </cell>
          <cell r="BK21"/>
          <cell r="BL21"/>
          <cell r="BM21"/>
          <cell r="BN21"/>
          <cell r="BO21"/>
        </row>
        <row r="22">
          <cell r="F22">
            <v>1165517.6319999998</v>
          </cell>
          <cell r="G22">
            <v>175040.46253942349</v>
          </cell>
          <cell r="H22">
            <v>131548.96615376865</v>
          </cell>
          <cell r="I22">
            <v>99891.668427698227</v>
          </cell>
          <cell r="J22">
            <v>62660.837693877562</v>
          </cell>
          <cell r="K22">
            <v>84938.957900359354</v>
          </cell>
          <cell r="L22">
            <v>98802.543959008937</v>
          </cell>
          <cell r="M22">
            <v>52797.709481661004</v>
          </cell>
          <cell r="N22">
            <v>77022.042366433161</v>
          </cell>
          <cell r="O22">
            <v>39258.787536662538</v>
          </cell>
          <cell r="P22">
            <v>71990.448828271474</v>
          </cell>
          <cell r="Q22">
            <v>67795.878907999795</v>
          </cell>
          <cell r="R22">
            <v>29278.292071649237</v>
          </cell>
          <cell r="S22">
            <v>98817.445862300025</v>
          </cell>
          <cell r="T22">
            <v>22765.47856883784</v>
          </cell>
          <cell r="U22">
            <v>31038.679306781374</v>
          </cell>
          <cell r="V22">
            <v>41569.553484943412</v>
          </cell>
          <cell r="W22">
            <v>29299.878910323729</v>
          </cell>
          <cell r="X22"/>
          <cell r="Y22"/>
          <cell r="Z22">
            <v>1214517.6319999998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/>
          <cell r="AG22"/>
          <cell r="AH22">
            <v>0</v>
          </cell>
          <cell r="AI22">
            <v>1214517.6319999998</v>
          </cell>
          <cell r="AJ22">
            <v>0</v>
          </cell>
          <cell r="AK22">
            <v>0</v>
          </cell>
          <cell r="AL22">
            <v>0</v>
          </cell>
          <cell r="AM22"/>
          <cell r="AN22">
            <v>0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-49000</v>
          </cell>
          <cell r="BF22">
            <v>0</v>
          </cell>
          <cell r="BG22">
            <v>0</v>
          </cell>
          <cell r="BH22"/>
          <cell r="BI22"/>
          <cell r="BJ22">
            <v>-49000</v>
          </cell>
          <cell r="BK22"/>
          <cell r="BL22"/>
          <cell r="BM22"/>
          <cell r="BN22"/>
          <cell r="BO22"/>
        </row>
        <row r="23">
          <cell r="F23">
            <v>188366.71499999997</v>
          </cell>
          <cell r="G23">
            <v>28377.497746912886</v>
          </cell>
          <cell r="H23">
            <v>21326.671767657826</v>
          </cell>
          <cell r="I23">
            <v>16194.401880673366</v>
          </cell>
          <cell r="J23">
            <v>10158.552797912078</v>
          </cell>
          <cell r="K23">
            <v>13618.860036513734</v>
          </cell>
          <cell r="L23">
            <v>15841.70621692482</v>
          </cell>
          <cell r="M23">
            <v>8465.4278019605099</v>
          </cell>
          <cell r="N23">
            <v>12349.485332106324</v>
          </cell>
          <cell r="O23">
            <v>6294.6373004980669</v>
          </cell>
          <cell r="P23">
            <v>11542.734580145887</v>
          </cell>
          <cell r="Q23">
            <v>10870.189707102314</v>
          </cell>
          <cell r="R23">
            <v>4694.3943237414478</v>
          </cell>
          <cell r="S23">
            <v>12659.82084011583</v>
          </cell>
          <cell r="T23">
            <v>2916.5586856251434</v>
          </cell>
          <cell r="U23">
            <v>3976.4650432801295</v>
          </cell>
          <cell r="V23">
            <v>5325.6092072682432</v>
          </cell>
          <cell r="W23">
            <v>3753.7017315613602</v>
          </cell>
          <cell r="X23"/>
          <cell r="Y23"/>
          <cell r="Z23">
            <v>188366.71499999997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/>
          <cell r="AG23"/>
          <cell r="AH23">
            <v>0</v>
          </cell>
          <cell r="AI23">
            <v>188366.71499999997</v>
          </cell>
          <cell r="AJ23">
            <v>0</v>
          </cell>
          <cell r="AK23">
            <v>0</v>
          </cell>
          <cell r="AL23">
            <v>0</v>
          </cell>
          <cell r="AM23"/>
          <cell r="AN23">
            <v>0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430210.27600000001</v>
          </cell>
          <cell r="G24">
            <v>61487.948329109444</v>
          </cell>
          <cell r="H24">
            <v>46210.32140947938</v>
          </cell>
          <cell r="I24">
            <v>35089.793854992124</v>
          </cell>
          <cell r="J24">
            <v>22011.404074712671</v>
          </cell>
          <cell r="K24">
            <v>29900.708051846956</v>
          </cell>
          <cell r="L24">
            <v>34781.04858743037</v>
          </cell>
          <cell r="M24">
            <v>18586.158060348636</v>
          </cell>
          <cell r="N24">
            <v>27113.749206310455</v>
          </cell>
          <cell r="O24">
            <v>13820.107682275533</v>
          </cell>
          <cell r="P24">
            <v>25342.498261642395</v>
          </cell>
          <cell r="Q24">
            <v>23865.901259637358</v>
          </cell>
          <cell r="R24">
            <v>10306.715376918764</v>
          </cell>
          <cell r="S24">
            <v>36121.290763606441</v>
          </cell>
          <cell r="T24">
            <v>8321.5920385508198</v>
          </cell>
          <cell r="U24">
            <v>11345.741132804551</v>
          </cell>
          <cell r="V24">
            <v>15195.150160380606</v>
          </cell>
          <cell r="W24">
            <v>10710.14774995349</v>
          </cell>
          <cell r="X24"/>
          <cell r="Y24"/>
          <cell r="Z24">
            <v>430210.27600000001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/>
          <cell r="AG24"/>
          <cell r="AH24">
            <v>0</v>
          </cell>
          <cell r="AI24">
            <v>430210.27600000001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546940.64099999983</v>
          </cell>
          <cell r="G25">
            <v>85175.016463401145</v>
          </cell>
          <cell r="H25">
            <v>64011.972976631449</v>
          </cell>
          <cell r="I25">
            <v>48607.47269203273</v>
          </cell>
          <cell r="J25">
            <v>30490.880821252809</v>
          </cell>
          <cell r="K25">
            <v>41419.389811998655</v>
          </cell>
          <cell r="L25">
            <v>48179.789154653743</v>
          </cell>
          <cell r="M25">
            <v>25746.123619351856</v>
          </cell>
          <cell r="N25">
            <v>37558.807828016383</v>
          </cell>
          <cell r="O25">
            <v>19144.042553888936</v>
          </cell>
          <cell r="P25">
            <v>35105.215986483199</v>
          </cell>
          <cell r="Q25">
            <v>33059.787941260125</v>
          </cell>
          <cell r="R25">
            <v>14277.182370989027</v>
          </cell>
          <cell r="S25">
            <v>50036.334258577765</v>
          </cell>
          <cell r="T25">
            <v>11527.327844661875</v>
          </cell>
          <cell r="U25">
            <v>15716.473130696693</v>
          </cell>
          <cell r="V25">
            <v>21048.794117294561</v>
          </cell>
          <cell r="W25">
            <v>14836.029428808877</v>
          </cell>
          <cell r="X25"/>
          <cell r="Y25"/>
          <cell r="Z25">
            <v>595940.64099999983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/>
          <cell r="AG25"/>
          <cell r="AH25">
            <v>0</v>
          </cell>
          <cell r="AI25">
            <v>595940.64099999983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-49000</v>
          </cell>
          <cell r="BF25">
            <v>0</v>
          </cell>
          <cell r="BG25">
            <v>0</v>
          </cell>
          <cell r="BH25"/>
          <cell r="BI25"/>
          <cell r="BJ25">
            <v>-49000</v>
          </cell>
          <cell r="BK25"/>
          <cell r="BL25"/>
          <cell r="BM25"/>
          <cell r="BN25"/>
          <cell r="BO25"/>
        </row>
        <row r="26">
          <cell r="F26">
            <v>5006033.1120000053</v>
          </cell>
          <cell r="G26">
            <v>703565.95446057606</v>
          </cell>
          <cell r="H26">
            <v>417431.33684623108</v>
          </cell>
          <cell r="I26">
            <v>110920.89757230144</v>
          </cell>
          <cell r="J26">
            <v>196078.13030612253</v>
          </cell>
          <cell r="K26">
            <v>324454.09209964034</v>
          </cell>
          <cell r="L26">
            <v>547994.95204099105</v>
          </cell>
          <cell r="M26">
            <v>168907.95551833924</v>
          </cell>
          <cell r="N26">
            <v>307136.26663356682</v>
          </cell>
          <cell r="O26">
            <v>117448.29546333742</v>
          </cell>
          <cell r="P26">
            <v>363004.46517172846</v>
          </cell>
          <cell r="Q26">
            <v>340350.94909200008</v>
          </cell>
          <cell r="R26">
            <v>16997.837928350738</v>
          </cell>
          <cell r="S26">
            <v>353455.44713770004</v>
          </cell>
          <cell r="T26">
            <v>106568.53243116225</v>
          </cell>
          <cell r="U26">
            <v>221013.10269321853</v>
          </cell>
          <cell r="V26">
            <v>206964.19451505665</v>
          </cell>
          <cell r="W26">
            <v>124514.46608967637</v>
          </cell>
          <cell r="X26"/>
          <cell r="Y26"/>
          <cell r="Z26">
            <v>4626806.8760000002</v>
          </cell>
          <cell r="AA26">
            <v>43812.606999999996</v>
          </cell>
          <cell r="AB26">
            <v>-535.27099999999996</v>
          </cell>
          <cell r="AC26">
            <v>9017.9670000000006</v>
          </cell>
          <cell r="AD26">
            <v>19594.601000000002</v>
          </cell>
          <cell r="AE26">
            <v>0</v>
          </cell>
          <cell r="AF26"/>
          <cell r="AG26"/>
          <cell r="AH26">
            <v>71889.903999999995</v>
          </cell>
          <cell r="AI26">
            <v>4698696.7800000068</v>
          </cell>
          <cell r="AJ26">
            <v>31332.617000000006</v>
          </cell>
          <cell r="AK26">
            <v>41015.432000000059</v>
          </cell>
          <cell r="AL26">
            <v>69444.006999999983</v>
          </cell>
          <cell r="AM26"/>
          <cell r="AN26">
            <v>141792.05600000001</v>
          </cell>
          <cell r="AO26">
            <v>85321.436999999103</v>
          </cell>
          <cell r="AP26">
            <v>-855.83600000000001</v>
          </cell>
          <cell r="AQ26"/>
          <cell r="AR26"/>
          <cell r="AS26">
            <v>84465.600999999107</v>
          </cell>
          <cell r="AT26">
            <v>3811.0810000000001</v>
          </cell>
          <cell r="AU26">
            <v>-1244.8980000000001</v>
          </cell>
          <cell r="AV26">
            <v>-594.14400000000001</v>
          </cell>
          <cell r="AW26">
            <v>80501.517000000007</v>
          </cell>
          <cell r="AX26">
            <v>-26185.614999999998</v>
          </cell>
          <cell r="AY26"/>
          <cell r="AZ26"/>
          <cell r="BA26">
            <v>56287.941000000013</v>
          </cell>
          <cell r="BB26">
            <v>0</v>
          </cell>
          <cell r="BC26">
            <v>-14794.926000000001</v>
          </cell>
          <cell r="BD26">
            <v>0</v>
          </cell>
          <cell r="BE26">
            <v>49000</v>
          </cell>
          <cell r="BF26">
            <v>-9414.34</v>
          </cell>
          <cell r="BG26">
            <v>0</v>
          </cell>
          <cell r="BH26"/>
          <cell r="BI26"/>
          <cell r="BJ26">
            <v>24790.734</v>
          </cell>
          <cell r="BK26"/>
          <cell r="BL26"/>
          <cell r="BM26"/>
          <cell r="BN26"/>
          <cell r="BO26"/>
        </row>
        <row r="27">
          <cell r="F27">
            <v>5006033.1119999969</v>
          </cell>
          <cell r="G27">
            <v>703565.95446057618</v>
          </cell>
          <cell r="H27">
            <v>417431.33684623108</v>
          </cell>
          <cell r="I27">
            <v>110920.89757230144</v>
          </cell>
          <cell r="J27">
            <v>196078.1303061225</v>
          </cell>
          <cell r="K27">
            <v>324454.0920996404</v>
          </cell>
          <cell r="L27">
            <v>547994.95204099093</v>
          </cell>
          <cell r="M27">
            <v>168907.95551833929</v>
          </cell>
          <cell r="N27">
            <v>307136.26663356688</v>
          </cell>
          <cell r="O27">
            <v>117448.29546333743</v>
          </cell>
          <cell r="P27">
            <v>363004.4651717284</v>
          </cell>
          <cell r="Q27">
            <v>340350.94909200002</v>
          </cell>
          <cell r="R27">
            <v>16997.837928350731</v>
          </cell>
          <cell r="S27">
            <v>353455.44713769999</v>
          </cell>
          <cell r="T27">
            <v>106568.53243116224</v>
          </cell>
          <cell r="U27">
            <v>221013.10269321862</v>
          </cell>
          <cell r="V27">
            <v>206964.19451505668</v>
          </cell>
          <cell r="W27">
            <v>124514.46608967637</v>
          </cell>
          <cell r="X27"/>
          <cell r="Y27"/>
          <cell r="Z27">
            <v>4626806.8759999983</v>
          </cell>
          <cell r="AA27">
            <v>43812.606999999996</v>
          </cell>
          <cell r="AB27">
            <v>-535.27099999999996</v>
          </cell>
          <cell r="AC27">
            <v>9017.9670000000006</v>
          </cell>
          <cell r="AD27">
            <v>19594.601000000002</v>
          </cell>
          <cell r="AE27">
            <v>0</v>
          </cell>
          <cell r="AF27"/>
          <cell r="AG27"/>
          <cell r="AH27">
            <v>71889.90400000001</v>
          </cell>
          <cell r="AI27">
            <v>4698696.7799999984</v>
          </cell>
          <cell r="AJ27">
            <v>31332.617000000006</v>
          </cell>
          <cell r="AK27">
            <v>41015.432000000059</v>
          </cell>
          <cell r="AL27">
            <v>69444.006999999983</v>
          </cell>
          <cell r="AM27"/>
          <cell r="AN27">
            <v>141792.05600000004</v>
          </cell>
          <cell r="AO27">
            <v>85321.436999999103</v>
          </cell>
          <cell r="AP27">
            <v>-855.83600000000001</v>
          </cell>
          <cell r="AQ27"/>
          <cell r="AR27"/>
          <cell r="AS27">
            <v>84465.600999999107</v>
          </cell>
          <cell r="AT27">
            <v>3811.0810000000001</v>
          </cell>
          <cell r="AU27">
            <v>-1244.8980000000001</v>
          </cell>
          <cell r="AV27">
            <v>-594.14400000000001</v>
          </cell>
          <cell r="AW27">
            <v>80501.517000000007</v>
          </cell>
          <cell r="AX27">
            <v>-26185.614999999998</v>
          </cell>
          <cell r="AY27"/>
          <cell r="AZ27"/>
          <cell r="BA27">
            <v>56287.941000000013</v>
          </cell>
          <cell r="BB27">
            <v>0</v>
          </cell>
          <cell r="BC27">
            <v>-14794.926000000001</v>
          </cell>
          <cell r="BD27">
            <v>0</v>
          </cell>
          <cell r="BE27">
            <v>49000</v>
          </cell>
          <cell r="BF27">
            <v>-9414.34</v>
          </cell>
          <cell r="BG27">
            <v>0</v>
          </cell>
          <cell r="BH27"/>
          <cell r="BI27"/>
          <cell r="BJ27">
            <v>24790.734</v>
          </cell>
          <cell r="BK27"/>
          <cell r="BL27"/>
          <cell r="BM27"/>
          <cell r="BN27"/>
          <cell r="BO27"/>
        </row>
        <row r="28">
          <cell r="F28">
            <v>8.3819031715393066E-9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/>
          <cell r="AG28"/>
          <cell r="AH28">
            <v>0</v>
          </cell>
          <cell r="AI28">
            <v>8.3819031715393066E-9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51430</v>
          </cell>
          <cell r="H31">
            <v>36932</v>
          </cell>
          <cell r="I31">
            <v>29047</v>
          </cell>
          <cell r="J31">
            <v>18626</v>
          </cell>
          <cell r="K31">
            <v>22457</v>
          </cell>
          <cell r="L31">
            <v>28123</v>
          </cell>
          <cell r="M31">
            <v>15318</v>
          </cell>
          <cell r="N31">
            <v>21851</v>
          </cell>
          <cell r="O31">
            <v>11729</v>
          </cell>
          <cell r="P31">
            <v>20989</v>
          </cell>
          <cell r="Q31">
            <v>20446.5</v>
          </cell>
          <cell r="R31">
            <v>8732</v>
          </cell>
          <cell r="S31">
            <v>30139</v>
          </cell>
          <cell r="T31">
            <v>6439</v>
          </cell>
          <cell r="U31">
            <v>8605.5</v>
          </cell>
          <cell r="V31">
            <v>12439.5</v>
          </cell>
          <cell r="W31">
            <v>7210.5</v>
          </cell>
          <cell r="X31">
            <v>0</v>
          </cell>
          <cell r="Y31">
            <v>0</v>
          </cell>
          <cell r="Z31">
            <v>350514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/>
          <cell r="AG31"/>
          <cell r="AH31">
            <v>0</v>
          </cell>
          <cell r="AI31">
            <v>350514</v>
          </cell>
          <cell r="AJ31">
            <v>29978</v>
          </cell>
          <cell r="AK31">
            <v>33644</v>
          </cell>
          <cell r="AL31">
            <v>34889</v>
          </cell>
          <cell r="AM31"/>
          <cell r="AN31">
            <v>98511</v>
          </cell>
          <cell r="AO31">
            <v>9070.0450000000001</v>
          </cell>
          <cell r="AP31">
            <v>0</v>
          </cell>
          <cell r="AQ31"/>
          <cell r="AR31"/>
          <cell r="AS31">
            <v>9070.0450000000001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47628924.318000004</v>
          </cell>
          <cell r="G32">
            <v>4899020.38</v>
          </cell>
          <cell r="H32">
            <v>3681783.3819999998</v>
          </cell>
          <cell r="I32">
            <v>2795761.1189999999</v>
          </cell>
          <cell r="J32">
            <v>1753747.199</v>
          </cell>
          <cell r="K32">
            <v>2382323.4</v>
          </cell>
          <cell r="L32">
            <v>2771162</v>
          </cell>
          <cell r="M32">
            <v>1480842.5</v>
          </cell>
          <cell r="N32">
            <v>2160273.9</v>
          </cell>
          <cell r="O32">
            <v>1101109.909</v>
          </cell>
          <cell r="P32">
            <v>2019150.4</v>
          </cell>
          <cell r="Q32">
            <v>1901503.3</v>
          </cell>
          <cell r="R32">
            <v>821182.2</v>
          </cell>
          <cell r="S32">
            <v>2877945.1</v>
          </cell>
          <cell r="T32">
            <v>663018.52800000005</v>
          </cell>
          <cell r="U32">
            <v>903966.03799999994</v>
          </cell>
          <cell r="V32">
            <v>1210665.7050000001</v>
          </cell>
          <cell r="W32">
            <v>853325.46500000008</v>
          </cell>
          <cell r="X32">
            <v>0</v>
          </cell>
          <cell r="Y32">
            <v>0</v>
          </cell>
          <cell r="Z32">
            <v>34276780.525000006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E32">
            <v>0</v>
          </cell>
          <cell r="AF32"/>
          <cell r="AG32"/>
          <cell r="AH32">
            <v>90840</v>
          </cell>
          <cell r="AI32">
            <v>34367620.525000006</v>
          </cell>
          <cell r="AJ32">
            <v>855205</v>
          </cell>
          <cell r="AK32">
            <v>400760</v>
          </cell>
          <cell r="AL32">
            <v>596328</v>
          </cell>
          <cell r="AM32"/>
          <cell r="AN32">
            <v>1852293</v>
          </cell>
          <cell r="AO32">
            <v>11314060.175999999</v>
          </cell>
          <cell r="AP32">
            <v>0</v>
          </cell>
          <cell r="AQ32"/>
          <cell r="AR32"/>
          <cell r="AS32">
            <v>11314060.175999999</v>
          </cell>
          <cell r="AT32">
            <v>5250</v>
          </cell>
          <cell r="AU32">
            <v>7425</v>
          </cell>
          <cell r="AV32">
            <v>0</v>
          </cell>
          <cell r="AW32">
            <v>80501.517000000007</v>
          </cell>
          <cell r="AX32">
            <v>0</v>
          </cell>
          <cell r="AY32"/>
          <cell r="AZ32"/>
          <cell r="BA32">
            <v>93176.517000000007</v>
          </cell>
          <cell r="BB32">
            <v>0</v>
          </cell>
          <cell r="BC32">
            <v>1774.1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1774.1</v>
          </cell>
        </row>
        <row r="33">
          <cell r="F33">
            <v>40613390.856000006</v>
          </cell>
          <cell r="G33">
            <v>3946600.47</v>
          </cell>
          <cell r="H33">
            <v>3064249.9470000002</v>
          </cell>
          <cell r="I33">
            <v>2536008.3290000004</v>
          </cell>
          <cell r="J33">
            <v>1462836.037</v>
          </cell>
          <cell r="K33">
            <v>1910505.3280000002</v>
          </cell>
          <cell r="L33">
            <v>2077011.584</v>
          </cell>
          <cell r="M33">
            <v>1221859.9459999998</v>
          </cell>
          <cell r="N33">
            <v>1726255.156</v>
          </cell>
          <cell r="O33">
            <v>909732.598</v>
          </cell>
          <cell r="P33">
            <v>1543310.051</v>
          </cell>
          <cell r="Q33">
            <v>1459226.8150000002</v>
          </cell>
          <cell r="R33">
            <v>750022.00599999994</v>
          </cell>
          <cell r="S33">
            <v>2383986.0520000001</v>
          </cell>
          <cell r="T33">
            <v>523395.49399999995</v>
          </cell>
          <cell r="U33">
            <v>641802.07400000002</v>
          </cell>
          <cell r="V33">
            <v>936232.848</v>
          </cell>
          <cell r="W33">
            <v>682327.07</v>
          </cell>
          <cell r="X33">
            <v>0</v>
          </cell>
          <cell r="Y33">
            <v>0</v>
          </cell>
          <cell r="Z33">
            <v>27775361.805000007</v>
          </cell>
          <cell r="AA33">
            <v>6187.393</v>
          </cell>
          <cell r="AB33">
            <v>0</v>
          </cell>
          <cell r="AC33">
            <v>3482.0329999999999</v>
          </cell>
          <cell r="AD33">
            <v>8745.3989999999994</v>
          </cell>
          <cell r="AE33">
            <v>0</v>
          </cell>
          <cell r="AF33"/>
          <cell r="AG33"/>
          <cell r="AH33">
            <v>18414.824999999997</v>
          </cell>
          <cell r="AI33">
            <v>27793776.630000006</v>
          </cell>
          <cell r="AJ33">
            <v>814260.92799999996</v>
          </cell>
          <cell r="AK33">
            <v>359744.56799999997</v>
          </cell>
          <cell r="AL33">
            <v>526433.99300000002</v>
          </cell>
          <cell r="AM33"/>
          <cell r="AN33">
            <v>1700439.4889999998</v>
          </cell>
          <cell r="AO33">
            <v>11109065.92</v>
          </cell>
          <cell r="AP33">
            <v>0</v>
          </cell>
          <cell r="AQ33"/>
          <cell r="AR33"/>
          <cell r="AS33">
            <v>11109065.92</v>
          </cell>
          <cell r="AT33">
            <v>1438.9190000000001</v>
          </cell>
          <cell r="AU33">
            <v>8669.898000000001</v>
          </cell>
          <cell r="AV33">
            <v>0</v>
          </cell>
          <cell r="AW33">
            <v>0</v>
          </cell>
          <cell r="AX33">
            <v>0</v>
          </cell>
          <cell r="AY33"/>
          <cell r="AZ33"/>
          <cell r="BA33">
            <v>10108.817000000001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/>
          <cell r="BI33"/>
          <cell r="BJ33">
            <v>0</v>
          </cell>
        </row>
        <row r="34">
          <cell r="F34">
            <v>7015533.4619999975</v>
          </cell>
          <cell r="G34">
            <v>952419.90999999968</v>
          </cell>
          <cell r="H34">
            <v>617533.43499999959</v>
          </cell>
          <cell r="I34">
            <v>259752.78999999957</v>
          </cell>
          <cell r="J34">
            <v>290911.16200000001</v>
          </cell>
          <cell r="K34">
            <v>471818.07199999969</v>
          </cell>
          <cell r="L34">
            <v>694150.41599999997</v>
          </cell>
          <cell r="M34">
            <v>258982.55400000024</v>
          </cell>
          <cell r="N34">
            <v>434018.74399999995</v>
          </cell>
          <cell r="O34">
            <v>191377.31099999999</v>
          </cell>
          <cell r="P34">
            <v>475840.34899999993</v>
          </cell>
          <cell r="Q34">
            <v>442276.48499999987</v>
          </cell>
          <cell r="R34">
            <v>71160.194000000018</v>
          </cell>
          <cell r="S34">
            <v>493959.04799999995</v>
          </cell>
          <cell r="T34">
            <v>139623.0340000001</v>
          </cell>
          <cell r="U34">
            <v>262163.96399999992</v>
          </cell>
          <cell r="V34">
            <v>274432.85700000008</v>
          </cell>
          <cell r="W34">
            <v>170998.39500000014</v>
          </cell>
          <cell r="X34">
            <v>0</v>
          </cell>
          <cell r="Y34">
            <v>0</v>
          </cell>
          <cell r="Z34">
            <v>6501418.7199999988</v>
          </cell>
          <cell r="AA34">
            <v>43812.607000000004</v>
          </cell>
          <cell r="AB34">
            <v>0</v>
          </cell>
          <cell r="AC34">
            <v>9017.9670000000006</v>
          </cell>
          <cell r="AD34">
            <v>19594.601000000002</v>
          </cell>
          <cell r="AE34">
            <v>0</v>
          </cell>
          <cell r="AF34"/>
          <cell r="AG34"/>
          <cell r="AH34">
            <v>72425.175000000003</v>
          </cell>
          <cell r="AI34">
            <v>6573843.8949999996</v>
          </cell>
          <cell r="AJ34">
            <v>40944.072000000044</v>
          </cell>
          <cell r="AK34">
            <v>41015.43200000003</v>
          </cell>
          <cell r="AL34">
            <v>69894.006999999983</v>
          </cell>
          <cell r="AM34"/>
          <cell r="AN34">
            <v>151853.51100000017</v>
          </cell>
          <cell r="AO34">
            <v>204994.25599999912</v>
          </cell>
          <cell r="AP34">
            <v>0</v>
          </cell>
          <cell r="AQ34"/>
          <cell r="AR34"/>
          <cell r="AS34">
            <v>204994.25599999912</v>
          </cell>
          <cell r="AT34">
            <v>3811.0810000000001</v>
          </cell>
          <cell r="AU34">
            <v>-1244.898000000001</v>
          </cell>
          <cell r="AV34">
            <v>0</v>
          </cell>
          <cell r="AW34">
            <v>80501.517000000007</v>
          </cell>
          <cell r="AX34">
            <v>0</v>
          </cell>
          <cell r="AY34"/>
          <cell r="AZ34"/>
          <cell r="BA34">
            <v>83067.700000000012</v>
          </cell>
          <cell r="BB34">
            <v>0</v>
          </cell>
          <cell r="BC34">
            <v>1774.1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/>
          <cell r="BI34"/>
          <cell r="BJ34">
            <v>1774.1</v>
          </cell>
        </row>
        <row r="35">
          <cell r="F35">
            <v>2009500.3499999996</v>
          </cell>
          <cell r="G35">
            <v>248853.95553942348</v>
          </cell>
          <cell r="H35">
            <v>200102.09815376866</v>
          </cell>
          <cell r="I35">
            <v>148831.89242769824</v>
          </cell>
          <cell r="J35">
            <v>94833.031693877565</v>
          </cell>
          <cell r="K35">
            <v>147363.97990035932</v>
          </cell>
          <cell r="L35">
            <v>146155.46395900895</v>
          </cell>
          <cell r="M35">
            <v>90074.598481661014</v>
          </cell>
          <cell r="N35">
            <v>126882.47736643316</v>
          </cell>
          <cell r="O35">
            <v>73929.015536662526</v>
          </cell>
          <cell r="P35">
            <v>112835.88382827147</v>
          </cell>
          <cell r="Q35">
            <v>101925.5359079998</v>
          </cell>
          <cell r="R35">
            <v>54162.356071649236</v>
          </cell>
          <cell r="S35">
            <v>140503.60086230002</v>
          </cell>
          <cell r="T35">
            <v>33054.501568837841</v>
          </cell>
          <cell r="U35">
            <v>41150.861306781371</v>
          </cell>
          <cell r="V35">
            <v>67468.662484943401</v>
          </cell>
          <cell r="W35">
            <v>46483.928910323732</v>
          </cell>
          <cell r="X35">
            <v>0</v>
          </cell>
          <cell r="Y35">
            <v>0</v>
          </cell>
          <cell r="Z35">
            <v>1874611.8439999996</v>
          </cell>
          <cell r="AA35">
            <v>0</v>
          </cell>
          <cell r="AB35">
            <v>535.27099999999996</v>
          </cell>
          <cell r="AC35">
            <v>0</v>
          </cell>
          <cell r="AD35">
            <v>0</v>
          </cell>
          <cell r="AE35">
            <v>0</v>
          </cell>
          <cell r="AF35"/>
          <cell r="AG35"/>
          <cell r="AH35">
            <v>535.27099999999996</v>
          </cell>
          <cell r="AI35">
            <v>1875147.1149999995</v>
          </cell>
          <cell r="AJ35">
            <v>9611.4549999999999</v>
          </cell>
          <cell r="AK35">
            <v>0</v>
          </cell>
          <cell r="AL35">
            <v>450</v>
          </cell>
          <cell r="AM35"/>
          <cell r="AN35">
            <v>10061.455</v>
          </cell>
          <cell r="AO35">
            <v>119672.81900000002</v>
          </cell>
          <cell r="AP35">
            <v>855.83600000000001</v>
          </cell>
          <cell r="AQ35"/>
          <cell r="AR35"/>
          <cell r="AS35">
            <v>120528.65500000001</v>
          </cell>
          <cell r="AT35">
            <v>0</v>
          </cell>
          <cell r="AU35">
            <v>0</v>
          </cell>
          <cell r="AV35">
            <v>594.14400000000001</v>
          </cell>
          <cell r="AW35">
            <v>0</v>
          </cell>
          <cell r="AX35">
            <v>26185.614999999998</v>
          </cell>
          <cell r="AY35"/>
          <cell r="AZ35"/>
          <cell r="BA35">
            <v>26779.758999999998</v>
          </cell>
          <cell r="BB35">
            <v>0</v>
          </cell>
          <cell r="BC35">
            <v>16569.026000000002</v>
          </cell>
          <cell r="BD35">
            <v>0</v>
          </cell>
          <cell r="BE35">
            <v>-49000</v>
          </cell>
          <cell r="BF35">
            <v>9414.34</v>
          </cell>
          <cell r="BG35">
            <v>0</v>
          </cell>
          <cell r="BH35"/>
          <cell r="BI35"/>
          <cell r="BJ35">
            <v>-23016.633999999998</v>
          </cell>
        </row>
        <row r="36">
          <cell r="F36">
            <v>5006033.1119999979</v>
          </cell>
          <cell r="G36">
            <v>703565.95446057618</v>
          </cell>
          <cell r="H36">
            <v>417431.3368462309</v>
          </cell>
          <cell r="I36">
            <v>110920.89757230133</v>
          </cell>
          <cell r="J36">
            <v>196078.13030612245</v>
          </cell>
          <cell r="K36">
            <v>324454.0920996404</v>
          </cell>
          <cell r="L36">
            <v>547994.95204099105</v>
          </cell>
          <cell r="M36">
            <v>168907.95551833924</v>
          </cell>
          <cell r="N36">
            <v>307136.26663356682</v>
          </cell>
          <cell r="O36">
            <v>117448.29546333746</v>
          </cell>
          <cell r="P36">
            <v>363004.46517172846</v>
          </cell>
          <cell r="Q36">
            <v>340350.94909200008</v>
          </cell>
          <cell r="R36">
            <v>16997.837928350782</v>
          </cell>
          <cell r="S36">
            <v>353455.44713769993</v>
          </cell>
          <cell r="T36">
            <v>106568.53243116225</v>
          </cell>
          <cell r="U36">
            <v>221013.10269321856</v>
          </cell>
          <cell r="V36">
            <v>206964.19451505668</v>
          </cell>
          <cell r="W36">
            <v>124514.4660896764</v>
          </cell>
          <cell r="X36">
            <v>0</v>
          </cell>
          <cell r="Y36">
            <v>0</v>
          </cell>
          <cell r="Z36">
            <v>4626806.8759999992</v>
          </cell>
          <cell r="AA36">
            <v>43812.607000000004</v>
          </cell>
          <cell r="AB36">
            <v>-535.27099999999996</v>
          </cell>
          <cell r="AC36">
            <v>9017.9670000000006</v>
          </cell>
          <cell r="AD36">
            <v>19594.601000000002</v>
          </cell>
          <cell r="AE36">
            <v>0</v>
          </cell>
          <cell r="AF36"/>
          <cell r="AG36"/>
          <cell r="AH36">
            <v>71889.90400000001</v>
          </cell>
          <cell r="AI36">
            <v>4698696.78</v>
          </cell>
          <cell r="AJ36">
            <v>31332.617000000042</v>
          </cell>
          <cell r="AK36">
            <v>41015.43200000003</v>
          </cell>
          <cell r="AL36">
            <v>69444.006999999983</v>
          </cell>
          <cell r="AM36"/>
          <cell r="AN36">
            <v>141792.05600000019</v>
          </cell>
          <cell r="AO36">
            <v>85321.436999999103</v>
          </cell>
          <cell r="AP36">
            <v>-855.83600000000001</v>
          </cell>
          <cell r="AQ36"/>
          <cell r="AR36"/>
          <cell r="AS36">
            <v>84465.600999999107</v>
          </cell>
          <cell r="AT36">
            <v>3811.0810000000001</v>
          </cell>
          <cell r="AU36">
            <v>-1244.898000000001</v>
          </cell>
          <cell r="AV36">
            <v>-594.14400000000001</v>
          </cell>
          <cell r="AW36">
            <v>80501.517000000007</v>
          </cell>
          <cell r="AX36">
            <v>-26185.614999999998</v>
          </cell>
          <cell r="AY36"/>
          <cell r="AZ36"/>
          <cell r="BA36">
            <v>56287.941000000013</v>
          </cell>
          <cell r="BB36">
            <v>0</v>
          </cell>
          <cell r="BC36">
            <v>-14794.926000000001</v>
          </cell>
          <cell r="BD36">
            <v>0</v>
          </cell>
          <cell r="BE36">
            <v>49000</v>
          </cell>
          <cell r="BF36">
            <v>-9414.34</v>
          </cell>
          <cell r="BG36">
            <v>0</v>
          </cell>
          <cell r="BH36"/>
          <cell r="BI36"/>
          <cell r="BJ36">
            <v>24790.733999999997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-16674</v>
          </cell>
          <cell r="AK38">
            <v>-19628</v>
          </cell>
          <cell r="AL38">
            <v>-25721</v>
          </cell>
          <cell r="AM38"/>
          <cell r="AN38">
            <v>-62023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-1213749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-476965</v>
          </cell>
          <cell r="AK39">
            <v>-270920</v>
          </cell>
          <cell r="AL39">
            <v>-465864</v>
          </cell>
          <cell r="AM39"/>
          <cell r="AN39">
            <v>-1213749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-1213749</v>
          </cell>
          <cell r="G40"/>
          <cell r="H40"/>
          <cell r="I40"/>
          <cell r="J40"/>
          <cell r="K40">
            <v>-90725.873999999996</v>
          </cell>
          <cell r="L40">
            <v>-70221.209000000003</v>
          </cell>
          <cell r="M40">
            <v>-93.064999999999998</v>
          </cell>
          <cell r="N40">
            <v>-1476.6569999999999</v>
          </cell>
          <cell r="O40">
            <v>-991.15499999999997</v>
          </cell>
          <cell r="P40">
            <v>-2584.183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-166092.14299999998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-166092.14299999998</v>
          </cell>
          <cell r="AJ40">
            <v>-452898.17700000003</v>
          </cell>
          <cell r="AK40">
            <v>-206908.49900000001</v>
          </cell>
          <cell r="AL40">
            <v>-387850.18099999998</v>
          </cell>
          <cell r="AM40"/>
          <cell r="AN40">
            <v>-1047656.857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90725.873999999996</v>
          </cell>
          <cell r="L41">
            <v>70221.209000000003</v>
          </cell>
          <cell r="M41">
            <v>93.064999999999998</v>
          </cell>
          <cell r="N41">
            <v>1476.6569999999999</v>
          </cell>
          <cell r="O41">
            <v>991.15499999999997</v>
          </cell>
          <cell r="P41">
            <v>2584.183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166092.14299999998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/>
          <cell r="AG41"/>
          <cell r="AH41">
            <v>0</v>
          </cell>
          <cell r="AI41">
            <v>166092.14299999998</v>
          </cell>
          <cell r="AJ41">
            <v>-24066.822999999975</v>
          </cell>
          <cell r="AK41">
            <v>-64011.500999999989</v>
          </cell>
          <cell r="AL41">
            <v>-78013.819000000018</v>
          </cell>
          <cell r="AM41"/>
          <cell r="AN41">
            <v>-166092.14300000004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90725.873999999996</v>
          </cell>
          <cell r="L43">
            <v>70221.209000000003</v>
          </cell>
          <cell r="M43">
            <v>93.064999999999998</v>
          </cell>
          <cell r="N43">
            <v>1476.6569999999999</v>
          </cell>
          <cell r="O43">
            <v>991.15499999999997</v>
          </cell>
          <cell r="P43">
            <v>2584.183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166092.14299999998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/>
          <cell r="AG43"/>
          <cell r="AH43">
            <v>0</v>
          </cell>
          <cell r="AI43">
            <v>166092.14299999998</v>
          </cell>
          <cell r="AJ43">
            <v>-24066.822999999975</v>
          </cell>
          <cell r="AK43">
            <v>-64011.500999999989</v>
          </cell>
          <cell r="AL43">
            <v>-78013.819000000018</v>
          </cell>
          <cell r="AM43"/>
          <cell r="AN43">
            <v>-166092.14300000004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51430</v>
          </cell>
          <cell r="H45">
            <v>36932</v>
          </cell>
          <cell r="I45">
            <v>29047</v>
          </cell>
          <cell r="J45">
            <v>18626</v>
          </cell>
          <cell r="K45">
            <v>22457</v>
          </cell>
          <cell r="L45">
            <v>28123</v>
          </cell>
          <cell r="M45">
            <v>15318</v>
          </cell>
          <cell r="N45">
            <v>21851</v>
          </cell>
          <cell r="O45">
            <v>11729</v>
          </cell>
          <cell r="P45">
            <v>20989</v>
          </cell>
          <cell r="Q45">
            <v>20446.5</v>
          </cell>
          <cell r="R45">
            <v>8732</v>
          </cell>
          <cell r="S45">
            <v>30139</v>
          </cell>
          <cell r="T45">
            <v>6439</v>
          </cell>
          <cell r="U45">
            <v>8605.5</v>
          </cell>
          <cell r="V45">
            <v>12439.5</v>
          </cell>
          <cell r="W45">
            <v>7210.5</v>
          </cell>
          <cell r="X45">
            <v>0</v>
          </cell>
          <cell r="Y45">
            <v>0</v>
          </cell>
          <cell r="Z45">
            <v>350514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/>
          <cell r="AG45"/>
          <cell r="AH45">
            <v>0</v>
          </cell>
          <cell r="AI45">
            <v>350514</v>
          </cell>
          <cell r="AJ45">
            <v>13304</v>
          </cell>
          <cell r="AK45">
            <v>14016</v>
          </cell>
          <cell r="AL45">
            <v>9168</v>
          </cell>
          <cell r="AM45"/>
          <cell r="AN45">
            <v>36488</v>
          </cell>
          <cell r="AO45">
            <v>9070.0450000000001</v>
          </cell>
          <cell r="AP45">
            <v>0</v>
          </cell>
          <cell r="AQ45"/>
          <cell r="AR45"/>
          <cell r="AS45">
            <v>9070.0450000000001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46415175.318000004</v>
          </cell>
          <cell r="G46">
            <v>4899020.38</v>
          </cell>
          <cell r="H46">
            <v>3681783.3819999998</v>
          </cell>
          <cell r="I46">
            <v>2795761.1189999999</v>
          </cell>
          <cell r="J46">
            <v>1753747.199</v>
          </cell>
          <cell r="K46">
            <v>2382323.4</v>
          </cell>
          <cell r="L46">
            <v>2771162</v>
          </cell>
          <cell r="M46">
            <v>1480842.5</v>
          </cell>
          <cell r="N46">
            <v>2160273.9</v>
          </cell>
          <cell r="O46">
            <v>1101109.909</v>
          </cell>
          <cell r="P46">
            <v>2019150.4</v>
          </cell>
          <cell r="Q46">
            <v>1901503.3</v>
          </cell>
          <cell r="R46">
            <v>821182.2</v>
          </cell>
          <cell r="S46">
            <v>2877945.1</v>
          </cell>
          <cell r="T46">
            <v>663018.52800000005</v>
          </cell>
          <cell r="U46">
            <v>903966.03799999994</v>
          </cell>
          <cell r="V46">
            <v>1210665.7050000001</v>
          </cell>
          <cell r="W46">
            <v>853325.46500000008</v>
          </cell>
          <cell r="X46">
            <v>0</v>
          </cell>
          <cell r="Y46">
            <v>0</v>
          </cell>
          <cell r="Z46">
            <v>34276780.525000006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E46">
            <v>0</v>
          </cell>
          <cell r="AF46"/>
          <cell r="AG46"/>
          <cell r="AH46">
            <v>90840</v>
          </cell>
          <cell r="AI46">
            <v>34367620.525000006</v>
          </cell>
          <cell r="AJ46">
            <v>378240</v>
          </cell>
          <cell r="AK46">
            <v>129840</v>
          </cell>
          <cell r="AL46">
            <v>130464</v>
          </cell>
          <cell r="AM46"/>
          <cell r="AN46">
            <v>638544</v>
          </cell>
          <cell r="AO46">
            <v>11314060.175999999</v>
          </cell>
          <cell r="AP46">
            <v>0</v>
          </cell>
          <cell r="AQ46"/>
          <cell r="AR46"/>
          <cell r="AS46">
            <v>11314060.175999999</v>
          </cell>
          <cell r="AT46">
            <v>5250</v>
          </cell>
          <cell r="AU46">
            <v>7425</v>
          </cell>
          <cell r="AV46">
            <v>0</v>
          </cell>
          <cell r="AW46">
            <v>80501.517000000007</v>
          </cell>
          <cell r="AX46">
            <v>0</v>
          </cell>
          <cell r="AY46"/>
          <cell r="AZ46"/>
          <cell r="BA46">
            <v>93176.517000000007</v>
          </cell>
          <cell r="BB46">
            <v>0</v>
          </cell>
          <cell r="BC46">
            <v>1774.1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1774.1</v>
          </cell>
        </row>
        <row r="47">
          <cell r="F47">
            <v>39399641.856000006</v>
          </cell>
          <cell r="G47">
            <v>3946600.47</v>
          </cell>
          <cell r="H47">
            <v>3064249.9470000002</v>
          </cell>
          <cell r="I47">
            <v>2536008.3290000004</v>
          </cell>
          <cell r="J47">
            <v>1462836.037</v>
          </cell>
          <cell r="K47">
            <v>1819779.4540000001</v>
          </cell>
          <cell r="L47">
            <v>2006790.375</v>
          </cell>
          <cell r="M47">
            <v>1221766.8809999998</v>
          </cell>
          <cell r="N47">
            <v>1724778.4990000001</v>
          </cell>
          <cell r="O47">
            <v>908741.44299999997</v>
          </cell>
          <cell r="P47">
            <v>1540725.868</v>
          </cell>
          <cell r="Q47">
            <v>1459226.8150000002</v>
          </cell>
          <cell r="R47">
            <v>750022.00599999994</v>
          </cell>
          <cell r="S47">
            <v>2383986.0520000001</v>
          </cell>
          <cell r="T47">
            <v>523395.49399999995</v>
          </cell>
          <cell r="U47">
            <v>641802.07400000002</v>
          </cell>
          <cell r="V47">
            <v>936232.848</v>
          </cell>
          <cell r="W47">
            <v>682327.07</v>
          </cell>
          <cell r="X47">
            <v>0</v>
          </cell>
          <cell r="Y47">
            <v>0</v>
          </cell>
          <cell r="Z47">
            <v>27609269.662000008</v>
          </cell>
          <cell r="AA47">
            <v>6187.393</v>
          </cell>
          <cell r="AB47">
            <v>0</v>
          </cell>
          <cell r="AC47">
            <v>3482.0329999999999</v>
          </cell>
          <cell r="AD47">
            <v>8745.3989999999994</v>
          </cell>
          <cell r="AE47">
            <v>0</v>
          </cell>
          <cell r="AF47"/>
          <cell r="AG47"/>
          <cell r="AH47">
            <v>18414.824999999997</v>
          </cell>
          <cell r="AI47">
            <v>27627684.487000007</v>
          </cell>
          <cell r="AJ47">
            <v>361362.75099999993</v>
          </cell>
          <cell r="AK47">
            <v>152836.06899999996</v>
          </cell>
          <cell r="AL47">
            <v>138583.81200000003</v>
          </cell>
          <cell r="AM47"/>
          <cell r="AN47">
            <v>652782.63199999998</v>
          </cell>
          <cell r="AO47">
            <v>11109065.92</v>
          </cell>
          <cell r="AP47">
            <v>0</v>
          </cell>
          <cell r="AQ47"/>
          <cell r="AR47"/>
          <cell r="AS47">
            <v>11109065.92</v>
          </cell>
          <cell r="AT47">
            <v>1438.9190000000001</v>
          </cell>
          <cell r="AU47">
            <v>8669.898000000001</v>
          </cell>
          <cell r="AV47">
            <v>0</v>
          </cell>
          <cell r="AW47">
            <v>0</v>
          </cell>
          <cell r="AX47">
            <v>0</v>
          </cell>
          <cell r="AY47"/>
          <cell r="AZ47"/>
          <cell r="BA47">
            <v>10108.817000000001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/>
          <cell r="BI47"/>
          <cell r="BJ47">
            <v>0</v>
          </cell>
        </row>
        <row r="48">
          <cell r="F48">
            <v>7015533.4619999975</v>
          </cell>
          <cell r="G48">
            <v>952419.90999999968</v>
          </cell>
          <cell r="H48">
            <v>617533.43499999959</v>
          </cell>
          <cell r="I48">
            <v>259752.78999999957</v>
          </cell>
          <cell r="J48">
            <v>290911.16200000001</v>
          </cell>
          <cell r="K48">
            <v>562543.94599999976</v>
          </cell>
          <cell r="L48">
            <v>764371.625</v>
          </cell>
          <cell r="M48">
            <v>259075.61900000018</v>
          </cell>
          <cell r="N48">
            <v>435495.40099999984</v>
          </cell>
          <cell r="O48">
            <v>192368.46600000001</v>
          </cell>
          <cell r="P48">
            <v>478424.53199999989</v>
          </cell>
          <cell r="Q48">
            <v>442276.48499999987</v>
          </cell>
          <cell r="R48">
            <v>71160.194000000018</v>
          </cell>
          <cell r="S48">
            <v>493959.04799999995</v>
          </cell>
          <cell r="T48">
            <v>139623.0340000001</v>
          </cell>
          <cell r="U48">
            <v>262163.96399999992</v>
          </cell>
          <cell r="V48">
            <v>274432.85700000008</v>
          </cell>
          <cell r="W48">
            <v>170998.39500000014</v>
          </cell>
          <cell r="X48">
            <v>0</v>
          </cell>
          <cell r="Y48">
            <v>0</v>
          </cell>
          <cell r="Z48">
            <v>6667510.862999998</v>
          </cell>
          <cell r="AA48">
            <v>43812.607000000004</v>
          </cell>
          <cell r="AB48">
            <v>0</v>
          </cell>
          <cell r="AC48">
            <v>9017.9670000000006</v>
          </cell>
          <cell r="AD48">
            <v>19594.601000000002</v>
          </cell>
          <cell r="AE48">
            <v>0</v>
          </cell>
          <cell r="AF48"/>
          <cell r="AG48"/>
          <cell r="AH48">
            <v>72425.175000000003</v>
          </cell>
          <cell r="AI48">
            <v>6739936.0379999988</v>
          </cell>
          <cell r="AJ48">
            <v>16877.249000000069</v>
          </cell>
          <cell r="AK48">
            <v>-22996.068999999959</v>
          </cell>
          <cell r="AL48">
            <v>-8119.8120000000345</v>
          </cell>
          <cell r="AM48"/>
          <cell r="AN48">
            <v>-14238.631999999983</v>
          </cell>
          <cell r="AO48">
            <v>204994.25599999912</v>
          </cell>
          <cell r="AP48">
            <v>0</v>
          </cell>
          <cell r="AQ48"/>
          <cell r="AR48"/>
          <cell r="AS48">
            <v>204994.25599999912</v>
          </cell>
          <cell r="AT48">
            <v>3811.0810000000001</v>
          </cell>
          <cell r="AU48">
            <v>-1244.898000000001</v>
          </cell>
          <cell r="AV48">
            <v>0</v>
          </cell>
          <cell r="AW48">
            <v>80501.517000000007</v>
          </cell>
          <cell r="AX48">
            <v>0</v>
          </cell>
          <cell r="AY48"/>
          <cell r="AZ48"/>
          <cell r="BA48">
            <v>83067.700000000012</v>
          </cell>
          <cell r="BB48">
            <v>0</v>
          </cell>
          <cell r="BC48">
            <v>1774.1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/>
          <cell r="BI48"/>
          <cell r="BJ48">
            <v>1774.1</v>
          </cell>
        </row>
        <row r="49">
          <cell r="F49">
            <v>2009500.3499999996</v>
          </cell>
          <cell r="G49">
            <v>248853.95553942348</v>
          </cell>
          <cell r="H49">
            <v>200102.09815376866</v>
          </cell>
          <cell r="I49">
            <v>148831.89242769824</v>
          </cell>
          <cell r="J49">
            <v>94833.031693877565</v>
          </cell>
          <cell r="K49">
            <v>147363.97990035932</v>
          </cell>
          <cell r="L49">
            <v>146155.46395900895</v>
          </cell>
          <cell r="M49">
            <v>90074.598481661014</v>
          </cell>
          <cell r="N49">
            <v>126882.47736643316</v>
          </cell>
          <cell r="O49">
            <v>73929.015536662526</v>
          </cell>
          <cell r="P49">
            <v>112835.88382827147</v>
          </cell>
          <cell r="Q49">
            <v>101925.5359079998</v>
          </cell>
          <cell r="R49">
            <v>54162.356071649236</v>
          </cell>
          <cell r="S49">
            <v>140503.60086230002</v>
          </cell>
          <cell r="T49">
            <v>33054.501568837841</v>
          </cell>
          <cell r="U49">
            <v>41150.861306781371</v>
          </cell>
          <cell r="V49">
            <v>67468.662484943401</v>
          </cell>
          <cell r="W49">
            <v>46483.928910323732</v>
          </cell>
          <cell r="X49">
            <v>0</v>
          </cell>
          <cell r="Y49">
            <v>0</v>
          </cell>
          <cell r="Z49">
            <v>1874611.8439999996</v>
          </cell>
          <cell r="AA49">
            <v>0</v>
          </cell>
          <cell r="AB49">
            <v>535.27099999999996</v>
          </cell>
          <cell r="AC49">
            <v>0</v>
          </cell>
          <cell r="AD49">
            <v>0</v>
          </cell>
          <cell r="AE49">
            <v>0</v>
          </cell>
          <cell r="AF49"/>
          <cell r="AG49"/>
          <cell r="AH49">
            <v>535.27099999999996</v>
          </cell>
          <cell r="AI49">
            <v>1875147.1149999995</v>
          </cell>
          <cell r="AJ49">
            <v>9611.4549999999999</v>
          </cell>
          <cell r="AK49">
            <v>0</v>
          </cell>
          <cell r="AL49">
            <v>450</v>
          </cell>
          <cell r="AM49"/>
          <cell r="AN49">
            <v>10061.455</v>
          </cell>
          <cell r="AO49">
            <v>119672.81900000002</v>
          </cell>
          <cell r="AP49">
            <v>855.83600000000001</v>
          </cell>
          <cell r="AQ49"/>
          <cell r="AR49"/>
          <cell r="AS49">
            <v>120528.65500000001</v>
          </cell>
          <cell r="AT49">
            <v>0</v>
          </cell>
          <cell r="AU49">
            <v>0</v>
          </cell>
          <cell r="AV49">
            <v>594.14400000000001</v>
          </cell>
          <cell r="AW49">
            <v>0</v>
          </cell>
          <cell r="AX49">
            <v>26185.614999999998</v>
          </cell>
          <cell r="AY49"/>
          <cell r="AZ49"/>
          <cell r="BA49">
            <v>26779.758999999998</v>
          </cell>
          <cell r="BB49">
            <v>0</v>
          </cell>
          <cell r="BC49">
            <v>16569.026000000002</v>
          </cell>
          <cell r="BD49">
            <v>0</v>
          </cell>
          <cell r="BE49">
            <v>-49000</v>
          </cell>
          <cell r="BF49">
            <v>9414.34</v>
          </cell>
          <cell r="BG49">
            <v>0</v>
          </cell>
          <cell r="BH49"/>
          <cell r="BI49"/>
          <cell r="BJ49">
            <v>-23016.633999999998</v>
          </cell>
        </row>
        <row r="50">
          <cell r="F50">
            <v>5006033.1119999979</v>
          </cell>
          <cell r="G50">
            <v>703565.95446057618</v>
          </cell>
          <cell r="H50">
            <v>417431.3368462309</v>
          </cell>
          <cell r="I50">
            <v>110920.89757230133</v>
          </cell>
          <cell r="J50">
            <v>196078.13030612245</v>
          </cell>
          <cell r="K50">
            <v>415179.96609964047</v>
          </cell>
          <cell r="L50">
            <v>618216.16104099108</v>
          </cell>
          <cell r="M50">
            <v>169001.02051833918</v>
          </cell>
          <cell r="N50">
            <v>308612.92363356671</v>
          </cell>
          <cell r="O50">
            <v>118439.45046333749</v>
          </cell>
          <cell r="P50">
            <v>365588.64817172842</v>
          </cell>
          <cell r="Q50">
            <v>340350.94909200008</v>
          </cell>
          <cell r="R50">
            <v>16997.837928350782</v>
          </cell>
          <cell r="S50">
            <v>353455.44713769993</v>
          </cell>
          <cell r="T50">
            <v>106568.53243116225</v>
          </cell>
          <cell r="U50">
            <v>221013.10269321856</v>
          </cell>
          <cell r="V50">
            <v>206964.19451505668</v>
          </cell>
          <cell r="W50">
            <v>124514.4660896764</v>
          </cell>
          <cell r="X50">
            <v>0</v>
          </cell>
          <cell r="Y50">
            <v>0</v>
          </cell>
          <cell r="Z50">
            <v>4792899.0189999985</v>
          </cell>
          <cell r="AA50">
            <v>43812.607000000004</v>
          </cell>
          <cell r="AB50">
            <v>-535.27099999999996</v>
          </cell>
          <cell r="AC50">
            <v>9017.9670000000006</v>
          </cell>
          <cell r="AD50">
            <v>19594.601000000002</v>
          </cell>
          <cell r="AE50">
            <v>0</v>
          </cell>
          <cell r="AF50"/>
          <cell r="AG50"/>
          <cell r="AH50">
            <v>71889.90400000001</v>
          </cell>
          <cell r="AI50">
            <v>4864788.9229999995</v>
          </cell>
          <cell r="AJ50">
            <v>7265.794000000069</v>
          </cell>
          <cell r="AK50">
            <v>-22996.068999999959</v>
          </cell>
          <cell r="AL50">
            <v>-8569.8120000000345</v>
          </cell>
          <cell r="AM50"/>
          <cell r="AN50">
            <v>-24300.086999999985</v>
          </cell>
          <cell r="AO50">
            <v>85321.436999999103</v>
          </cell>
          <cell r="AP50">
            <v>-855.83600000000001</v>
          </cell>
          <cell r="AQ50"/>
          <cell r="AR50"/>
          <cell r="AS50">
            <v>84465.600999999107</v>
          </cell>
          <cell r="AT50">
            <v>3811.0810000000001</v>
          </cell>
          <cell r="AU50">
            <v>-1244.898000000001</v>
          </cell>
          <cell r="AV50">
            <v>-594.14400000000001</v>
          </cell>
          <cell r="AW50">
            <v>80501.517000000007</v>
          </cell>
          <cell r="AX50">
            <v>-26185.614999999998</v>
          </cell>
          <cell r="AY50"/>
          <cell r="AZ50"/>
          <cell r="BA50">
            <v>56287.941000000013</v>
          </cell>
          <cell r="BB50">
            <v>0</v>
          </cell>
          <cell r="BC50">
            <v>-14794.926000000001</v>
          </cell>
          <cell r="BD50">
            <v>0</v>
          </cell>
          <cell r="BE50">
            <v>49000</v>
          </cell>
          <cell r="BF50">
            <v>-9414.34</v>
          </cell>
          <cell r="BG50">
            <v>0</v>
          </cell>
          <cell r="BH50"/>
          <cell r="BI50"/>
          <cell r="BJ50">
            <v>24790.733999999997</v>
          </cell>
        </row>
        <row r="53">
          <cell r="J53"/>
        </row>
        <row r="54">
          <cell r="J54"/>
        </row>
      </sheetData>
      <sheetData sheetId="22">
        <row r="6">
          <cell r="F6" t="str">
            <v>합계</v>
          </cell>
        </row>
      </sheetData>
      <sheetData sheetId="23">
        <row r="6">
          <cell r="F6" t="str">
            <v>합계</v>
          </cell>
        </row>
      </sheetData>
      <sheetData sheetId="24">
        <row r="6">
          <cell r="F6" t="str">
            <v>합계</v>
          </cell>
        </row>
      </sheetData>
      <sheetData sheetId="25">
        <row r="6">
          <cell r="F6" t="str">
            <v>합계</v>
          </cell>
        </row>
      </sheetData>
      <sheetData sheetId="26">
        <row r="6">
          <cell r="F6" t="str">
            <v>합계</v>
          </cell>
        </row>
      </sheetData>
      <sheetData sheetId="27"/>
      <sheetData sheetId="28"/>
      <sheetData sheetId="29">
        <row r="39">
          <cell r="F39">
            <v>8813634.2919999994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사업장별(당월)_공장 송부용"/>
      <sheetName val="사업장별(누계)_공장 송부용"/>
      <sheetName val="영업이익"/>
      <sheetName val="공헌이익"/>
      <sheetName val="재료비단가"/>
      <sheetName val="원단위"/>
      <sheetName val="건자재"/>
      <sheetName val="골재사업소(당월)"/>
      <sheetName val="골재사업소(누계)"/>
    </sheetNames>
    <sheetDataSet>
      <sheetData sheetId="0"/>
      <sheetData sheetId="1">
        <row r="7">
          <cell r="J7">
            <v>2551.5</v>
          </cell>
          <cell r="K7">
            <v>2528.7134999999998</v>
          </cell>
          <cell r="M7">
            <v>2850.0050000000001</v>
          </cell>
        </row>
        <row r="8">
          <cell r="J8">
            <v>63300</v>
          </cell>
          <cell r="K8">
            <v>77967.343999999997</v>
          </cell>
          <cell r="M8">
            <v>69555.719000000012</v>
          </cell>
        </row>
        <row r="9">
          <cell r="J9">
            <v>856.28674866946187</v>
          </cell>
          <cell r="K9">
            <v>654.21500000000003</v>
          </cell>
          <cell r="M9">
            <v>573.88200000000006</v>
          </cell>
        </row>
        <row r="10">
          <cell r="J10">
            <v>259775.29381891651</v>
          </cell>
          <cell r="K10">
            <v>255794.309186</v>
          </cell>
          <cell r="M10">
            <v>275039.414253</v>
          </cell>
        </row>
        <row r="11">
          <cell r="J11">
            <v>77413.543157894746</v>
          </cell>
          <cell r="K11">
            <v>77932.391057000001</v>
          </cell>
          <cell r="M11">
            <v>85026.683772999997</v>
          </cell>
        </row>
        <row r="12">
          <cell r="J12">
            <v>16342.76607385366</v>
          </cell>
          <cell r="K12">
            <v>13129.78558</v>
          </cell>
          <cell r="M12">
            <v>11005.929900000001</v>
          </cell>
        </row>
        <row r="13">
          <cell r="J13">
            <v>1484.7675029999823</v>
          </cell>
          <cell r="K13">
            <v>1489.875340999994</v>
          </cell>
          <cell r="M13">
            <v>1769.7096150000173</v>
          </cell>
        </row>
        <row r="15">
          <cell r="J15">
            <v>217045.15296047257</v>
          </cell>
          <cell r="K15">
            <v>221504.99727699003</v>
          </cell>
          <cell r="M15">
            <v>227018.00823800999</v>
          </cell>
        </row>
        <row r="16">
          <cell r="J16">
            <v>75433.104226863143</v>
          </cell>
          <cell r="K16">
            <v>76231.984156000006</v>
          </cell>
          <cell r="M16">
            <v>83260.913210999992</v>
          </cell>
        </row>
        <row r="17">
          <cell r="J17">
            <v>14616.921234968044</v>
          </cell>
          <cell r="K17">
            <v>12454.682896999999</v>
          </cell>
          <cell r="M17">
            <v>10102.538525969998</v>
          </cell>
        </row>
        <row r="18">
          <cell r="J18">
            <v>-800.57411200001343</v>
          </cell>
          <cell r="K18">
            <v>-109.09168900000327</v>
          </cell>
          <cell r="M18">
            <v>528.23183400001767</v>
          </cell>
        </row>
        <row r="25">
          <cell r="J25">
            <v>5975.3672520000009</v>
          </cell>
          <cell r="K25">
            <v>6157.4466070000008</v>
          </cell>
          <cell r="M25">
            <v>6062.3413910000008</v>
          </cell>
        </row>
        <row r="26">
          <cell r="J26">
            <v>1140.5681100000002</v>
          </cell>
          <cell r="K26">
            <v>1260.9085309999998</v>
          </cell>
          <cell r="M26">
            <v>1081.001716</v>
          </cell>
        </row>
        <row r="27">
          <cell r="J27">
            <v>511.92943511111116</v>
          </cell>
          <cell r="K27">
            <v>529.14008464095264</v>
          </cell>
          <cell r="M27">
            <v>281.61729099999991</v>
          </cell>
        </row>
        <row r="28">
          <cell r="J28">
            <v>13144.608433206864</v>
          </cell>
          <cell r="K28">
            <v>13943.428149357484</v>
          </cell>
          <cell r="M28">
            <v>13041.222351999999</v>
          </cell>
        </row>
        <row r="38">
          <cell r="J38">
            <v>27949.29301304316</v>
          </cell>
          <cell r="K38">
            <v>16372.865151011556</v>
          </cell>
          <cell r="M38">
            <v>31465.862982020008</v>
          </cell>
        </row>
      </sheetData>
      <sheetData sheetId="2"/>
      <sheetData sheetId="3">
        <row r="7">
          <cell r="J7">
            <v>370</v>
          </cell>
          <cell r="K7">
            <v>334.61600000000004</v>
          </cell>
          <cell r="M7">
            <v>399.88800000000003</v>
          </cell>
          <cell r="O7">
            <v>37069.957300000002</v>
          </cell>
          <cell r="P7">
            <v>33357.438020000001</v>
          </cell>
          <cell r="R7">
            <v>37165.112199000003</v>
          </cell>
          <cell r="T7">
            <v>5070.1885287366849</v>
          </cell>
          <cell r="U7">
            <v>3343.7299199999993</v>
          </cell>
          <cell r="W7">
            <v>5349.5839989800006</v>
          </cell>
        </row>
        <row r="8">
          <cell r="J8">
            <v>273</v>
          </cell>
          <cell r="K8">
            <v>240.61399999999998</v>
          </cell>
          <cell r="M8">
            <v>334.99099999999999</v>
          </cell>
          <cell r="O8">
            <v>27722.469950569601</v>
          </cell>
          <cell r="P8">
            <v>24052.030667999999</v>
          </cell>
          <cell r="R8">
            <v>32103.106254000002</v>
          </cell>
          <cell r="T8">
            <v>2862.1879350440067</v>
          </cell>
          <cell r="U8">
            <v>1598.4680050099985</v>
          </cell>
          <cell r="W8">
            <v>3919.8290459999994</v>
          </cell>
        </row>
        <row r="9">
          <cell r="J9">
            <v>221</v>
          </cell>
          <cell r="K9">
            <v>217.43</v>
          </cell>
          <cell r="M9">
            <v>234.142</v>
          </cell>
          <cell r="O9">
            <v>21780.382060096901</v>
          </cell>
          <cell r="P9">
            <v>21232.172845000001</v>
          </cell>
          <cell r="R9">
            <v>21568.782824999995</v>
          </cell>
          <cell r="T9">
            <v>2911.5541196449994</v>
          </cell>
          <cell r="U9">
            <v>1620.519986</v>
          </cell>
          <cell r="W9">
            <v>2435.4324220099988</v>
          </cell>
        </row>
        <row r="10">
          <cell r="J10">
            <v>134.5</v>
          </cell>
          <cell r="K10">
            <v>102.59749999999998</v>
          </cell>
          <cell r="M10">
            <v>145.07400000000001</v>
          </cell>
          <cell r="O10">
            <v>12855.481</v>
          </cell>
          <cell r="P10">
            <v>10047.479192000001</v>
          </cell>
          <cell r="R10">
            <v>13013.835076000001</v>
          </cell>
          <cell r="T10">
            <v>1720.5477262942857</v>
          </cell>
          <cell r="U10">
            <v>861.13719300000025</v>
          </cell>
          <cell r="W10">
            <v>1622.0566760000004</v>
          </cell>
        </row>
        <row r="11">
          <cell r="J11">
            <v>178</v>
          </cell>
          <cell r="K11">
            <v>180.4905</v>
          </cell>
          <cell r="M11">
            <v>210.18049999999999</v>
          </cell>
          <cell r="O11">
            <v>19152.806589249998</v>
          </cell>
          <cell r="P11">
            <v>19514.874640999999</v>
          </cell>
          <cell r="R11">
            <v>21674.129219999999</v>
          </cell>
          <cell r="T11">
            <v>2781.5294931292633</v>
          </cell>
          <cell r="U11">
            <v>1993.2543149999992</v>
          </cell>
          <cell r="W11">
            <v>3808.7772869999994</v>
          </cell>
        </row>
        <row r="12">
          <cell r="J12">
            <v>212</v>
          </cell>
          <cell r="K12">
            <v>187.50900000000001</v>
          </cell>
          <cell r="M12">
            <v>192.12099999999998</v>
          </cell>
          <cell r="O12">
            <v>22002.987240000002</v>
          </cell>
          <cell r="P12">
            <v>18965.681831000002</v>
          </cell>
          <cell r="R12">
            <v>19346.943192000002</v>
          </cell>
          <cell r="T12">
            <v>3781.4324981962441</v>
          </cell>
          <cell r="U12">
            <v>2157.9980279999995</v>
          </cell>
          <cell r="W12">
            <v>3256.2757489999999</v>
          </cell>
        </row>
        <row r="13">
          <cell r="J13">
            <v>104</v>
          </cell>
          <cell r="K13">
            <v>120.628</v>
          </cell>
          <cell r="M13">
            <v>117.15</v>
          </cell>
          <cell r="O13">
            <v>10503.988999999998</v>
          </cell>
          <cell r="P13">
            <v>11543.274899999999</v>
          </cell>
          <cell r="R13">
            <v>11469.056397999999</v>
          </cell>
          <cell r="T13">
            <v>1255.3955560661991</v>
          </cell>
          <cell r="U13">
            <v>709.65761099999975</v>
          </cell>
          <cell r="W13">
            <v>1514.0367180000001</v>
          </cell>
        </row>
        <row r="14">
          <cell r="J14">
            <v>154</v>
          </cell>
          <cell r="K14">
            <v>175.43350000000001</v>
          </cell>
          <cell r="M14">
            <v>167.46499999999997</v>
          </cell>
          <cell r="O14">
            <v>16016</v>
          </cell>
          <cell r="P14">
            <v>17795.158349999998</v>
          </cell>
          <cell r="R14">
            <v>16882.394919999999</v>
          </cell>
          <cell r="T14">
            <v>2171.2407192102764</v>
          </cell>
          <cell r="U14">
            <v>1600.2509529999993</v>
          </cell>
          <cell r="W14">
            <v>2577.6062740000007</v>
          </cell>
        </row>
        <row r="15">
          <cell r="J15">
            <v>94</v>
          </cell>
          <cell r="K15">
            <v>112.78100000000002</v>
          </cell>
          <cell r="M15">
            <v>124.61600000000001</v>
          </cell>
          <cell r="O15">
            <v>9086.2111640000003</v>
          </cell>
          <cell r="P15">
            <v>10439.652218000001</v>
          </cell>
          <cell r="R15">
            <v>11666.632911999999</v>
          </cell>
          <cell r="T15">
            <v>1202.8616520984995</v>
          </cell>
          <cell r="U15">
            <v>933.80031200000019</v>
          </cell>
          <cell r="W15">
            <v>1798.123292</v>
          </cell>
        </row>
        <row r="16">
          <cell r="J16">
            <v>142</v>
          </cell>
          <cell r="K16">
            <v>156.06950000000001</v>
          </cell>
          <cell r="M16">
            <v>176.65600000000001</v>
          </cell>
          <cell r="O16">
            <v>14308.351500000001</v>
          </cell>
          <cell r="P16">
            <v>15834.130999999999</v>
          </cell>
          <cell r="R16">
            <v>16878.590519999998</v>
          </cell>
          <cell r="T16">
            <v>2296.1982467628582</v>
          </cell>
          <cell r="U16">
            <v>2362.1911920000002</v>
          </cell>
          <cell r="W16">
            <v>3281.3008099999988</v>
          </cell>
        </row>
        <row r="17">
          <cell r="J17">
            <v>141</v>
          </cell>
          <cell r="K17">
            <v>140.24299999999999</v>
          </cell>
          <cell r="M17">
            <v>176.09099999999998</v>
          </cell>
          <cell r="O17">
            <v>13786.54</v>
          </cell>
          <cell r="P17">
            <v>14137.288452000001</v>
          </cell>
          <cell r="R17">
            <v>16421.257000000001</v>
          </cell>
          <cell r="T17">
            <v>2403.1885691856451</v>
          </cell>
          <cell r="U17">
            <v>2116.0697</v>
          </cell>
          <cell r="W17">
            <v>3070.7439540000005</v>
          </cell>
        </row>
        <row r="18">
          <cell r="J18">
            <v>74</v>
          </cell>
          <cell r="K18">
            <v>94.507000000000005</v>
          </cell>
          <cell r="M18">
            <v>78.941500000000005</v>
          </cell>
          <cell r="O18">
            <v>7413.222240000001</v>
          </cell>
          <cell r="P18">
            <v>9827.7895420000004</v>
          </cell>
          <cell r="R18">
            <v>7503.1536499999993</v>
          </cell>
          <cell r="T18">
            <v>403.25754622186469</v>
          </cell>
          <cell r="U18">
            <v>1080.4193490000005</v>
          </cell>
          <cell r="W18">
            <v>516.14120400000013</v>
          </cell>
        </row>
        <row r="19">
          <cell r="J19">
            <v>197</v>
          </cell>
          <cell r="K19">
            <v>231.91899999999998</v>
          </cell>
          <cell r="M19">
            <v>223.65100000000001</v>
          </cell>
          <cell r="O19">
            <v>19896.993399999999</v>
          </cell>
          <cell r="P19">
            <v>23496.461101000001</v>
          </cell>
          <cell r="R19">
            <v>21391.767683000002</v>
          </cell>
          <cell r="T19">
            <v>2884.3013536682379</v>
          </cell>
          <cell r="U19">
            <v>3364.5258369999997</v>
          </cell>
          <cell r="W19">
            <v>3577.7005869999998</v>
          </cell>
        </row>
        <row r="20">
          <cell r="J20">
            <v>104</v>
          </cell>
          <cell r="K20">
            <v>75.480499999999978</v>
          </cell>
          <cell r="M20">
            <v>94.448000000000008</v>
          </cell>
          <cell r="O20">
            <v>10680.462977000001</v>
          </cell>
          <cell r="P20">
            <v>7271.5489369999996</v>
          </cell>
          <cell r="R20">
            <v>9313.3286010000011</v>
          </cell>
          <cell r="T20">
            <v>1706.7695805669216</v>
          </cell>
          <cell r="U20">
            <v>513.82139400000005</v>
          </cell>
          <cell r="W20">
            <v>1463.452526</v>
          </cell>
        </row>
        <row r="21">
          <cell r="J21">
            <v>59</v>
          </cell>
          <cell r="K21">
            <v>76.563499999999991</v>
          </cell>
          <cell r="M21">
            <v>70.688000000000002</v>
          </cell>
          <cell r="O21">
            <v>6432.539397999999</v>
          </cell>
          <cell r="P21">
            <v>8684.7115360000007</v>
          </cell>
          <cell r="R21">
            <v>6964.0924200000009</v>
          </cell>
          <cell r="T21">
            <v>1601.4383600820365</v>
          </cell>
          <cell r="U21">
            <v>2422.077311</v>
          </cell>
          <cell r="W21">
            <v>1606.3869279999999</v>
          </cell>
        </row>
        <row r="22">
          <cell r="J22">
            <v>45</v>
          </cell>
          <cell r="K22">
            <v>50.372999999999998</v>
          </cell>
          <cell r="M22">
            <v>40.423499999999997</v>
          </cell>
          <cell r="O22">
            <v>4855.5</v>
          </cell>
          <cell r="P22">
            <v>5665.3093900000003</v>
          </cell>
          <cell r="R22">
            <v>4099.385518</v>
          </cell>
          <cell r="T22">
            <v>775.53943388717823</v>
          </cell>
          <cell r="U22">
            <v>1128.7027800000001</v>
          </cell>
          <cell r="W22">
            <v>658.04973600000005</v>
          </cell>
        </row>
        <row r="23">
          <cell r="J23">
            <v>49</v>
          </cell>
          <cell r="K23">
            <v>31.458500000000001</v>
          </cell>
          <cell r="M23">
            <v>63.478499999999997</v>
          </cell>
          <cell r="O23">
            <v>6211.4000000000015</v>
          </cell>
          <cell r="P23">
            <v>3929.3065630000001</v>
          </cell>
          <cell r="R23">
            <v>7577.8458650000002</v>
          </cell>
          <cell r="T23">
            <v>927.14228764875088</v>
          </cell>
          <cell r="U23">
            <v>325.24141599999996</v>
          </cell>
          <cell r="W23">
            <v>1503.5674160000001</v>
          </cell>
        </row>
        <row r="28">
          <cell r="J28">
            <v>63300</v>
          </cell>
          <cell r="K28">
            <v>77967.343999999997</v>
          </cell>
          <cell r="M28">
            <v>69555.719000000012</v>
          </cell>
          <cell r="O28">
            <v>77413.543157894746</v>
          </cell>
          <cell r="P28">
            <v>77932.391057000001</v>
          </cell>
          <cell r="R28">
            <v>85026.683772999997</v>
          </cell>
          <cell r="T28">
            <v>839.87082103158934</v>
          </cell>
          <cell r="U28">
            <v>439.49837000000065</v>
          </cell>
          <cell r="W28">
            <v>684.76884600000278</v>
          </cell>
        </row>
        <row r="29">
          <cell r="J29">
            <v>212.44484754941408</v>
          </cell>
          <cell r="K29">
            <v>169.70699999999999</v>
          </cell>
          <cell r="M29">
            <v>223.24199999999999</v>
          </cell>
          <cell r="O29">
            <v>6232.3161599870709</v>
          </cell>
          <cell r="P29">
            <v>5011.7635799999998</v>
          </cell>
          <cell r="R29">
            <v>6548.9299000000001</v>
          </cell>
          <cell r="T29">
            <v>312.58577563298064</v>
          </cell>
          <cell r="U29">
            <v>305.22036228727217</v>
          </cell>
          <cell r="W29">
            <v>283.40205401999998</v>
          </cell>
        </row>
        <row r="30">
          <cell r="J30">
            <v>272.83109354666669</v>
          </cell>
          <cell r="K30">
            <v>168.53</v>
          </cell>
          <cell r="M30">
            <v>301.7</v>
          </cell>
          <cell r="O30">
            <v>3436.155069866667</v>
          </cell>
          <cell r="P30">
            <v>2372.0990000000002</v>
          </cell>
          <cell r="R30">
            <v>3598.9639999999999</v>
          </cell>
          <cell r="T30">
            <v>659.30743203524378</v>
          </cell>
          <cell r="U30">
            <v>27.374989941775098</v>
          </cell>
          <cell r="W30">
            <v>657.13109500000019</v>
          </cell>
        </row>
        <row r="31">
          <cell r="J31">
            <v>371.01080757338104</v>
          </cell>
          <cell r="K31">
            <v>315.97800000000001</v>
          </cell>
          <cell r="M31">
            <v>48.94</v>
          </cell>
          <cell r="O31">
            <v>6674.2948439999245</v>
          </cell>
          <cell r="P31">
            <v>5745.9229999999998</v>
          </cell>
          <cell r="R31">
            <v>858.03600000000006</v>
          </cell>
          <cell r="T31">
            <v>242.02219610628055</v>
          </cell>
          <cell r="U31">
            <v>-186.63275386999987</v>
          </cell>
          <cell r="W31">
            <v>-318.75906599000001</v>
          </cell>
        </row>
        <row r="33">
          <cell r="O33">
            <v>817.56000000000017</v>
          </cell>
          <cell r="P33">
            <v>817.56000000000017</v>
          </cell>
          <cell r="R33">
            <v>748.81000000000017</v>
          </cell>
          <cell r="T33">
            <v>597.83841200000006</v>
          </cell>
          <cell r="U33">
            <v>556.78798499999994</v>
          </cell>
          <cell r="W33">
            <v>475.06243599999999</v>
          </cell>
        </row>
        <row r="34">
          <cell r="O34">
            <v>651.27750300000002</v>
          </cell>
          <cell r="P34">
            <v>656.64914099999999</v>
          </cell>
          <cell r="R34">
            <v>850.54351500000007</v>
          </cell>
          <cell r="T34">
            <v>596.72801299999992</v>
          </cell>
          <cell r="U34">
            <v>603.401566</v>
          </cell>
          <cell r="W34">
            <v>587.43831299999999</v>
          </cell>
        </row>
        <row r="35">
          <cell r="O35">
            <v>0</v>
          </cell>
          <cell r="P35">
            <v>0</v>
          </cell>
          <cell r="R35">
            <v>0</v>
          </cell>
          <cell r="T35">
            <v>-12558.532403206726</v>
          </cell>
          <cell r="U35">
            <v>-12891.838653357485</v>
          </cell>
          <cell r="W35">
            <v>-10512.684547999999</v>
          </cell>
        </row>
        <row r="36">
          <cell r="O36">
            <v>0</v>
          </cell>
          <cell r="P36">
            <v>0</v>
          </cell>
          <cell r="R36">
            <v>0</v>
          </cell>
          <cell r="T36">
            <v>1329.7</v>
          </cell>
          <cell r="U36">
            <v>500</v>
          </cell>
          <cell r="W36">
            <v>0</v>
          </cell>
        </row>
        <row r="37">
          <cell r="O37">
            <v>0</v>
          </cell>
          <cell r="P37">
            <v>0</v>
          </cell>
          <cell r="R37">
            <v>0</v>
          </cell>
          <cell r="T37">
            <v>0</v>
          </cell>
          <cell r="U37">
            <v>-573.85933299999999</v>
          </cell>
          <cell r="W37">
            <v>-2023.2219769999999</v>
          </cell>
        </row>
        <row r="38">
          <cell r="O38">
            <v>0</v>
          </cell>
          <cell r="P38">
            <v>0</v>
          </cell>
          <cell r="R38">
            <v>188.626</v>
          </cell>
          <cell r="T38">
            <v>-271.63600500013672</v>
          </cell>
          <cell r="U38">
            <v>-339.52040299999999</v>
          </cell>
          <cell r="W38">
            <v>-117.16342</v>
          </cell>
        </row>
        <row r="39">
          <cell r="O39">
            <v>15.929999999999998</v>
          </cell>
          <cell r="P39">
            <v>15.666199999999257</v>
          </cell>
          <cell r="R39">
            <v>-18.269899999991065</v>
          </cell>
          <cell r="T39">
            <v>-553.36483500000611</v>
          </cell>
          <cell r="U39">
            <v>-199.43228099999985</v>
          </cell>
          <cell r="W39">
            <v>-209.17537499999162</v>
          </cell>
        </row>
        <row r="40">
          <cell r="O40">
            <v>0</v>
          </cell>
          <cell r="P40">
            <v>0</v>
          </cell>
          <cell r="R40">
            <v>0</v>
          </cell>
          <cell r="T40">
            <v>0</v>
          </cell>
          <cell r="U40">
            <v>0</v>
          </cell>
          <cell r="W40">
            <v>0</v>
          </cell>
        </row>
        <row r="46">
          <cell r="J46">
            <v>2551.5</v>
          </cell>
          <cell r="K46">
            <v>2528.7134999999998</v>
          </cell>
          <cell r="M46">
            <v>2850.0050000000001</v>
          </cell>
          <cell r="O46">
            <v>355016.37055366492</v>
          </cell>
          <cell r="P46">
            <v>348346.361164</v>
          </cell>
          <cell r="R46">
            <v>372841.73754100007</v>
          </cell>
          <cell r="T46">
            <v>27949.29301304316</v>
          </cell>
          <cell r="U46">
            <v>16372.865151011556</v>
          </cell>
          <cell r="W46">
            <v>31465.862982020008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10">
          <cell r="K10">
            <v>63300</v>
          </cell>
          <cell r="L10">
            <v>77967.343999999997</v>
          </cell>
          <cell r="N10">
            <v>69555.719000000012</v>
          </cell>
        </row>
        <row r="12">
          <cell r="K12">
            <v>61845000</v>
          </cell>
          <cell r="L12">
            <v>65195016.577000007</v>
          </cell>
          <cell r="N12">
            <v>71948595.305999994</v>
          </cell>
        </row>
        <row r="13">
          <cell r="K13">
            <v>15568543.157894742</v>
          </cell>
          <cell r="L13">
            <v>12737374.479999997</v>
          </cell>
          <cell r="N13">
            <v>13078088.466999998</v>
          </cell>
        </row>
        <row r="15">
          <cell r="K15">
            <v>60406035</v>
          </cell>
          <cell r="L15">
            <v>63812818.318000004</v>
          </cell>
          <cell r="N15">
            <v>70504400.975999996</v>
          </cell>
        </row>
        <row r="16">
          <cell r="K16">
            <v>15027069.226863153</v>
          </cell>
          <cell r="L16">
            <v>12419165.838000003</v>
          </cell>
          <cell r="N16">
            <v>12756512.234999998</v>
          </cell>
        </row>
        <row r="24">
          <cell r="K24">
            <v>748965.40999999992</v>
          </cell>
          <cell r="L24">
            <v>815896.326</v>
          </cell>
          <cell r="N24">
            <v>733998.30500000005</v>
          </cell>
        </row>
        <row r="25">
          <cell r="K25">
            <v>391602.7</v>
          </cell>
          <cell r="L25">
            <v>445012.20499999996</v>
          </cell>
          <cell r="N25">
            <v>347003.41099999996</v>
          </cell>
        </row>
        <row r="36">
          <cell r="K36">
            <v>839870.82103158929</v>
          </cell>
          <cell r="L36">
            <v>439498.37000000064</v>
          </cell>
          <cell r="N36">
            <v>684768.8460000027</v>
          </cell>
        </row>
      </sheetData>
      <sheetData sheetId="11"/>
      <sheetData sheetId="12">
        <row r="8">
          <cell r="G8">
            <v>99346.266666666663</v>
          </cell>
          <cell r="H8">
            <v>98732</v>
          </cell>
          <cell r="J8">
            <v>11984.826879999999</v>
          </cell>
          <cell r="K8">
            <v>2096</v>
          </cell>
          <cell r="M8">
            <v>0</v>
          </cell>
          <cell r="N8">
            <v>0</v>
          </cell>
          <cell r="S8">
            <v>96512.027814852743</v>
          </cell>
          <cell r="T8">
            <v>104158</v>
          </cell>
          <cell r="V8">
            <v>87498.779758528355</v>
          </cell>
          <cell r="W8">
            <v>105795</v>
          </cell>
          <cell r="Y8">
            <v>0</v>
          </cell>
          <cell r="Z8">
            <v>0</v>
          </cell>
          <cell r="AE8">
            <v>137944.84754941409</v>
          </cell>
          <cell r="AF8">
            <v>108485</v>
          </cell>
        </row>
        <row r="10">
          <cell r="G10">
            <v>16500</v>
          </cell>
          <cell r="H10">
            <v>53894</v>
          </cell>
          <cell r="J10">
            <v>35000</v>
          </cell>
          <cell r="K10">
            <v>13808</v>
          </cell>
          <cell r="M10">
            <v>110000</v>
          </cell>
          <cell r="N10">
            <v>0</v>
          </cell>
          <cell r="S10">
            <v>51000</v>
          </cell>
          <cell r="T10">
            <v>51760</v>
          </cell>
          <cell r="V10">
            <v>136000</v>
          </cell>
          <cell r="W10">
            <v>53024</v>
          </cell>
          <cell r="Y10">
            <v>0</v>
          </cell>
          <cell r="Z10">
            <v>1241</v>
          </cell>
          <cell r="AE10">
            <v>74500</v>
          </cell>
          <cell r="AF10">
            <v>61222</v>
          </cell>
        </row>
        <row r="12">
          <cell r="P12">
            <v>272831.09354666667</v>
          </cell>
          <cell r="Q12">
            <v>168530</v>
          </cell>
          <cell r="S12">
            <v>147512.02781485274</v>
          </cell>
          <cell r="T12">
            <v>155918</v>
          </cell>
          <cell r="V12">
            <v>223498.77975852834</v>
          </cell>
          <cell r="W12">
            <v>158819</v>
          </cell>
          <cell r="Y12">
            <v>0</v>
          </cell>
          <cell r="Z12">
            <v>1241</v>
          </cell>
          <cell r="AE12">
            <v>212444.84754941409</v>
          </cell>
          <cell r="AF12">
            <v>169707</v>
          </cell>
          <cell r="AL12">
            <v>856286.74866946181</v>
          </cell>
          <cell r="AM12">
            <v>654215</v>
          </cell>
        </row>
        <row r="13">
          <cell r="G13">
            <v>1524258.6666666665</v>
          </cell>
          <cell r="H13">
            <v>1603364</v>
          </cell>
          <cell r="J13">
            <v>207146.4032</v>
          </cell>
          <cell r="K13">
            <v>19824</v>
          </cell>
          <cell r="M13">
            <v>0</v>
          </cell>
          <cell r="N13">
            <v>0</v>
          </cell>
          <cell r="S13">
            <v>1544192.4450376439</v>
          </cell>
          <cell r="T13">
            <v>1738373</v>
          </cell>
          <cell r="V13">
            <v>1934102.3989622809</v>
          </cell>
          <cell r="W13">
            <v>2319086.5</v>
          </cell>
          <cell r="Y13">
            <v>0</v>
          </cell>
          <cell r="Z13">
            <v>0</v>
          </cell>
          <cell r="AE13">
            <v>4031066.1599870706</v>
          </cell>
          <cell r="AF13">
            <v>3196098.08</v>
          </cell>
        </row>
        <row r="15">
          <cell r="G15">
            <v>189750</v>
          </cell>
          <cell r="H15">
            <v>631807</v>
          </cell>
          <cell r="J15">
            <v>525000</v>
          </cell>
          <cell r="K15">
            <v>117104</v>
          </cell>
          <cell r="M15">
            <v>990000</v>
          </cell>
          <cell r="N15">
            <v>0</v>
          </cell>
          <cell r="S15">
            <v>612000</v>
          </cell>
          <cell r="T15">
            <v>672880</v>
          </cell>
          <cell r="V15">
            <v>2584000</v>
          </cell>
          <cell r="W15">
            <v>981456</v>
          </cell>
          <cell r="Y15">
            <v>0</v>
          </cell>
          <cell r="Z15">
            <v>34127.5</v>
          </cell>
          <cell r="AE15">
            <v>2201250</v>
          </cell>
          <cell r="AF15">
            <v>1815665.5</v>
          </cell>
        </row>
        <row r="17">
          <cell r="AL17">
            <v>16342766.07385366</v>
          </cell>
          <cell r="AM17">
            <v>13129785.58</v>
          </cell>
        </row>
        <row r="18">
          <cell r="G18">
            <v>287096.96893698699</v>
          </cell>
          <cell r="H18">
            <v>152007.26137924445</v>
          </cell>
          <cell r="J18">
            <v>78658.334157164601</v>
          </cell>
          <cell r="K18">
            <v>8957.9034389485114</v>
          </cell>
          <cell r="M18">
            <v>0</v>
          </cell>
          <cell r="N18">
            <v>0</v>
          </cell>
          <cell r="S18">
            <v>-123038.3889878882</v>
          </cell>
          <cell r="T18">
            <v>-227830.55947846398</v>
          </cell>
          <cell r="V18">
            <v>412389.26257319894</v>
          </cell>
          <cell r="W18">
            <v>334707.01168449799</v>
          </cell>
          <cell r="Y18">
            <v>0</v>
          </cell>
          <cell r="Z18">
            <v>0</v>
          </cell>
          <cell r="AE18">
            <v>199297.49960979485</v>
          </cell>
          <cell r="AF18">
            <v>317122.89900000003</v>
          </cell>
        </row>
        <row r="19">
          <cell r="G19">
            <v>10475.277938733067</v>
          </cell>
          <cell r="H19">
            <v>-171639.21295158798</v>
          </cell>
          <cell r="J19">
            <v>142694.91715696602</v>
          </cell>
          <cell r="K19">
            <v>38049.038075170065</v>
          </cell>
          <cell r="M19">
            <v>140381.93384539295</v>
          </cell>
          <cell r="N19">
            <v>0</v>
          </cell>
          <cell r="S19">
            <v>-267982.98085719725</v>
          </cell>
          <cell r="T19">
            <v>-290270.5882522951</v>
          </cell>
          <cell r="V19">
            <v>220654.30337816721</v>
          </cell>
          <cell r="W19">
            <v>-8051.9938863056232</v>
          </cell>
          <cell r="Y19">
            <v>0</v>
          </cell>
          <cell r="Z19">
            <v>4813.3760625666546</v>
          </cell>
          <cell r="AE19">
            <v>113288.27602318594</v>
          </cell>
          <cell r="AF19">
            <v>-11902.536712727831</v>
          </cell>
        </row>
        <row r="20">
          <cell r="AL20">
            <v>1213915.403774505</v>
          </cell>
          <cell r="AM20">
            <v>145962.59835904744</v>
          </cell>
        </row>
        <row r="21">
          <cell r="G21">
            <v>0</v>
          </cell>
          <cell r="H21">
            <v>4208</v>
          </cell>
          <cell r="J21">
            <v>0</v>
          </cell>
          <cell r="K21">
            <v>0</v>
          </cell>
          <cell r="M21">
            <v>0</v>
          </cell>
          <cell r="N21">
            <v>0</v>
          </cell>
          <cell r="S21">
            <v>96512.027814852743</v>
          </cell>
          <cell r="T21">
            <v>88814</v>
          </cell>
          <cell r="V21">
            <v>67906.395887560589</v>
          </cell>
          <cell r="W21">
            <v>64019</v>
          </cell>
          <cell r="Y21">
            <v>0</v>
          </cell>
          <cell r="Z21">
            <v>0</v>
          </cell>
          <cell r="AE21">
            <v>38335.420975987494</v>
          </cell>
          <cell r="AF21">
            <v>38869</v>
          </cell>
        </row>
        <row r="22">
          <cell r="G22">
            <v>88466</v>
          </cell>
          <cell r="H22">
            <v>84316</v>
          </cell>
          <cell r="J22">
            <v>6788.2</v>
          </cell>
          <cell r="K22">
            <v>640</v>
          </cell>
          <cell r="M22">
            <v>0</v>
          </cell>
          <cell r="N22">
            <v>0</v>
          </cell>
          <cell r="S22">
            <v>0</v>
          </cell>
          <cell r="T22">
            <v>15344</v>
          </cell>
          <cell r="V22">
            <v>19592.383870967747</v>
          </cell>
          <cell r="W22">
            <v>36768</v>
          </cell>
          <cell r="Y22">
            <v>0</v>
          </cell>
          <cell r="Z22">
            <v>0</v>
          </cell>
          <cell r="AE22">
            <v>32388.419580419577</v>
          </cell>
          <cell r="AF22">
            <v>20736</v>
          </cell>
        </row>
        <row r="23">
          <cell r="G23">
            <v>6529.333333333333</v>
          </cell>
          <cell r="H23">
            <v>6704</v>
          </cell>
          <cell r="J23">
            <v>0</v>
          </cell>
          <cell r="K23">
            <v>0</v>
          </cell>
          <cell r="M23">
            <v>0</v>
          </cell>
          <cell r="N23">
            <v>0</v>
          </cell>
          <cell r="S23">
            <v>0</v>
          </cell>
          <cell r="T23">
            <v>0</v>
          </cell>
          <cell r="V23">
            <v>0</v>
          </cell>
          <cell r="W23">
            <v>0</v>
          </cell>
          <cell r="Y23">
            <v>0</v>
          </cell>
          <cell r="Z23">
            <v>0</v>
          </cell>
          <cell r="AE23">
            <v>21391.608391608392</v>
          </cell>
          <cell r="AF23">
            <v>0</v>
          </cell>
        </row>
        <row r="24">
          <cell r="G24">
            <v>0</v>
          </cell>
          <cell r="H24">
            <v>0</v>
          </cell>
          <cell r="J24">
            <v>0</v>
          </cell>
          <cell r="K24">
            <v>0</v>
          </cell>
          <cell r="M24">
            <v>0</v>
          </cell>
          <cell r="N24">
            <v>0</v>
          </cell>
          <cell r="S24">
            <v>0</v>
          </cell>
          <cell r="T24">
            <v>0</v>
          </cell>
          <cell r="V24">
            <v>0</v>
          </cell>
          <cell r="W24">
            <v>4768</v>
          </cell>
          <cell r="Y24">
            <v>0</v>
          </cell>
          <cell r="Z24">
            <v>0</v>
          </cell>
          <cell r="AE24">
            <v>35667.692307692312</v>
          </cell>
          <cell r="AF24">
            <v>0</v>
          </cell>
        </row>
        <row r="25">
          <cell r="G25">
            <v>0</v>
          </cell>
          <cell r="H25">
            <v>0</v>
          </cell>
          <cell r="J25">
            <v>2679.8268799999996</v>
          </cell>
          <cell r="K25">
            <v>1216</v>
          </cell>
          <cell r="M25">
            <v>0</v>
          </cell>
          <cell r="N25">
            <v>0</v>
          </cell>
          <cell r="S25">
            <v>0</v>
          </cell>
          <cell r="T25">
            <v>0</v>
          </cell>
          <cell r="V25">
            <v>0</v>
          </cell>
          <cell r="W25">
            <v>240</v>
          </cell>
          <cell r="Y25">
            <v>0</v>
          </cell>
          <cell r="Z25">
            <v>0</v>
          </cell>
          <cell r="AE25">
            <v>10161.706293706293</v>
          </cell>
          <cell r="AF25">
            <v>17712</v>
          </cell>
        </row>
        <row r="26">
          <cell r="G26">
            <v>4350.9333333333334</v>
          </cell>
          <cell r="H26">
            <v>3504</v>
          </cell>
          <cell r="J26">
            <v>2516.8000000000002</v>
          </cell>
          <cell r="K26">
            <v>240</v>
          </cell>
          <cell r="M26">
            <v>0</v>
          </cell>
          <cell r="N26">
            <v>0</v>
          </cell>
          <cell r="S26">
            <v>0</v>
          </cell>
          <cell r="T26">
            <v>0</v>
          </cell>
          <cell r="V26">
            <v>0</v>
          </cell>
          <cell r="W26">
            <v>0</v>
          </cell>
          <cell r="Y26">
            <v>0</v>
          </cell>
          <cell r="Z26">
            <v>0</v>
          </cell>
          <cell r="AE26">
            <v>0</v>
          </cell>
          <cell r="AF26">
            <v>0</v>
          </cell>
        </row>
        <row r="35">
          <cell r="G35">
            <v>0</v>
          </cell>
          <cell r="H35">
            <v>52600</v>
          </cell>
          <cell r="J35">
            <v>0</v>
          </cell>
          <cell r="K35">
            <v>0</v>
          </cell>
          <cell r="M35">
            <v>0</v>
          </cell>
          <cell r="N35">
            <v>0</v>
          </cell>
          <cell r="S35">
            <v>1544192.4450376439</v>
          </cell>
          <cell r="T35">
            <v>1554245</v>
          </cell>
          <cell r="V35">
            <v>1561847.1054138939</v>
          </cell>
          <cell r="W35">
            <v>1504446.5</v>
          </cell>
          <cell r="AE35">
            <v>1206425.3068402172</v>
          </cell>
          <cell r="AF35">
            <v>1240618.3999999999</v>
          </cell>
        </row>
        <row r="36">
          <cell r="G36">
            <v>1415456</v>
          </cell>
          <cell r="H36">
            <v>1433372</v>
          </cell>
          <cell r="J36">
            <v>129196.99999999997</v>
          </cell>
          <cell r="K36">
            <v>6720</v>
          </cell>
          <cell r="M36">
            <v>0</v>
          </cell>
          <cell r="N36">
            <v>0</v>
          </cell>
          <cell r="S36">
            <v>0</v>
          </cell>
          <cell r="T36">
            <v>184128</v>
          </cell>
          <cell r="V36">
            <v>372255.29354838713</v>
          </cell>
          <cell r="W36">
            <v>721696</v>
          </cell>
          <cell r="AE36">
            <v>906875.74825174827</v>
          </cell>
          <cell r="AF36">
            <v>580703.34400000004</v>
          </cell>
        </row>
        <row r="37">
          <cell r="G37">
            <v>65293.333333333328</v>
          </cell>
          <cell r="H37">
            <v>77096</v>
          </cell>
          <cell r="J37">
            <v>0</v>
          </cell>
          <cell r="K37">
            <v>0</v>
          </cell>
          <cell r="M37">
            <v>0</v>
          </cell>
          <cell r="N37">
            <v>0</v>
          </cell>
          <cell r="S37">
            <v>0</v>
          </cell>
          <cell r="T37">
            <v>0</v>
          </cell>
          <cell r="V37">
            <v>0</v>
          </cell>
          <cell r="W37">
            <v>0</v>
          </cell>
          <cell r="AE37">
            <v>588269.23076923075</v>
          </cell>
          <cell r="AF37">
            <v>498623.93599999999</v>
          </cell>
        </row>
        <row r="38">
          <cell r="G38">
            <v>0</v>
          </cell>
          <cell r="H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S38">
            <v>0</v>
          </cell>
          <cell r="T38">
            <v>0</v>
          </cell>
          <cell r="V38">
            <v>0</v>
          </cell>
          <cell r="W38">
            <v>88384</v>
          </cell>
          <cell r="AE38">
            <v>1037605.5944055944</v>
          </cell>
          <cell r="AF38">
            <v>843824.4</v>
          </cell>
        </row>
        <row r="39">
          <cell r="G39">
            <v>0</v>
          </cell>
          <cell r="H39">
            <v>0</v>
          </cell>
          <cell r="J39">
            <v>40197.403200000001</v>
          </cell>
          <cell r="K39">
            <v>10944</v>
          </cell>
          <cell r="M39">
            <v>0</v>
          </cell>
          <cell r="N39">
            <v>0</v>
          </cell>
          <cell r="S39">
            <v>0</v>
          </cell>
          <cell r="T39">
            <v>0</v>
          </cell>
          <cell r="V39">
            <v>0</v>
          </cell>
          <cell r="W39">
            <v>4560</v>
          </cell>
          <cell r="AE39">
            <v>291890.27972027974</v>
          </cell>
          <cell r="AF39">
            <v>32328</v>
          </cell>
        </row>
        <row r="40">
          <cell r="G40">
            <v>43509.333333333328</v>
          </cell>
          <cell r="H40">
            <v>40296</v>
          </cell>
          <cell r="J40">
            <v>37752</v>
          </cell>
          <cell r="K40">
            <v>2160</v>
          </cell>
          <cell r="M40">
            <v>0</v>
          </cell>
          <cell r="N40">
            <v>0</v>
          </cell>
          <cell r="S40">
            <v>0</v>
          </cell>
          <cell r="T40">
            <v>0</v>
          </cell>
          <cell r="V40">
            <v>0</v>
          </cell>
          <cell r="W40">
            <v>0</v>
          </cell>
          <cell r="AE40">
            <v>0</v>
          </cell>
          <cell r="AF40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5">
          <cell r="O5">
            <v>297876</v>
          </cell>
          <cell r="T5">
            <v>321000</v>
          </cell>
          <cell r="U5">
            <v>296557</v>
          </cell>
        </row>
        <row r="9">
          <cell r="E9">
            <v>241.2199340229806</v>
          </cell>
          <cell r="F9">
            <v>261.12382551800084</v>
          </cell>
          <cell r="G9">
            <v>100529.44147639998</v>
          </cell>
          <cell r="H9">
            <v>100083.1447341376</v>
          </cell>
        </row>
        <row r="10">
          <cell r="E10">
            <v>27.510494246658677</v>
          </cell>
          <cell r="F10">
            <v>29.036147457331229</v>
          </cell>
          <cell r="G10">
            <v>91188.390132820816</v>
          </cell>
          <cell r="H10">
            <v>95557.998916118173</v>
          </cell>
        </row>
        <row r="11">
          <cell r="E11">
            <v>0.64357068956571628</v>
          </cell>
          <cell r="F11">
            <v>1.200700962816742</v>
          </cell>
        </row>
        <row r="12">
          <cell r="E12">
            <v>48.344999742658651</v>
          </cell>
          <cell r="F12">
            <v>46.132324322872606</v>
          </cell>
          <cell r="G12">
            <v>64063.192508325468</v>
          </cell>
          <cell r="H12">
            <v>63533.181073219726</v>
          </cell>
        </row>
        <row r="13">
          <cell r="E13">
            <v>34.47174151296614</v>
          </cell>
          <cell r="F13">
            <v>32.53912705286762</v>
          </cell>
          <cell r="G13">
            <v>40422.025833734282</v>
          </cell>
          <cell r="H13">
            <v>39120.396756172471</v>
          </cell>
        </row>
        <row r="14">
          <cell r="E14">
            <v>0</v>
          </cell>
          <cell r="F14">
            <v>0</v>
          </cell>
        </row>
        <row r="15">
          <cell r="E15">
            <v>352.19074021482982</v>
          </cell>
          <cell r="F15">
            <v>370.03212531388908</v>
          </cell>
        </row>
        <row r="16">
          <cell r="E16">
            <v>821.40726339053526</v>
          </cell>
          <cell r="F16">
            <v>821.68934398877377</v>
          </cell>
          <cell r="G16">
            <v>12728.001462424991</v>
          </cell>
          <cell r="H16">
            <v>13084.926974360789</v>
          </cell>
        </row>
        <row r="17">
          <cell r="E17">
            <v>906.96672705075957</v>
          </cell>
          <cell r="F17">
            <v>902.13563026225665</v>
          </cell>
          <cell r="G17">
            <v>15872.297408474051</v>
          </cell>
          <cell r="H17">
            <v>15634.162602923752</v>
          </cell>
        </row>
        <row r="19">
          <cell r="E19">
            <v>3.165386393084975</v>
          </cell>
          <cell r="F19">
            <v>3.1075142341108384</v>
          </cell>
        </row>
        <row r="20">
          <cell r="Q20">
            <v>58676.852358245655</v>
          </cell>
          <cell r="R20">
            <v>60753.463014811525</v>
          </cell>
        </row>
        <row r="21">
          <cell r="Q21">
            <v>18011.884831949319</v>
          </cell>
          <cell r="R21">
            <v>17481.307255368014</v>
          </cell>
        </row>
        <row r="22">
          <cell r="Q22">
            <v>186.37850467289718</v>
          </cell>
          <cell r="R22">
            <v>176.68041064066929</v>
          </cell>
        </row>
        <row r="50">
          <cell r="Q50">
            <v>83166.92957649281</v>
          </cell>
          <cell r="R50">
            <v>85311.291201708096</v>
          </cell>
        </row>
        <row r="56">
          <cell r="L56">
            <v>-586093.09021679079</v>
          </cell>
        </row>
        <row r="61">
          <cell r="T61">
            <v>102819.17075870401</v>
          </cell>
          <cell r="U61">
            <v>96197.561428846195</v>
          </cell>
        </row>
        <row r="80">
          <cell r="H80">
            <v>623798.56000000006</v>
          </cell>
          <cell r="I80">
            <v>701731.53700000001</v>
          </cell>
          <cell r="L80">
            <v>-77932.977000000043</v>
          </cell>
        </row>
        <row r="85">
          <cell r="H85">
            <v>373119.23855637922</v>
          </cell>
          <cell r="I85">
            <v>433368.51885999995</v>
          </cell>
          <cell r="L85">
            <v>-60249.280303620704</v>
          </cell>
          <cell r="Q85">
            <v>102819.17075870401</v>
          </cell>
          <cell r="R85">
            <v>96197.561428846195</v>
          </cell>
        </row>
        <row r="86">
          <cell r="H86">
            <v>5311451.620933421</v>
          </cell>
          <cell r="I86">
            <v>2141271.4339999873</v>
          </cell>
          <cell r="K86">
            <v>-1962320.5465126948</v>
          </cell>
          <cell r="M86">
            <v>-483584.2929003241</v>
          </cell>
        </row>
        <row r="89">
          <cell r="Q89">
            <v>76875.115694867884</v>
          </cell>
          <cell r="R89">
            <v>78411.450680820199</v>
          </cell>
        </row>
        <row r="90">
          <cell r="Q90">
            <v>25944.055063836131</v>
          </cell>
          <cell r="R90">
            <v>17786.110748025996</v>
          </cell>
        </row>
      </sheetData>
      <sheetData sheetId="1">
        <row r="5">
          <cell r="O5">
            <v>104245</v>
          </cell>
          <cell r="T5">
            <v>121500</v>
          </cell>
          <cell r="U5">
            <v>103910</v>
          </cell>
        </row>
        <row r="9">
          <cell r="E9">
            <v>261.31176954732513</v>
          </cell>
          <cell r="F9">
            <v>278.85238121732465</v>
          </cell>
          <cell r="G9">
            <v>100000.00000000001</v>
          </cell>
          <cell r="H9">
            <v>99848.076642042332</v>
          </cell>
        </row>
        <row r="10">
          <cell r="E10">
            <v>6.7040740740740752</v>
          </cell>
          <cell r="F10">
            <v>14.765464530672936</v>
          </cell>
          <cell r="G10">
            <v>92954.014204249004</v>
          </cell>
          <cell r="H10">
            <v>99582.697366991313</v>
          </cell>
        </row>
        <row r="11">
          <cell r="E11">
            <v>0</v>
          </cell>
          <cell r="F11">
            <v>3.4309559211472958</v>
          </cell>
        </row>
        <row r="12">
          <cell r="E12">
            <v>48.054197530864201</v>
          </cell>
          <cell r="F12">
            <v>44.378952755527848</v>
          </cell>
          <cell r="G12">
            <v>64295.549777899949</v>
          </cell>
          <cell r="H12">
            <v>64081.084621194008</v>
          </cell>
        </row>
        <row r="13">
          <cell r="E13">
            <v>38.227201646090528</v>
          </cell>
          <cell r="F13">
            <v>35.211654371912303</v>
          </cell>
          <cell r="G13">
            <v>45167.93677826209</v>
          </cell>
          <cell r="H13">
            <v>42507.278930359316</v>
          </cell>
        </row>
        <row r="14">
          <cell r="E14">
            <v>0</v>
          </cell>
          <cell r="F14">
            <v>0</v>
          </cell>
        </row>
        <row r="15">
          <cell r="E15">
            <v>354.29724279835392</v>
          </cell>
          <cell r="F15">
            <v>376.63940879658503</v>
          </cell>
        </row>
        <row r="16">
          <cell r="E16">
            <v>844.58098765432101</v>
          </cell>
          <cell r="F16">
            <v>842.57609477672747</v>
          </cell>
          <cell r="G16">
            <v>15346.714756356647</v>
          </cell>
          <cell r="H16">
            <v>15782.285357737919</v>
          </cell>
        </row>
        <row r="17">
          <cell r="E17">
            <v>892.26098765432107</v>
          </cell>
          <cell r="F17">
            <v>889.70035013669712</v>
          </cell>
          <cell r="G17">
            <v>14785.672294438436</v>
          </cell>
          <cell r="H17">
            <v>14159.991718529456</v>
          </cell>
        </row>
        <row r="19">
          <cell r="E19">
            <v>3.0699084773662553</v>
          </cell>
          <cell r="F19">
            <v>2.9682709002829886</v>
          </cell>
        </row>
        <row r="20">
          <cell r="Q20">
            <v>60155.953458395932</v>
          </cell>
          <cell r="R20">
            <v>62383.295352295085</v>
          </cell>
        </row>
        <row r="21">
          <cell r="Q21">
            <v>17773.198647483117</v>
          </cell>
          <cell r="R21">
            <v>17931.829776008442</v>
          </cell>
        </row>
        <row r="22">
          <cell r="Q22">
            <v>213.23045267489712</v>
          </cell>
          <cell r="R22">
            <v>181.32430332390047</v>
          </cell>
        </row>
        <row r="50">
          <cell r="Q50">
            <v>83538.04572330277</v>
          </cell>
          <cell r="R50">
            <v>86818.903218379797</v>
          </cell>
        </row>
        <row r="56">
          <cell r="L56">
            <v>-339239.01297721913</v>
          </cell>
        </row>
        <row r="61">
          <cell r="T61">
            <v>101656.46615674063</v>
          </cell>
          <cell r="U61">
            <v>93480.665857137355</v>
          </cell>
        </row>
        <row r="80">
          <cell r="H80">
            <v>207313.48</v>
          </cell>
          <cell r="I80">
            <v>227283.05499999999</v>
          </cell>
          <cell r="L80">
            <v>-19969.574999999975</v>
          </cell>
        </row>
        <row r="85">
          <cell r="H85">
            <v>103532.20546168889</v>
          </cell>
          <cell r="I85">
            <v>102164.28859</v>
          </cell>
          <cell r="L85">
            <v>1367.9168716889044</v>
          </cell>
          <cell r="Q85">
            <v>101656.46615674063</v>
          </cell>
          <cell r="R85">
            <v>93480.665857137355</v>
          </cell>
        </row>
        <row r="86">
          <cell r="H86">
            <v>1890542.397201011</v>
          </cell>
          <cell r="I86">
            <v>363425.67899999273</v>
          </cell>
          <cell r="K86">
            <v>-848353.74228803406</v>
          </cell>
          <cell r="M86">
            <v>-320922.30480745388</v>
          </cell>
        </row>
        <row r="89">
          <cell r="Q89">
            <v>78142.382558553945</v>
          </cell>
          <cell r="R89">
            <v>80496.449431627421</v>
          </cell>
        </row>
        <row r="90">
          <cell r="Q90">
            <v>23514.083598186684</v>
          </cell>
          <cell r="R90">
            <v>12984.216425509934</v>
          </cell>
        </row>
      </sheetData>
      <sheetData sheetId="2">
        <row r="5">
          <cell r="O5">
            <v>131160</v>
          </cell>
          <cell r="T5">
            <v>138500</v>
          </cell>
          <cell r="U5">
            <v>130221</v>
          </cell>
        </row>
        <row r="9">
          <cell r="E9">
            <v>220.58981098466987</v>
          </cell>
          <cell r="F9">
            <v>230.0539624885636</v>
          </cell>
          <cell r="G9">
            <v>100000</v>
          </cell>
          <cell r="H9">
            <v>100009.58219565557</v>
          </cell>
        </row>
        <row r="10">
          <cell r="E10">
            <v>42.846813380342489</v>
          </cell>
          <cell r="F10">
            <v>47.222121683440058</v>
          </cell>
          <cell r="G10">
            <v>92100.000000000015</v>
          </cell>
          <cell r="H10">
            <v>93212.809509646657</v>
          </cell>
        </row>
        <row r="11">
          <cell r="E11">
            <v>1.4915970494627793</v>
          </cell>
          <cell r="F11">
            <v>0</v>
          </cell>
        </row>
        <row r="12">
          <cell r="E12">
            <v>51.182598681540995</v>
          </cell>
          <cell r="F12">
            <v>51.47500022872827</v>
          </cell>
          <cell r="G12">
            <v>63640.67716602001</v>
          </cell>
          <cell r="H12">
            <v>62762.717301798599</v>
          </cell>
        </row>
        <row r="13">
          <cell r="E13">
            <v>34.306166250268106</v>
          </cell>
          <cell r="F13">
            <v>31.098539188777064</v>
          </cell>
          <cell r="G13">
            <v>35486.585023291307</v>
          </cell>
          <cell r="H13">
            <v>35509.951201362805</v>
          </cell>
        </row>
        <row r="14">
          <cell r="E14">
            <v>0</v>
          </cell>
          <cell r="F14">
            <v>0</v>
          </cell>
        </row>
        <row r="15">
          <cell r="E15">
            <v>350.4169863462842</v>
          </cell>
          <cell r="F15">
            <v>359.84962358950901</v>
          </cell>
        </row>
        <row r="16">
          <cell r="E16">
            <v>807.1563288690387</v>
          </cell>
          <cell r="F16">
            <v>793.68504139981701</v>
          </cell>
          <cell r="G16">
            <v>10396.175958329173</v>
          </cell>
          <cell r="H16">
            <v>11140.279380799466</v>
          </cell>
        </row>
        <row r="17">
          <cell r="E17">
            <v>912.31855150392619</v>
          </cell>
          <cell r="F17">
            <v>907.27993290637403</v>
          </cell>
          <cell r="G17">
            <v>17381.837951896458</v>
          </cell>
          <cell r="H17">
            <v>17494.927185674318</v>
          </cell>
        </row>
        <row r="19">
          <cell r="E19">
            <v>3.3380126511211317</v>
          </cell>
          <cell r="F19">
            <v>3.2125629765172308</v>
          </cell>
        </row>
        <row r="20">
          <cell r="Q20">
            <v>57536.289172714489</v>
          </cell>
          <cell r="R20">
            <v>59233.844045440695</v>
          </cell>
        </row>
        <row r="21">
          <cell r="Q21">
            <v>18094.377476889873</v>
          </cell>
          <cell r="R21">
            <v>18788.641659042394</v>
          </cell>
        </row>
        <row r="22">
          <cell r="Q22">
            <v>165.84837545126354</v>
          </cell>
          <cell r="R22">
            <v>169.27260597743214</v>
          </cell>
        </row>
        <row r="50">
          <cell r="Q50">
            <v>82615.832980011182</v>
          </cell>
          <cell r="R50">
            <v>85405.232189691989</v>
          </cell>
        </row>
        <row r="56">
          <cell r="L56">
            <v>-315873.99253996648</v>
          </cell>
        </row>
        <row r="61">
          <cell r="T61">
            <v>102592.96179422383</v>
          </cell>
          <cell r="U61">
            <v>96016.648996705597</v>
          </cell>
        </row>
        <row r="80">
          <cell r="H80">
            <v>317189.18</v>
          </cell>
          <cell r="I80">
            <v>352706.91100000002</v>
          </cell>
          <cell r="L80">
            <v>-35517.731000000007</v>
          </cell>
        </row>
        <row r="85">
          <cell r="H85">
            <v>185956.4774746763</v>
          </cell>
          <cell r="I85">
            <v>245763.52097000004</v>
          </cell>
          <cell r="L85">
            <v>-59807.043495323749</v>
          </cell>
          <cell r="Q85">
            <v>102592.96179422383</v>
          </cell>
          <cell r="R85">
            <v>96016.648996705597</v>
          </cell>
        </row>
        <row r="86">
          <cell r="H86">
            <v>2263686.6832937743</v>
          </cell>
          <cell r="I86">
            <v>830761.03799999889</v>
          </cell>
          <cell r="K86">
            <v>-856374.02880562132</v>
          </cell>
          <cell r="M86">
            <v>-165352.84945286647</v>
          </cell>
        </row>
        <row r="89">
          <cell r="Q89">
            <v>75796.515025055618</v>
          </cell>
          <cell r="R89">
            <v>78191.758310460515</v>
          </cell>
        </row>
        <row r="90">
          <cell r="Q90">
            <v>26796.446769168208</v>
          </cell>
          <cell r="R90">
            <v>17824.890686245082</v>
          </cell>
        </row>
      </sheetData>
      <sheetData sheetId="3">
        <row r="5">
          <cell r="O5">
            <v>62471</v>
          </cell>
          <cell r="T5">
            <v>61000</v>
          </cell>
          <cell r="U5">
            <v>62426</v>
          </cell>
        </row>
        <row r="9">
          <cell r="E9">
            <v>248.04147540983607</v>
          </cell>
          <cell r="F9">
            <v>296.7725256519027</v>
          </cell>
          <cell r="G9">
            <v>102709.45565026473</v>
          </cell>
          <cell r="H9">
            <v>100571.44093256269</v>
          </cell>
        </row>
        <row r="10">
          <cell r="E10">
            <v>34.131803278688523</v>
          </cell>
          <cell r="F10">
            <v>14.667479790622849</v>
          </cell>
          <cell r="G10">
            <v>87899.341030911979</v>
          </cell>
          <cell r="H10">
            <v>104649.39058245539</v>
          </cell>
        </row>
        <row r="11">
          <cell r="E11">
            <v>0</v>
          </cell>
          <cell r="F11">
            <v>0</v>
          </cell>
        </row>
        <row r="12">
          <cell r="E12">
            <v>42.481475409836065</v>
          </cell>
          <cell r="F12">
            <v>37.84103472011013</v>
          </cell>
          <cell r="G12">
            <v>64695.477681689612</v>
          </cell>
          <cell r="H12">
            <v>64661.368747878769</v>
          </cell>
        </row>
        <row r="13">
          <cell r="E13">
            <v>27.36754098360656</v>
          </cell>
          <cell r="F13">
            <v>31.104059483600377</v>
          </cell>
          <cell r="G13">
            <v>41265.068107486433</v>
          </cell>
          <cell r="H13">
            <v>40301.276047465777</v>
          </cell>
        </row>
        <row r="14">
          <cell r="E14">
            <v>0</v>
          </cell>
          <cell r="F14">
            <v>0</v>
          </cell>
        </row>
        <row r="15">
          <cell r="E15">
            <v>352.02229508196717</v>
          </cell>
          <cell r="F15">
            <v>380.38509964623609</v>
          </cell>
        </row>
        <row r="16">
          <cell r="E16">
            <v>807.60639344262302</v>
          </cell>
          <cell r="F16">
            <v>845.63173312416995</v>
          </cell>
          <cell r="G16">
            <v>12564.677905030972</v>
          </cell>
          <cell r="H16">
            <v>12432.171431297282</v>
          </cell>
        </row>
        <row r="17">
          <cell r="E17">
            <v>924.1063934426229</v>
          </cell>
          <cell r="F17">
            <v>912.0856717516923</v>
          </cell>
          <cell r="G17">
            <v>14578.37621624589</v>
          </cell>
          <cell r="H17">
            <v>14147.574372437915</v>
          </cell>
        </row>
        <row r="19">
          <cell r="E19">
            <v>2.9636131147540987</v>
          </cell>
          <cell r="F19">
            <v>3.1193153623281198</v>
          </cell>
        </row>
        <row r="20">
          <cell r="Q20">
            <v>58320.413301324486</v>
          </cell>
          <cell r="R20">
            <v>61224.263098077514</v>
          </cell>
        </row>
        <row r="21">
          <cell r="Q21">
            <v>18300.001882578465</v>
          </cell>
          <cell r="R21">
            <v>13984.729634550431</v>
          </cell>
        </row>
        <row r="22">
          <cell r="Q22">
            <v>179.50819672131146</v>
          </cell>
          <cell r="R22">
            <v>184.48411262825951</v>
          </cell>
        </row>
        <row r="50">
          <cell r="Q50">
            <v>83678.999523628765</v>
          </cell>
          <cell r="R50">
            <v>82598.315346320698</v>
          </cell>
        </row>
        <row r="56">
          <cell r="L56">
            <v>67699.815590630489</v>
          </cell>
        </row>
        <row r="61">
          <cell r="T61">
            <v>105648.6551967213</v>
          </cell>
          <cell r="U61">
            <v>101095.65574191067</v>
          </cell>
        </row>
        <row r="80">
          <cell r="H80">
            <v>99295.900000000009</v>
          </cell>
          <cell r="I80">
            <v>121741.571</v>
          </cell>
          <cell r="L80">
            <v>-22445.670999999991</v>
          </cell>
        </row>
        <row r="85">
          <cell r="H85">
            <v>83630.5556200141</v>
          </cell>
          <cell r="I85">
            <v>85440.709300000017</v>
          </cell>
          <cell r="L85">
            <v>-1810.15367998592</v>
          </cell>
          <cell r="Q85">
            <v>105648.6551967213</v>
          </cell>
          <cell r="R85">
            <v>101095.65574191067</v>
          </cell>
        </row>
        <row r="86">
          <cell r="H86">
            <v>1157222.5404386325</v>
          </cell>
          <cell r="I86">
            <v>947084.71699999995</v>
          </cell>
          <cell r="K86">
            <v>-283952.36399871996</v>
          </cell>
          <cell r="M86">
            <v>30370.549649444423</v>
          </cell>
        </row>
        <row r="89">
          <cell r="Q89">
            <v>76799.923380624256</v>
          </cell>
          <cell r="R89">
            <v>75393.476845256198</v>
          </cell>
        </row>
        <row r="90">
          <cell r="Q90">
            <v>28848.731816097046</v>
          </cell>
          <cell r="R90">
            <v>25702.17889665447</v>
          </cell>
        </row>
      </sheetData>
      <sheetData sheetId="4">
        <row r="2">
          <cell r="O2">
            <v>39055</v>
          </cell>
        </row>
        <row r="5">
          <cell r="T5">
            <v>43000</v>
          </cell>
          <cell r="U5">
            <v>39055</v>
          </cell>
        </row>
        <row r="9">
          <cell r="E9">
            <v>263.29999999999995</v>
          </cell>
          <cell r="F9">
            <v>285.80127715652912</v>
          </cell>
          <cell r="G9">
            <v>100000</v>
          </cell>
          <cell r="H9">
            <v>99711.299165118937</v>
          </cell>
        </row>
        <row r="10">
          <cell r="E10">
            <v>10</v>
          </cell>
          <cell r="F10">
            <v>9.8775572558151463</v>
          </cell>
          <cell r="G10">
            <v>87100</v>
          </cell>
          <cell r="H10">
            <v>102199.98670483746</v>
          </cell>
        </row>
        <row r="11">
          <cell r="E11">
            <v>0</v>
          </cell>
          <cell r="F11">
            <v>9.1522300980065978</v>
          </cell>
        </row>
        <row r="12">
          <cell r="E12">
            <v>45</v>
          </cell>
          <cell r="F12">
            <v>46.106109419381269</v>
          </cell>
          <cell r="G12">
            <v>64000</v>
          </cell>
          <cell r="H12">
            <v>64112.29469025541</v>
          </cell>
        </row>
        <row r="13">
          <cell r="E13">
            <v>47.099999999999994</v>
          </cell>
          <cell r="F13">
            <v>32.460530975715834</v>
          </cell>
          <cell r="G13">
            <v>45000</v>
          </cell>
          <cell r="H13">
            <v>44949.952862185826</v>
          </cell>
        </row>
        <row r="14">
          <cell r="E14">
            <v>0</v>
          </cell>
          <cell r="F14">
            <v>0</v>
          </cell>
        </row>
        <row r="15">
          <cell r="E15">
            <v>365.4</v>
          </cell>
          <cell r="F15">
            <v>383.39770490544794</v>
          </cell>
        </row>
        <row r="16">
          <cell r="E16">
            <v>846</v>
          </cell>
          <cell r="F16">
            <v>847.74495253204998</v>
          </cell>
          <cell r="G16">
            <v>15333.333333333334</v>
          </cell>
          <cell r="H16">
            <v>16023.74709186281</v>
          </cell>
        </row>
        <row r="17">
          <cell r="E17">
            <v>880</v>
          </cell>
          <cell r="F17">
            <v>859.24959697023974</v>
          </cell>
          <cell r="G17">
            <v>15161.290322580646</v>
          </cell>
          <cell r="H17">
            <v>15308.30577735264</v>
          </cell>
        </row>
        <row r="19">
          <cell r="E19">
            <v>3.29</v>
          </cell>
          <cell r="F19">
            <v>3.0588231531001329</v>
          </cell>
        </row>
        <row r="20">
          <cell r="Q20">
            <v>61296.130483870969</v>
          </cell>
          <cell r="R20">
            <v>64357.861280994912</v>
          </cell>
        </row>
        <row r="21">
          <cell r="Q21">
            <v>17102.679320685435</v>
          </cell>
          <cell r="R21">
            <v>18177.096036234296</v>
          </cell>
        </row>
        <row r="22">
          <cell r="Q22">
            <v>186.04651162790697</v>
          </cell>
          <cell r="R22">
            <v>185.80073696870443</v>
          </cell>
        </row>
        <row r="50">
          <cell r="Q50">
            <v>83443.848254817029</v>
          </cell>
          <cell r="R50">
            <v>87662.819698559339</v>
          </cell>
        </row>
        <row r="56">
          <cell r="L56">
            <v>-164814.64749812847</v>
          </cell>
        </row>
        <row r="80">
          <cell r="H80">
            <v>65459.599999999991</v>
          </cell>
          <cell r="I80">
            <v>78018.736000000004</v>
          </cell>
          <cell r="L80">
            <v>-12559.136000000006</v>
          </cell>
        </row>
        <row r="85">
          <cell r="H85">
            <v>30258.43844444444</v>
          </cell>
          <cell r="I85">
            <v>29273.162909999999</v>
          </cell>
          <cell r="L85">
            <v>985.27553444444038</v>
          </cell>
          <cell r="Q85">
            <v>100603.65581395349</v>
          </cell>
          <cell r="R85">
            <v>94288.242529765717</v>
          </cell>
        </row>
        <row r="86">
          <cell r="H86">
            <v>642153.68659842305</v>
          </cell>
          <cell r="I86">
            <v>151421.27199999196</v>
          </cell>
          <cell r="K86">
            <v>-246648.46581395346</v>
          </cell>
          <cell r="M86">
            <v>-67695.44082079333</v>
          </cell>
        </row>
        <row r="89">
          <cell r="Q89">
            <v>78584.856316184305</v>
          </cell>
          <cell r="R89">
            <v>82720.758054197926</v>
          </cell>
        </row>
      </sheetData>
      <sheetData sheetId="5">
        <row r="2">
          <cell r="O2">
            <v>26134</v>
          </cell>
        </row>
        <row r="5">
          <cell r="T5">
            <v>35000</v>
          </cell>
          <cell r="U5">
            <v>26461</v>
          </cell>
        </row>
        <row r="9">
          <cell r="E9">
            <v>280.06599999999997</v>
          </cell>
          <cell r="F9">
            <v>285.65413960918346</v>
          </cell>
          <cell r="G9">
            <v>100000</v>
          </cell>
          <cell r="H9">
            <v>99845.003889871732</v>
          </cell>
        </row>
        <row r="10">
          <cell r="E10">
            <v>10.987</v>
          </cell>
          <cell r="F10">
            <v>30.702970131510511</v>
          </cell>
          <cell r="G10">
            <v>99500</v>
          </cell>
          <cell r="H10">
            <v>98244.126125255163</v>
          </cell>
        </row>
        <row r="11">
          <cell r="E11">
            <v>0</v>
          </cell>
          <cell r="F11">
            <v>0</v>
          </cell>
        </row>
        <row r="12">
          <cell r="E12">
            <v>51.623000000000005</v>
          </cell>
          <cell r="F12">
            <v>45.768632885058338</v>
          </cell>
          <cell r="G12">
            <v>64500</v>
          </cell>
          <cell r="H12">
            <v>64466.888905833315</v>
          </cell>
        </row>
        <row r="13">
          <cell r="E13">
            <v>26.047000000000001</v>
          </cell>
          <cell r="F13">
            <v>38.016740099561609</v>
          </cell>
          <cell r="G13">
            <v>45000</v>
          </cell>
          <cell r="H13">
            <v>39561.888755037835</v>
          </cell>
        </row>
        <row r="14">
          <cell r="E14">
            <v>0</v>
          </cell>
          <cell r="F14">
            <v>0</v>
          </cell>
        </row>
        <row r="15">
          <cell r="E15">
            <v>368.72300000000001</v>
          </cell>
          <cell r="F15">
            <v>400.14248272531393</v>
          </cell>
        </row>
        <row r="16">
          <cell r="E16">
            <v>884.51400000000001</v>
          </cell>
          <cell r="F16">
            <v>904.8409985883053</v>
          </cell>
          <cell r="G16">
            <v>15733.333333333332</v>
          </cell>
          <cell r="H16">
            <v>15554.599858518315</v>
          </cell>
        </row>
        <row r="17">
          <cell r="E17">
            <v>849.48</v>
          </cell>
          <cell r="F17">
            <v>832.86436585184651</v>
          </cell>
          <cell r="G17">
            <v>15503.982479525654</v>
          </cell>
          <cell r="H17">
            <v>14413.248995507967</v>
          </cell>
        </row>
        <row r="19">
          <cell r="E19">
            <v>3.319</v>
          </cell>
          <cell r="F19">
            <v>3.2225239616613415</v>
          </cell>
        </row>
        <row r="20">
          <cell r="Q20">
            <v>63476.241636707447</v>
          </cell>
          <cell r="R20">
            <v>64645.172709710983</v>
          </cell>
        </row>
        <row r="21">
          <cell r="Q21">
            <v>17607.206425135006</v>
          </cell>
          <cell r="R21">
            <v>17646.290994873318</v>
          </cell>
        </row>
        <row r="22">
          <cell r="Q22">
            <v>314.28571428571428</v>
          </cell>
          <cell r="R22">
            <v>266.67088936770932</v>
          </cell>
        </row>
        <row r="50">
          <cell r="Q50">
            <v>86724.01404155312</v>
          </cell>
          <cell r="R50">
            <v>90571.869455383028</v>
          </cell>
        </row>
        <row r="56">
          <cell r="L56">
            <v>-102314.85676646348</v>
          </cell>
        </row>
        <row r="80">
          <cell r="H80">
            <v>61094.44</v>
          </cell>
          <cell r="I80">
            <v>62346.042000000001</v>
          </cell>
          <cell r="L80">
            <v>-1251.6020000000024</v>
          </cell>
        </row>
        <row r="85">
          <cell r="H85">
            <v>34461.201683911124</v>
          </cell>
          <cell r="I85">
            <v>35250.367680000003</v>
          </cell>
          <cell r="L85">
            <v>-789.16599608887577</v>
          </cell>
          <cell r="Q85">
            <v>106575.59171428572</v>
          </cell>
          <cell r="R85">
            <v>96693.589131174173</v>
          </cell>
        </row>
        <row r="86">
          <cell r="H86">
            <v>599249.57686173066</v>
          </cell>
          <cell r="I86">
            <v>63893.65999999972</v>
          </cell>
          <cell r="K86">
            <v>-261487.67035171471</v>
          </cell>
          <cell r="M86">
            <v>-169512.62174746383</v>
          </cell>
        </row>
        <row r="89">
          <cell r="Q89">
            <v>81397.733776128167</v>
          </cell>
          <cell r="R89">
            <v>82558.134593952011</v>
          </cell>
        </row>
      </sheetData>
      <sheetData sheetId="6">
        <row r="2">
          <cell r="O2">
            <v>26124</v>
          </cell>
        </row>
        <row r="5">
          <cell r="T5">
            <v>24000</v>
          </cell>
          <cell r="U5">
            <v>26270</v>
          </cell>
        </row>
        <row r="9">
          <cell r="E9">
            <v>268.02791666666667</v>
          </cell>
          <cell r="F9">
            <v>277.22171642933728</v>
          </cell>
          <cell r="G9">
            <v>100000</v>
          </cell>
          <cell r="H9">
            <v>99999.999723838439</v>
          </cell>
        </row>
        <row r="10">
          <cell r="E10">
            <v>0</v>
          </cell>
          <cell r="F10">
            <v>12.507971214209158</v>
          </cell>
          <cell r="G10">
            <v>0</v>
          </cell>
          <cell r="H10">
            <v>99876.468302681504</v>
          </cell>
        </row>
        <row r="11">
          <cell r="E11">
            <v>0</v>
          </cell>
          <cell r="F11">
            <v>0</v>
          </cell>
        </row>
        <row r="12">
          <cell r="E12">
            <v>40.240833333333327</v>
          </cell>
          <cell r="F12">
            <v>33.222597994181605</v>
          </cell>
          <cell r="G12">
            <v>64500</v>
          </cell>
          <cell r="H12">
            <v>63653.38158580671</v>
          </cell>
        </row>
        <row r="13">
          <cell r="E13">
            <v>38.652500000000003</v>
          </cell>
          <cell r="F13">
            <v>37.129771857295964</v>
          </cell>
          <cell r="G13">
            <v>44999.999999999993</v>
          </cell>
          <cell r="H13">
            <v>43403.140128433421</v>
          </cell>
        </row>
        <row r="14">
          <cell r="E14">
            <v>0</v>
          </cell>
          <cell r="F14">
            <v>0</v>
          </cell>
        </row>
        <row r="15">
          <cell r="E15">
            <v>346.92124999999999</v>
          </cell>
          <cell r="F15">
            <v>360.082057495024</v>
          </cell>
        </row>
        <row r="16">
          <cell r="E16">
            <v>868.77499999999998</v>
          </cell>
          <cell r="F16">
            <v>781.52962792834069</v>
          </cell>
          <cell r="G16">
            <v>15266.666666666666</v>
          </cell>
          <cell r="H16">
            <v>16158.550165844812</v>
          </cell>
        </row>
        <row r="17">
          <cell r="E17">
            <v>872.8295833333334</v>
          </cell>
          <cell r="F17">
            <v>953.8089496248657</v>
          </cell>
          <cell r="G17">
            <v>13419.354838709678</v>
          </cell>
          <cell r="H17">
            <v>12401.770937908417</v>
          </cell>
        </row>
        <row r="19">
          <cell r="E19">
            <v>2.7753700000000001</v>
          </cell>
          <cell r="F19">
            <v>2.6628138876129239</v>
          </cell>
        </row>
        <row r="20">
          <cell r="Q20">
            <v>58112.062542473119</v>
          </cell>
          <cell r="R20">
            <v>59116.1391058031</v>
          </cell>
        </row>
        <row r="21">
          <cell r="Q21">
            <v>18617.623749999999</v>
          </cell>
          <cell r="R21">
            <v>18061.029589649366</v>
          </cell>
        </row>
        <row r="22">
          <cell r="Q22">
            <v>202.5</v>
          </cell>
          <cell r="R22">
            <v>142.73889909661614</v>
          </cell>
        </row>
        <row r="50">
          <cell r="Q50">
            <v>83263.799731330146</v>
          </cell>
          <cell r="R50">
            <v>82953.745980707419</v>
          </cell>
        </row>
        <row r="56">
          <cell r="L56">
            <v>8099.8328912690104</v>
          </cell>
        </row>
        <row r="80">
          <cell r="H80">
            <v>45880.41</v>
          </cell>
          <cell r="I80">
            <v>49325.035000000003</v>
          </cell>
          <cell r="L80">
            <v>-3444.6250000000018</v>
          </cell>
        </row>
        <row r="85">
          <cell r="H85">
            <v>19365.797555555557</v>
          </cell>
          <cell r="I85">
            <v>20399.449710000001</v>
          </cell>
          <cell r="L85">
            <v>-1033.6521544444461</v>
          </cell>
          <cell r="Q85">
            <v>100349.30116849944</v>
          </cell>
          <cell r="R85">
            <v>88417.961797580763</v>
          </cell>
        </row>
        <row r="86">
          <cell r="H86">
            <v>344805.82693650707</v>
          </cell>
          <cell r="I86">
            <v>73448.677999999825</v>
          </cell>
          <cell r="K86">
            <v>-311694.30972587958</v>
          </cell>
          <cell r="M86">
            <v>36715.605052547529</v>
          </cell>
        </row>
        <row r="89">
          <cell r="Q89">
            <v>76932.18629247311</v>
          </cell>
          <cell r="R89">
            <v>77319.907594549077</v>
          </cell>
        </row>
      </sheetData>
      <sheetData sheetId="7">
        <row r="2">
          <cell r="O2">
            <v>12124</v>
          </cell>
        </row>
        <row r="5">
          <cell r="T5">
            <v>19500</v>
          </cell>
          <cell r="U5">
            <v>12124</v>
          </cell>
        </row>
        <row r="9">
          <cell r="E9">
            <v>215</v>
          </cell>
          <cell r="F9">
            <v>244.86639063015508</v>
          </cell>
          <cell r="G9">
            <v>100000</v>
          </cell>
          <cell r="H9">
            <v>99999.999663159033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58</v>
          </cell>
          <cell r="F12">
            <v>59.765429726162964</v>
          </cell>
          <cell r="G12">
            <v>64300</v>
          </cell>
          <cell r="H12">
            <v>63859.805367147528</v>
          </cell>
        </row>
        <row r="13">
          <cell r="E13">
            <v>40</v>
          </cell>
          <cell r="F13">
            <v>33.718331408775967</v>
          </cell>
          <cell r="G13">
            <v>46000</v>
          </cell>
          <cell r="H13">
            <v>40174.997104337199</v>
          </cell>
        </row>
        <row r="14">
          <cell r="E14">
            <v>0</v>
          </cell>
          <cell r="F14">
            <v>0</v>
          </cell>
        </row>
        <row r="15">
          <cell r="E15">
            <v>313</v>
          </cell>
          <cell r="F15">
            <v>338.35015176509398</v>
          </cell>
        </row>
        <row r="16">
          <cell r="E16">
            <v>740</v>
          </cell>
          <cell r="F16">
            <v>819.21230616958121</v>
          </cell>
          <cell r="G16">
            <v>14666.666666666666</v>
          </cell>
          <cell r="H16">
            <v>14761.774563965631</v>
          </cell>
        </row>
        <row r="17">
          <cell r="E17">
            <v>1020</v>
          </cell>
          <cell r="F17">
            <v>975.90316727152754</v>
          </cell>
          <cell r="G17">
            <v>14436.32358393858</v>
          </cell>
          <cell r="H17">
            <v>14123.948494952187</v>
          </cell>
        </row>
        <row r="19">
          <cell r="E19">
            <v>2.5</v>
          </cell>
          <cell r="F19">
            <v>2.7700758825470149</v>
          </cell>
        </row>
        <row r="20">
          <cell r="Q20">
            <v>54197.783388950687</v>
          </cell>
          <cell r="R20">
            <v>58036.70290333224</v>
          </cell>
        </row>
        <row r="21">
          <cell r="Q21">
            <v>18510.422051282054</v>
          </cell>
          <cell r="R21">
            <v>17496.837759815244</v>
          </cell>
        </row>
        <row r="22">
          <cell r="Q22">
            <v>105</v>
          </cell>
          <cell r="R22">
            <v>60.548251402177499</v>
          </cell>
        </row>
        <row r="50">
          <cell r="Q50">
            <v>78364.892072711373</v>
          </cell>
          <cell r="R50">
            <v>84094.687644341815</v>
          </cell>
        </row>
        <row r="56">
          <cell r="L56">
            <v>-69468.033220447265</v>
          </cell>
        </row>
        <row r="80">
          <cell r="H80">
            <v>34879.03</v>
          </cell>
          <cell r="I80">
            <v>37593.241999999998</v>
          </cell>
          <cell r="L80">
            <v>-2714.2119999999977</v>
          </cell>
        </row>
        <row r="85">
          <cell r="H85">
            <v>19446.767777777775</v>
          </cell>
          <cell r="I85">
            <v>17241.308289999997</v>
          </cell>
          <cell r="L85">
            <v>2205.4594877777758</v>
          </cell>
          <cell r="Q85">
            <v>96757.666666666672</v>
          </cell>
          <cell r="R85">
            <v>94775.701418673707</v>
          </cell>
        </row>
        <row r="86">
          <cell r="H86">
            <v>304333.30680435052</v>
          </cell>
          <cell r="I86">
            <v>74662.069000000061</v>
          </cell>
          <cell r="K86">
            <v>-24029.346666666701</v>
          </cell>
          <cell r="M86">
            <v>-135665.10540501424</v>
          </cell>
        </row>
        <row r="89">
          <cell r="Q89">
            <v>72813.205440232734</v>
          </cell>
          <cell r="R89">
            <v>75594.088914549662</v>
          </cell>
        </row>
      </sheetData>
      <sheetData sheetId="8">
        <row r="2">
          <cell r="O2">
            <v>16752</v>
          </cell>
        </row>
        <row r="5">
          <cell r="T5">
            <v>24000</v>
          </cell>
          <cell r="U5">
            <v>16752</v>
          </cell>
        </row>
        <row r="9">
          <cell r="E9">
            <v>222.29870089069894</v>
          </cell>
          <cell r="F9">
            <v>169.2504671558975</v>
          </cell>
          <cell r="G9">
            <v>100000.00000000001</v>
          </cell>
          <cell r="H9">
            <v>100000.46883695743</v>
          </cell>
        </row>
        <row r="10">
          <cell r="E10">
            <v>58.360568882393153</v>
          </cell>
          <cell r="F10">
            <v>176.67169023327955</v>
          </cell>
          <cell r="G10">
            <v>92100.000000000015</v>
          </cell>
          <cell r="H10">
            <v>93837.786795611086</v>
          </cell>
        </row>
        <row r="11">
          <cell r="E11">
            <v>8.6077579729414548</v>
          </cell>
          <cell r="F11">
            <v>0</v>
          </cell>
        </row>
        <row r="12">
          <cell r="E12">
            <v>40.266579891392794</v>
          </cell>
          <cell r="F12">
            <v>0</v>
          </cell>
          <cell r="G12">
            <v>65000</v>
          </cell>
          <cell r="H12">
            <v>0</v>
          </cell>
        </row>
        <row r="13">
          <cell r="E13">
            <v>35.86441773592216</v>
          </cell>
          <cell r="F13">
            <v>33.550064435296235</v>
          </cell>
          <cell r="G13">
            <v>36500</v>
          </cell>
          <cell r="H13">
            <v>36500.010678732964</v>
          </cell>
        </row>
        <row r="14">
          <cell r="E14">
            <v>0</v>
          </cell>
          <cell r="F14">
            <v>0</v>
          </cell>
        </row>
        <row r="15">
          <cell r="E15">
            <v>365.39802537334845</v>
          </cell>
          <cell r="F15">
            <v>379.47222182447331</v>
          </cell>
        </row>
        <row r="16">
          <cell r="E16">
            <v>842.39073587285998</v>
          </cell>
          <cell r="F16">
            <v>879.98926078396289</v>
          </cell>
          <cell r="G16">
            <v>10736.425813127402</v>
          </cell>
          <cell r="H16">
            <v>11733.942303128917</v>
          </cell>
        </row>
        <row r="17">
          <cell r="E17">
            <v>887.87203855601126</v>
          </cell>
          <cell r="F17">
            <v>839.44394725851726</v>
          </cell>
          <cell r="G17">
            <v>17414.046021123264</v>
          </cell>
          <cell r="H17">
            <v>18612.615352468234</v>
          </cell>
        </row>
        <row r="19">
          <cell r="E19">
            <v>3.0366419658448645</v>
          </cell>
          <cell r="F19">
            <v>3.4090531591193867</v>
          </cell>
        </row>
        <row r="20">
          <cell r="Q20">
            <v>59859.497355358042</v>
          </cell>
          <cell r="R20">
            <v>63883.489469602049</v>
          </cell>
        </row>
        <row r="21">
          <cell r="Q21">
            <v>19636.118055555555</v>
          </cell>
          <cell r="R21">
            <v>19943.530338285302</v>
          </cell>
        </row>
        <row r="22">
          <cell r="Q22">
            <v>41.666666666666664</v>
          </cell>
          <cell r="R22">
            <v>0</v>
          </cell>
        </row>
        <row r="50">
          <cell r="Q50">
            <v>85942.337307327238</v>
          </cell>
          <cell r="R50">
            <v>93574.291450390781</v>
          </cell>
        </row>
        <row r="56">
          <cell r="L56">
            <v>-102069.10121765442</v>
          </cell>
        </row>
        <row r="80">
          <cell r="H80">
            <v>53351.16</v>
          </cell>
          <cell r="I80">
            <v>56640.882999999994</v>
          </cell>
          <cell r="L80">
            <v>-3289.7229999999963</v>
          </cell>
        </row>
        <row r="85">
          <cell r="H85">
            <v>47248.159333333337</v>
          </cell>
          <cell r="I85">
            <v>72913.948209999988</v>
          </cell>
          <cell r="L85">
            <v>-25665.788876666658</v>
          </cell>
          <cell r="Q85">
            <v>107600.1399375</v>
          </cell>
          <cell r="R85">
            <v>103210.43218720151</v>
          </cell>
        </row>
        <row r="86">
          <cell r="H86">
            <v>419187.94379081338</v>
          </cell>
          <cell r="I86">
            <v>57651.192999999956</v>
          </cell>
          <cell r="K86">
            <v>-73536.38423300031</v>
          </cell>
          <cell r="M86">
            <v>-156975.75346349238</v>
          </cell>
        </row>
        <row r="89">
          <cell r="Q89">
            <v>79537.282077580268</v>
          </cell>
          <cell r="R89">
            <v>83827.019807887351</v>
          </cell>
        </row>
      </sheetData>
      <sheetData sheetId="9">
        <row r="2">
          <cell r="O2">
            <v>19663</v>
          </cell>
        </row>
        <row r="5">
          <cell r="T5">
            <v>26000</v>
          </cell>
          <cell r="U5">
            <v>19663</v>
          </cell>
        </row>
        <row r="9">
          <cell r="E9">
            <v>225.39999999999998</v>
          </cell>
          <cell r="F9">
            <v>247.03566334709765</v>
          </cell>
          <cell r="G9">
            <v>100000</v>
          </cell>
          <cell r="H9">
            <v>100018.15237772766</v>
          </cell>
        </row>
        <row r="10">
          <cell r="E10">
            <v>46</v>
          </cell>
          <cell r="F10">
            <v>13.279287830944874</v>
          </cell>
          <cell r="G10">
            <v>92100.000000000015</v>
          </cell>
          <cell r="H10">
            <v>92099.940392342251</v>
          </cell>
        </row>
        <row r="11">
          <cell r="E11">
            <v>0</v>
          </cell>
          <cell r="F11">
            <v>0</v>
          </cell>
        </row>
        <row r="12">
          <cell r="E12">
            <v>46</v>
          </cell>
          <cell r="F12">
            <v>56.292502793296109</v>
          </cell>
          <cell r="G12">
            <v>65000</v>
          </cell>
          <cell r="H12">
            <v>65398.851795287599</v>
          </cell>
        </row>
        <row r="13">
          <cell r="E13">
            <v>35.4</v>
          </cell>
          <cell r="F13">
            <v>28.471441826572725</v>
          </cell>
          <cell r="G13">
            <v>35200</v>
          </cell>
          <cell r="H13">
            <v>35401.414638701601</v>
          </cell>
        </row>
        <row r="14">
          <cell r="E14">
            <v>0</v>
          </cell>
          <cell r="F14">
            <v>0</v>
          </cell>
        </row>
        <row r="15">
          <cell r="E15">
            <v>352.79999999999995</v>
          </cell>
          <cell r="F15">
            <v>345.07889579791134</v>
          </cell>
        </row>
        <row r="16">
          <cell r="E16">
            <v>819.90000000000009</v>
          </cell>
          <cell r="F16">
            <v>849.88316735487047</v>
          </cell>
          <cell r="G16">
            <v>10666.666666666666</v>
          </cell>
          <cell r="H16">
            <v>12205.143229334119</v>
          </cell>
        </row>
        <row r="17">
          <cell r="E17">
            <v>909.40000000000009</v>
          </cell>
          <cell r="F17">
            <v>870.04372115618196</v>
          </cell>
          <cell r="G17">
            <v>17671.323476209582</v>
          </cell>
          <cell r="H17">
            <v>18551.103275571815</v>
          </cell>
        </row>
        <row r="19">
          <cell r="E19">
            <v>4.891</v>
          </cell>
          <cell r="F19">
            <v>3.1452523682292925</v>
          </cell>
        </row>
        <row r="20">
          <cell r="Q20">
            <v>59984.081569264992</v>
          </cell>
          <cell r="R20">
            <v>59792.598931260625</v>
          </cell>
        </row>
        <row r="21">
          <cell r="Q21">
            <v>16266.590087232355</v>
          </cell>
          <cell r="R21">
            <v>17086.244449842121</v>
          </cell>
        </row>
        <row r="22">
          <cell r="Q22">
            <v>76.923076923076934</v>
          </cell>
          <cell r="R22">
            <v>213.52275929074568</v>
          </cell>
        </row>
        <row r="50">
          <cell r="Q50">
            <v>82720.833451369137</v>
          </cell>
          <cell r="R50">
            <v>83492.103279086718</v>
          </cell>
        </row>
        <row r="56">
          <cell r="L56">
            <v>-3036.0354957285394</v>
          </cell>
        </row>
        <row r="80">
          <cell r="H80">
            <v>48775</v>
          </cell>
          <cell r="I80">
            <v>54342.644999999997</v>
          </cell>
          <cell r="L80">
            <v>-5567.6449999999977</v>
          </cell>
        </row>
        <row r="85">
          <cell r="H85">
            <v>29220.166777777777</v>
          </cell>
          <cell r="I85">
            <v>49027.430350000002</v>
          </cell>
          <cell r="L85">
            <v>-19807.263572222226</v>
          </cell>
          <cell r="Q85">
            <v>104577.05846153846</v>
          </cell>
          <cell r="R85">
            <v>94876.26084524233</v>
          </cell>
        </row>
        <row r="86">
          <cell r="H86">
            <v>490266.68348662433</v>
          </cell>
          <cell r="I86">
            <v>132606.05799999979</v>
          </cell>
          <cell r="K86">
            <v>-190746.78352923074</v>
          </cell>
          <cell r="M86">
            <v>-138502.89788944286</v>
          </cell>
        </row>
        <row r="89">
          <cell r="Q89">
            <v>76327.594733420425</v>
          </cell>
          <cell r="R89">
            <v>77092.366140393497</v>
          </cell>
        </row>
      </sheetData>
      <sheetData sheetId="10">
        <row r="2">
          <cell r="O2">
            <v>13655</v>
          </cell>
        </row>
        <row r="5">
          <cell r="T5">
            <v>13000</v>
          </cell>
          <cell r="U5">
            <v>13655</v>
          </cell>
        </row>
        <row r="9">
          <cell r="E9">
            <v>190.14999999999998</v>
          </cell>
          <cell r="F9">
            <v>209.53973855730496</v>
          </cell>
          <cell r="G9">
            <v>100000</v>
          </cell>
          <cell r="H9">
            <v>100000.00000000001</v>
          </cell>
        </row>
        <row r="10">
          <cell r="E10">
            <v>138.19999999999996</v>
          </cell>
          <cell r="F10">
            <v>125.82827462467961</v>
          </cell>
          <cell r="G10">
            <v>92100</v>
          </cell>
          <cell r="H10">
            <v>92099.996630747162</v>
          </cell>
        </row>
        <row r="11">
          <cell r="E11">
            <v>0</v>
          </cell>
          <cell r="F11">
            <v>0</v>
          </cell>
        </row>
        <row r="12">
          <cell r="E12">
            <v>2.5300000000000002</v>
          </cell>
          <cell r="F12">
            <v>1.8216755767118273</v>
          </cell>
          <cell r="G12">
            <v>64000</v>
          </cell>
          <cell r="H12">
            <v>63568.372718289611</v>
          </cell>
        </row>
        <row r="13">
          <cell r="E13">
            <v>12.120000000000001</v>
          </cell>
          <cell r="F13">
            <v>21.333295496155241</v>
          </cell>
          <cell r="G13">
            <v>35000</v>
          </cell>
          <cell r="H13">
            <v>35000.036902756794</v>
          </cell>
        </row>
        <row r="14">
          <cell r="E14">
            <v>0</v>
          </cell>
          <cell r="F14">
            <v>0</v>
          </cell>
        </row>
        <row r="15">
          <cell r="E15">
            <v>342.99999999999989</v>
          </cell>
          <cell r="F15">
            <v>358.52298425485162</v>
          </cell>
        </row>
        <row r="16">
          <cell r="E16">
            <v>830</v>
          </cell>
          <cell r="F16">
            <v>754.2584401318187</v>
          </cell>
          <cell r="G16">
            <v>9426.6666666666661</v>
          </cell>
          <cell r="H16">
            <v>9207.3079215593189</v>
          </cell>
        </row>
        <row r="17">
          <cell r="E17">
            <v>890</v>
          </cell>
          <cell r="F17">
            <v>875.78205785426599</v>
          </cell>
          <cell r="G17">
            <v>17730.479017177095</v>
          </cell>
          <cell r="H17">
            <v>15801.765711688224</v>
          </cell>
        </row>
        <row r="19">
          <cell r="E19">
            <v>3.3</v>
          </cell>
          <cell r="F19">
            <v>3.3697180519956049</v>
          </cell>
        </row>
        <row r="20">
          <cell r="Q20">
            <v>58566.199658620935</v>
          </cell>
          <cell r="R20">
            <v>57656.867813987541</v>
          </cell>
        </row>
        <row r="21">
          <cell r="Q21">
            <v>18164.382523616736</v>
          </cell>
          <cell r="R21">
            <v>20367.212010252657</v>
          </cell>
        </row>
        <row r="22">
          <cell r="Q22">
            <v>376.92307692307691</v>
          </cell>
          <cell r="R22">
            <v>359.99157817649211</v>
          </cell>
        </row>
        <row r="50">
          <cell r="Q50">
            <v>84011.107406971743</v>
          </cell>
          <cell r="R50">
            <v>85670.301720981312</v>
          </cell>
        </row>
        <row r="56">
          <cell r="L56">
            <v>-18576.577657800652</v>
          </cell>
        </row>
        <row r="80">
          <cell r="H80">
            <v>34963.57</v>
          </cell>
          <cell r="I80">
            <v>40407.507000000005</v>
          </cell>
          <cell r="L80">
            <v>-5443.9370000000017</v>
          </cell>
        </row>
        <row r="85">
          <cell r="H85">
            <v>13037.444888888889</v>
          </cell>
          <cell r="I85">
            <v>17433.1967</v>
          </cell>
          <cell r="L85">
            <v>-4395.7518111111094</v>
          </cell>
          <cell r="Q85">
            <v>101000</v>
          </cell>
          <cell r="R85">
            <v>90368.87586964482</v>
          </cell>
        </row>
        <row r="86">
          <cell r="H86">
            <v>172854.58882047821</v>
          </cell>
          <cell r="I86">
            <v>10398.04699999997</v>
          </cell>
          <cell r="K86">
            <v>-145167.99999999997</v>
          </cell>
          <cell r="M86">
            <v>11127.724648433497</v>
          </cell>
        </row>
        <row r="89">
          <cell r="Q89">
            <v>77107.505259160753</v>
          </cell>
          <cell r="R89">
            <v>78384.071402416681</v>
          </cell>
        </row>
      </sheetData>
      <sheetData sheetId="11">
        <row r="2">
          <cell r="O2">
            <v>21756</v>
          </cell>
        </row>
        <row r="5">
          <cell r="T5">
            <v>18000</v>
          </cell>
          <cell r="U5">
            <v>21756</v>
          </cell>
        </row>
        <row r="9">
          <cell r="E9">
            <v>205.8</v>
          </cell>
          <cell r="F9">
            <v>243.56663312195568</v>
          </cell>
          <cell r="G9">
            <v>100000</v>
          </cell>
          <cell r="H9">
            <v>100047.25387009789</v>
          </cell>
        </row>
        <row r="10">
          <cell r="E10">
            <v>74.5</v>
          </cell>
          <cell r="F10">
            <v>49.076557761235158</v>
          </cell>
          <cell r="G10">
            <v>92100.000000000015</v>
          </cell>
          <cell r="H10">
            <v>92100.002804296528</v>
          </cell>
        </row>
        <row r="11">
          <cell r="E11">
            <v>0</v>
          </cell>
          <cell r="F11">
            <v>0</v>
          </cell>
        </row>
        <row r="12">
          <cell r="E12">
            <v>41</v>
          </cell>
          <cell r="F12">
            <v>45.906494347945966</v>
          </cell>
          <cell r="G12">
            <v>63500</v>
          </cell>
          <cell r="H12">
            <v>62130.505209655414</v>
          </cell>
        </row>
        <row r="13">
          <cell r="E13">
            <v>35.700000000000003</v>
          </cell>
          <cell r="F13">
            <v>25.4539619520265</v>
          </cell>
          <cell r="G13">
            <v>35500</v>
          </cell>
          <cell r="H13">
            <v>35500.007654408881</v>
          </cell>
        </row>
        <row r="14">
          <cell r="E14">
            <v>0</v>
          </cell>
          <cell r="F14">
            <v>0</v>
          </cell>
        </row>
        <row r="15">
          <cell r="E15">
            <v>357</v>
          </cell>
          <cell r="F15">
            <v>364.00364718316325</v>
          </cell>
        </row>
        <row r="16">
          <cell r="E16">
            <v>795</v>
          </cell>
          <cell r="F16">
            <v>784.2243359985298</v>
          </cell>
          <cell r="G16">
            <v>10733.333333333332</v>
          </cell>
          <cell r="H16">
            <v>11391.582646257619</v>
          </cell>
        </row>
        <row r="17">
          <cell r="E17">
            <v>920</v>
          </cell>
          <cell r="F17">
            <v>926.89008363201913</v>
          </cell>
          <cell r="G17">
            <v>18315.171013635976</v>
          </cell>
          <cell r="H17">
            <v>18899.659421638473</v>
          </cell>
        </row>
        <row r="19">
          <cell r="E19">
            <v>3.0523500000000001</v>
          </cell>
          <cell r="F19">
            <v>3.2486030695708106</v>
          </cell>
        </row>
        <row r="20">
          <cell r="Q20">
            <v>59004.333332545095</v>
          </cell>
          <cell r="R20">
            <v>62156.107940446651</v>
          </cell>
        </row>
        <row r="21">
          <cell r="Q21">
            <v>19050.002777777776</v>
          </cell>
          <cell r="R21">
            <v>18957.587813620074</v>
          </cell>
        </row>
        <row r="22">
          <cell r="Q22">
            <v>250</v>
          </cell>
          <cell r="R22">
            <v>232.65913059461445</v>
          </cell>
        </row>
        <row r="50">
          <cell r="Q50">
            <v>85078.027443656203</v>
          </cell>
          <cell r="R50">
            <v>87376.99940262844</v>
          </cell>
        </row>
        <row r="56">
          <cell r="L56">
            <v>-42964.716945815388</v>
          </cell>
        </row>
        <row r="80">
          <cell r="H80">
            <v>46024.53</v>
          </cell>
          <cell r="I80">
            <v>52487.308000000005</v>
          </cell>
          <cell r="L80">
            <v>-6462.7780000000021</v>
          </cell>
        </row>
        <row r="85">
          <cell r="H85">
            <v>24735.857777777783</v>
          </cell>
          <cell r="I85">
            <v>32833.505989999998</v>
          </cell>
          <cell r="L85">
            <v>-8097.6482122222169</v>
          </cell>
          <cell r="Q85">
            <v>104000</v>
          </cell>
          <cell r="R85">
            <v>97536.80465159037</v>
          </cell>
        </row>
        <row r="86">
          <cell r="H86">
            <v>269835.11823641049</v>
          </cell>
          <cell r="I86">
            <v>142767.62600000008</v>
          </cell>
          <cell r="K86">
            <v>-140613.2779999999</v>
          </cell>
          <cell r="M86">
            <v>71070.92892162723</v>
          </cell>
        </row>
        <row r="89">
          <cell r="Q89">
            <v>78304.336110322867</v>
          </cell>
          <cell r="R89">
            <v>81346.354884661341</v>
          </cell>
        </row>
      </sheetData>
      <sheetData sheetId="12">
        <row r="2">
          <cell r="O2">
            <v>13908</v>
          </cell>
        </row>
        <row r="5">
          <cell r="T5">
            <v>12000</v>
          </cell>
          <cell r="U5">
            <v>13908</v>
          </cell>
        </row>
        <row r="9">
          <cell r="E9">
            <v>212.88666666666666</v>
          </cell>
          <cell r="F9">
            <v>239.21527753810739</v>
          </cell>
          <cell r="G9">
            <v>100000</v>
          </cell>
          <cell r="H9">
            <v>99983.076676553668</v>
          </cell>
        </row>
        <row r="10">
          <cell r="E10">
            <v>16.669166666666666</v>
          </cell>
          <cell r="F10">
            <v>12.43284440609721</v>
          </cell>
          <cell r="G10">
            <v>92100</v>
          </cell>
          <cell r="H10">
            <v>102199.99884336903</v>
          </cell>
        </row>
        <row r="11">
          <cell r="E11">
            <v>0</v>
          </cell>
          <cell r="F11">
            <v>0</v>
          </cell>
        </row>
        <row r="12">
          <cell r="E12">
            <v>58.550166666666669</v>
          </cell>
          <cell r="F12">
            <v>81.652899769916587</v>
          </cell>
          <cell r="G12">
            <v>63000</v>
          </cell>
          <cell r="H12">
            <v>62513.064021031605</v>
          </cell>
        </row>
        <row r="13">
          <cell r="E13">
            <v>44.277333333333331</v>
          </cell>
          <cell r="F13">
            <v>20.520749209088304</v>
          </cell>
          <cell r="G13">
            <v>36000</v>
          </cell>
          <cell r="H13">
            <v>35999.996916636126</v>
          </cell>
        </row>
        <row r="14">
          <cell r="E14">
            <v>0</v>
          </cell>
          <cell r="F14">
            <v>0</v>
          </cell>
        </row>
        <row r="15">
          <cell r="E15">
            <v>332.38333333333333</v>
          </cell>
          <cell r="F15">
            <v>353.8217709232095</v>
          </cell>
        </row>
        <row r="16">
          <cell r="E16">
            <v>783.08333333333337</v>
          </cell>
          <cell r="F16">
            <v>707.60389703767601</v>
          </cell>
          <cell r="G16">
            <v>9066.6666666666679</v>
          </cell>
          <cell r="H16">
            <v>9585.9031606928129</v>
          </cell>
        </row>
        <row r="17">
          <cell r="E17">
            <v>921.7157533333334</v>
          </cell>
          <cell r="F17">
            <v>917.58556226632174</v>
          </cell>
          <cell r="G17">
            <v>17446.695345461932</v>
          </cell>
          <cell r="H17">
            <v>16704.556966191234</v>
          </cell>
        </row>
        <row r="19">
          <cell r="E19">
            <v>2.4209204166666667</v>
          </cell>
          <cell r="F19">
            <v>3.0292493528904223</v>
          </cell>
        </row>
        <row r="20">
          <cell r="Q20">
            <v>53089.407150741834</v>
          </cell>
          <cell r="R20">
            <v>55712.762366983035</v>
          </cell>
        </row>
        <row r="21">
          <cell r="Q21">
            <v>17632.069078947367</v>
          </cell>
          <cell r="R21">
            <v>16965.508628127696</v>
          </cell>
        </row>
        <row r="22">
          <cell r="Q22">
            <v>79.166666666666657</v>
          </cell>
          <cell r="R22">
            <v>0</v>
          </cell>
        </row>
        <row r="50">
          <cell r="Q50">
            <v>78104.592979689201</v>
          </cell>
          <cell r="R50">
            <v>79882.262870290491</v>
          </cell>
        </row>
        <row r="56">
          <cell r="L56">
            <v>-24723.808548482761</v>
          </cell>
        </row>
        <row r="80">
          <cell r="H80">
            <v>34502.870000000003</v>
          </cell>
          <cell r="I80">
            <v>33659.544999999998</v>
          </cell>
          <cell r="L80">
            <v>843.32500000000073</v>
          </cell>
        </row>
        <row r="85">
          <cell r="H85">
            <v>11475.898111111112</v>
          </cell>
          <cell r="I85">
            <v>12080.549289999999</v>
          </cell>
          <cell r="L85">
            <v>-604.65117888888801</v>
          </cell>
          <cell r="Q85">
            <v>97210.152500000026</v>
          </cell>
          <cell r="R85">
            <v>94125.48173712971</v>
          </cell>
        </row>
        <row r="86">
          <cell r="H86">
            <v>183287.94613261896</v>
          </cell>
          <cell r="I86">
            <v>152354.61799999996</v>
          </cell>
          <cell r="K86">
            <v>-42901.600970000341</v>
          </cell>
          <cell r="M86">
            <v>36453.407564753084</v>
          </cell>
        </row>
        <row r="89">
          <cell r="Q89">
            <v>70800.642896355872</v>
          </cell>
          <cell r="R89">
            <v>72678.270995110739</v>
          </cell>
        </row>
      </sheetData>
      <sheetData sheetId="13">
        <row r="2">
          <cell r="O2">
            <v>14580</v>
          </cell>
        </row>
        <row r="5">
          <cell r="T5">
            <v>17000</v>
          </cell>
          <cell r="U5">
            <v>14580</v>
          </cell>
        </row>
        <row r="9">
          <cell r="E9">
            <v>239.4</v>
          </cell>
          <cell r="F9">
            <v>228.81502537722915</v>
          </cell>
          <cell r="G9">
            <v>100000</v>
          </cell>
          <cell r="H9">
            <v>100000.00029974911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69.100000000000009</v>
          </cell>
          <cell r="F12">
            <v>83.525658436213945</v>
          </cell>
          <cell r="G12">
            <v>65000</v>
          </cell>
          <cell r="H12">
            <v>65012.26839357827</v>
          </cell>
        </row>
        <row r="13">
          <cell r="E13">
            <v>34.9</v>
          </cell>
          <cell r="F13">
            <v>38.265785322359392</v>
          </cell>
          <cell r="G13">
            <v>33000.000000000007</v>
          </cell>
          <cell r="H13">
            <v>33000.001882006618</v>
          </cell>
        </row>
        <row r="14">
          <cell r="E14">
            <v>0</v>
          </cell>
          <cell r="F14">
            <v>0</v>
          </cell>
        </row>
        <row r="15">
          <cell r="E15">
            <v>343.4</v>
          </cell>
          <cell r="F15">
            <v>350.60646913580251</v>
          </cell>
        </row>
        <row r="16">
          <cell r="E16">
            <v>837.30000000000007</v>
          </cell>
          <cell r="F16">
            <v>886.74519890260649</v>
          </cell>
          <cell r="G16">
            <v>10400</v>
          </cell>
          <cell r="H16">
            <v>11266.666176802155</v>
          </cell>
        </row>
        <row r="17">
          <cell r="E17">
            <v>880.6</v>
          </cell>
          <cell r="F17">
            <v>862.46707818930065</v>
          </cell>
          <cell r="G17">
            <v>17019.616516901082</v>
          </cell>
          <cell r="H17">
            <v>17260.987676116536</v>
          </cell>
        </row>
        <row r="19">
          <cell r="E19">
            <v>3.08</v>
          </cell>
          <cell r="F19">
            <v>3.0741392318244158</v>
          </cell>
        </row>
        <row r="20">
          <cell r="Q20">
            <v>55737.794304783092</v>
          </cell>
          <cell r="R20">
            <v>57021.583539094652</v>
          </cell>
        </row>
        <row r="21">
          <cell r="Q21">
            <v>16722.719820609098</v>
          </cell>
          <cell r="R21">
            <v>17771.900137174209</v>
          </cell>
        </row>
        <row r="22">
          <cell r="Q22">
            <v>70.588235294117652</v>
          </cell>
          <cell r="R22">
            <v>77.991563786008228</v>
          </cell>
        </row>
        <row r="50">
          <cell r="Q50">
            <v>79291.08995913394</v>
          </cell>
          <cell r="R50">
            <v>82382.022359396418</v>
          </cell>
        </row>
        <row r="56">
          <cell r="L56">
            <v>-45065.781915826868</v>
          </cell>
        </row>
        <row r="80">
          <cell r="H80">
            <v>39501.69</v>
          </cell>
          <cell r="I80">
            <v>48655.961000000003</v>
          </cell>
          <cell r="L80">
            <v>-9154.2709999999988</v>
          </cell>
        </row>
        <row r="85">
          <cell r="H85">
            <v>32560.991888888886</v>
          </cell>
          <cell r="I85">
            <v>31320.604479999998</v>
          </cell>
          <cell r="L85">
            <v>1240.3874088888876</v>
          </cell>
          <cell r="Q85">
            <v>101745.11764705883</v>
          </cell>
          <cell r="R85">
            <v>93119.705075445818</v>
          </cell>
        </row>
        <row r="86">
          <cell r="H86">
            <v>309655.78880583419</v>
          </cell>
          <cell r="I86">
            <v>76578.861000000135</v>
          </cell>
          <cell r="K86">
            <v>-125758.51529411765</v>
          </cell>
          <cell r="M86">
            <v>-54338.747004778241</v>
          </cell>
        </row>
        <row r="89">
          <cell r="Q89">
            <v>72531.102360686302</v>
          </cell>
          <cell r="R89">
            <v>74871.475240054875</v>
          </cell>
        </row>
      </sheetData>
      <sheetData sheetId="14">
        <row r="2">
          <cell r="O2">
            <v>15640</v>
          </cell>
        </row>
        <row r="5">
          <cell r="T5">
            <v>16500</v>
          </cell>
          <cell r="U5">
            <v>15640</v>
          </cell>
        </row>
        <row r="9">
          <cell r="E9">
            <v>233.21999999999997</v>
          </cell>
          <cell r="F9">
            <v>265.06420076726346</v>
          </cell>
          <cell r="G9">
            <v>100000</v>
          </cell>
          <cell r="H9">
            <v>99999.999999999985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67.600000000000023</v>
          </cell>
          <cell r="F12">
            <v>63.863685421994916</v>
          </cell>
          <cell r="G12">
            <v>62499.999999999993</v>
          </cell>
          <cell r="H12">
            <v>60946.890317576552</v>
          </cell>
        </row>
        <row r="13">
          <cell r="E13">
            <v>37.180000000000007</v>
          </cell>
          <cell r="F13">
            <v>37.538558184143184</v>
          </cell>
          <cell r="G13">
            <v>35500</v>
          </cell>
          <cell r="H13">
            <v>35417.446732732889</v>
          </cell>
        </row>
        <row r="14">
          <cell r="E14">
            <v>0</v>
          </cell>
          <cell r="F14">
            <v>0</v>
          </cell>
        </row>
        <row r="15">
          <cell r="E15">
            <v>338</v>
          </cell>
          <cell r="F15">
            <v>366.4664443734016</v>
          </cell>
        </row>
        <row r="16">
          <cell r="E16">
            <v>773.65296287352862</v>
          </cell>
          <cell r="F16">
            <v>671.97775127877208</v>
          </cell>
          <cell r="G16">
            <v>10466.666666666668</v>
          </cell>
          <cell r="H16">
            <v>11125.875585240783</v>
          </cell>
        </row>
        <row r="17">
          <cell r="E17">
            <v>945.57584351209061</v>
          </cell>
          <cell r="F17">
            <v>1064.3836956521734</v>
          </cell>
          <cell r="G17">
            <v>14718.131256952169</v>
          </cell>
          <cell r="H17">
            <v>14278.265985004717</v>
          </cell>
        </row>
        <row r="19">
          <cell r="E19">
            <v>2.7040000000000002</v>
          </cell>
          <cell r="F19">
            <v>3.3886860613810748</v>
          </cell>
        </row>
        <row r="20">
          <cell r="Q20">
            <v>52503.967056290479</v>
          </cell>
          <cell r="R20">
            <v>56790.307033248078</v>
          </cell>
        </row>
        <row r="21">
          <cell r="Q21">
            <v>17357.697840909092</v>
          </cell>
          <cell r="R21">
            <v>19322.014258312021</v>
          </cell>
        </row>
        <row r="22">
          <cell r="Q22">
            <v>321.21212121212125</v>
          </cell>
          <cell r="R22">
            <v>243.34731457800513</v>
          </cell>
        </row>
        <row r="50">
          <cell r="Q50">
            <v>77286.844816391487</v>
          </cell>
          <cell r="R50">
            <v>83818.868925831193</v>
          </cell>
        </row>
        <row r="56">
          <cell r="L56">
            <v>-102160.87432163711</v>
          </cell>
        </row>
        <row r="80">
          <cell r="H80">
            <v>34257.94</v>
          </cell>
          <cell r="I80">
            <v>38486.351999999999</v>
          </cell>
          <cell r="L80">
            <v>-4228.4119999999994</v>
          </cell>
        </row>
        <row r="85">
          <cell r="H85">
            <v>14967.475474676306</v>
          </cell>
          <cell r="I85">
            <v>15436.419750000001</v>
          </cell>
          <cell r="L85">
            <v>-468.94427532369468</v>
          </cell>
          <cell r="Q85">
            <v>97760</v>
          </cell>
          <cell r="R85">
            <v>93698.609335038374</v>
          </cell>
        </row>
        <row r="86">
          <cell r="H86">
            <v>288581.64505486423</v>
          </cell>
          <cell r="I86">
            <v>100634.15100000014</v>
          </cell>
          <cell r="K86">
            <v>-63520.14999999982</v>
          </cell>
          <cell r="M86">
            <v>-17569.113457903339</v>
          </cell>
        </row>
        <row r="89">
          <cell r="Q89">
            <v>70182.877018411702</v>
          </cell>
          <cell r="R89">
            <v>76355.668606138104</v>
          </cell>
        </row>
      </sheetData>
      <sheetData sheetId="15">
        <row r="2">
          <cell r="O2">
            <v>14267</v>
          </cell>
        </row>
        <row r="5">
          <cell r="T5">
            <v>12000</v>
          </cell>
          <cell r="U5">
            <v>14267</v>
          </cell>
        </row>
        <row r="9">
          <cell r="E9">
            <v>225.6</v>
          </cell>
          <cell r="F9">
            <v>229.96328123904968</v>
          </cell>
          <cell r="G9">
            <v>100000</v>
          </cell>
          <cell r="H9">
            <v>100000.40440720844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96.9</v>
          </cell>
          <cell r="F12">
            <v>85.256645875674522</v>
          </cell>
          <cell r="G12">
            <v>61300.000000000007</v>
          </cell>
          <cell r="H12">
            <v>60226.437376141286</v>
          </cell>
        </row>
        <row r="13">
          <cell r="E13">
            <v>36</v>
          </cell>
          <cell r="F13">
            <v>45.890468147732847</v>
          </cell>
          <cell r="G13">
            <v>37000</v>
          </cell>
          <cell r="H13">
            <v>37000.008658985913</v>
          </cell>
        </row>
        <row r="14">
          <cell r="E14">
            <v>0</v>
          </cell>
          <cell r="F14">
            <v>0</v>
          </cell>
        </row>
        <row r="15">
          <cell r="E15">
            <v>358.5</v>
          </cell>
          <cell r="F15">
            <v>361.11039526245708</v>
          </cell>
        </row>
        <row r="16">
          <cell r="E16">
            <v>730</v>
          </cell>
          <cell r="F16">
            <v>785.60964328264049</v>
          </cell>
          <cell r="G16">
            <v>10913.333333333334</v>
          </cell>
          <cell r="H16">
            <v>11323.002045341496</v>
          </cell>
        </row>
        <row r="17">
          <cell r="E17">
            <v>970</v>
          </cell>
          <cell r="F17">
            <v>904.46205059920089</v>
          </cell>
          <cell r="G17">
            <v>19035.061179087876</v>
          </cell>
          <cell r="H17">
            <v>19342.745713176799</v>
          </cell>
        </row>
        <row r="19">
          <cell r="E19">
            <v>3.2</v>
          </cell>
          <cell r="F19">
            <v>3.0005746723666689</v>
          </cell>
        </row>
        <row r="20">
          <cell r="Q20">
            <v>58182.712677048577</v>
          </cell>
          <cell r="R20">
            <v>58389.181372205487</v>
          </cell>
        </row>
        <row r="21">
          <cell r="Q21">
            <v>20880.250155677655</v>
          </cell>
          <cell r="R21">
            <v>20350.983180320978</v>
          </cell>
        </row>
        <row r="22">
          <cell r="Q22">
            <v>260</v>
          </cell>
          <cell r="R22">
            <v>202.15481112902094</v>
          </cell>
        </row>
        <row r="50">
          <cell r="Q50">
            <v>87079.135650970682</v>
          </cell>
          <cell r="R50">
            <v>85519.718971196315</v>
          </cell>
        </row>
        <row r="56">
          <cell r="L56">
            <v>22248.588532398775</v>
          </cell>
        </row>
        <row r="80">
          <cell r="H80">
            <v>25812.420000000002</v>
          </cell>
          <cell r="I80">
            <v>28026.71</v>
          </cell>
          <cell r="L80">
            <v>-2214.2899999999954</v>
          </cell>
        </row>
        <row r="85">
          <cell r="H85">
            <v>12710.483222222223</v>
          </cell>
          <cell r="I85">
            <v>14717.8662</v>
          </cell>
          <cell r="L85">
            <v>-2007.3829777777776</v>
          </cell>
          <cell r="Q85">
            <v>101124.125</v>
          </cell>
          <cell r="R85">
            <v>99574.157145861085</v>
          </cell>
        </row>
        <row r="86">
          <cell r="H86">
            <v>130016.96896612959</v>
          </cell>
          <cell r="I86">
            <v>157770.48399999997</v>
          </cell>
          <cell r="K86">
            <v>-22113.391374999901</v>
          </cell>
          <cell r="M86">
            <v>31839.990854249481</v>
          </cell>
        </row>
        <row r="89">
          <cell r="Q89">
            <v>79322.962832726233</v>
          </cell>
          <cell r="R89">
            <v>78942.319363655479</v>
          </cell>
        </row>
      </sheetData>
      <sheetData sheetId="16">
        <row r="2">
          <cell r="O2">
            <v>35082.5</v>
          </cell>
        </row>
        <row r="5">
          <cell r="T5">
            <v>28000</v>
          </cell>
          <cell r="U5">
            <v>35142.5</v>
          </cell>
        </row>
        <row r="9">
          <cell r="E9">
            <v>233.54642857142858</v>
          </cell>
          <cell r="F9">
            <v>333.73348257079095</v>
          </cell>
          <cell r="G9">
            <v>100000</v>
          </cell>
          <cell r="H9">
            <v>100036.81766285862</v>
          </cell>
        </row>
        <row r="10">
          <cell r="E10">
            <v>65.481428571428566</v>
          </cell>
          <cell r="F10">
            <v>5.0013530926002341</v>
          </cell>
          <cell r="G10">
            <v>87100</v>
          </cell>
          <cell r="H10">
            <v>86599.94846160266</v>
          </cell>
        </row>
        <row r="11">
          <cell r="E11">
            <v>0</v>
          </cell>
          <cell r="F11">
            <v>0</v>
          </cell>
        </row>
        <row r="12">
          <cell r="E12">
            <v>32.862857142857145</v>
          </cell>
          <cell r="F12">
            <v>27.071811756005296</v>
          </cell>
          <cell r="G12">
            <v>64500</v>
          </cell>
          <cell r="H12">
            <v>64509.915758878509</v>
          </cell>
        </row>
        <row r="13">
          <cell r="E13">
            <v>32.862857142857145</v>
          </cell>
          <cell r="F13">
            <v>40.067726593944201</v>
          </cell>
          <cell r="G13">
            <v>42000</v>
          </cell>
          <cell r="H13">
            <v>39253.002590731026</v>
          </cell>
        </row>
        <row r="14">
          <cell r="E14">
            <v>0</v>
          </cell>
          <cell r="F14">
            <v>0</v>
          </cell>
        </row>
        <row r="15">
          <cell r="E15">
            <v>364.75357142857143</v>
          </cell>
          <cell r="F15">
            <v>405.87437401334068</v>
          </cell>
        </row>
        <row r="16">
          <cell r="E16">
            <v>854.95142857142855</v>
          </cell>
          <cell r="F16">
            <v>887.24460626057828</v>
          </cell>
          <cell r="G16">
            <v>10933.333333333336</v>
          </cell>
          <cell r="H16">
            <v>11357.785250035939</v>
          </cell>
        </row>
        <row r="17">
          <cell r="E17">
            <v>861.46928571428566</v>
          </cell>
          <cell r="F17">
            <v>885.86250053332867</v>
          </cell>
          <cell r="G17">
            <v>13742.308305428276</v>
          </cell>
          <cell r="H17">
            <v>13163.35517554444</v>
          </cell>
        </row>
        <row r="19">
          <cell r="E19">
            <v>3.0293000000000001</v>
          </cell>
          <cell r="F19">
            <v>3.2778760684368455</v>
          </cell>
        </row>
        <row r="20">
          <cell r="Q20">
            <v>56318.920043752318</v>
          </cell>
          <cell r="R20">
            <v>62010.063885767915</v>
          </cell>
        </row>
        <row r="21">
          <cell r="Q21">
            <v>20999.144300911856</v>
          </cell>
          <cell r="R21">
            <v>13132.673844097109</v>
          </cell>
        </row>
        <row r="22">
          <cell r="Q22">
            <v>214.28571428571428</v>
          </cell>
          <cell r="R22">
            <v>178.76742565386203</v>
          </cell>
        </row>
        <row r="50">
          <cell r="Q50">
            <v>82505.562643122452</v>
          </cell>
          <cell r="R50">
            <v>80054.419524127821</v>
          </cell>
        </row>
        <row r="56">
          <cell r="L56">
            <v>86060.964857343439</v>
          </cell>
        </row>
        <row r="80">
          <cell r="H80">
            <v>40206.259999999995</v>
          </cell>
          <cell r="I80">
            <v>48507.920999999995</v>
          </cell>
          <cell r="L80">
            <v>-8301.6609999999982</v>
          </cell>
        </row>
        <row r="85">
          <cell r="H85">
            <v>34097.991222222219</v>
          </cell>
          <cell r="I85">
            <v>35656.406429999995</v>
          </cell>
          <cell r="L85">
            <v>-1558.4152077777806</v>
          </cell>
          <cell r="Q85">
            <v>101000.53571428572</v>
          </cell>
          <cell r="R85">
            <v>97210.458376683528</v>
          </cell>
        </row>
        <row r="86">
          <cell r="H86">
            <v>443554.99477034935</v>
          </cell>
          <cell r="I86">
            <v>518141.14199999964</v>
          </cell>
          <cell r="K86">
            <v>-132965.38819642906</v>
          </cell>
          <cell r="M86">
            <v>131350.6467765139</v>
          </cell>
        </row>
        <row r="89">
          <cell r="Q89">
            <v>77532.350058949887</v>
          </cell>
          <cell r="R89">
            <v>75321.505155518884</v>
          </cell>
        </row>
      </sheetData>
      <sheetData sheetId="17">
        <row r="2">
          <cell r="O2">
            <v>5544</v>
          </cell>
        </row>
        <row r="5">
          <cell r="T5">
            <v>6000</v>
          </cell>
          <cell r="U5">
            <v>5544</v>
          </cell>
        </row>
        <row r="9">
          <cell r="E9">
            <v>259.89999999999998</v>
          </cell>
          <cell r="F9">
            <v>276.16866522366513</v>
          </cell>
          <cell r="G9">
            <v>100000.00000000001</v>
          </cell>
          <cell r="H9">
            <v>100000.00000000003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44.399999999999991</v>
          </cell>
          <cell r="F12">
            <v>48.812236652236656</v>
          </cell>
          <cell r="G12">
            <v>64000</v>
          </cell>
          <cell r="H12">
            <v>63999.591449167048</v>
          </cell>
        </row>
        <row r="13">
          <cell r="E13">
            <v>39.200000000000003</v>
          </cell>
          <cell r="F13">
            <v>42.699505772005786</v>
          </cell>
          <cell r="G13">
            <v>48999.999999999993</v>
          </cell>
          <cell r="H13">
            <v>49000.000253457503</v>
          </cell>
        </row>
        <row r="14">
          <cell r="E14">
            <v>0</v>
          </cell>
          <cell r="F14">
            <v>0</v>
          </cell>
        </row>
        <row r="15">
          <cell r="E15">
            <v>343.49999999999994</v>
          </cell>
          <cell r="F15">
            <v>367.6804076479076</v>
          </cell>
        </row>
        <row r="16">
          <cell r="E16">
            <v>815.9</v>
          </cell>
          <cell r="F16">
            <v>990.00090187590217</v>
          </cell>
          <cell r="G16">
            <v>13666.666666666668</v>
          </cell>
          <cell r="H16">
            <v>13683.608010472681</v>
          </cell>
        </row>
        <row r="17">
          <cell r="E17">
            <v>953.39999999999986</v>
          </cell>
          <cell r="F17">
            <v>799.99891774891796</v>
          </cell>
          <cell r="G17">
            <v>13419.35483870968</v>
          </cell>
          <cell r="H17">
            <v>13732.354435905167</v>
          </cell>
        </row>
        <row r="19">
          <cell r="E19">
            <v>2.87</v>
          </cell>
          <cell r="F19">
            <v>3.0002362914862917</v>
          </cell>
        </row>
        <row r="20">
          <cell r="Q20">
            <v>56419.046236559137</v>
          </cell>
          <cell r="R20">
            <v>59221.25505050506</v>
          </cell>
        </row>
        <row r="21">
          <cell r="Q21">
            <v>16191.586545780165</v>
          </cell>
          <cell r="R21">
            <v>14362.286796536797</v>
          </cell>
        </row>
        <row r="22">
          <cell r="Q22">
            <v>250</v>
          </cell>
          <cell r="R22">
            <v>323.26659451659452</v>
          </cell>
        </row>
        <row r="50">
          <cell r="Q50">
            <v>84845.648056481426</v>
          </cell>
          <cell r="R50">
            <v>86961.322510822516</v>
          </cell>
        </row>
        <row r="56">
          <cell r="L56">
            <v>-11729.289604866781</v>
          </cell>
        </row>
        <row r="80">
          <cell r="H80">
            <v>9835.630000000001</v>
          </cell>
          <cell r="I80">
            <v>11861.206</v>
          </cell>
          <cell r="L80">
            <v>-2025.576</v>
          </cell>
        </row>
        <row r="85">
          <cell r="H85">
            <v>5428.9927777777775</v>
          </cell>
          <cell r="I85">
            <v>5700.1985700000005</v>
          </cell>
          <cell r="L85">
            <v>-271.20579222222227</v>
          </cell>
          <cell r="Q85">
            <v>107900</v>
          </cell>
          <cell r="R85">
            <v>108943.59253246753</v>
          </cell>
        </row>
        <row r="86">
          <cell r="H86">
            <v>123061.48888333351</v>
          </cell>
          <cell r="I86">
            <v>104308.31</v>
          </cell>
          <cell r="K86">
            <v>5785.677000000007</v>
          </cell>
          <cell r="M86">
            <v>-10512.784486244454</v>
          </cell>
        </row>
        <row r="89">
          <cell r="Q89">
            <v>72860.632782339308</v>
          </cell>
          <cell r="R89">
            <v>73906.808441558445</v>
          </cell>
        </row>
      </sheetData>
      <sheetData sheetId="18">
        <row r="2">
          <cell r="O2">
            <v>9023</v>
          </cell>
        </row>
        <row r="5">
          <cell r="T5">
            <v>7000</v>
          </cell>
          <cell r="U5">
            <v>9023</v>
          </cell>
        </row>
        <row r="9">
          <cell r="E9">
            <v>214.5</v>
          </cell>
          <cell r="F9">
            <v>252.86379585503715</v>
          </cell>
          <cell r="G9">
            <v>100000</v>
          </cell>
          <cell r="H9">
            <v>99999.999999999985</v>
          </cell>
        </row>
        <row r="10">
          <cell r="E10">
            <v>13</v>
          </cell>
          <cell r="F10">
            <v>7.5570209464701312</v>
          </cell>
          <cell r="G10">
            <v>95000</v>
          </cell>
          <cell r="H10">
            <v>93186.179183715387</v>
          </cell>
        </row>
        <row r="11">
          <cell r="E11">
            <v>0</v>
          </cell>
          <cell r="F11">
            <v>0</v>
          </cell>
        </row>
        <row r="12">
          <cell r="E12">
            <v>89.5</v>
          </cell>
          <cell r="F12">
            <v>68.329829325058185</v>
          </cell>
          <cell r="G12">
            <v>64899.999999999993</v>
          </cell>
          <cell r="H12">
            <v>64897.258499265379</v>
          </cell>
        </row>
        <row r="13">
          <cell r="E13">
            <v>20.100000000000001</v>
          </cell>
          <cell r="F13">
            <v>19.776074476338245</v>
          </cell>
          <cell r="G13">
            <v>37500</v>
          </cell>
          <cell r="H13">
            <v>39912.010523229386</v>
          </cell>
        </row>
        <row r="14">
          <cell r="E14">
            <v>0</v>
          </cell>
          <cell r="F14">
            <v>0</v>
          </cell>
        </row>
        <row r="15">
          <cell r="E15">
            <v>337.1</v>
          </cell>
          <cell r="F15">
            <v>348.52672060290371</v>
          </cell>
        </row>
        <row r="16">
          <cell r="E16">
            <v>785</v>
          </cell>
          <cell r="F16">
            <v>802.19383796963302</v>
          </cell>
          <cell r="G16">
            <v>13666.666666666666</v>
          </cell>
          <cell r="H16">
            <v>14152.953326070936</v>
          </cell>
        </row>
        <row r="17">
          <cell r="E17">
            <v>935</v>
          </cell>
          <cell r="F17">
            <v>917.82334035243275</v>
          </cell>
          <cell r="G17">
            <v>14837.329653268933</v>
          </cell>
          <cell r="H17">
            <v>15229.721838503076</v>
          </cell>
        </row>
        <row r="19">
          <cell r="E19">
            <v>2.84</v>
          </cell>
          <cell r="F19">
            <v>2.8996453507702529</v>
          </cell>
        </row>
        <row r="20">
          <cell r="Q20">
            <v>56404.536559139786</v>
          </cell>
          <cell r="R20">
            <v>58684.488196830323</v>
          </cell>
        </row>
        <row r="21">
          <cell r="Q21">
            <v>13161.557351497297</v>
          </cell>
          <cell r="R21">
            <v>13433.346780449961</v>
          </cell>
        </row>
        <row r="22">
          <cell r="Q22">
            <v>64.285714285714278</v>
          </cell>
          <cell r="R22">
            <v>52.284606006871329</v>
          </cell>
        </row>
        <row r="50">
          <cell r="Q50">
            <v>77266.125754075489</v>
          </cell>
          <cell r="R50">
            <v>78897.720270420046</v>
          </cell>
        </row>
        <row r="56">
          <cell r="L56">
            <v>-14721.869650976871</v>
          </cell>
        </row>
        <row r="80">
          <cell r="H80">
            <v>9912.1500000000015</v>
          </cell>
          <cell r="I80">
            <v>11757.76</v>
          </cell>
          <cell r="L80">
            <v>-1845.6099999999992</v>
          </cell>
        </row>
        <row r="85">
          <cell r="H85">
            <v>10301.92511111111</v>
          </cell>
          <cell r="I85">
            <v>10791.27967</v>
          </cell>
          <cell r="L85">
            <v>-489.3545588888901</v>
          </cell>
          <cell r="Q85">
            <v>108781.74385714284</v>
          </cell>
          <cell r="R85">
            <v>111159.09896930068</v>
          </cell>
        </row>
        <row r="86">
          <cell r="H86">
            <v>200395.2516103604</v>
          </cell>
          <cell r="I86">
            <v>268545.38799999998</v>
          </cell>
          <cell r="K86">
            <v>21450.875177000275</v>
          </cell>
          <cell r="M86">
            <v>63756.095422505226</v>
          </cell>
        </row>
        <row r="89">
          <cell r="Q89">
            <v>69630.379624922789</v>
          </cell>
          <cell r="R89">
            <v>72170.11958328716</v>
          </cell>
        </row>
      </sheetData>
      <sheetData sheetId="19">
        <row r="2">
          <cell r="O2">
            <v>9669.5</v>
          </cell>
        </row>
        <row r="5">
          <cell r="T5">
            <v>13000</v>
          </cell>
          <cell r="U5">
            <v>9669.5</v>
          </cell>
        </row>
        <row r="9">
          <cell r="E9">
            <v>239.91</v>
          </cell>
          <cell r="F9">
            <v>246.51751486633236</v>
          </cell>
          <cell r="G9">
            <v>100000</v>
          </cell>
          <cell r="H9">
            <v>99909.99794433116</v>
          </cell>
        </row>
        <row r="10">
          <cell r="E10">
            <v>12.120000000000001</v>
          </cell>
          <cell r="F10">
            <v>22.941831532137126</v>
          </cell>
          <cell r="G10">
            <v>93100</v>
          </cell>
          <cell r="H10">
            <v>97401.161686802574</v>
          </cell>
        </row>
        <row r="11">
          <cell r="E11">
            <v>0</v>
          </cell>
          <cell r="F11">
            <v>0</v>
          </cell>
        </row>
        <row r="12">
          <cell r="E12">
            <v>59.86999999999999</v>
          </cell>
          <cell r="F12">
            <v>54.300846993122697</v>
          </cell>
          <cell r="G12">
            <v>65000</v>
          </cell>
          <cell r="H12">
            <v>64999.989334593694</v>
          </cell>
        </row>
        <row r="13">
          <cell r="E13">
            <v>28.720000000000002</v>
          </cell>
          <cell r="F13">
            <v>12.337255287243401</v>
          </cell>
          <cell r="G13">
            <v>35999.999999999993</v>
          </cell>
          <cell r="H13">
            <v>36000.065048779448</v>
          </cell>
        </row>
        <row r="14">
          <cell r="E14">
            <v>0</v>
          </cell>
          <cell r="F14">
            <v>0</v>
          </cell>
        </row>
        <row r="15">
          <cell r="E15">
            <v>340.62</v>
          </cell>
          <cell r="F15">
            <v>336.09744867883563</v>
          </cell>
        </row>
        <row r="16">
          <cell r="E16">
            <v>763.95</v>
          </cell>
          <cell r="F16">
            <v>710.70272506334345</v>
          </cell>
          <cell r="G16">
            <v>12533.333333333334</v>
          </cell>
          <cell r="H16">
            <v>12951.962852910448</v>
          </cell>
        </row>
        <row r="17">
          <cell r="E17">
            <v>980.34999999999991</v>
          </cell>
          <cell r="F17">
            <v>1028.3106675629556</v>
          </cell>
          <cell r="G17">
            <v>14400.125536877509</v>
          </cell>
          <cell r="H17">
            <v>15114.955170593115</v>
          </cell>
        </row>
        <row r="19">
          <cell r="E19">
            <v>2.88</v>
          </cell>
          <cell r="F19">
            <v>2.7173483634107245</v>
          </cell>
        </row>
        <row r="20">
          <cell r="Q20">
            <v>55781.645070077866</v>
          </cell>
          <cell r="R20">
            <v>57842.732509436886</v>
          </cell>
        </row>
        <row r="21">
          <cell r="Q21">
            <v>17127.598606286188</v>
          </cell>
          <cell r="R21">
            <v>16454.346863850253</v>
          </cell>
        </row>
        <row r="22">
          <cell r="Q22">
            <v>230.76923076923077</v>
          </cell>
          <cell r="R22">
            <v>208.04933036868502</v>
          </cell>
        </row>
        <row r="50">
          <cell r="Q50">
            <v>80243.900893096419</v>
          </cell>
          <cell r="R50">
            <v>84115.648482341378</v>
          </cell>
        </row>
        <row r="56">
          <cell r="L56">
            <v>-37437.849994204073</v>
          </cell>
        </row>
        <row r="80">
          <cell r="H80">
            <v>24542.47</v>
          </cell>
          <cell r="I80">
            <v>35398.331000000006</v>
          </cell>
          <cell r="L80">
            <v>-10855.861000000001</v>
          </cell>
        </row>
        <row r="85">
          <cell r="H85">
            <v>23608.662666666667</v>
          </cell>
          <cell r="I85">
            <v>21109.477320000002</v>
          </cell>
          <cell r="L85">
            <v>2499.1853466666671</v>
          </cell>
          <cell r="Q85">
            <v>101544.67384615388</v>
          </cell>
          <cell r="R85">
            <v>95264.477480738409</v>
          </cell>
        </row>
        <row r="86">
          <cell r="H86">
            <v>228758.91572308014</v>
          </cell>
          <cell r="I86">
            <v>51295.807000000088</v>
          </cell>
          <cell r="K86">
            <v>-60726.35875538487</v>
          </cell>
          <cell r="M86">
            <v>-70942.224320157897</v>
          </cell>
        </row>
        <row r="89">
          <cell r="Q89">
            <v>73140.012907133292</v>
          </cell>
          <cell r="R89">
            <v>74505.128703655821</v>
          </cell>
        </row>
      </sheetData>
      <sheetData sheetId="20">
        <row r="2">
          <cell r="O2">
            <v>3047</v>
          </cell>
        </row>
        <row r="5">
          <cell r="T5">
            <v>7000</v>
          </cell>
          <cell r="U5">
            <v>3047</v>
          </cell>
        </row>
        <row r="9">
          <cell r="E9">
            <v>344.5</v>
          </cell>
          <cell r="F9">
            <v>198.31223196881089</v>
          </cell>
          <cell r="G9">
            <v>117000</v>
          </cell>
          <cell r="H9">
            <v>117000.00679876423</v>
          </cell>
        </row>
        <row r="10">
          <cell r="E10">
            <v>0</v>
          </cell>
          <cell r="F10">
            <v>146.34146198830408</v>
          </cell>
          <cell r="G10">
            <v>0</v>
          </cell>
          <cell r="H10">
            <v>116999.99702512451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344.5</v>
          </cell>
          <cell r="F15">
            <v>344.65369395711497</v>
          </cell>
        </row>
        <row r="16">
          <cell r="E16">
            <v>714.80000000000007</v>
          </cell>
          <cell r="F16">
            <v>661.51559454191045</v>
          </cell>
          <cell r="G16">
            <v>18143.333333333336</v>
          </cell>
          <cell r="H16">
            <v>17646.276664972283</v>
          </cell>
        </row>
        <row r="17">
          <cell r="E17">
            <v>1034.2</v>
          </cell>
          <cell r="F17">
            <v>1031.551332033788</v>
          </cell>
          <cell r="G17">
            <v>18359.608288631152</v>
          </cell>
          <cell r="H17">
            <v>18529.524757371</v>
          </cell>
        </row>
        <row r="19">
          <cell r="E19">
            <v>3.06</v>
          </cell>
          <cell r="F19">
            <v>3.4294639376218328</v>
          </cell>
        </row>
        <row r="20">
          <cell r="Q20">
            <v>74586.861558769</v>
          </cell>
          <cell r="R20">
            <v>73924.96816114361</v>
          </cell>
        </row>
        <row r="21">
          <cell r="Q21">
            <v>16626.410256410258</v>
          </cell>
          <cell r="R21">
            <v>16894.829109811566</v>
          </cell>
        </row>
        <row r="22">
          <cell r="Q22">
            <v>0</v>
          </cell>
          <cell r="R22">
            <v>313.31481481481484</v>
          </cell>
        </row>
        <row r="50">
          <cell r="Q50">
            <v>100165.1052437507</v>
          </cell>
          <cell r="R50">
            <v>109877.25568551008</v>
          </cell>
        </row>
        <row r="56">
          <cell r="L56">
            <v>-30017.222012291637</v>
          </cell>
        </row>
        <row r="80">
          <cell r="H80">
            <v>14799.39</v>
          </cell>
          <cell r="I80">
            <v>14216.352999999999</v>
          </cell>
          <cell r="L80">
            <v>583.03700000000094</v>
          </cell>
        </row>
        <row r="85">
          <cell r="H85">
            <v>10192.983842236315</v>
          </cell>
          <cell r="I85">
            <v>12183.347310000001</v>
          </cell>
          <cell r="L85">
            <v>-1990.3634677636858</v>
          </cell>
          <cell r="Q85">
            <v>126800</v>
          </cell>
          <cell r="R85">
            <v>120254.04266491633</v>
          </cell>
        </row>
        <row r="86">
          <cell r="H86">
            <v>161451.88945150891</v>
          </cell>
          <cell r="I86">
            <v>4794.0700000000506</v>
          </cell>
          <cell r="K86">
            <v>-19945.531999999952</v>
          </cell>
          <cell r="M86">
            <v>-105287.73897145357</v>
          </cell>
        </row>
        <row r="89">
          <cell r="Q89">
            <v>91213.271815179265</v>
          </cell>
          <cell r="R89">
            <v>91133.112085769986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97761.738206654467</v>
          </cell>
        </row>
        <row r="89">
          <cell r="Q89">
            <v>72669.740908628984</v>
          </cell>
        </row>
        <row r="90">
          <cell r="Q90">
            <v>25091.997298025482</v>
          </cell>
        </row>
      </sheetData>
      <sheetData sheetId="1">
        <row r="5">
          <cell r="T5">
            <v>136035</v>
          </cell>
        </row>
        <row r="85">
          <cell r="Q85">
            <v>96457.329512639408</v>
          </cell>
        </row>
        <row r="89">
          <cell r="Q89">
            <v>75526.78758067431</v>
          </cell>
        </row>
        <row r="90">
          <cell r="Q90">
            <v>20930.541931965097</v>
          </cell>
        </row>
      </sheetData>
      <sheetData sheetId="2">
        <row r="5">
          <cell r="T5">
            <v>149645.5</v>
          </cell>
        </row>
        <row r="85">
          <cell r="Q85">
            <v>97820.439303297506</v>
          </cell>
        </row>
        <row r="89">
          <cell r="Q89">
            <v>70291.213915186745</v>
          </cell>
        </row>
        <row r="90">
          <cell r="Q90">
            <v>27529.225388110761</v>
          </cell>
        </row>
      </sheetData>
      <sheetData sheetId="3">
        <row r="5">
          <cell r="T5">
            <v>64833.5</v>
          </cell>
        </row>
        <row r="85">
          <cell r="Q85">
            <v>100356.66923977152</v>
          </cell>
        </row>
        <row r="89">
          <cell r="Q89">
            <v>72173.8012413697</v>
          </cell>
        </row>
        <row r="90">
          <cell r="Q90">
            <v>28182.867998401824</v>
          </cell>
        </row>
      </sheetData>
      <sheetData sheetId="4">
        <row r="85">
          <cell r="Q85">
            <v>95250.157253512909</v>
          </cell>
        </row>
        <row r="89">
          <cell r="Q89">
            <v>72593.908270091444</v>
          </cell>
        </row>
      </sheetData>
      <sheetData sheetId="5">
        <row r="85">
          <cell r="Q85">
            <v>99633.280111280823</v>
          </cell>
        </row>
        <row r="89">
          <cell r="Q89">
            <v>76946.22916133207</v>
          </cell>
        </row>
      </sheetData>
      <sheetData sheetId="6">
        <row r="85">
          <cell r="Q85">
            <v>96050.412902543874</v>
          </cell>
        </row>
        <row r="89">
          <cell r="Q89">
            <v>81480.788598407438</v>
          </cell>
        </row>
      </sheetData>
      <sheetData sheetId="7">
        <row r="85">
          <cell r="Q85">
            <v>94155.868087619456</v>
          </cell>
        </row>
        <row r="89">
          <cell r="Q89">
            <v>71718.789004617211</v>
          </cell>
        </row>
      </sheetData>
      <sheetData sheetId="8">
        <row r="85">
          <cell r="Q85">
            <v>106083.77788662777</v>
          </cell>
        </row>
        <row r="89">
          <cell r="Q89">
            <v>75899.938696637197</v>
          </cell>
        </row>
      </sheetData>
      <sheetData sheetId="9">
        <row r="85">
          <cell r="Q85">
            <v>98537.211535042487</v>
          </cell>
        </row>
        <row r="89">
          <cell r="Q89">
            <v>68098.831419123147</v>
          </cell>
        </row>
      </sheetData>
      <sheetData sheetId="10">
        <row r="85">
          <cell r="Q85">
            <v>96671.523828201622</v>
          </cell>
        </row>
        <row r="89">
          <cell r="Q89">
            <v>73341.192063803363</v>
          </cell>
        </row>
      </sheetData>
      <sheetData sheetId="11">
        <row r="85">
          <cell r="Q85">
            <v>98863.846048235777</v>
          </cell>
        </row>
        <row r="89">
          <cell r="Q89">
            <v>72569.956020319441</v>
          </cell>
        </row>
      </sheetData>
      <sheetData sheetId="12">
        <row r="85">
          <cell r="Q85">
            <v>93879.265836814724</v>
          </cell>
        </row>
        <row r="89">
          <cell r="Q89">
            <v>68763.004689231806</v>
          </cell>
        </row>
      </sheetData>
      <sheetData sheetId="13">
        <row r="85">
          <cell r="Q85">
            <v>96200.40973843442</v>
          </cell>
        </row>
        <row r="89">
          <cell r="Q89">
            <v>66786.156904660107</v>
          </cell>
        </row>
      </sheetData>
      <sheetData sheetId="14">
        <row r="85">
          <cell r="Q85">
            <v>93018.593248179663</v>
          </cell>
        </row>
        <row r="89">
          <cell r="Q89">
            <v>65323.493392826502</v>
          </cell>
        </row>
      </sheetData>
      <sheetData sheetId="15">
        <row r="85">
          <cell r="Q85">
            <v>93892.309535218024</v>
          </cell>
        </row>
        <row r="89">
          <cell r="Q89">
            <v>74121.299832295161</v>
          </cell>
        </row>
      </sheetData>
      <sheetData sheetId="16">
        <row r="85">
          <cell r="Q85">
            <v>95493.306995119681</v>
          </cell>
        </row>
        <row r="89">
          <cell r="Q89">
            <v>73816.088308499006</v>
          </cell>
        </row>
      </sheetData>
      <sheetData sheetId="17">
        <row r="85">
          <cell r="Q85">
            <v>102998.98732592708</v>
          </cell>
        </row>
        <row r="89">
          <cell r="Q89">
            <v>70663.78798310124</v>
          </cell>
        </row>
      </sheetData>
      <sheetData sheetId="18">
        <row r="85">
          <cell r="Q85">
            <v>105101.35476705442</v>
          </cell>
        </row>
        <row r="89">
          <cell r="Q89">
            <v>67141.823347167825</v>
          </cell>
        </row>
      </sheetData>
      <sheetData sheetId="19">
        <row r="85">
          <cell r="Q85">
            <v>97324.306041239615</v>
          </cell>
        </row>
        <row r="89">
          <cell r="Q89">
            <v>66110.730575987778</v>
          </cell>
        </row>
      </sheetData>
      <sheetData sheetId="20">
        <row r="85">
          <cell r="Q85">
            <v>118440.38096596989</v>
          </cell>
        </row>
        <row r="89">
          <cell r="Q89">
            <v>83392.47128486837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G3">
            <v>8665.0679999999993</v>
          </cell>
          <cell r="H3">
            <v>8574.9830000000002</v>
          </cell>
          <cell r="I3">
            <v>9787.4410000000007</v>
          </cell>
          <cell r="J3">
            <v>7982.0609999999997</v>
          </cell>
          <cell r="K3">
            <v>12986.909999999998</v>
          </cell>
          <cell r="L3">
            <v>9545.7580000000016</v>
          </cell>
          <cell r="M3">
            <v>7354.6280000000006</v>
          </cell>
          <cell r="N3">
            <v>8972.0079999999998</v>
          </cell>
          <cell r="O3">
            <v>8972.0079999999998</v>
          </cell>
          <cell r="P3"/>
          <cell r="Q3">
            <v>97161.153999999995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/>
          <cell r="Q4">
            <v>0</v>
          </cell>
        </row>
        <row r="5">
          <cell r="E5">
            <v>6425.0929999999998</v>
          </cell>
          <cell r="F5">
            <v>6645.402</v>
          </cell>
          <cell r="G5">
            <v>8665.0679999999993</v>
          </cell>
          <cell r="H5">
            <v>8574.9830000000002</v>
          </cell>
          <cell r="I5">
            <v>9787.4410000000007</v>
          </cell>
          <cell r="J5">
            <v>7982.0609999999997</v>
          </cell>
          <cell r="K5">
            <v>12986.909999999998</v>
          </cell>
          <cell r="L5">
            <v>9545.7580000000016</v>
          </cell>
          <cell r="M5">
            <v>7354.6280000000006</v>
          </cell>
          <cell r="N5">
            <v>8972.0079999999998</v>
          </cell>
          <cell r="O5">
            <v>8972.0079999999998</v>
          </cell>
          <cell r="P5"/>
          <cell r="Q5">
            <v>97161.153999999995</v>
          </cell>
        </row>
        <row r="6">
          <cell r="E6">
            <v>5915781.3609999996</v>
          </cell>
          <cell r="F6">
            <v>5888695.9620000003</v>
          </cell>
          <cell r="G6">
            <v>7569201.3870000001</v>
          </cell>
          <cell r="H6">
            <v>7314828.4340000004</v>
          </cell>
          <cell r="I6">
            <v>7941424.9759999998</v>
          </cell>
          <cell r="J6">
            <v>6266498.0020000003</v>
          </cell>
          <cell r="K6">
            <v>9753808.4920000006</v>
          </cell>
          <cell r="L6">
            <v>8075849.9460000005</v>
          </cell>
          <cell r="M6">
            <v>6468928.017</v>
          </cell>
          <cell r="N6">
            <v>7347594.3459999999</v>
          </cell>
          <cell r="O6">
            <v>7347594.3459999999</v>
          </cell>
          <cell r="P6"/>
          <cell r="Q6">
            <v>80707824.094000012</v>
          </cell>
        </row>
        <row r="7">
          <cell r="E7">
            <v>1492175.8060000008</v>
          </cell>
          <cell r="F7">
            <v>876962.01299999934</v>
          </cell>
          <cell r="G7">
            <v>1190716.3990000002</v>
          </cell>
          <cell r="H7">
            <v>1507211.0580000002</v>
          </cell>
          <cell r="I7">
            <v>1833395.909</v>
          </cell>
          <cell r="J7">
            <v>1606846.7759999996</v>
          </cell>
          <cell r="K7">
            <v>1560840.1609999985</v>
          </cell>
          <cell r="L7">
            <v>1417328.5140000004</v>
          </cell>
          <cell r="M7">
            <v>1251897.8439999996</v>
          </cell>
          <cell r="N7">
            <v>1331090.9230000013</v>
          </cell>
          <cell r="O7">
            <v>1331090.9230000013</v>
          </cell>
          <cell r="P7"/>
          <cell r="Q7">
            <v>15846121.252999997</v>
          </cell>
        </row>
        <row r="8">
          <cell r="E8">
            <v>7407957.1670000004</v>
          </cell>
          <cell r="F8">
            <v>6765657.9749999996</v>
          </cell>
          <cell r="G8">
            <v>8759917.7860000003</v>
          </cell>
          <cell r="H8">
            <v>8822039.4920000006</v>
          </cell>
          <cell r="I8">
            <v>9774820.8849999998</v>
          </cell>
          <cell r="J8">
            <v>7873344.7779999999</v>
          </cell>
          <cell r="K8">
            <v>11314648.652999999</v>
          </cell>
          <cell r="L8">
            <v>9493178.4600000009</v>
          </cell>
          <cell r="M8">
            <v>7720825.8609999996</v>
          </cell>
          <cell r="N8">
            <v>8678685.2690000013</v>
          </cell>
          <cell r="O8">
            <v>8678685.2690000013</v>
          </cell>
          <cell r="P8"/>
          <cell r="Q8">
            <v>96553945.347000003</v>
          </cell>
        </row>
        <row r="9">
          <cell r="E9">
            <v>5751185.5190000003</v>
          </cell>
          <cell r="F9">
            <v>5728934.7309999997</v>
          </cell>
          <cell r="G9">
            <v>7426923.1069999998</v>
          </cell>
          <cell r="H9">
            <v>7182086.8200000003</v>
          </cell>
          <cell r="I9">
            <v>7737494.4589999998</v>
          </cell>
          <cell r="J9">
            <v>6034261.7359999996</v>
          </cell>
          <cell r="K9">
            <v>9672982.2740000002</v>
          </cell>
          <cell r="L9">
            <v>7922980.0959999999</v>
          </cell>
          <cell r="M9">
            <v>6357038.1430000002</v>
          </cell>
          <cell r="N9">
            <v>7174616.267</v>
          </cell>
          <cell r="O9">
            <v>7174616.267</v>
          </cell>
          <cell r="P9"/>
          <cell r="Q9">
            <v>78959982.625</v>
          </cell>
        </row>
        <row r="10">
          <cell r="E10">
            <v>1459339.4409999996</v>
          </cell>
          <cell r="F10">
            <v>863642.56600000057</v>
          </cell>
          <cell r="G10">
            <v>1169699.1210000003</v>
          </cell>
          <cell r="H10">
            <v>1476998.9679999985</v>
          </cell>
          <cell r="I10">
            <v>1782403.8720000004</v>
          </cell>
          <cell r="J10">
            <v>1558085.8430000003</v>
          </cell>
          <cell r="K10">
            <v>1520030.682</v>
          </cell>
          <cell r="L10">
            <v>1369739.6770000001</v>
          </cell>
          <cell r="M10">
            <v>1218157.1009999998</v>
          </cell>
          <cell r="N10">
            <v>1293553.2259999989</v>
          </cell>
          <cell r="O10">
            <v>1293553.2259999989</v>
          </cell>
          <cell r="P10"/>
          <cell r="Q10">
            <v>15432946.505000003</v>
          </cell>
        </row>
        <row r="11">
          <cell r="E11">
            <v>7210524.96</v>
          </cell>
          <cell r="F11">
            <v>6592577.2970000003</v>
          </cell>
          <cell r="G11">
            <v>8596622.2280000001</v>
          </cell>
          <cell r="H11">
            <v>8659085.7879999988</v>
          </cell>
          <cell r="I11">
            <v>9519898.3310000002</v>
          </cell>
          <cell r="J11">
            <v>7592347.5789999999</v>
          </cell>
          <cell r="K11">
            <v>11193012.956</v>
          </cell>
          <cell r="L11">
            <v>9292719.773</v>
          </cell>
          <cell r="M11">
            <v>7575195.2439999999</v>
          </cell>
          <cell r="N11">
            <v>8468169.4929999989</v>
          </cell>
          <cell r="O11">
            <v>8468169.4929999989</v>
          </cell>
          <cell r="P11"/>
          <cell r="Q11">
            <v>94392929.129999995</v>
          </cell>
          <cell r="S11"/>
        </row>
        <row r="12">
          <cell r="E12">
            <v>164595.84199999925</v>
          </cell>
          <cell r="F12">
            <v>159761.23100000061</v>
          </cell>
          <cell r="G12">
            <v>142278.28000000026</v>
          </cell>
          <cell r="H12">
            <v>132741.61400000006</v>
          </cell>
          <cell r="I12">
            <v>203930.51699999999</v>
          </cell>
          <cell r="J12">
            <v>232236.26600000076</v>
          </cell>
          <cell r="K12">
            <v>80826.218000000343</v>
          </cell>
          <cell r="L12">
            <v>152869.85000000056</v>
          </cell>
          <cell r="M12">
            <v>111889.87399999984</v>
          </cell>
          <cell r="N12">
            <v>172978.07899999991</v>
          </cell>
          <cell r="O12">
            <v>172978.07899999991</v>
          </cell>
          <cell r="P12"/>
          <cell r="Q12">
            <v>1747841.4690000117</v>
          </cell>
        </row>
        <row r="13">
          <cell r="E13">
            <v>32836.365000001155</v>
          </cell>
          <cell r="F13">
            <v>13319.446999998763</v>
          </cell>
          <cell r="G13">
            <v>21017.277999999933</v>
          </cell>
          <cell r="H13">
            <v>30212.090000001714</v>
          </cell>
          <cell r="I13">
            <v>50992.036999999546</v>
          </cell>
          <cell r="J13">
            <v>48760.932999999262</v>
          </cell>
          <cell r="K13">
            <v>40809.47899999842</v>
          </cell>
          <cell r="L13">
            <v>47588.837000000291</v>
          </cell>
          <cell r="M13">
            <v>33740.742999999784</v>
          </cell>
          <cell r="N13">
            <v>37537.697000002488</v>
          </cell>
          <cell r="O13">
            <v>37537.697000002488</v>
          </cell>
          <cell r="P13"/>
          <cell r="Q13">
            <v>413174.74799999408</v>
          </cell>
        </row>
        <row r="14">
          <cell r="E14">
            <v>197432.2070000004</v>
          </cell>
          <cell r="F14">
            <v>173080.67799999937</v>
          </cell>
          <cell r="G14">
            <v>163295.55800000019</v>
          </cell>
          <cell r="H14">
            <v>162953.70400000177</v>
          </cell>
          <cell r="I14">
            <v>254922.55399999954</v>
          </cell>
          <cell r="J14">
            <v>280997.19900000002</v>
          </cell>
          <cell r="K14">
            <v>121635.69699999876</v>
          </cell>
          <cell r="L14">
            <v>200458.68700000085</v>
          </cell>
          <cell r="M14">
            <v>145630.61699999962</v>
          </cell>
          <cell r="N14">
            <v>210515.7760000024</v>
          </cell>
          <cell r="O14">
            <v>210515.7760000024</v>
          </cell>
          <cell r="P14"/>
          <cell r="Q14">
            <v>2161016.2170000076</v>
          </cell>
        </row>
        <row r="15">
          <cell r="E15">
            <v>66207.56</v>
          </cell>
          <cell r="F15">
            <v>66285.86</v>
          </cell>
          <cell r="G15">
            <v>65749.929999999993</v>
          </cell>
          <cell r="H15">
            <v>67760.67</v>
          </cell>
          <cell r="I15">
            <v>67398.19</v>
          </cell>
          <cell r="J15">
            <v>68315.210000000006</v>
          </cell>
          <cell r="K15">
            <v>66812.929999999993</v>
          </cell>
          <cell r="L15">
            <v>62651.65</v>
          </cell>
          <cell r="M15">
            <v>77308.009999999995</v>
          </cell>
          <cell r="N15">
            <v>73134.44</v>
          </cell>
          <cell r="O15">
            <v>73134.44</v>
          </cell>
          <cell r="P15"/>
          <cell r="Q15">
            <v>748920.24</v>
          </cell>
          <cell r="S15"/>
        </row>
        <row r="16">
          <cell r="E16">
            <v>14873.76</v>
          </cell>
          <cell r="F16">
            <v>14873.76</v>
          </cell>
          <cell r="G16">
            <v>14860.963</v>
          </cell>
          <cell r="H16">
            <v>15208.86</v>
          </cell>
          <cell r="I16">
            <v>15041.31</v>
          </cell>
          <cell r="J16">
            <v>15956.352999999999</v>
          </cell>
          <cell r="K16">
            <v>14780.06</v>
          </cell>
          <cell r="L16">
            <v>14150</v>
          </cell>
          <cell r="M16">
            <v>22703.37</v>
          </cell>
          <cell r="N16">
            <v>14497.14</v>
          </cell>
          <cell r="O16">
            <v>14497.14</v>
          </cell>
          <cell r="P16"/>
          <cell r="Q16">
            <v>166674.136</v>
          </cell>
          <cell r="S16"/>
        </row>
        <row r="17">
          <cell r="E17">
            <v>7310.9949999999999</v>
          </cell>
          <cell r="F17">
            <v>7310.9949999999999</v>
          </cell>
          <cell r="G17">
            <v>7310.9949999999999</v>
          </cell>
          <cell r="H17">
            <v>7310.9949999999999</v>
          </cell>
          <cell r="I17">
            <v>7310.9949999999999</v>
          </cell>
          <cell r="J17">
            <v>7310.9949999999999</v>
          </cell>
          <cell r="K17">
            <v>7415.38</v>
          </cell>
          <cell r="L17">
            <v>6838.2650000000003</v>
          </cell>
          <cell r="M17">
            <v>6838.2650000000003</v>
          </cell>
          <cell r="N17">
            <v>6838.2650000000003</v>
          </cell>
          <cell r="O17">
            <v>6838.2650000000003</v>
          </cell>
          <cell r="P17"/>
          <cell r="Q17">
            <v>78634.41</v>
          </cell>
          <cell r="S17"/>
        </row>
        <row r="18">
          <cell r="E18">
            <v>88392.314999999988</v>
          </cell>
          <cell r="F18">
            <v>88470.614999999991</v>
          </cell>
          <cell r="G18">
            <v>87921.887999999992</v>
          </cell>
          <cell r="H18">
            <v>90280.524999999994</v>
          </cell>
          <cell r="I18">
            <v>89750.494999999995</v>
          </cell>
          <cell r="J18">
            <v>91582.558000000005</v>
          </cell>
          <cell r="K18">
            <v>89008.37</v>
          </cell>
          <cell r="L18">
            <v>83639.914999999994</v>
          </cell>
          <cell r="M18">
            <v>106849.64499999999</v>
          </cell>
          <cell r="N18">
            <v>94469.845000000001</v>
          </cell>
          <cell r="O18">
            <v>94469.845000000001</v>
          </cell>
          <cell r="P18"/>
          <cell r="Q18">
            <v>994228.78599999996</v>
          </cell>
          <cell r="S18"/>
        </row>
        <row r="19">
          <cell r="E19">
            <v>10121.891</v>
          </cell>
          <cell r="F19">
            <v>9805.2829999999994</v>
          </cell>
          <cell r="G19">
            <v>17707.691999999999</v>
          </cell>
          <cell r="H19">
            <v>11119.776</v>
          </cell>
          <cell r="I19">
            <v>11156.752</v>
          </cell>
          <cell r="J19">
            <v>13198.425999999999</v>
          </cell>
          <cell r="K19">
            <v>11393.108</v>
          </cell>
          <cell r="L19">
            <v>9677.1869999999999</v>
          </cell>
          <cell r="M19">
            <v>21372.597000000002</v>
          </cell>
          <cell r="N19">
            <v>9967.1309999999994</v>
          </cell>
          <cell r="O19">
            <v>9967.1309999999994</v>
          </cell>
          <cell r="P19"/>
          <cell r="Q19">
            <v>135347.11499999999</v>
          </cell>
          <cell r="S19"/>
        </row>
        <row r="20">
          <cell r="E20">
            <v>1311.06</v>
          </cell>
          <cell r="F20">
            <v>1355.9369999999999</v>
          </cell>
          <cell r="G20">
            <v>1375.4739999999999</v>
          </cell>
          <cell r="H20">
            <v>1243.2840000000001</v>
          </cell>
          <cell r="I20">
            <v>2969.5909999999999</v>
          </cell>
          <cell r="J20">
            <v>2547.7719999999999</v>
          </cell>
          <cell r="K20">
            <v>2306.7460000000001</v>
          </cell>
          <cell r="L20">
            <v>1941.2639999999999</v>
          </cell>
          <cell r="M20">
            <v>1798.2249999999999</v>
          </cell>
          <cell r="N20">
            <v>3033.0569999999998</v>
          </cell>
          <cell r="O20">
            <v>3033.0569999999998</v>
          </cell>
          <cell r="P20"/>
          <cell r="Q20">
            <v>22409.734999999997</v>
          </cell>
          <cell r="S20"/>
        </row>
        <row r="21">
          <cell r="E21">
            <v>2954.1509999999998</v>
          </cell>
          <cell r="F21">
            <v>2198.643</v>
          </cell>
          <cell r="G21">
            <v>2313.0590000000002</v>
          </cell>
          <cell r="H21">
            <v>9080.5509999999995</v>
          </cell>
          <cell r="I21">
            <v>3170.076</v>
          </cell>
          <cell r="J21">
            <v>2624.902</v>
          </cell>
          <cell r="K21">
            <v>2077.42</v>
          </cell>
          <cell r="L21">
            <v>1457.1</v>
          </cell>
          <cell r="M21">
            <v>2705.88</v>
          </cell>
          <cell r="N21">
            <v>2355.4499999999998</v>
          </cell>
          <cell r="O21">
            <v>2355.4499999999998</v>
          </cell>
          <cell r="P21"/>
          <cell r="Q21">
            <v>33457.631999999998</v>
          </cell>
          <cell r="S21"/>
        </row>
        <row r="22">
          <cell r="E22">
            <v>800</v>
          </cell>
          <cell r="F22">
            <v>450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50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/>
          <cell r="Q22">
            <v>1300</v>
          </cell>
          <cell r="S22"/>
        </row>
        <row r="23">
          <cell r="E23">
            <v>1555.0309999999999</v>
          </cell>
          <cell r="F23">
            <v>1525.067</v>
          </cell>
          <cell r="G23">
            <v>1632.8409999999999</v>
          </cell>
          <cell r="H23">
            <v>1763.1579999999999</v>
          </cell>
          <cell r="I23">
            <v>1704.309</v>
          </cell>
          <cell r="J23">
            <v>1633.1469999999999</v>
          </cell>
          <cell r="K23">
            <v>1480.127</v>
          </cell>
          <cell r="L23">
            <v>1614.203</v>
          </cell>
          <cell r="M23">
            <v>1493.895</v>
          </cell>
          <cell r="N23">
            <v>1516.5070000000001</v>
          </cell>
          <cell r="O23">
            <v>1516.5070000000001</v>
          </cell>
          <cell r="P23"/>
          <cell r="Q23">
            <v>17422.224999999999</v>
          </cell>
          <cell r="S23"/>
        </row>
        <row r="24">
          <cell r="E24">
            <v>289.08999999999997</v>
          </cell>
          <cell r="F24">
            <v>255.51</v>
          </cell>
          <cell r="G24">
            <v>165.68</v>
          </cell>
          <cell r="H24">
            <v>362.03</v>
          </cell>
          <cell r="I24">
            <v>547.33000000000004</v>
          </cell>
          <cell r="J24">
            <v>423.26499999999999</v>
          </cell>
          <cell r="K24">
            <v>760.52200000000005</v>
          </cell>
          <cell r="L24">
            <v>554.88</v>
          </cell>
          <cell r="M24">
            <v>326.77999999999997</v>
          </cell>
          <cell r="N24">
            <v>516.30999999999995</v>
          </cell>
          <cell r="O24">
            <v>516.30999999999995</v>
          </cell>
          <cell r="P24"/>
          <cell r="Q24">
            <v>4735.5269999999991</v>
          </cell>
          <cell r="S24"/>
        </row>
        <row r="25">
          <cell r="E25">
            <v>175.22900000000001</v>
          </cell>
          <cell r="F25">
            <v>286.774</v>
          </cell>
          <cell r="G25">
            <v>182.274</v>
          </cell>
          <cell r="H25">
            <v>391.274</v>
          </cell>
          <cell r="I25">
            <v>338.63900000000001</v>
          </cell>
          <cell r="J25">
            <v>194.54499999999999</v>
          </cell>
          <cell r="K25">
            <v>205.7</v>
          </cell>
          <cell r="L25">
            <v>200.34700000000001</v>
          </cell>
          <cell r="M25">
            <v>282.43700000000001</v>
          </cell>
          <cell r="N25">
            <v>282.43700000000001</v>
          </cell>
          <cell r="O25">
            <v>282.43700000000001</v>
          </cell>
          <cell r="P25"/>
          <cell r="Q25">
            <v>2822.0929999999998</v>
          </cell>
          <cell r="S25"/>
        </row>
        <row r="26">
          <cell r="E26">
            <v>3221.82</v>
          </cell>
          <cell r="F26">
            <v>3221.82</v>
          </cell>
          <cell r="G26">
            <v>3221.82</v>
          </cell>
          <cell r="H26">
            <v>3221.82</v>
          </cell>
          <cell r="I26">
            <v>3221.82</v>
          </cell>
          <cell r="J26">
            <v>3221.82</v>
          </cell>
          <cell r="K26">
            <v>3457.45</v>
          </cell>
          <cell r="L26">
            <v>3226.92</v>
          </cell>
          <cell r="M26">
            <v>3226.92</v>
          </cell>
          <cell r="N26">
            <v>3226.92</v>
          </cell>
          <cell r="O26">
            <v>3226.92</v>
          </cell>
          <cell r="P26"/>
          <cell r="Q26">
            <v>35696.049999999996</v>
          </cell>
          <cell r="S26"/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/>
          <cell r="Q27">
            <v>0</v>
          </cell>
          <cell r="S27"/>
        </row>
        <row r="28">
          <cell r="E28">
            <v>1050.8399999999999</v>
          </cell>
          <cell r="F28">
            <v>138.52000000000001</v>
          </cell>
          <cell r="G28">
            <v>94.89</v>
          </cell>
          <cell r="H28">
            <v>32284.75</v>
          </cell>
          <cell r="I28">
            <v>257.06</v>
          </cell>
          <cell r="J28">
            <v>49.77</v>
          </cell>
          <cell r="K28">
            <v>31660.799999999999</v>
          </cell>
          <cell r="L28">
            <v>242.3</v>
          </cell>
          <cell r="M28">
            <v>0</v>
          </cell>
          <cell r="N28">
            <v>30591.91</v>
          </cell>
          <cell r="O28">
            <v>30591.91</v>
          </cell>
          <cell r="P28"/>
          <cell r="Q28">
            <v>108587.01</v>
          </cell>
          <cell r="S28"/>
        </row>
        <row r="29">
          <cell r="E29">
            <v>62.219000000000001</v>
          </cell>
          <cell r="F29">
            <v>64.25</v>
          </cell>
          <cell r="G29">
            <v>106</v>
          </cell>
          <cell r="H29">
            <v>189.15</v>
          </cell>
          <cell r="I29">
            <v>261.8</v>
          </cell>
          <cell r="J29">
            <v>73.650000000000006</v>
          </cell>
          <cell r="K29">
            <v>147.93</v>
          </cell>
          <cell r="L29">
            <v>168.34</v>
          </cell>
          <cell r="M29">
            <v>25</v>
          </cell>
          <cell r="N29">
            <v>123.74</v>
          </cell>
          <cell r="O29">
            <v>123.74</v>
          </cell>
          <cell r="P29"/>
          <cell r="Q29">
            <v>1504.8789999999999</v>
          </cell>
          <cell r="S29"/>
        </row>
        <row r="30">
          <cell r="E30">
            <v>6297.65</v>
          </cell>
          <cell r="F30">
            <v>5545.7610000000004</v>
          </cell>
          <cell r="G30">
            <v>5779.4780000000001</v>
          </cell>
          <cell r="H30">
            <v>6166.1530000000002</v>
          </cell>
          <cell r="I30">
            <v>5995.0280000000002</v>
          </cell>
          <cell r="J30">
            <v>6034.0290000000005</v>
          </cell>
          <cell r="K30">
            <v>6286.6790000000001</v>
          </cell>
          <cell r="L30">
            <v>6745.6779999999999</v>
          </cell>
          <cell r="M30">
            <v>5998.9290000000001</v>
          </cell>
          <cell r="N30">
            <v>5750.1629999999996</v>
          </cell>
          <cell r="O30">
            <v>5750.1629999999996</v>
          </cell>
          <cell r="P30"/>
          <cell r="Q30">
            <v>66090.227000000014</v>
          </cell>
          <cell r="S30"/>
        </row>
        <row r="31">
          <cell r="E31">
            <v>7875.04</v>
          </cell>
          <cell r="F31">
            <v>12385.5</v>
          </cell>
          <cell r="G31">
            <v>5449.3</v>
          </cell>
          <cell r="H31">
            <v>6952</v>
          </cell>
          <cell r="I31">
            <v>7672.69</v>
          </cell>
          <cell r="J31">
            <v>3665</v>
          </cell>
          <cell r="K31">
            <v>7483.3159999999998</v>
          </cell>
          <cell r="L31">
            <v>5718.53</v>
          </cell>
          <cell r="M31">
            <v>11262.32</v>
          </cell>
          <cell r="N31">
            <v>9509.7000000000007</v>
          </cell>
          <cell r="O31">
            <v>9509.7000000000007</v>
          </cell>
          <cell r="P31"/>
          <cell r="Q31">
            <v>83379.835999999996</v>
          </cell>
          <cell r="S31"/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/>
          <cell r="Q32">
            <v>0</v>
          </cell>
          <cell r="S32"/>
        </row>
        <row r="33">
          <cell r="E33">
            <v>-6631.1459999999997</v>
          </cell>
          <cell r="F33">
            <v>-18.065999999999999</v>
          </cell>
          <cell r="G33">
            <v>139.43100000000001</v>
          </cell>
          <cell r="H33">
            <v>531.52599999999995</v>
          </cell>
          <cell r="I33">
            <v>-41.448</v>
          </cell>
          <cell r="J33">
            <v>28.1</v>
          </cell>
          <cell r="K33">
            <v>-663.24</v>
          </cell>
          <cell r="L33">
            <v>196.892</v>
          </cell>
          <cell r="M33">
            <v>391.423</v>
          </cell>
          <cell r="N33">
            <v>-268.49200000000002</v>
          </cell>
          <cell r="O33">
            <v>-268.49200000000002</v>
          </cell>
          <cell r="P33"/>
          <cell r="Q33">
            <v>-7715.0400000000009</v>
          </cell>
          <cell r="S33"/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/>
          <cell r="Q34">
            <v>0</v>
          </cell>
          <cell r="S34"/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/>
          <cell r="Q35">
            <v>0</v>
          </cell>
          <cell r="S35"/>
        </row>
        <row r="36">
          <cell r="E36">
            <v>29082.875</v>
          </cell>
          <cell r="F36">
            <v>37214.999000000003</v>
          </cell>
          <cell r="G36">
            <v>38167.938999999998</v>
          </cell>
          <cell r="H36">
            <v>73305.471999999994</v>
          </cell>
          <cell r="I36">
            <v>37253.647000000012</v>
          </cell>
          <cell r="J36">
            <v>33694.425999999999</v>
          </cell>
          <cell r="K36">
            <v>66646.558000000005</v>
          </cell>
          <cell r="L36">
            <v>31743.640999999996</v>
          </cell>
          <cell r="M36">
            <v>48884.406000000003</v>
          </cell>
          <cell r="N36">
            <v>66604.833000000013</v>
          </cell>
          <cell r="O36">
            <v>66604.833000000013</v>
          </cell>
          <cell r="P36"/>
          <cell r="Q36">
            <v>505037.28899999999</v>
          </cell>
          <cell r="S36"/>
        </row>
        <row r="37">
          <cell r="E37">
            <v>117475.18999999999</v>
          </cell>
          <cell r="F37">
            <v>125685.614</v>
          </cell>
          <cell r="G37">
            <v>126089.82699999999</v>
          </cell>
          <cell r="H37">
            <v>163585.99699999997</v>
          </cell>
          <cell r="I37">
            <v>127004.14200000001</v>
          </cell>
          <cell r="J37">
            <v>125276.984</v>
          </cell>
          <cell r="K37">
            <v>155654.92800000001</v>
          </cell>
          <cell r="L37">
            <v>115383.55599999998</v>
          </cell>
          <cell r="M37">
            <v>155734.05099999998</v>
          </cell>
          <cell r="N37">
            <v>161074.67800000001</v>
          </cell>
          <cell r="O37">
            <v>161074.67800000001</v>
          </cell>
          <cell r="P37"/>
          <cell r="Q37">
            <v>1499266.075</v>
          </cell>
          <cell r="S37"/>
        </row>
        <row r="38">
          <cell r="E38">
            <v>79957.017000000415</v>
          </cell>
          <cell r="F38">
            <v>47395.063999999373</v>
          </cell>
          <cell r="G38">
            <v>37205.731000000203</v>
          </cell>
          <cell r="H38">
            <v>-632.29299999820068</v>
          </cell>
          <cell r="I38">
            <v>127918.41199999953</v>
          </cell>
          <cell r="J38">
            <v>155720.21500000003</v>
          </cell>
          <cell r="K38">
            <v>-34019.231000001251</v>
          </cell>
          <cell r="L38">
            <v>85075.131000000867</v>
          </cell>
          <cell r="M38">
            <v>-10103.434000000358</v>
          </cell>
          <cell r="N38">
            <v>49441.098000002385</v>
          </cell>
          <cell r="O38">
            <v>49441.098000002385</v>
          </cell>
          <cell r="P38"/>
          <cell r="Q38">
            <v>661750.14200000768</v>
          </cell>
          <cell r="S38"/>
        </row>
        <row r="39">
          <cell r="E39">
            <v>4689.8059999999996</v>
          </cell>
          <cell r="F39">
            <v>5550.3850000000002</v>
          </cell>
          <cell r="G39">
            <v>5550.3850000000002</v>
          </cell>
          <cell r="H39">
            <v>5550.375</v>
          </cell>
          <cell r="I39">
            <v>5550.3850000000002</v>
          </cell>
          <cell r="J39">
            <v>5550.375</v>
          </cell>
          <cell r="K39">
            <v>5550.3850000000002</v>
          </cell>
          <cell r="L39">
            <v>5550.3779999999997</v>
          </cell>
          <cell r="M39">
            <v>5475.768</v>
          </cell>
          <cell r="N39">
            <v>5435.7690000000002</v>
          </cell>
          <cell r="O39">
            <v>5435.7690000000002</v>
          </cell>
          <cell r="P39"/>
          <cell r="Q39">
            <v>59889.794000000002</v>
          </cell>
          <cell r="S39"/>
        </row>
        <row r="40">
          <cell r="E40">
            <v>75267.211000000418</v>
          </cell>
          <cell r="F40">
            <v>41844.678999999371</v>
          </cell>
          <cell r="G40">
            <v>31655.346000000201</v>
          </cell>
          <cell r="H40">
            <v>-6182.6679999982007</v>
          </cell>
          <cell r="I40">
            <v>122368.02699999954</v>
          </cell>
          <cell r="J40">
            <v>150169.84000000003</v>
          </cell>
          <cell r="K40">
            <v>-39569.616000001253</v>
          </cell>
          <cell r="L40">
            <v>79524.75300000087</v>
          </cell>
          <cell r="M40">
            <v>-15579.202000000358</v>
          </cell>
          <cell r="N40">
            <v>44005.329000002384</v>
          </cell>
          <cell r="O40">
            <v>44005.329000002384</v>
          </cell>
          <cell r="P40"/>
          <cell r="Q40">
            <v>601860.34800000768</v>
          </cell>
          <cell r="S40"/>
        </row>
        <row r="41">
          <cell r="E41">
            <v>1.0160319411036954E-2</v>
          </cell>
          <cell r="F41">
            <v>6.1848646731213711E-3</v>
          </cell>
          <cell r="G41">
            <v>3.6136578873595606E-3</v>
          </cell>
          <cell r="H41">
            <v>-7.0082071221793621E-4</v>
          </cell>
          <cell r="I41">
            <v>1.2518697625219916E-2</v>
          </cell>
          <cell r="J41">
            <v>1.9073194967863E-2</v>
          </cell>
          <cell r="K41">
            <v>-3.4972023624887062E-3</v>
          </cell>
          <cell r="L41">
            <v>8.3770418237772027E-3</v>
          </cell>
          <cell r="M41">
            <v>-2.0178154876792603E-3</v>
          </cell>
          <cell r="N41">
            <v>5.0705063769495217E-3</v>
          </cell>
          <cell r="O41">
            <v>5.0705063769495217E-3</v>
          </cell>
          <cell r="P41"/>
          <cell r="Q41">
            <v>6.2334102023176201E-3</v>
          </cell>
        </row>
        <row r="42">
          <cell r="E42" t="str">
            <v>1월</v>
          </cell>
          <cell r="F42" t="str">
            <v>2월</v>
          </cell>
          <cell r="G42" t="str">
            <v>3월</v>
          </cell>
          <cell r="H42" t="str">
            <v>4월</v>
          </cell>
          <cell r="I42" t="str">
            <v>5월</v>
          </cell>
          <cell r="J42" t="str">
            <v>6월</v>
          </cell>
          <cell r="K42" t="str">
            <v>7월</v>
          </cell>
          <cell r="L42" t="str">
            <v>8월</v>
          </cell>
          <cell r="M42" t="str">
            <v>9월</v>
          </cell>
          <cell r="N42" t="str">
            <v>10월</v>
          </cell>
          <cell r="O42" t="str">
            <v>11월</v>
          </cell>
          <cell r="Q42" t="str">
            <v>합계</v>
          </cell>
        </row>
        <row r="43">
          <cell r="E43">
            <v>920730.85338998202</v>
          </cell>
          <cell r="F43">
            <v>886130.8859870329</v>
          </cell>
          <cell r="G43">
            <v>873530.5235919673</v>
          </cell>
          <cell r="H43">
            <v>853042.90795678552</v>
          </cell>
          <cell r="I43">
            <v>811389.30758305453</v>
          </cell>
          <cell r="J43">
            <v>785072.67759542307</v>
          </cell>
          <cell r="K43">
            <v>751049.2097042331</v>
          </cell>
          <cell r="L43">
            <v>846014.52770958561</v>
          </cell>
          <cell r="M43">
            <v>879572.42936012533</v>
          </cell>
          <cell r="N43">
            <v>818946.47731031897</v>
          </cell>
          <cell r="O43">
            <v>818946.47731031897</v>
          </cell>
          <cell r="P43"/>
          <cell r="Q43">
            <v>830659.38156724663</v>
          </cell>
        </row>
        <row r="44"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</row>
        <row r="46">
          <cell r="E46">
            <v>1152972.7533904957</v>
          </cell>
          <cell r="F46">
            <v>1018096.1174357849</v>
          </cell>
          <cell r="G46">
            <v>1010946.2252344702</v>
          </cell>
          <cell r="H46">
            <v>1028811.309830002</v>
          </cell>
          <cell r="I46">
            <v>998710.58073300251</v>
          </cell>
          <cell r="J46">
            <v>986379.93094765872</v>
          </cell>
          <cell r="K46">
            <v>871234.85517340153</v>
          </cell>
          <cell r="L46">
            <v>994491.84234504995</v>
          </cell>
          <cell r="M46">
            <v>1049791.4865306576</v>
          </cell>
          <cell r="N46">
            <v>967306.90264654264</v>
          </cell>
          <cell r="O46">
            <v>967306.90264654264</v>
          </cell>
          <cell r="P46"/>
          <cell r="Q46">
            <v>993750.49978307181</v>
          </cell>
          <cell r="R46"/>
          <cell r="S46"/>
        </row>
        <row r="47">
          <cell r="E47">
            <v>1122244.4500025136</v>
          </cell>
          <cell r="F47">
            <v>992050.9394315047</v>
          </cell>
          <cell r="G47">
            <v>992100.95385287225</v>
          </cell>
          <cell r="H47">
            <v>1009807.9247504045</v>
          </cell>
          <cell r="I47">
            <v>972664.69662499102</v>
          </cell>
          <cell r="J47">
            <v>951176.34142359975</v>
          </cell>
          <cell r="K47">
            <v>861868.83223183977</v>
          </cell>
          <cell r="L47">
            <v>973492.07606142946</v>
          </cell>
          <cell r="M47">
            <v>1029990.2651772461</v>
          </cell>
          <cell r="N47">
            <v>943843.28380001429</v>
          </cell>
          <cell r="O47">
            <v>943843.28380001429</v>
          </cell>
          <cell r="P47"/>
          <cell r="Q47">
            <v>971508.93380702334</v>
          </cell>
          <cell r="R47"/>
          <cell r="S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E49">
            <v>0.79857121573986001</v>
          </cell>
          <cell r="F49">
            <v>0.87038038040934229</v>
          </cell>
          <cell r="G49">
            <v>0.86407219472961383</v>
          </cell>
          <cell r="H49">
            <v>0.82915389810182005</v>
          </cell>
          <cell r="I49">
            <v>0.81243687934850584</v>
          </cell>
          <cell r="J49">
            <v>0.79591306854871746</v>
          </cell>
          <cell r="K49">
            <v>0.86205138057149011</v>
          </cell>
          <cell r="L49">
            <v>0.85070031918477174</v>
          </cell>
          <cell r="M49">
            <v>0.83785441265763061</v>
          </cell>
          <cell r="N49">
            <v>0.8466252800116375</v>
          </cell>
          <cell r="O49">
            <v>0.8466252800116375</v>
          </cell>
          <cell r="P49"/>
          <cell r="Q49">
            <v>0.83588323401957865</v>
          </cell>
          <cell r="R49"/>
          <cell r="S49"/>
        </row>
        <row r="50">
          <cell r="E50">
            <v>0.20142878426013996</v>
          </cell>
          <cell r="F50">
            <v>0.12961961959065768</v>
          </cell>
          <cell r="G50">
            <v>0.13592780527038614</v>
          </cell>
          <cell r="H50">
            <v>0.17084610189818</v>
          </cell>
          <cell r="I50">
            <v>0.18756312065149416</v>
          </cell>
          <cell r="J50">
            <v>0.20408693145128257</v>
          </cell>
          <cell r="K50">
            <v>0.13794861942850986</v>
          </cell>
          <cell r="L50">
            <v>0.14929968081522826</v>
          </cell>
          <cell r="M50">
            <v>0.16214558734236936</v>
          </cell>
          <cell r="N50">
            <v>0.15337471998836247</v>
          </cell>
          <cell r="O50">
            <v>0.15337471998836247</v>
          </cell>
          <cell r="P50"/>
          <cell r="Q50">
            <v>0.16411676598042141</v>
          </cell>
          <cell r="R50"/>
          <cell r="S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E52">
            <v>2.7823178707229314E-2</v>
          </cell>
          <cell r="F52">
            <v>2.7130154457106714E-2</v>
          </cell>
          <cell r="G52">
            <v>1.8797000201944851E-2</v>
          </cell>
          <cell r="H52">
            <v>1.8146921038230335E-2</v>
          </cell>
          <cell r="I52">
            <v>2.5679335587291203E-2</v>
          </cell>
          <cell r="J52">
            <v>3.7059976070507129E-2</v>
          </cell>
          <cell r="K52">
            <v>8.2866316338170258E-3</v>
          </cell>
          <cell r="L52">
            <v>1.8929258347069412E-2</v>
          </cell>
          <cell r="M52">
            <v>1.7296509360740942E-2</v>
          </cell>
          <cell r="N52">
            <v>2.3542137855523892E-2</v>
          </cell>
          <cell r="O52">
            <v>2.3542137855523892E-2</v>
          </cell>
          <cell r="P52"/>
          <cell r="Q52">
            <v>2.1656406781135732E-2</v>
          </cell>
          <cell r="R52"/>
          <cell r="S52"/>
        </row>
        <row r="53">
          <cell r="E53">
            <v>2.2005694548837322E-2</v>
          </cell>
          <cell r="F53">
            <v>1.5188168703492945E-2</v>
          </cell>
          <cell r="G53">
            <v>1.7650951996336726E-2</v>
          </cell>
          <cell r="H53">
            <v>2.0045029420160815E-2</v>
          </cell>
          <cell r="I53">
            <v>2.7812889049050205E-2</v>
          </cell>
          <cell r="J53">
            <v>3.0345726629506131E-2</v>
          </cell>
          <cell r="K53">
            <v>2.6145841207630523E-2</v>
          </cell>
          <cell r="L53">
            <v>3.3576433783650161E-2</v>
          </cell>
          <cell r="M53">
            <v>2.6951674341249041E-2</v>
          </cell>
          <cell r="N53">
            <v>2.8200700907343241E-2</v>
          </cell>
          <cell r="O53">
            <v>2.8200700907343241E-2</v>
          </cell>
          <cell r="P53"/>
          <cell r="Q53">
            <v>2.6074188213205274E-2</v>
          </cell>
          <cell r="R53"/>
          <cell r="S53"/>
        </row>
        <row r="54">
          <cell r="E54">
            <v>2.6651369945751794E-2</v>
          </cell>
          <cell r="F54">
            <v>2.5582238806566245E-2</v>
          </cell>
          <cell r="G54">
            <v>1.8641220384622476E-2</v>
          </cell>
          <cell r="H54">
            <v>1.847120545626342E-2</v>
          </cell>
          <cell r="I54">
            <v>2.607951153265552E-2</v>
          </cell>
          <cell r="J54">
            <v>3.568968550509475E-2</v>
          </cell>
          <cell r="K54">
            <v>1.0750284938609023E-2</v>
          </cell>
          <cell r="L54">
            <v>2.1116076964595568E-2</v>
          </cell>
          <cell r="M54">
            <v>1.8862051757392903E-2</v>
          </cell>
          <cell r="N54">
            <v>2.4256643659144816E-2</v>
          </cell>
          <cell r="O54">
            <v>2.4256643659144816E-2</v>
          </cell>
          <cell r="P54"/>
          <cell r="Q54">
            <v>2.2381438782575359E-2</v>
          </cell>
          <cell r="R54"/>
          <cell r="S54"/>
        </row>
        <row r="55">
          <cell r="R55"/>
          <cell r="S55"/>
        </row>
        <row r="56">
          <cell r="R56"/>
          <cell r="S56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">
          <cell r="G8">
            <v>8972.0079999999998</v>
          </cell>
        </row>
        <row r="9">
          <cell r="G9">
            <v>7347594.3459999999</v>
          </cell>
          <cell r="J9">
            <v>1331090.9230000013</v>
          </cell>
        </row>
        <row r="10">
          <cell r="F10">
            <v>976966.29213483143</v>
          </cell>
          <cell r="G10">
            <v>818946.47731031897</v>
          </cell>
        </row>
        <row r="11">
          <cell r="G11">
            <v>7174616.267</v>
          </cell>
          <cell r="J11">
            <v>1293553.2259999989</v>
          </cell>
        </row>
        <row r="15">
          <cell r="F15">
            <v>2.3265094882116158E-2</v>
          </cell>
          <cell r="G15">
            <v>2.3542137855523892E-2</v>
          </cell>
        </row>
        <row r="19">
          <cell r="M19">
            <v>94469.845000000001</v>
          </cell>
        </row>
        <row r="37">
          <cell r="M37">
            <v>66604.833000000013</v>
          </cell>
        </row>
        <row r="40">
          <cell r="M40">
            <v>5435.7690000000002</v>
          </cell>
        </row>
        <row r="41">
          <cell r="M41">
            <v>44005.329000002384</v>
          </cell>
        </row>
      </sheetData>
      <sheetData sheetId="11">
        <row r="8">
          <cell r="G8">
            <v>10221.802</v>
          </cell>
        </row>
      </sheetData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6946.7870000000003</v>
          </cell>
          <cell r="F3">
            <v>8382.34</v>
          </cell>
          <cell r="G3">
            <v>9838.5779999999995</v>
          </cell>
          <cell r="H3">
            <v>9357.5969999999998</v>
          </cell>
          <cell r="I3">
            <v>7344.996000000001</v>
          </cell>
          <cell r="J3">
            <v>7070.5</v>
          </cell>
          <cell r="K3">
            <v>6748.1729999999998</v>
          </cell>
          <cell r="L3">
            <v>6876.2449999999999</v>
          </cell>
          <cell r="M3">
            <v>6990.5029999999997</v>
          </cell>
          <cell r="N3">
            <v>9070.0450000000001</v>
          </cell>
          <cell r="O3">
            <v>10109.272999999999</v>
          </cell>
          <cell r="P3">
            <v>7811.91</v>
          </cell>
          <cell r="Q3">
            <v>96546.947000000015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6946.7870000000003</v>
          </cell>
          <cell r="F5">
            <v>8382.34</v>
          </cell>
          <cell r="G5">
            <v>9838.5779999999995</v>
          </cell>
          <cell r="H5">
            <v>9357.5969999999998</v>
          </cell>
          <cell r="I5">
            <v>7344.996000000001</v>
          </cell>
          <cell r="J5">
            <v>7070.5</v>
          </cell>
          <cell r="K5">
            <v>6748.1729999999998</v>
          </cell>
          <cell r="L5">
            <v>6876.2449999999999</v>
          </cell>
          <cell r="M5">
            <v>6990.5029999999997</v>
          </cell>
          <cell r="N5">
            <v>9070.0450000000001</v>
          </cell>
          <cell r="O5">
            <v>10109.272999999999</v>
          </cell>
          <cell r="P5">
            <v>7811.91</v>
          </cell>
          <cell r="Q5">
            <v>96546.947000000015</v>
          </cell>
        </row>
        <row r="6">
          <cell r="E6">
            <v>7633878.892</v>
          </cell>
          <cell r="F6">
            <v>8612745.1600000001</v>
          </cell>
          <cell r="G6">
            <v>10143312.152000001</v>
          </cell>
          <cell r="H6">
            <v>9809673.1050000004</v>
          </cell>
          <cell r="I6">
            <v>7820346.875</v>
          </cell>
          <cell r="J6">
            <v>7380909.7199999997</v>
          </cell>
          <cell r="K6">
            <v>6918593.4670000002</v>
          </cell>
          <cell r="L6">
            <v>6585336.0700000003</v>
          </cell>
          <cell r="M6">
            <v>7043799.8650000002</v>
          </cell>
          <cell r="N6">
            <v>8745728.6989999991</v>
          </cell>
          <cell r="O6">
            <v>9960126.6539999992</v>
          </cell>
          <cell r="P6">
            <v>7431793.6210000003</v>
          </cell>
          <cell r="Q6">
            <v>98086244.280000001</v>
          </cell>
        </row>
        <row r="7">
          <cell r="E7">
            <v>1179755.3999999994</v>
          </cell>
          <cell r="F7">
            <v>1176725.8440000005</v>
          </cell>
          <cell r="G7">
            <v>1216657.1129999999</v>
          </cell>
          <cell r="H7">
            <v>1598941.902999999</v>
          </cell>
          <cell r="I7">
            <v>1208776.7170000002</v>
          </cell>
          <cell r="J7">
            <v>1566179.6950000012</v>
          </cell>
          <cell r="K7">
            <v>1264884.152999999</v>
          </cell>
          <cell r="L7">
            <v>1514746.9619999994</v>
          </cell>
          <cell r="M7">
            <v>2351420.6799999997</v>
          </cell>
          <cell r="N7">
            <v>2568331.477</v>
          </cell>
          <cell r="O7">
            <v>2444753.5610000007</v>
          </cell>
          <cell r="P7">
            <v>2190959.5439999988</v>
          </cell>
          <cell r="Q7">
            <v>20282133.048999999</v>
          </cell>
        </row>
        <row r="8">
          <cell r="E8">
            <v>8813634.2919999994</v>
          </cell>
          <cell r="F8">
            <v>9789471.0040000007</v>
          </cell>
          <cell r="G8">
            <v>11359969.265000001</v>
          </cell>
          <cell r="H8">
            <v>11408615.007999999</v>
          </cell>
          <cell r="I8">
            <v>9029123.5920000002</v>
          </cell>
          <cell r="J8">
            <v>8947089.415000001</v>
          </cell>
          <cell r="K8">
            <v>8183477.6199999992</v>
          </cell>
          <cell r="L8">
            <v>8100083.0319999997</v>
          </cell>
          <cell r="M8">
            <v>9395220.5449999999</v>
          </cell>
          <cell r="N8">
            <v>11314060.175999999</v>
          </cell>
          <cell r="O8">
            <v>12404880.215</v>
          </cell>
          <cell r="P8">
            <v>9622753.1649999991</v>
          </cell>
          <cell r="Q8">
            <v>118368377.329</v>
          </cell>
        </row>
        <row r="9">
          <cell r="E9">
            <v>7485107.7220000001</v>
          </cell>
          <cell r="F9">
            <v>8443501.5480000004</v>
          </cell>
          <cell r="G9">
            <v>9963629.7699999996</v>
          </cell>
          <cell r="H9">
            <v>9601536.9480000008</v>
          </cell>
          <cell r="I9">
            <v>7676800.0590000004</v>
          </cell>
          <cell r="J9">
            <v>7205136.1809999999</v>
          </cell>
          <cell r="K9">
            <v>6747251.2889999999</v>
          </cell>
          <cell r="L9">
            <v>6439298.2439999999</v>
          </cell>
          <cell r="M9">
            <v>6942139.2149999999</v>
          </cell>
          <cell r="N9">
            <v>8609681.6109999996</v>
          </cell>
          <cell r="O9">
            <v>9798823.2119999994</v>
          </cell>
          <cell r="P9">
            <v>7281578.4900000002</v>
          </cell>
          <cell r="Q9">
            <v>96194484.28899999</v>
          </cell>
        </row>
        <row r="10">
          <cell r="E10">
            <v>1158746.892</v>
          </cell>
          <cell r="F10">
            <v>1146964.875</v>
          </cell>
          <cell r="G10">
            <v>1190045.8399999999</v>
          </cell>
          <cell r="H10">
            <v>1569971.4459999986</v>
          </cell>
          <cell r="I10">
            <v>1185012.4639999997</v>
          </cell>
          <cell r="J10">
            <v>1532762.3289999999</v>
          </cell>
          <cell r="K10">
            <v>1239279.3109999998</v>
          </cell>
          <cell r="L10">
            <v>1437906.8529999992</v>
          </cell>
          <cell r="M10">
            <v>2295822.2249999996</v>
          </cell>
          <cell r="N10">
            <v>2499384.3090000004</v>
          </cell>
          <cell r="O10">
            <v>2389967.6060000006</v>
          </cell>
          <cell r="P10">
            <v>2141540.9169999994</v>
          </cell>
          <cell r="Q10">
            <v>19787405.066999998</v>
          </cell>
        </row>
        <row r="11">
          <cell r="E11">
            <v>8643854.6140000001</v>
          </cell>
          <cell r="F11">
            <v>9590466.4230000004</v>
          </cell>
          <cell r="G11">
            <v>11153675.609999999</v>
          </cell>
          <cell r="H11">
            <v>11171508.393999999</v>
          </cell>
          <cell r="I11">
            <v>8861812.523</v>
          </cell>
          <cell r="J11">
            <v>8737898.5099999998</v>
          </cell>
          <cell r="K11">
            <v>7986530.5999999996</v>
          </cell>
          <cell r="L11">
            <v>7877205.0969999991</v>
          </cell>
          <cell r="M11">
            <v>9237961.4399999995</v>
          </cell>
          <cell r="N11">
            <v>11109065.92</v>
          </cell>
          <cell r="O11">
            <v>12188790.818</v>
          </cell>
          <cell r="P11">
            <v>9423119.4069999997</v>
          </cell>
          <cell r="Q11">
            <v>115981889.35599999</v>
          </cell>
          <cell r="S11"/>
        </row>
        <row r="12">
          <cell r="E12">
            <v>148771.16999999993</v>
          </cell>
          <cell r="F12">
            <v>169243.61199999973</v>
          </cell>
          <cell r="G12">
            <v>179682.38200000115</v>
          </cell>
          <cell r="H12">
            <v>208136.15699999966</v>
          </cell>
          <cell r="I12">
            <v>143546.81599999964</v>
          </cell>
          <cell r="J12">
            <v>175773.53899999987</v>
          </cell>
          <cell r="K12">
            <v>171342.17800000031</v>
          </cell>
          <cell r="L12">
            <v>146037.82600000035</v>
          </cell>
          <cell r="M12">
            <v>101660.65000000037</v>
          </cell>
          <cell r="N12">
            <v>136047.08799999952</v>
          </cell>
          <cell r="O12">
            <v>161303.44199999981</v>
          </cell>
          <cell r="P12">
            <v>150215.13100000005</v>
          </cell>
          <cell r="Q12">
            <v>1891759.9910000116</v>
          </cell>
        </row>
        <row r="13">
          <cell r="E13">
            <v>21008.507999999449</v>
          </cell>
          <cell r="F13">
            <v>29760.969000000507</v>
          </cell>
          <cell r="G13">
            <v>26611.273000000045</v>
          </cell>
          <cell r="H13">
            <v>28970.457000000402</v>
          </cell>
          <cell r="I13">
            <v>23764.253000000492</v>
          </cell>
          <cell r="J13">
            <v>33417.366000001319</v>
          </cell>
          <cell r="K13">
            <v>25604.841999999247</v>
          </cell>
          <cell r="L13">
            <v>76840.109000000171</v>
          </cell>
          <cell r="M13">
            <v>55598.455000000075</v>
          </cell>
          <cell r="N13">
            <v>68947.167999999598</v>
          </cell>
          <cell r="O13">
            <v>54785.955000000075</v>
          </cell>
          <cell r="P13">
            <v>49418.626999999397</v>
          </cell>
          <cell r="Q13">
            <v>494727.98200000077</v>
          </cell>
        </row>
        <row r="14">
          <cell r="E14">
            <v>169779.67799999937</v>
          </cell>
          <cell r="F14">
            <v>199004.58100000024</v>
          </cell>
          <cell r="G14">
            <v>206293.65500000119</v>
          </cell>
          <cell r="H14">
            <v>237106.61400000006</v>
          </cell>
          <cell r="I14">
            <v>167311.06900000013</v>
          </cell>
          <cell r="J14">
            <v>209190.90500000119</v>
          </cell>
          <cell r="K14">
            <v>196947.01999999955</v>
          </cell>
          <cell r="L14">
            <v>222877.93500000052</v>
          </cell>
          <cell r="M14">
            <v>157259.10500000045</v>
          </cell>
          <cell r="N14">
            <v>204994.25599999912</v>
          </cell>
          <cell r="O14">
            <v>216089.39699999988</v>
          </cell>
          <cell r="P14">
            <v>199633.75799999945</v>
          </cell>
          <cell r="Q14">
            <v>2386487.9730000049</v>
          </cell>
        </row>
        <row r="15">
          <cell r="E15">
            <v>68018.86</v>
          </cell>
          <cell r="F15">
            <v>57872.959999999999</v>
          </cell>
          <cell r="G15">
            <v>57872.959999999999</v>
          </cell>
          <cell r="H15">
            <v>60494.26</v>
          </cell>
          <cell r="I15">
            <v>59183.61</v>
          </cell>
          <cell r="J15">
            <v>59247.61</v>
          </cell>
          <cell r="K15">
            <v>59829.86</v>
          </cell>
          <cell r="L15">
            <v>59213.61</v>
          </cell>
          <cell r="M15">
            <v>73707.69</v>
          </cell>
          <cell r="N15">
            <v>64536.09</v>
          </cell>
          <cell r="O15">
            <v>62124.85</v>
          </cell>
          <cell r="P15">
            <v>66718.539999999994</v>
          </cell>
          <cell r="Q15">
            <v>748820.89999999991</v>
          </cell>
          <cell r="S15">
            <v>14494.080000000002</v>
          </cell>
        </row>
        <row r="16">
          <cell r="E16">
            <v>13203.15</v>
          </cell>
          <cell r="F16">
            <v>13203.15</v>
          </cell>
          <cell r="G16">
            <v>13547.645</v>
          </cell>
          <cell r="H16">
            <v>13640.01</v>
          </cell>
          <cell r="I16">
            <v>13421.58</v>
          </cell>
          <cell r="J16">
            <v>15399.922</v>
          </cell>
          <cell r="K16">
            <v>13421.58</v>
          </cell>
          <cell r="L16">
            <v>13421.58</v>
          </cell>
          <cell r="M16">
            <v>20552.3</v>
          </cell>
          <cell r="N16">
            <v>14225.32</v>
          </cell>
          <cell r="O16">
            <v>13823.45</v>
          </cell>
          <cell r="P16">
            <v>173422.27499999999</v>
          </cell>
          <cell r="Q16">
            <v>331281.96200000006</v>
          </cell>
          <cell r="S16">
            <v>7130.7199999999993</v>
          </cell>
        </row>
        <row r="17">
          <cell r="E17">
            <v>10023.587</v>
          </cell>
          <cell r="F17">
            <v>10023.587</v>
          </cell>
          <cell r="G17">
            <v>10023.587</v>
          </cell>
          <cell r="H17">
            <v>10023.587</v>
          </cell>
          <cell r="I17">
            <v>10023.587</v>
          </cell>
          <cell r="J17">
            <v>-17665.399000000001</v>
          </cell>
          <cell r="K17">
            <v>5431.1440000000002</v>
          </cell>
          <cell r="L17">
            <v>5431.1440000000002</v>
          </cell>
          <cell r="M17">
            <v>5431.1440000000002</v>
          </cell>
          <cell r="N17">
            <v>5431.1440000000002</v>
          </cell>
          <cell r="O17">
            <v>5431.1440000000002</v>
          </cell>
          <cell r="P17">
            <v>5431.1440000000002</v>
          </cell>
          <cell r="Q17">
            <v>65039.399999999994</v>
          </cell>
          <cell r="S17">
            <v>0</v>
          </cell>
        </row>
        <row r="18">
          <cell r="E18">
            <v>91245.596999999994</v>
          </cell>
          <cell r="F18">
            <v>81099.697</v>
          </cell>
          <cell r="G18">
            <v>81444.191999999995</v>
          </cell>
          <cell r="H18">
            <v>84157.857000000004</v>
          </cell>
          <cell r="I18">
            <v>82628.777000000002</v>
          </cell>
          <cell r="J18">
            <v>56982.133000000002</v>
          </cell>
          <cell r="K18">
            <v>78682.584000000003</v>
          </cell>
          <cell r="L18">
            <v>78066.334000000003</v>
          </cell>
          <cell r="M18">
            <v>99691.134000000005</v>
          </cell>
          <cell r="N18">
            <v>84192.554000000004</v>
          </cell>
          <cell r="O18">
            <v>81379.444000000003</v>
          </cell>
          <cell r="P18">
            <v>245571.959</v>
          </cell>
          <cell r="Q18">
            <v>1145142.2619999999</v>
          </cell>
          <cell r="S18">
            <v>21624.800000000003</v>
          </cell>
        </row>
        <row r="19">
          <cell r="E19">
            <v>8853.2999999999993</v>
          </cell>
          <cell r="F19">
            <v>8215.0580000000009</v>
          </cell>
          <cell r="G19">
            <v>10573.141</v>
          </cell>
          <cell r="H19">
            <v>9315.3089999999993</v>
          </cell>
          <cell r="I19">
            <v>12068.662</v>
          </cell>
          <cell r="J19">
            <v>11560.502</v>
          </cell>
          <cell r="K19">
            <v>8576.44</v>
          </cell>
          <cell r="L19">
            <v>9188.5049999999992</v>
          </cell>
          <cell r="M19">
            <v>17894.521000000001</v>
          </cell>
          <cell r="N19">
            <v>8445.65</v>
          </cell>
          <cell r="O19">
            <v>9103.768</v>
          </cell>
          <cell r="P19">
            <v>16197.186</v>
          </cell>
          <cell r="Q19">
            <v>129992.04199999999</v>
          </cell>
          <cell r="S19">
            <v>8706.0160000000014</v>
          </cell>
        </row>
        <row r="20">
          <cell r="E20">
            <v>1489.835</v>
          </cell>
          <cell r="F20">
            <v>333.82299999999998</v>
          </cell>
          <cell r="G20">
            <v>2674.819</v>
          </cell>
          <cell r="H20">
            <v>244.21</v>
          </cell>
          <cell r="I20">
            <v>2198.2269999999999</v>
          </cell>
          <cell r="J20">
            <v>1556.777</v>
          </cell>
          <cell r="K20">
            <v>1645.8869999999999</v>
          </cell>
          <cell r="L20">
            <v>1973.6420000000001</v>
          </cell>
          <cell r="M20">
            <v>1353.9110000000001</v>
          </cell>
          <cell r="N20">
            <v>1449.5989999999999</v>
          </cell>
          <cell r="O20">
            <v>1575.578</v>
          </cell>
          <cell r="P20">
            <v>1484.79</v>
          </cell>
          <cell r="Q20">
            <v>17981.098000000002</v>
          </cell>
          <cell r="S20">
            <v>-619.73099999999999</v>
          </cell>
        </row>
        <row r="21">
          <cell r="E21">
            <v>6183.6850000000004</v>
          </cell>
          <cell r="F21">
            <v>2137.9989999999998</v>
          </cell>
          <cell r="G21">
            <v>1577.913</v>
          </cell>
          <cell r="H21">
            <v>2325.3049999999998</v>
          </cell>
          <cell r="I21">
            <v>2338.663</v>
          </cell>
          <cell r="J21">
            <v>1551.461</v>
          </cell>
          <cell r="K21">
            <v>1657.126</v>
          </cell>
          <cell r="L21">
            <v>2356.9940000000001</v>
          </cell>
          <cell r="M21">
            <v>2277.34</v>
          </cell>
          <cell r="N21">
            <v>1340.874</v>
          </cell>
          <cell r="O21">
            <v>1966.6559999999999</v>
          </cell>
          <cell r="P21">
            <v>2623.8960000000002</v>
          </cell>
          <cell r="Q21">
            <v>28337.912</v>
          </cell>
          <cell r="S21">
            <v>-79.653999999999996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</row>
        <row r="23">
          <cell r="E23">
            <v>1216.431</v>
          </cell>
          <cell r="F23">
            <v>1185.2560000000001</v>
          </cell>
          <cell r="G23">
            <v>1398.5619999999999</v>
          </cell>
          <cell r="H23">
            <v>1688.877</v>
          </cell>
          <cell r="I23">
            <v>1356.771</v>
          </cell>
          <cell r="J23">
            <v>1328.327</v>
          </cell>
          <cell r="K23">
            <v>1450.317</v>
          </cell>
          <cell r="L23">
            <v>1408.7639999999999</v>
          </cell>
          <cell r="M23">
            <v>1723.355</v>
          </cell>
          <cell r="N23">
            <v>1506.6369999999999</v>
          </cell>
          <cell r="O23">
            <v>1543.3969999999999</v>
          </cell>
          <cell r="P23">
            <v>1743.175</v>
          </cell>
          <cell r="Q23">
            <v>17549.868999999999</v>
          </cell>
          <cell r="S23">
            <v>314.59100000000012</v>
          </cell>
        </row>
        <row r="24">
          <cell r="E24">
            <v>425.12700000000001</v>
          </cell>
          <cell r="F24">
            <v>414.267</v>
          </cell>
          <cell r="G24">
            <v>581.41099999999994</v>
          </cell>
          <cell r="H24">
            <v>354.17</v>
          </cell>
          <cell r="I24">
            <v>122.072</v>
          </cell>
          <cell r="J24">
            <v>809.43100000000004</v>
          </cell>
          <cell r="K24">
            <v>212.411</v>
          </cell>
          <cell r="L24">
            <v>622.27599999999995</v>
          </cell>
          <cell r="M24">
            <v>784.721</v>
          </cell>
          <cell r="N24">
            <v>369.101</v>
          </cell>
          <cell r="O24">
            <v>230.227</v>
          </cell>
          <cell r="P24">
            <v>757.14300000000003</v>
          </cell>
          <cell r="Q24">
            <v>5682.357</v>
          </cell>
          <cell r="S24">
            <v>162.44500000000005</v>
          </cell>
        </row>
        <row r="25">
          <cell r="E25">
            <v>175.22900000000001</v>
          </cell>
          <cell r="F25">
            <v>70.728999999999999</v>
          </cell>
          <cell r="G25">
            <v>279.72899999999998</v>
          </cell>
          <cell r="H25">
            <v>175.22900000000001</v>
          </cell>
          <cell r="I25">
            <v>175.22900000000001</v>
          </cell>
          <cell r="J25">
            <v>175.22900000000001</v>
          </cell>
          <cell r="K25">
            <v>175.22900000000001</v>
          </cell>
          <cell r="L25">
            <v>175.22900000000001</v>
          </cell>
          <cell r="M25">
            <v>175.22900000000001</v>
          </cell>
          <cell r="N25">
            <v>175.22900000000001</v>
          </cell>
          <cell r="O25">
            <v>175.22900000000001</v>
          </cell>
          <cell r="P25">
            <v>249.68299999999999</v>
          </cell>
          <cell r="Q25">
            <v>2177.2020000000002</v>
          </cell>
          <cell r="S25">
            <v>0</v>
          </cell>
        </row>
        <row r="26">
          <cell r="E26">
            <v>2820.68</v>
          </cell>
          <cell r="F26">
            <v>2879</v>
          </cell>
          <cell r="G26">
            <v>2849.84</v>
          </cell>
          <cell r="H26">
            <v>2849.84</v>
          </cell>
          <cell r="I26">
            <v>2849.84</v>
          </cell>
          <cell r="J26">
            <v>2849.84</v>
          </cell>
          <cell r="K26">
            <v>3087.45</v>
          </cell>
          <cell r="L26">
            <v>3087.45</v>
          </cell>
          <cell r="M26">
            <v>3087.45</v>
          </cell>
          <cell r="N26">
            <v>3087.45</v>
          </cell>
          <cell r="O26">
            <v>3087.45</v>
          </cell>
          <cell r="P26">
            <v>3087.45</v>
          </cell>
          <cell r="Q26">
            <v>35623.740000000005</v>
          </cell>
          <cell r="S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</row>
        <row r="28">
          <cell r="E28">
            <v>-35000</v>
          </cell>
          <cell r="F28">
            <v>5901.9</v>
          </cell>
          <cell r="G28">
            <v>36192.639999999999</v>
          </cell>
          <cell r="H28">
            <v>1357.86</v>
          </cell>
          <cell r="I28">
            <v>-4991.3</v>
          </cell>
          <cell r="J28">
            <v>-2603.0500000000002</v>
          </cell>
          <cell r="K28">
            <v>0</v>
          </cell>
          <cell r="L28">
            <v>95.32</v>
          </cell>
          <cell r="M28">
            <v>534.14</v>
          </cell>
          <cell r="N28">
            <v>157.91999999999999</v>
          </cell>
          <cell r="O28">
            <v>987.95</v>
          </cell>
          <cell r="P28">
            <v>37</v>
          </cell>
          <cell r="Q28">
            <v>2670.380000000001</v>
          </cell>
          <cell r="S28">
            <v>438.82</v>
          </cell>
        </row>
        <row r="29">
          <cell r="E29">
            <v>211.9</v>
          </cell>
          <cell r="F29">
            <v>164.1</v>
          </cell>
          <cell r="G29">
            <v>34</v>
          </cell>
          <cell r="H29">
            <v>136.55000000000001</v>
          </cell>
          <cell r="I29">
            <v>178.85</v>
          </cell>
          <cell r="J29">
            <v>34</v>
          </cell>
          <cell r="K29">
            <v>50.2</v>
          </cell>
          <cell r="L29">
            <v>135.82</v>
          </cell>
          <cell r="M29">
            <v>127.5</v>
          </cell>
          <cell r="N29">
            <v>89.9</v>
          </cell>
          <cell r="O29">
            <v>109.6</v>
          </cell>
          <cell r="P29">
            <v>753.62</v>
          </cell>
          <cell r="Q29">
            <v>2026.04</v>
          </cell>
          <cell r="S29">
            <v>-8.3199999999999932</v>
          </cell>
        </row>
        <row r="30">
          <cell r="E30">
            <v>5344.1390000000001</v>
          </cell>
          <cell r="F30">
            <v>5827.9459999999999</v>
          </cell>
          <cell r="G30">
            <v>5358.2640000000001</v>
          </cell>
          <cell r="H30">
            <v>6770.1710000000003</v>
          </cell>
          <cell r="I30">
            <v>5796.6880000000001</v>
          </cell>
          <cell r="J30">
            <v>6551.1279999999997</v>
          </cell>
          <cell r="K30">
            <v>6267.8890000000001</v>
          </cell>
          <cell r="L30">
            <v>8607.7019999999993</v>
          </cell>
          <cell r="M30">
            <v>9684.8060000000005</v>
          </cell>
          <cell r="N30">
            <v>5261.9049999999997</v>
          </cell>
          <cell r="O30">
            <v>5983.1509999999998</v>
          </cell>
          <cell r="P30">
            <v>5539.7560000000003</v>
          </cell>
          <cell r="Q30">
            <v>76993.544999999984</v>
          </cell>
          <cell r="S30">
            <v>1077.1040000000012</v>
          </cell>
        </row>
        <row r="31">
          <cell r="E31">
            <v>9096.84</v>
          </cell>
          <cell r="F31">
            <v>10403.799999999999</v>
          </cell>
          <cell r="G31">
            <v>4857.93</v>
          </cell>
          <cell r="H31">
            <v>7289.1</v>
          </cell>
          <cell r="I31">
            <v>4829.8</v>
          </cell>
          <cell r="J31">
            <v>7006.57</v>
          </cell>
          <cell r="K31">
            <v>4568.26</v>
          </cell>
          <cell r="L31">
            <v>10804.71</v>
          </cell>
          <cell r="M31">
            <v>14963.21</v>
          </cell>
          <cell r="N31">
            <v>8082</v>
          </cell>
          <cell r="O31">
            <v>6982.91</v>
          </cell>
          <cell r="P31">
            <v>4112</v>
          </cell>
          <cell r="Q31">
            <v>92997.13</v>
          </cell>
          <cell r="S31">
            <v>4158.5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</row>
        <row r="33">
          <cell r="E33">
            <v>453.71100000000001</v>
          </cell>
          <cell r="F33">
            <v>266.036</v>
          </cell>
          <cell r="G33">
            <v>1015.593</v>
          </cell>
          <cell r="H33">
            <v>1165.703</v>
          </cell>
          <cell r="I33">
            <v>691.78899999999999</v>
          </cell>
          <cell r="J33">
            <v>1562.796</v>
          </cell>
          <cell r="K33">
            <v>-17.216999999999999</v>
          </cell>
          <cell r="L33">
            <v>226.33</v>
          </cell>
          <cell r="M33">
            <v>1618.807</v>
          </cell>
          <cell r="N33">
            <v>605.9</v>
          </cell>
          <cell r="O33">
            <v>454.50200000000001</v>
          </cell>
          <cell r="P33">
            <v>-209.75200000000001</v>
          </cell>
          <cell r="Q33">
            <v>7834.1980000000003</v>
          </cell>
          <cell r="S33">
            <v>1392.4770000000001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>
            <v>0</v>
          </cell>
        </row>
        <row r="36">
          <cell r="E36">
            <v>1270.8770000000011</v>
          </cell>
          <cell r="F36">
            <v>37799.913999999997</v>
          </cell>
          <cell r="G36">
            <v>67393.84199999999</v>
          </cell>
          <cell r="H36">
            <v>33672.324000000001</v>
          </cell>
          <cell r="I36">
            <v>27615.291000000001</v>
          </cell>
          <cell r="J36">
            <v>32383.010999999999</v>
          </cell>
          <cell r="K36">
            <v>27673.992000000002</v>
          </cell>
          <cell r="L36">
            <v>38682.741999999998</v>
          </cell>
          <cell r="M36">
            <v>54224.99</v>
          </cell>
          <cell r="N36">
            <v>30572.165000000001</v>
          </cell>
          <cell r="O36">
            <v>32200.418000000001</v>
          </cell>
          <cell r="P36">
            <v>36375.947</v>
          </cell>
          <cell r="Q36">
            <v>419865.51299999992</v>
          </cell>
          <cell r="S36">
            <v>15542.248</v>
          </cell>
        </row>
        <row r="37">
          <cell r="E37">
            <v>92516.474000000002</v>
          </cell>
          <cell r="F37">
            <v>118899.611</v>
          </cell>
          <cell r="G37">
            <v>148838.03399999999</v>
          </cell>
          <cell r="H37">
            <v>117830.18100000001</v>
          </cell>
          <cell r="I37">
            <v>110244.068</v>
          </cell>
          <cell r="J37">
            <v>89365.144</v>
          </cell>
          <cell r="K37">
            <v>106356.576</v>
          </cell>
          <cell r="L37">
            <v>116749.076</v>
          </cell>
          <cell r="M37">
            <v>153916.12400000001</v>
          </cell>
          <cell r="N37">
            <v>114764.71900000001</v>
          </cell>
          <cell r="O37">
            <v>113579.86200000001</v>
          </cell>
          <cell r="P37">
            <v>281947.90600000002</v>
          </cell>
          <cell r="Q37">
            <v>1565007.7749999999</v>
          </cell>
          <cell r="S37">
            <v>37167.04800000001</v>
          </cell>
        </row>
        <row r="38">
          <cell r="E38">
            <v>77263.203999999372</v>
          </cell>
          <cell r="F38">
            <v>80104.970000000234</v>
          </cell>
          <cell r="G38">
            <v>57455.621000001207</v>
          </cell>
          <cell r="H38">
            <v>119276.43300000005</v>
          </cell>
          <cell r="I38">
            <v>57067.001000000135</v>
          </cell>
          <cell r="J38">
            <v>119825.76100000119</v>
          </cell>
          <cell r="K38">
            <v>90590.443999999552</v>
          </cell>
          <cell r="L38">
            <v>106128.85900000052</v>
          </cell>
          <cell r="M38">
            <v>3342.9810000004363</v>
          </cell>
          <cell r="N38">
            <v>90229.536999999109</v>
          </cell>
          <cell r="O38">
            <v>102509.53499999987</v>
          </cell>
          <cell r="P38">
            <v>-82314.148000000569</v>
          </cell>
          <cell r="Q38">
            <v>821480.19800000498</v>
          </cell>
          <cell r="S38">
            <v>-102785.87800000008</v>
          </cell>
        </row>
        <row r="39">
          <cell r="E39">
            <v>2864.27</v>
          </cell>
          <cell r="F39">
            <v>2877.7269999999999</v>
          </cell>
          <cell r="G39">
            <v>2877.7240000000002</v>
          </cell>
          <cell r="H39">
            <v>2877.7269999999999</v>
          </cell>
          <cell r="I39">
            <v>2800.7159999999999</v>
          </cell>
          <cell r="J39">
            <v>2800.7190000000001</v>
          </cell>
          <cell r="K39">
            <v>2800.721</v>
          </cell>
          <cell r="L39">
            <v>1478.7239999999999</v>
          </cell>
          <cell r="M39">
            <v>4908.1000000000004</v>
          </cell>
          <cell r="N39">
            <v>4908.1000000000004</v>
          </cell>
          <cell r="O39">
            <v>4319.4059999999999</v>
          </cell>
          <cell r="P39">
            <v>4319.4089999999997</v>
          </cell>
          <cell r="Q39">
            <v>39833.343000000001</v>
          </cell>
          <cell r="S39">
            <v>3429.3760000000002</v>
          </cell>
        </row>
        <row r="40">
          <cell r="E40">
            <v>74398.933999999368</v>
          </cell>
          <cell r="F40">
            <v>77227.243000000235</v>
          </cell>
          <cell r="G40">
            <v>54577.897000001205</v>
          </cell>
          <cell r="H40">
            <v>116398.70600000005</v>
          </cell>
          <cell r="I40">
            <v>54266.285000000134</v>
          </cell>
          <cell r="J40">
            <v>117025.04200000119</v>
          </cell>
          <cell r="K40">
            <v>87789.722999999547</v>
          </cell>
          <cell r="L40">
            <v>104650.13500000052</v>
          </cell>
          <cell r="M40">
            <v>-1565.118999999564</v>
          </cell>
          <cell r="N40">
            <v>85321.436999999103</v>
          </cell>
          <cell r="O40">
            <v>98190.12899999987</v>
          </cell>
          <cell r="P40">
            <v>-86633.557000000568</v>
          </cell>
          <cell r="Q40">
            <v>781646.85500000499</v>
          </cell>
          <cell r="S40">
            <v>-106215.25400000009</v>
          </cell>
        </row>
        <row r="41">
          <cell r="E41">
            <v>8.4413457076985988E-3</v>
          </cell>
          <cell r="F41">
            <v>7.8888065523096199E-3</v>
          </cell>
          <cell r="G41">
            <v>4.8044053400879694E-3</v>
          </cell>
          <cell r="H41">
            <v>1.0202702599603758E-2</v>
          </cell>
          <cell r="I41">
            <v>6.0101386858943031E-3</v>
          </cell>
          <cell r="J41">
            <v>1.307967726396095E-2</v>
          </cell>
          <cell r="K41">
            <v>1.0727679243045275E-2</v>
          </cell>
          <cell r="L41">
            <v>1.2919637315638881E-2</v>
          </cell>
          <cell r="M41">
            <v>-1.6658672273877568E-4</v>
          </cell>
          <cell r="N41">
            <v>7.5411864240379047E-3</v>
          </cell>
          <cell r="O41">
            <v>7.9154435430394739E-3</v>
          </cell>
          <cell r="P41">
            <v>-9.0029906737195808E-3</v>
          </cell>
          <cell r="Q41">
            <v>6.6035107740596123E-3</v>
          </cell>
        </row>
        <row r="43">
          <cell r="E43">
            <v>1098907.8680546847</v>
          </cell>
          <cell r="F43">
            <v>1027486.9738044508</v>
          </cell>
          <cell r="G43">
            <v>1030973.3939193247</v>
          </cell>
          <cell r="H43">
            <v>1048311.1321207784</v>
          </cell>
          <cell r="I43">
            <v>1064717.6492676102</v>
          </cell>
          <cell r="J43">
            <v>1043902.0889611768</v>
          </cell>
          <cell r="K43">
            <v>1025254.3120930659</v>
          </cell>
          <cell r="L43">
            <v>957693.63511625899</v>
          </cell>
          <cell r="M43">
            <v>1007624.1816933632</v>
          </cell>
          <cell r="N43">
            <v>964243.14311560732</v>
          </cell>
          <cell r="O43">
            <v>985246.58044154115</v>
          </cell>
          <cell r="P43">
            <v>951341.4287927025</v>
          </cell>
          <cell r="Q43">
            <v>1015943.5106736206</v>
          </cell>
        </row>
        <row r="44">
          <cell r="E44">
            <v>1.9263299607757241E-2</v>
          </cell>
          <cell r="F44">
            <v>2.0328430506478493E-2</v>
          </cell>
          <cell r="G44">
            <v>1.815970186077798E-2</v>
          </cell>
          <cell r="H44">
            <v>2.0783119934692784E-2</v>
          </cell>
          <cell r="I44">
            <v>1.8530156032889104E-2</v>
          </cell>
          <cell r="J44">
            <v>2.338088905753952E-2</v>
          </cell>
          <cell r="K44">
            <v>2.4066421287530761E-2</v>
          </cell>
          <cell r="L44">
            <v>2.751551238666371E-2</v>
          </cell>
          <cell r="M44">
            <v>1.6738202604907604E-2</v>
          </cell>
          <cell r="N44">
            <v>1.8118540365804674E-2</v>
          </cell>
          <cell r="O44">
            <v>1.7419708473984639E-2</v>
          </cell>
          <cell r="P44">
            <v>2.0746012557623313E-2</v>
          </cell>
          <cell r="Q44">
            <v>2.0161533230846448E-2</v>
          </cell>
        </row>
        <row r="46">
          <cell r="E46">
            <v>1268735.3580871271</v>
          </cell>
          <cell r="F46">
            <v>1167868.5192917492</v>
          </cell>
          <cell r="G46">
            <v>1154635.2801187327</v>
          </cell>
          <cell r="H46">
            <v>1219182.1263514552</v>
          </cell>
          <cell r="I46">
            <v>1229289.1094835177</v>
          </cell>
          <cell r="J46">
            <v>1265411.1328760344</v>
          </cell>
          <cell r="K46">
            <v>1212695.2910069139</v>
          </cell>
          <cell r="L46">
            <v>1177980.5739906009</v>
          </cell>
          <cell r="M46">
            <v>1343997.7845657172</v>
          </cell>
          <cell r="N46">
            <v>1247409.4865019964</v>
          </cell>
          <cell r="O46">
            <v>1227079.3572396354</v>
          </cell>
          <cell r="P46">
            <v>1231805.4310661538</v>
          </cell>
          <cell r="Q46"/>
          <cell r="R46"/>
          <cell r="S46"/>
          <cell r="T46"/>
        </row>
        <row r="47">
          <cell r="E47">
            <v>1244295.3287613394</v>
          </cell>
          <cell r="F47">
            <v>1144127.5852566229</v>
          </cell>
          <cell r="G47">
            <v>1133667.4476738407</v>
          </cell>
          <cell r="H47">
            <v>1193843.7179972592</v>
          </cell>
          <cell r="I47">
            <v>1206510.1904752566</v>
          </cell>
          <cell r="J47">
            <v>1235824.6955660842</v>
          </cell>
          <cell r="K47">
            <v>1183510.0552401368</v>
          </cell>
          <cell r="L47">
            <v>1145567.8349157134</v>
          </cell>
          <cell r="M47">
            <v>1321501.6773471094</v>
          </cell>
          <cell r="N47">
            <v>1224808.2473681222</v>
          </cell>
          <cell r="O47">
            <v>1205703.9925620765</v>
          </cell>
          <cell r="P47">
            <v>1206250.380124707</v>
          </cell>
          <cell r="Q47"/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95380.744000000006</v>
          </cell>
          <cell r="F49">
            <v>121777.338</v>
          </cell>
          <cell r="G49">
            <v>151715.75799999997</v>
          </cell>
          <cell r="H49">
            <v>120707.90800000001</v>
          </cell>
          <cell r="I49">
            <v>113044.784</v>
          </cell>
          <cell r="J49">
            <v>92165.862999999998</v>
          </cell>
          <cell r="K49">
            <v>109157.29700000001</v>
          </cell>
          <cell r="L49">
            <v>118227.8</v>
          </cell>
          <cell r="M49">
            <v>158824.22400000002</v>
          </cell>
          <cell r="N49">
            <v>119672.81900000002</v>
          </cell>
          <cell r="O49">
            <v>117899.26800000001</v>
          </cell>
          <cell r="P49">
            <v>286267.315</v>
          </cell>
          <cell r="Q49"/>
          <cell r="R49"/>
          <cell r="S49"/>
          <cell r="T49"/>
        </row>
        <row r="50">
          <cell r="E50">
            <v>125380.74400000001</v>
          </cell>
          <cell r="F50">
            <v>151777.33799999999</v>
          </cell>
          <cell r="G50">
            <v>181715.75799999997</v>
          </cell>
          <cell r="H50">
            <v>150707.908</v>
          </cell>
          <cell r="I50">
            <v>143044.78399999999</v>
          </cell>
          <cell r="J50">
            <v>122165.863</v>
          </cell>
          <cell r="K50">
            <v>139157.29700000002</v>
          </cell>
          <cell r="L50">
            <v>148227.79999999999</v>
          </cell>
          <cell r="M50">
            <v>188824.22400000002</v>
          </cell>
          <cell r="N50">
            <v>149672.81900000002</v>
          </cell>
          <cell r="O50">
            <v>147899.26800000001</v>
          </cell>
          <cell r="P50">
            <v>316267.315</v>
          </cell>
          <cell r="Q50"/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0.86614427591228227</v>
          </cell>
          <cell r="F52">
            <v>0.87979678947726725</v>
          </cell>
          <cell r="G52">
            <v>0.89289961225964642</v>
          </cell>
          <cell r="H52">
            <v>0.85984785165607025</v>
          </cell>
          <cell r="I52">
            <v>0.86612469032199291</v>
          </cell>
          <cell r="J52">
            <v>0.82495092846906559</v>
          </cell>
          <cell r="K52">
            <v>0.84543439699661582</v>
          </cell>
          <cell r="L52">
            <v>0.81299611917360903</v>
          </cell>
          <cell r="M52">
            <v>0.74972160911630847</v>
          </cell>
          <cell r="N52">
            <v>0.772996480746312</v>
          </cell>
          <cell r="O52">
            <v>0.80292001868395302</v>
          </cell>
          <cell r="P52">
            <v>0.77231468931688019</v>
          </cell>
          <cell r="Q52"/>
          <cell r="R52"/>
          <cell r="S52"/>
          <cell r="T52"/>
        </row>
        <row r="53">
          <cell r="E53">
            <v>0.13385572408771773</v>
          </cell>
          <cell r="F53">
            <v>0.12020321052273281</v>
          </cell>
          <cell r="G53">
            <v>0.10710038774035362</v>
          </cell>
          <cell r="H53">
            <v>0.14015214834392972</v>
          </cell>
          <cell r="I53">
            <v>0.13387530967800715</v>
          </cell>
          <cell r="J53">
            <v>0.17504907153093441</v>
          </cell>
          <cell r="K53">
            <v>0.15456560300338418</v>
          </cell>
          <cell r="L53">
            <v>0.18700388082639094</v>
          </cell>
          <cell r="M53">
            <v>0.25027839088369158</v>
          </cell>
          <cell r="N53">
            <v>0.22700351925368795</v>
          </cell>
          <cell r="O53">
            <v>0.19707998131604698</v>
          </cell>
          <cell r="P53">
            <v>0.22768531068311976</v>
          </cell>
          <cell r="Q53"/>
          <cell r="R53"/>
          <cell r="S53"/>
          <cell r="T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E55">
            <v>1.7807511624866823E-2</v>
          </cell>
          <cell r="F55">
            <v>2.5291336254530727E-2</v>
          </cell>
          <cell r="G55">
            <v>2.1872450927757803E-2</v>
          </cell>
          <cell r="H55">
            <v>1.8118517593193939E-2</v>
          </cell>
          <cell r="I55">
            <v>1.9659754085088355E-2</v>
          </cell>
          <cell r="J55">
            <v>2.1336865818581074E-2</v>
          </cell>
          <cell r="K55">
            <v>2.0242835629864397E-2</v>
          </cell>
          <cell r="L55">
            <v>5.0728016578124868E-2</v>
          </cell>
          <cell r="M55">
            <v>2.3644622790337966E-2</v>
          </cell>
          <cell r="N55">
            <v>2.684512050622645E-2</v>
          </cell>
          <cell r="O55">
            <v>2.2409602290379915E-2</v>
          </cell>
          <cell r="P55">
            <v>2.2555700371252208E-2</v>
          </cell>
          <cell r="Q55"/>
          <cell r="R55"/>
          <cell r="S55"/>
        </row>
        <row r="56"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E57">
            <v>1.7807511624866865E-2</v>
          </cell>
          <cell r="F57">
            <v>2.5291336254530748E-2</v>
          </cell>
          <cell r="G57">
            <v>2.1872450927757858E-2</v>
          </cell>
          <cell r="H57">
            <v>1.811851759319389E-2</v>
          </cell>
          <cell r="I57">
            <v>1.9659754085088396E-2</v>
          </cell>
          <cell r="J57">
            <v>2.1336865818581113E-2</v>
          </cell>
          <cell r="K57">
            <v>2.0242835629864411E-2</v>
          </cell>
          <cell r="L57">
            <v>5.072801657812482E-2</v>
          </cell>
          <cell r="M57">
            <v>2.3644622790338E-2</v>
          </cell>
          <cell r="N57">
            <v>2.6845120506226464E-2</v>
          </cell>
          <cell r="O57">
            <v>2.2409602290379919E-2</v>
          </cell>
          <cell r="P57">
            <v>2.2555700371252232E-2</v>
          </cell>
          <cell r="Q57"/>
          <cell r="R57"/>
          <cell r="S57"/>
        </row>
        <row r="58">
          <cell r="E58">
            <v>1.9263299607757241E-2</v>
          </cell>
          <cell r="F58">
            <v>2.0328430506478493E-2</v>
          </cell>
          <cell r="G58">
            <v>1.815970186077798E-2</v>
          </cell>
          <cell r="H58">
            <v>2.0783119934692784E-2</v>
          </cell>
          <cell r="I58">
            <v>1.8530156032889104E-2</v>
          </cell>
          <cell r="J58">
            <v>2.338088905753952E-2</v>
          </cell>
          <cell r="K58">
            <v>2.4066421287530761E-2</v>
          </cell>
          <cell r="L58">
            <v>2.751551238666371E-2</v>
          </cell>
          <cell r="M58">
            <v>1.6738202604907604E-2</v>
          </cell>
          <cell r="N58">
            <v>1.8118540365804674E-2</v>
          </cell>
          <cell r="O58">
            <v>1.7419708473984639E-2</v>
          </cell>
          <cell r="P58">
            <v>2.0746012557623313E-2</v>
          </cell>
          <cell r="Q58"/>
          <cell r="R58"/>
          <cell r="S58"/>
        </row>
        <row r="59">
          <cell r="E59">
            <v>1.9488280087323125E-2</v>
          </cell>
          <cell r="F59">
            <v>1.9650368013442967E-2</v>
          </cell>
          <cell r="G59">
            <v>1.7714369754910125E-2</v>
          </cell>
          <cell r="H59">
            <v>2.1217440660067709E-2</v>
          </cell>
          <cell r="I59">
            <v>1.8355556127425569E-2</v>
          </cell>
          <cell r="J59">
            <v>2.3814617122833455E-2</v>
          </cell>
          <cell r="K59">
            <v>2.4765464081284817E-2</v>
          </cell>
          <cell r="L59">
            <v>2.2176214614966543E-2</v>
          </cell>
          <cell r="M59">
            <v>1.4432643168234078E-2</v>
          </cell>
          <cell r="N59">
            <v>1.555583218760895E-2</v>
          </cell>
          <cell r="O59">
            <v>1.6194918759915581E-2</v>
          </cell>
          <cell r="P59">
            <v>2.0212500327718673E-2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G10">
            <v>957693.63511625899</v>
          </cell>
        </row>
      </sheetData>
      <sheetData sheetId="9">
        <row r="8">
          <cell r="Q8">
            <v>69555.719000000012</v>
          </cell>
        </row>
      </sheetData>
      <sheetData sheetId="10">
        <row r="10">
          <cell r="G10">
            <v>964243.14311560732</v>
          </cell>
        </row>
        <row r="15">
          <cell r="G15">
            <v>1.555583218760895E-2</v>
          </cell>
        </row>
      </sheetData>
      <sheetData sheetId="11">
        <row r="10">
          <cell r="G10">
            <v>985246.58044154115</v>
          </cell>
        </row>
      </sheetData>
      <sheetData sheetId="12">
        <row r="9">
          <cell r="Q9">
            <v>98086244.280000001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>
        <row r="47">
          <cell r="Q47">
            <v>9500</v>
          </cell>
          <cell r="R47">
            <v>7327</v>
          </cell>
        </row>
        <row r="48">
          <cell r="Q48">
            <v>19754.222470020948</v>
          </cell>
          <cell r="R48">
            <v>12792</v>
          </cell>
        </row>
        <row r="53">
          <cell r="R53">
            <v>197982</v>
          </cell>
        </row>
        <row r="54">
          <cell r="R54">
            <v>373128</v>
          </cell>
        </row>
        <row r="64">
          <cell r="R64">
            <v>3944</v>
          </cell>
        </row>
        <row r="65">
          <cell r="R65">
            <v>2704</v>
          </cell>
        </row>
        <row r="66">
          <cell r="R66">
            <v>1744</v>
          </cell>
        </row>
        <row r="76">
          <cell r="R76">
            <v>129808</v>
          </cell>
        </row>
        <row r="77">
          <cell r="R77">
            <v>74360</v>
          </cell>
        </row>
        <row r="78">
          <cell r="R78">
            <v>47960</v>
          </cell>
        </row>
        <row r="79">
          <cell r="R79">
            <v>121000</v>
          </cell>
        </row>
        <row r="80">
          <cell r="R80">
            <v>0</v>
          </cell>
        </row>
        <row r="81">
          <cell r="I81">
            <v>53934.357068743455</v>
          </cell>
        </row>
        <row r="82">
          <cell r="R82">
            <v>58903.228999999999</v>
          </cell>
        </row>
      </sheetData>
      <sheetData sheetId="1">
        <row r="59">
          <cell r="F59">
            <v>1360</v>
          </cell>
          <cell r="I59">
            <v>0</v>
          </cell>
          <cell r="N59">
            <v>32300</v>
          </cell>
          <cell r="O59">
            <v>1360</v>
          </cell>
        </row>
        <row r="60">
          <cell r="F60">
            <v>0</v>
          </cell>
          <cell r="I60">
            <v>0</v>
          </cell>
        </row>
        <row r="61">
          <cell r="F61">
            <v>0</v>
          </cell>
          <cell r="I61">
            <v>0</v>
          </cell>
        </row>
        <row r="62">
          <cell r="F62">
            <v>0</v>
          </cell>
          <cell r="I62">
            <v>0</v>
          </cell>
        </row>
        <row r="63">
          <cell r="F63">
            <v>0</v>
          </cell>
          <cell r="I63">
            <v>0</v>
          </cell>
        </row>
        <row r="64">
          <cell r="F64">
            <v>0</v>
          </cell>
          <cell r="I64">
            <v>0</v>
          </cell>
        </row>
        <row r="65">
          <cell r="F65">
            <v>0</v>
          </cell>
          <cell r="I65">
            <v>0</v>
          </cell>
        </row>
        <row r="66">
          <cell r="F66">
            <v>0</v>
          </cell>
          <cell r="I66">
            <v>0</v>
          </cell>
          <cell r="N66">
            <v>19052.963333333333</v>
          </cell>
          <cell r="O66">
            <v>0</v>
          </cell>
        </row>
        <row r="71">
          <cell r="F71">
            <v>15640</v>
          </cell>
          <cell r="I71">
            <v>0</v>
          </cell>
        </row>
        <row r="72">
          <cell r="F72">
            <v>0</v>
          </cell>
          <cell r="I72">
            <v>0</v>
          </cell>
        </row>
        <row r="86">
          <cell r="F86">
            <v>-83948.514345143398</v>
          </cell>
          <cell r="I86">
            <v>0</v>
          </cell>
        </row>
        <row r="87">
          <cell r="F87">
            <v>0</v>
          </cell>
          <cell r="I87">
            <v>0</v>
          </cell>
        </row>
      </sheetData>
      <sheetData sheetId="2">
        <row r="59">
          <cell r="F59">
            <v>4544</v>
          </cell>
          <cell r="I59">
            <v>8304</v>
          </cell>
          <cell r="L59">
            <v>0</v>
          </cell>
          <cell r="N59">
            <v>19000</v>
          </cell>
          <cell r="O59">
            <v>12848</v>
          </cell>
        </row>
        <row r="60">
          <cell r="F60">
            <v>7919</v>
          </cell>
          <cell r="I60">
            <v>5620</v>
          </cell>
          <cell r="L60">
            <v>0</v>
          </cell>
        </row>
        <row r="61">
          <cell r="F61">
            <v>6912</v>
          </cell>
          <cell r="I61">
            <v>4912</v>
          </cell>
          <cell r="L61">
            <v>0</v>
          </cell>
        </row>
        <row r="62">
          <cell r="F62">
            <v>0</v>
          </cell>
          <cell r="I62">
            <v>0</v>
          </cell>
          <cell r="L62">
            <v>0</v>
          </cell>
        </row>
        <row r="63">
          <cell r="F63">
            <v>0</v>
          </cell>
          <cell r="I63">
            <v>400</v>
          </cell>
          <cell r="L63">
            <v>0</v>
          </cell>
        </row>
        <row r="64">
          <cell r="F64">
            <v>0</v>
          </cell>
          <cell r="I64">
            <v>0</v>
          </cell>
          <cell r="L64">
            <v>0</v>
          </cell>
        </row>
        <row r="65">
          <cell r="F65">
            <v>0</v>
          </cell>
          <cell r="I65">
            <v>0</v>
          </cell>
          <cell r="L65">
            <v>0</v>
          </cell>
        </row>
        <row r="66">
          <cell r="F66">
            <v>14831</v>
          </cell>
          <cell r="I66">
            <v>10932</v>
          </cell>
          <cell r="L66">
            <v>0</v>
          </cell>
          <cell r="N66">
            <v>24565.728071919184</v>
          </cell>
          <cell r="O66">
            <v>25763</v>
          </cell>
        </row>
        <row r="71">
          <cell r="F71">
            <v>59072</v>
          </cell>
          <cell r="I71">
            <v>150784</v>
          </cell>
          <cell r="L71">
            <v>0</v>
          </cell>
        </row>
        <row r="72">
          <cell r="F72">
            <v>221526.5</v>
          </cell>
          <cell r="I72">
            <v>227686</v>
          </cell>
          <cell r="L72">
            <v>0</v>
          </cell>
        </row>
        <row r="86">
          <cell r="F86">
            <v>-30336.467879188127</v>
          </cell>
          <cell r="I86">
            <v>-19917.237310211873</v>
          </cell>
          <cell r="L86">
            <v>0</v>
          </cell>
        </row>
        <row r="87">
          <cell r="F87">
            <v>-71462.210489891542</v>
          </cell>
          <cell r="I87">
            <v>1772.2218592914978</v>
          </cell>
          <cell r="L87">
            <v>0</v>
          </cell>
        </row>
      </sheetData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골재(당월)"/>
      <sheetName val="부산골재(누계)"/>
      <sheetName val="서부산골재(당월)"/>
      <sheetName val="서부산골재(누계)"/>
      <sheetName val="부산크라샤(당월)"/>
      <sheetName val="부산크라샤(누계)"/>
    </sheetNames>
    <sheetDataSet>
      <sheetData sheetId="0">
        <row r="47">
          <cell r="R47">
            <v>13304</v>
          </cell>
        </row>
        <row r="48">
          <cell r="R48">
            <v>16674</v>
          </cell>
        </row>
      </sheetData>
      <sheetData sheetId="1"/>
      <sheetData sheetId="2">
        <row r="59">
          <cell r="O59">
            <v>14016</v>
          </cell>
        </row>
        <row r="66">
          <cell r="O66">
            <v>19628</v>
          </cell>
        </row>
      </sheetData>
      <sheetData sheetId="3"/>
      <sheetData sheetId="4">
        <row r="59">
          <cell r="O59">
            <v>9168</v>
          </cell>
        </row>
        <row r="66">
          <cell r="O66">
            <v>25721</v>
          </cell>
        </row>
      </sheetData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101925.23851434657</v>
          </cell>
          <cell r="R85">
            <v>100644.43346398899</v>
          </cell>
        </row>
        <row r="89">
          <cell r="Q89">
            <v>76554.050174587741</v>
          </cell>
          <cell r="R89">
            <v>78814.918034747985</v>
          </cell>
        </row>
      </sheetData>
      <sheetData sheetId="1">
        <row r="85">
          <cell r="Q85">
            <v>99803.170489920085</v>
          </cell>
          <cell r="R85">
            <v>98493.09848149601</v>
          </cell>
        </row>
        <row r="89">
          <cell r="Q89">
            <v>78024.452575101706</v>
          </cell>
          <cell r="R89">
            <v>80768.41748770143</v>
          </cell>
        </row>
      </sheetData>
      <sheetData sheetId="2">
        <row r="85">
          <cell r="Q85">
            <v>102205.44076101009</v>
          </cell>
          <cell r="R85">
            <v>100612.36251198559</v>
          </cell>
        </row>
        <row r="89">
          <cell r="Q89">
            <v>75347.391674884522</v>
          </cell>
          <cell r="R89">
            <v>78551.337188436839</v>
          </cell>
        </row>
      </sheetData>
      <sheetData sheetId="3">
        <row r="85">
          <cell r="Q85">
            <v>105866.91988737864</v>
          </cell>
          <cell r="R85">
            <v>104789.04081212259</v>
          </cell>
        </row>
        <row r="89">
          <cell r="Q89">
            <v>76255.776785863694</v>
          </cell>
          <cell r="R89">
            <v>75774.714353729374</v>
          </cell>
        </row>
      </sheetData>
      <sheetData sheetId="4">
        <row r="2">
          <cell r="N2">
            <v>413000</v>
          </cell>
        </row>
        <row r="85">
          <cell r="Q85">
            <v>100232.23849878937</v>
          </cell>
          <cell r="R85">
            <v>99119.962067949979</v>
          </cell>
        </row>
        <row r="89">
          <cell r="Q89">
            <v>78982.697059584447</v>
          </cell>
          <cell r="R89">
            <v>81575.39945770007</v>
          </cell>
        </row>
      </sheetData>
      <sheetData sheetId="5">
        <row r="2">
          <cell r="N2">
            <v>308000</v>
          </cell>
        </row>
        <row r="85">
          <cell r="Q85">
            <v>102118.88201483636</v>
          </cell>
          <cell r="R85">
            <v>99641.374010630694</v>
          </cell>
        </row>
        <row r="89">
          <cell r="Q89">
            <v>81179.76715740771</v>
          </cell>
          <cell r="R89">
            <v>82366.896822904993</v>
          </cell>
        </row>
      </sheetData>
      <sheetData sheetId="6">
        <row r="2">
          <cell r="N2">
            <v>245000</v>
          </cell>
        </row>
        <row r="85">
          <cell r="Q85">
            <v>98729.654237309776</v>
          </cell>
          <cell r="R85">
            <v>96666.953368455972</v>
          </cell>
        </row>
        <row r="89">
          <cell r="Q89">
            <v>76349.328219547941</v>
          </cell>
          <cell r="R89">
            <v>80272.138118544943</v>
          </cell>
        </row>
      </sheetData>
      <sheetData sheetId="7">
        <row r="2">
          <cell r="N2">
            <v>154000</v>
          </cell>
        </row>
        <row r="85">
          <cell r="Q85">
            <v>95728.931818181823</v>
          </cell>
          <cell r="R85">
            <v>97610.856292393801</v>
          </cell>
        </row>
        <row r="89">
          <cell r="Q89">
            <v>71808.956495030492</v>
          </cell>
          <cell r="R89">
            <v>75418.587197998728</v>
          </cell>
        </row>
      </sheetData>
      <sheetData sheetId="8">
        <row r="2">
          <cell r="N2">
            <v>202000</v>
          </cell>
        </row>
        <row r="85">
          <cell r="Q85">
            <v>107600.04924628713</v>
          </cell>
          <cell r="R85">
            <v>107704.25137077457</v>
          </cell>
        </row>
        <row r="89">
          <cell r="Q89">
            <v>78480.034066675391</v>
          </cell>
          <cell r="R89">
            <v>83958.150600023713</v>
          </cell>
        </row>
      </sheetData>
      <sheetData sheetId="9">
        <row r="2">
          <cell r="N2">
            <v>238000</v>
          </cell>
        </row>
        <row r="85">
          <cell r="Q85">
            <v>103873.9107563025</v>
          </cell>
          <cell r="R85">
            <v>100551.51680250299</v>
          </cell>
        </row>
        <row r="89">
          <cell r="Q89">
            <v>76880.295013937546</v>
          </cell>
          <cell r="R89">
            <v>78733.007216251877</v>
          </cell>
        </row>
      </sheetData>
      <sheetData sheetId="10">
        <row r="2">
          <cell r="N2">
            <v>117000</v>
          </cell>
        </row>
        <row r="85">
          <cell r="Q85">
            <v>100999.905982906</v>
          </cell>
          <cell r="R85">
            <v>95232.380110062877</v>
          </cell>
        </row>
        <row r="89">
          <cell r="Q89">
            <v>76467.756131131086</v>
          </cell>
          <cell r="R89">
            <v>78745.257671957661</v>
          </cell>
        </row>
      </sheetData>
      <sheetData sheetId="11">
        <row r="2">
          <cell r="N2">
            <v>172000</v>
          </cell>
        </row>
        <row r="85">
          <cell r="Q85">
            <v>104000</v>
          </cell>
          <cell r="R85">
            <v>101005.2212313536</v>
          </cell>
        </row>
        <row r="89">
          <cell r="Q89">
            <v>78239.792990943053</v>
          </cell>
          <cell r="R89">
            <v>81770.401864067055</v>
          </cell>
        </row>
      </sheetData>
      <sheetData sheetId="12">
        <row r="2">
          <cell r="N2">
            <v>106000</v>
          </cell>
        </row>
        <row r="85">
          <cell r="Q85">
            <v>96723.896169811327</v>
          </cell>
          <cell r="R85">
            <v>92736.9338932346</v>
          </cell>
        </row>
        <row r="89">
          <cell r="Q89">
            <v>70375.11659006284</v>
          </cell>
          <cell r="R89">
            <v>72990.590046963174</v>
          </cell>
        </row>
      </sheetData>
      <sheetData sheetId="13">
        <row r="2">
          <cell r="N2">
            <v>159000</v>
          </cell>
        </row>
        <row r="85">
          <cell r="Q85">
            <v>100868.04088050315</v>
          </cell>
          <cell r="R85">
            <v>100743.43200536774</v>
          </cell>
        </row>
        <row r="89">
          <cell r="Q89">
            <v>72318.707383128509</v>
          </cell>
          <cell r="R89">
            <v>74908.31970491122</v>
          </cell>
        </row>
      </sheetData>
      <sheetData sheetId="14">
        <row r="2">
          <cell r="N2">
            <v>157500</v>
          </cell>
        </row>
        <row r="85">
          <cell r="Q85">
            <v>97775.111111111109</v>
          </cell>
          <cell r="R85">
            <v>100092.59959071867</v>
          </cell>
        </row>
        <row r="89">
          <cell r="Q89">
            <v>69700.835923184859</v>
          </cell>
          <cell r="R89">
            <v>74637.952341555399</v>
          </cell>
        </row>
      </sheetData>
      <sheetData sheetId="15">
        <row r="2">
          <cell r="N2">
            <v>86000</v>
          </cell>
        </row>
        <row r="85">
          <cell r="Q85">
            <v>100310.60162790696</v>
          </cell>
          <cell r="R85">
            <v>103410.8706308493</v>
          </cell>
        </row>
        <row r="89">
          <cell r="Q89">
            <v>78507.322682950966</v>
          </cell>
          <cell r="R89">
            <v>80071.378177975814</v>
          </cell>
        </row>
      </sheetData>
      <sheetData sheetId="16">
        <row r="2">
          <cell r="N2">
            <v>225000</v>
          </cell>
        </row>
        <row r="85">
          <cell r="Q85">
            <v>101000.03733333333</v>
          </cell>
          <cell r="R85">
            <v>100725.63408039347</v>
          </cell>
        </row>
        <row r="89">
          <cell r="Q89">
            <v>76666.503941697694</v>
          </cell>
          <cell r="R89">
            <v>76735.5377352285</v>
          </cell>
        </row>
      </sheetData>
      <sheetData sheetId="17">
        <row r="2">
          <cell r="N2">
            <v>51000</v>
          </cell>
        </row>
        <row r="85">
          <cell r="Q85">
            <v>107900</v>
          </cell>
          <cell r="R85">
            <v>112123.11157039581</v>
          </cell>
        </row>
        <row r="89">
          <cell r="Q89">
            <v>73308.323675443651</v>
          </cell>
          <cell r="R89">
            <v>73820.926222174516</v>
          </cell>
        </row>
      </sheetData>
      <sheetData sheetId="18">
        <row r="2">
          <cell r="N2">
            <v>66000</v>
          </cell>
        </row>
        <row r="85">
          <cell r="Q85">
            <v>109000.17583333331</v>
          </cell>
          <cell r="R85">
            <v>113207.38480075337</v>
          </cell>
        </row>
        <row r="89">
          <cell r="Q89">
            <v>69674.672254885911</v>
          </cell>
          <cell r="R89">
            <v>72302.133567271987</v>
          </cell>
        </row>
      </sheetData>
      <sheetData sheetId="19">
        <row r="2">
          <cell r="N2">
            <v>117000</v>
          </cell>
        </row>
        <row r="85">
          <cell r="Q85">
            <v>102568.74988888889</v>
          </cell>
          <cell r="R85">
            <v>96216.462650092813</v>
          </cell>
        </row>
        <row r="89">
          <cell r="Q89">
            <v>73535.696797543322</v>
          </cell>
          <cell r="R89">
            <v>72048.068991028238</v>
          </cell>
        </row>
      </sheetData>
      <sheetData sheetId="20">
        <row r="2">
          <cell r="N2">
            <v>56000</v>
          </cell>
        </row>
        <row r="85">
          <cell r="Q85">
            <v>126767.85714285714</v>
          </cell>
          <cell r="R85">
            <v>124493.79464143398</v>
          </cell>
        </row>
        <row r="89">
          <cell r="Q89">
            <v>90729.147433127771</v>
          </cell>
          <cell r="R89">
            <v>89288.003928705541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96655.163699046534</v>
          </cell>
        </row>
        <row r="89">
          <cell r="Q89">
            <v>72284.89120703665</v>
          </cell>
        </row>
      </sheetData>
      <sheetData sheetId="1">
        <row r="85">
          <cell r="Q85">
            <v>93556.64405330352</v>
          </cell>
        </row>
        <row r="89">
          <cell r="Q89">
            <v>73503.886594778334</v>
          </cell>
        </row>
      </sheetData>
      <sheetData sheetId="2">
        <row r="85">
          <cell r="Q85">
            <v>97990.153760396817</v>
          </cell>
        </row>
        <row r="89">
          <cell r="Q89">
            <v>71653.220434005256</v>
          </cell>
        </row>
      </sheetData>
      <sheetData sheetId="3">
        <row r="85">
          <cell r="Q85">
            <v>100302.93906643338</v>
          </cell>
        </row>
        <row r="89">
          <cell r="Q89">
            <v>71126.195315094577</v>
          </cell>
        </row>
      </sheetData>
      <sheetData sheetId="4">
        <row r="85">
          <cell r="Q85">
            <v>93178.953852403152</v>
          </cell>
        </row>
        <row r="89">
          <cell r="Q89">
            <v>72902.644479104041</v>
          </cell>
        </row>
      </sheetData>
      <sheetData sheetId="5">
        <row r="85">
          <cell r="Q85">
            <v>96189.948957219545</v>
          </cell>
        </row>
        <row r="89">
          <cell r="Q89">
            <v>76069.848659011594</v>
          </cell>
        </row>
      </sheetData>
      <sheetData sheetId="6">
        <row r="85">
          <cell r="Q85">
            <v>92543.76963565145</v>
          </cell>
        </row>
        <row r="89">
          <cell r="Q89">
            <v>74064.364283661926</v>
          </cell>
        </row>
      </sheetData>
      <sheetData sheetId="7">
        <row r="85">
          <cell r="Q85">
            <v>90183.567360384215</v>
          </cell>
        </row>
        <row r="89">
          <cell r="Q89">
            <v>68439.452292166636</v>
          </cell>
        </row>
      </sheetData>
      <sheetData sheetId="8">
        <row r="85">
          <cell r="Q85">
            <v>103407.45847079682</v>
          </cell>
        </row>
        <row r="89">
          <cell r="Q89">
            <v>74478.5025486292</v>
          </cell>
        </row>
      </sheetData>
      <sheetData sheetId="9">
        <row r="85">
          <cell r="Q85">
            <v>100425.46081618569</v>
          </cell>
        </row>
        <row r="89">
          <cell r="Q89">
            <v>73431.154393738543</v>
          </cell>
        </row>
      </sheetData>
      <sheetData sheetId="10">
        <row r="85">
          <cell r="Q85">
            <v>97774.204878417731</v>
          </cell>
        </row>
        <row r="89">
          <cell r="Q89">
            <v>74007.21512687669</v>
          </cell>
        </row>
      </sheetData>
      <sheetData sheetId="11">
        <row r="85">
          <cell r="Q85">
            <v>100586.68480212976</v>
          </cell>
        </row>
        <row r="89">
          <cell r="Q89">
            <v>74886.824484515659</v>
          </cell>
        </row>
      </sheetData>
      <sheetData sheetId="12">
        <row r="85">
          <cell r="Q85">
            <v>93644.463509647117</v>
          </cell>
        </row>
        <row r="89">
          <cell r="Q89">
            <v>68617.621862484797</v>
          </cell>
        </row>
      </sheetData>
      <sheetData sheetId="13">
        <row r="85">
          <cell r="Q85">
            <v>95614.566116016082</v>
          </cell>
        </row>
        <row r="89">
          <cell r="Q89">
            <v>67438.475871591654</v>
          </cell>
        </row>
      </sheetData>
      <sheetData sheetId="14">
        <row r="85">
          <cell r="Q85">
            <v>93226.218680963066</v>
          </cell>
        </row>
        <row r="89">
          <cell r="Q89">
            <v>66869.782901928018</v>
          </cell>
        </row>
      </sheetData>
      <sheetData sheetId="15">
        <row r="85">
          <cell r="Q85">
            <v>94955.037484633911</v>
          </cell>
        </row>
        <row r="89">
          <cell r="Q89">
            <v>73992.920311446404</v>
          </cell>
        </row>
      </sheetData>
      <sheetData sheetId="16">
        <row r="85">
          <cell r="Q85">
            <v>95701.368582119132</v>
          </cell>
        </row>
        <row r="89">
          <cell r="Q89">
            <v>70878.996040723985</v>
          </cell>
        </row>
      </sheetData>
      <sheetData sheetId="17">
        <row r="85">
          <cell r="Q85">
            <v>101631.96785718118</v>
          </cell>
        </row>
        <row r="89">
          <cell r="Q89">
            <v>67795.495671576151</v>
          </cell>
        </row>
      </sheetData>
      <sheetData sheetId="18">
        <row r="85">
          <cell r="Q85">
            <v>99099.075514577809</v>
          </cell>
        </row>
        <row r="89">
          <cell r="Q89">
            <v>65120.757015335024</v>
          </cell>
        </row>
      </sheetData>
      <sheetData sheetId="19">
        <row r="85">
          <cell r="Q85">
            <v>98558.928687081367</v>
          </cell>
        </row>
        <row r="89">
          <cell r="Q89">
            <v>69161.80069198925</v>
          </cell>
        </row>
      </sheetData>
      <sheetData sheetId="20">
        <row r="85">
          <cell r="Q85">
            <v>119315.54289757906</v>
          </cell>
        </row>
        <row r="89">
          <cell r="Q89">
            <v>83798.376691928017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시참고"/>
      <sheetName val="손익"/>
      <sheetName val="판매계획"/>
      <sheetName val="매입계획"/>
      <sheetName val="비율"/>
      <sheetName val="판매4"/>
      <sheetName val="판매6"/>
      <sheetName val="판매"/>
      <sheetName val="인원수"/>
      <sheetName val="계정통제"/>
      <sheetName val="본사산출"/>
    </sheetNames>
    <sheetDataSet>
      <sheetData sheetId="0"/>
      <sheetData sheetId="1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6900</v>
          </cell>
          <cell r="H6">
            <v>6400</v>
          </cell>
          <cell r="I6">
            <v>7300</v>
          </cell>
          <cell r="J6">
            <v>7300</v>
          </cell>
          <cell r="K6">
            <v>7600</v>
          </cell>
          <cell r="L6">
            <v>6100</v>
          </cell>
          <cell r="M6">
            <v>7100</v>
          </cell>
          <cell r="N6">
            <v>8100</v>
          </cell>
          <cell r="O6">
            <v>6500</v>
          </cell>
          <cell r="P6">
            <v>8900</v>
          </cell>
          <cell r="Q6">
            <v>9200</v>
          </cell>
          <cell r="R6">
            <v>8600</v>
          </cell>
          <cell r="S6">
            <v>90000</v>
          </cell>
          <cell r="T6"/>
          <cell r="U6"/>
          <cell r="V6">
            <v>13300</v>
          </cell>
          <cell r="W6">
            <v>20600</v>
          </cell>
          <cell r="X6">
            <v>27900</v>
          </cell>
          <cell r="Y6">
            <v>35500</v>
          </cell>
          <cell r="Z6">
            <v>41600</v>
          </cell>
          <cell r="AA6">
            <v>48700</v>
          </cell>
          <cell r="AB6">
            <v>56800</v>
          </cell>
          <cell r="AC6">
            <v>63300</v>
          </cell>
          <cell r="AD6">
            <v>72200</v>
          </cell>
          <cell r="AE6">
            <v>81400</v>
          </cell>
          <cell r="AF6">
            <v>90000</v>
          </cell>
        </row>
        <row r="7">
          <cell r="G7">
            <v>8447943.157894738</v>
          </cell>
          <cell r="H7">
            <v>7830197.8947368432</v>
          </cell>
          <cell r="I7">
            <v>8929315.7894736845</v>
          </cell>
          <cell r="J7">
            <v>8929315.7894736845</v>
          </cell>
          <cell r="K7">
            <v>9285688.4210526329</v>
          </cell>
          <cell r="L7">
            <v>7443825.2631578958</v>
          </cell>
          <cell r="M7">
            <v>8684490.5263157897</v>
          </cell>
          <cell r="N7">
            <v>9915846.3157894723</v>
          </cell>
          <cell r="O7">
            <v>7946920.0000000009</v>
          </cell>
          <cell r="P7">
            <v>10873416.842105264</v>
          </cell>
          <cell r="Q7">
            <v>11242202.105263157</v>
          </cell>
          <cell r="R7">
            <v>10504631.578947367</v>
          </cell>
          <cell r="S7">
            <v>110033793.68421054</v>
          </cell>
          <cell r="T7">
            <v>1222597.7076023393</v>
          </cell>
          <cell r="U7"/>
          <cell r="V7">
            <v>16278141.052631581</v>
          </cell>
          <cell r="W7">
            <v>25207456.842105266</v>
          </cell>
          <cell r="X7">
            <v>34136772.631578952</v>
          </cell>
          <cell r="Y7">
            <v>43422461.052631587</v>
          </cell>
          <cell r="Z7">
            <v>50866286.315789483</v>
          </cell>
          <cell r="AA7">
            <v>59550776.842105269</v>
          </cell>
          <cell r="AB7">
            <v>69466623.157894745</v>
          </cell>
          <cell r="AC7">
            <v>77413543.157894745</v>
          </cell>
          <cell r="AD7">
            <v>88286960.000000015</v>
          </cell>
          <cell r="AE7">
            <v>99529162.105263174</v>
          </cell>
          <cell r="AF7">
            <v>110033793.68421054</v>
          </cell>
        </row>
        <row r="8">
          <cell r="G8">
            <v>1224339.5881006867</v>
          </cell>
          <cell r="H8">
            <v>1223468.4210526319</v>
          </cell>
          <cell r="I8">
            <v>1223193.9437635185</v>
          </cell>
          <cell r="J8">
            <v>1223193.9437635185</v>
          </cell>
          <cell r="K8">
            <v>1221801.1080332412</v>
          </cell>
          <cell r="L8">
            <v>1220299.2234685076</v>
          </cell>
          <cell r="M8">
            <v>1223167.6797627872</v>
          </cell>
          <cell r="N8">
            <v>1224178.5575048733</v>
          </cell>
          <cell r="O8">
            <v>1222603.076923077</v>
          </cell>
          <cell r="P8">
            <v>1221732.2294500296</v>
          </cell>
          <cell r="Q8">
            <v>1221978.4897025169</v>
          </cell>
          <cell r="R8">
            <v>1221468.788249694</v>
          </cell>
          <cell r="S8">
            <v>14671425.049775083</v>
          </cell>
          <cell r="T8">
            <v>163015.8338863898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8231946.9948631572</v>
          </cell>
          <cell r="H9">
            <v>7629616.4119578954</v>
          </cell>
          <cell r="I9">
            <v>8700442.2863157876</v>
          </cell>
          <cell r="J9">
            <v>8700442.2863157876</v>
          </cell>
          <cell r="K9">
            <v>9048062.5777684227</v>
          </cell>
          <cell r="L9">
            <v>7254031.1205052622</v>
          </cell>
          <cell r="M9">
            <v>8462695.4458105247</v>
          </cell>
          <cell r="N9">
            <v>9662374.0809263159</v>
          </cell>
          <cell r="O9">
            <v>7743493.0223999992</v>
          </cell>
          <cell r="P9">
            <v>10595361.504336843</v>
          </cell>
          <cell r="Q9">
            <v>10954962.716042105</v>
          </cell>
          <cell r="R9">
            <v>10235760.29263158</v>
          </cell>
          <cell r="S9">
            <v>107219188.73987368</v>
          </cell>
          <cell r="T9">
            <v>1191324.3193319298</v>
          </cell>
          <cell r="U9"/>
          <cell r="V9">
            <v>15861563.406821053</v>
          </cell>
          <cell r="W9">
            <v>24562005.693136841</v>
          </cell>
          <cell r="X9">
            <v>33262447.979452629</v>
          </cell>
          <cell r="Y9">
            <v>42310510.557221055</v>
          </cell>
          <cell r="Z9">
            <v>49564541.677726313</v>
          </cell>
          <cell r="AA9">
            <v>58027237.12353684</v>
          </cell>
          <cell r="AB9">
            <v>67689611.204463154</v>
          </cell>
          <cell r="AC9">
            <v>75433104.226863146</v>
          </cell>
          <cell r="AD9">
            <v>86028465.731199995</v>
          </cell>
          <cell r="AE9">
            <v>96983428.447242096</v>
          </cell>
          <cell r="AF9">
            <v>107219188.73987368</v>
          </cell>
        </row>
        <row r="10">
          <cell r="G10">
            <v>1193035.7963569793</v>
          </cell>
          <cell r="H10">
            <v>1192127.5643684212</v>
          </cell>
          <cell r="I10">
            <v>1191841.4090843543</v>
          </cell>
          <cell r="J10">
            <v>1191841.4090843543</v>
          </cell>
          <cell r="K10">
            <v>1190534.5497063713</v>
          </cell>
          <cell r="L10">
            <v>1189185.4295910266</v>
          </cell>
          <cell r="M10">
            <v>1191928.9360296514</v>
          </cell>
          <cell r="N10">
            <v>1192885.6890032489</v>
          </cell>
          <cell r="O10">
            <v>1191306.6188307691</v>
          </cell>
          <cell r="P10">
            <v>1190490.0566670611</v>
          </cell>
          <cell r="Q10">
            <v>1190756.8169610985</v>
          </cell>
          <cell r="R10">
            <v>1190204.6851897184</v>
          </cell>
          <cell r="S10">
            <v>14296138.960873054</v>
          </cell>
          <cell r="T10">
            <v>158845.98845414503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215996.16303158086</v>
          </cell>
          <cell r="H11">
            <v>200581.4827789478</v>
          </cell>
          <cell r="I11">
            <v>228873.50315789692</v>
          </cell>
          <cell r="J11">
            <v>228873.50315789692</v>
          </cell>
          <cell r="K11">
            <v>237625.84328421019</v>
          </cell>
          <cell r="L11">
            <v>189794.1426526336</v>
          </cell>
          <cell r="M11">
            <v>221795.08050526492</v>
          </cell>
          <cell r="N11">
            <v>253472.23486315645</v>
          </cell>
          <cell r="O11">
            <v>203426.97760000173</v>
          </cell>
          <cell r="P11">
            <v>278055.33776842058</v>
          </cell>
          <cell r="Q11">
            <v>287239.38922105171</v>
          </cell>
          <cell r="R11">
            <v>268871.28631578758</v>
          </cell>
          <cell r="S11">
            <v>2814604.9443368493</v>
          </cell>
          <cell r="T11">
            <v>31273.388270409439</v>
          </cell>
          <cell r="U11"/>
          <cell r="V11">
            <v>416577.64581052773</v>
          </cell>
          <cell r="W11">
            <v>645451.14896842465</v>
          </cell>
          <cell r="X11">
            <v>874324.65212632343</v>
          </cell>
          <cell r="Y11">
            <v>1111950.4954105318</v>
          </cell>
          <cell r="Z11">
            <v>1301744.63806317</v>
          </cell>
          <cell r="AA11">
            <v>1523539.7185684294</v>
          </cell>
          <cell r="AB11">
            <v>1777011.9534315914</v>
          </cell>
          <cell r="AC11">
            <v>1980438.9310315996</v>
          </cell>
          <cell r="AD11">
            <v>2258494.2688000202</v>
          </cell>
          <cell r="AE11">
            <v>2545733.6580210775</v>
          </cell>
          <cell r="AF11">
            <v>2814604.9443368614</v>
          </cell>
        </row>
        <row r="12">
          <cell r="G12">
            <v>31303.79174370737</v>
          </cell>
          <cell r="H12">
            <v>31340.856684210594</v>
          </cell>
          <cell r="I12">
            <v>31352.534679163964</v>
          </cell>
          <cell r="J12">
            <v>31352.534679163964</v>
          </cell>
          <cell r="K12">
            <v>31266.558326869763</v>
          </cell>
          <cell r="L12">
            <v>31113.793877480919</v>
          </cell>
          <cell r="M12">
            <v>31238.743733135907</v>
          </cell>
          <cell r="N12">
            <v>31292.868501624253</v>
          </cell>
          <cell r="O12">
            <v>31296.458092307959</v>
          </cell>
          <cell r="P12">
            <v>31242.172782968606</v>
          </cell>
          <cell r="Q12">
            <v>31221.672741418664</v>
          </cell>
          <cell r="R12">
            <v>31264.103059975303</v>
          </cell>
          <cell r="S12">
            <v>375286.08890202729</v>
          </cell>
          <cell r="T12">
            <v>4169.8454322447478</v>
          </cell>
          <cell r="U12"/>
          <cell r="V12">
            <v>31321.627504550957</v>
          </cell>
          <cell r="W12">
            <v>31332.580047010902</v>
          </cell>
          <cell r="X12">
            <v>31337.801151481126</v>
          </cell>
          <cell r="Y12">
            <v>31322.549166493853</v>
          </cell>
          <cell r="Z12">
            <v>31291.93841498005</v>
          </cell>
          <cell r="AA12">
            <v>31284.18313282196</v>
          </cell>
          <cell r="AB12">
            <v>31285.421715344921</v>
          </cell>
          <cell r="AC12">
            <v>31286.554992600311</v>
          </cell>
          <cell r="AD12">
            <v>31281.084055401941</v>
          </cell>
          <cell r="AE12">
            <v>31274.369263158198</v>
          </cell>
          <cell r="AF12">
            <v>31273.38827040957</v>
          </cell>
        </row>
        <row r="13">
          <cell r="G13">
            <v>2.5567899664396886E-2</v>
          </cell>
          <cell r="H13">
            <v>2.5616400182397806E-2</v>
          </cell>
          <cell r="I13">
            <v>2.5631695479703408E-2</v>
          </cell>
          <cell r="J13">
            <v>2.5631695479703408E-2</v>
          </cell>
          <cell r="K13">
            <v>2.5590546711158412E-2</v>
          </cell>
          <cell r="L13">
            <v>2.5496856245671353E-2</v>
          </cell>
          <cell r="M13">
            <v>2.5539216127092347E-2</v>
          </cell>
          <cell r="N13">
            <v>2.5562339995078443E-2</v>
          </cell>
          <cell r="O13">
            <v>2.5598216365585874E-2</v>
          </cell>
          <cell r="P13">
            <v>2.5572029639450915E-2</v>
          </cell>
          <cell r="Q13">
            <v>2.55501001077518E-2</v>
          </cell>
          <cell r="R13">
            <v>2.5595498927791074E-2</v>
          </cell>
          <cell r="S13">
            <v>2.5579459274253261E-2</v>
          </cell>
          <cell r="T13"/>
          <cell r="U13"/>
          <cell r="V13">
            <v>2.5591229641248398E-2</v>
          </cell>
          <cell r="W13">
            <v>2.5605563980984212E-2</v>
          </cell>
          <cell r="X13">
            <v>2.5612399319715148E-2</v>
          </cell>
          <cell r="Y13">
            <v>2.5607726242479818E-2</v>
          </cell>
          <cell r="Z13">
            <v>2.5591501411792537E-2</v>
          </cell>
          <cell r="AA13">
            <v>2.5583876472476397E-2</v>
          </cell>
          <cell r="AB13">
            <v>2.5580802299724821E-2</v>
          </cell>
          <cell r="AC13">
            <v>2.5582589948017792E-2</v>
          </cell>
          <cell r="AD13">
            <v>2.5581289341030881E-2</v>
          </cell>
          <cell r="AE13">
            <v>2.5577766397035278E-2</v>
          </cell>
          <cell r="AF13">
            <v>2.5579459274253372E-2</v>
          </cell>
        </row>
        <row r="14">
          <cell r="G14">
            <v>116337.58</v>
          </cell>
          <cell r="H14">
            <v>124492.19</v>
          </cell>
          <cell r="I14">
            <v>129557.48000000001</v>
          </cell>
          <cell r="J14">
            <v>116595.95999999999</v>
          </cell>
          <cell r="K14">
            <v>119169.95999999999</v>
          </cell>
          <cell r="L14">
            <v>119422.94</v>
          </cell>
          <cell r="M14">
            <v>116595.95999999999</v>
          </cell>
          <cell r="N14">
            <v>116595.95999999999</v>
          </cell>
          <cell r="O14">
            <v>137627.18</v>
          </cell>
          <cell r="P14">
            <v>117362.95999999999</v>
          </cell>
          <cell r="Q14">
            <v>116595.95999999999</v>
          </cell>
          <cell r="R14">
            <v>124922.94</v>
          </cell>
          <cell r="S14">
            <v>1455277.0699999996</v>
          </cell>
          <cell r="T14">
            <v>16169.745222222218</v>
          </cell>
          <cell r="U14"/>
          <cell r="V14">
            <v>240829.77000000002</v>
          </cell>
          <cell r="W14">
            <v>370387.25</v>
          </cell>
          <cell r="X14">
            <v>486983.20999999996</v>
          </cell>
          <cell r="Y14">
            <v>606153.17000000004</v>
          </cell>
          <cell r="Z14">
            <v>725576.11</v>
          </cell>
          <cell r="AA14">
            <v>842172.07</v>
          </cell>
          <cell r="AB14">
            <v>958768.02999999991</v>
          </cell>
          <cell r="AC14">
            <v>1096395.21</v>
          </cell>
          <cell r="AD14">
            <v>1213758.17</v>
          </cell>
          <cell r="AE14">
            <v>1330354.1299999999</v>
          </cell>
          <cell r="AF14">
            <v>1455277.0699999998</v>
          </cell>
        </row>
        <row r="15">
          <cell r="G15">
            <v>82217.06</v>
          </cell>
          <cell r="H15">
            <v>82217.06</v>
          </cell>
          <cell r="I15">
            <v>83504.47</v>
          </cell>
          <cell r="J15">
            <v>83504.47</v>
          </cell>
          <cell r="K15">
            <v>83504.47</v>
          </cell>
          <cell r="L15">
            <v>83504.47</v>
          </cell>
          <cell r="M15">
            <v>83504.47</v>
          </cell>
          <cell r="N15">
            <v>83504.47</v>
          </cell>
          <cell r="O15">
            <v>83504.47</v>
          </cell>
          <cell r="P15">
            <v>83504.47</v>
          </cell>
          <cell r="Q15">
            <v>83504.47</v>
          </cell>
          <cell r="R15">
            <v>83504.47</v>
          </cell>
          <cell r="S15">
            <v>999478.81999999983</v>
          </cell>
          <cell r="T15">
            <v>11105.320222222221</v>
          </cell>
          <cell r="U15"/>
          <cell r="V15">
            <v>164434.12</v>
          </cell>
          <cell r="W15">
            <v>247938.59</v>
          </cell>
          <cell r="X15">
            <v>331443.06</v>
          </cell>
          <cell r="Y15">
            <v>414947.53</v>
          </cell>
          <cell r="Z15">
            <v>498452</v>
          </cell>
          <cell r="AA15">
            <v>581956.47</v>
          </cell>
          <cell r="AB15">
            <v>665460.93999999994</v>
          </cell>
          <cell r="AC15">
            <v>748965.40999999992</v>
          </cell>
          <cell r="AD15">
            <v>832469.87999999989</v>
          </cell>
          <cell r="AE15">
            <v>915974.34999999986</v>
          </cell>
          <cell r="AF15">
            <v>999478.81999999983</v>
          </cell>
        </row>
        <row r="16">
          <cell r="G16">
            <v>34120.520000000004</v>
          </cell>
          <cell r="H16">
            <v>42275.130000000005</v>
          </cell>
          <cell r="I16">
            <v>46053.01</v>
          </cell>
          <cell r="J16">
            <v>33091.49</v>
          </cell>
          <cell r="K16">
            <v>35665.49</v>
          </cell>
          <cell r="L16">
            <v>35918.47</v>
          </cell>
          <cell r="M16">
            <v>33091.49</v>
          </cell>
          <cell r="N16">
            <v>33091.49</v>
          </cell>
          <cell r="O16">
            <v>54122.71</v>
          </cell>
          <cell r="P16">
            <v>33858.49</v>
          </cell>
          <cell r="Q16">
            <v>33091.49</v>
          </cell>
          <cell r="R16">
            <v>41418.47</v>
          </cell>
          <cell r="S16">
            <v>455798.25</v>
          </cell>
          <cell r="T16">
            <v>5064.4250000000002</v>
          </cell>
          <cell r="U16"/>
          <cell r="V16">
            <v>76395.650000000009</v>
          </cell>
          <cell r="W16">
            <v>122448.66</v>
          </cell>
          <cell r="X16">
            <v>155540.15</v>
          </cell>
          <cell r="Y16">
            <v>191205.63999999998</v>
          </cell>
          <cell r="Z16">
            <v>227124.11</v>
          </cell>
          <cell r="AA16">
            <v>260215.59999999998</v>
          </cell>
          <cell r="AB16">
            <v>293307.08999999997</v>
          </cell>
          <cell r="AC16">
            <v>347429.8</v>
          </cell>
          <cell r="AD16">
            <v>381288.29</v>
          </cell>
          <cell r="AE16">
            <v>414379.77999999997</v>
          </cell>
          <cell r="AF16">
            <v>455798.25</v>
          </cell>
        </row>
        <row r="17">
          <cell r="G17">
            <v>99658.583031580856</v>
          </cell>
          <cell r="H17">
            <v>76089.292778947798</v>
          </cell>
          <cell r="I17">
            <v>99316.023157896911</v>
          </cell>
          <cell r="J17">
            <v>112277.54315789693</v>
          </cell>
          <cell r="K17">
            <v>118455.8832842102</v>
          </cell>
          <cell r="L17">
            <v>70371.202652633598</v>
          </cell>
          <cell r="M17">
            <v>105199.12050526493</v>
          </cell>
          <cell r="N17">
            <v>136876.27486315646</v>
          </cell>
          <cell r="O17">
            <v>65799.797600001737</v>
          </cell>
          <cell r="P17">
            <v>160692.37776842059</v>
          </cell>
          <cell r="Q17">
            <v>170643.42922105172</v>
          </cell>
          <cell r="R17">
            <v>143948.34631578758</v>
          </cell>
          <cell r="S17">
            <v>1359327.8743368497</v>
          </cell>
          <cell r="T17">
            <v>15103.643048187218</v>
          </cell>
          <cell r="U17"/>
          <cell r="V17">
            <v>175747.87581052771</v>
          </cell>
          <cell r="W17">
            <v>275063.89896842465</v>
          </cell>
          <cell r="X17">
            <v>387341.44212632347</v>
          </cell>
          <cell r="Y17">
            <v>505797.32541053172</v>
          </cell>
          <cell r="Z17">
            <v>576168.52806317003</v>
          </cell>
          <cell r="AA17">
            <v>681367.6485684294</v>
          </cell>
          <cell r="AB17">
            <v>818243.92343159148</v>
          </cell>
          <cell r="AC17">
            <v>884043.72103159968</v>
          </cell>
          <cell r="AD17">
            <v>1044736.0988000203</v>
          </cell>
          <cell r="AE17">
            <v>1215379.5280210776</v>
          </cell>
          <cell r="AF17">
            <v>1359327.8743368615</v>
          </cell>
        </row>
        <row r="18">
          <cell r="G18">
            <v>1.1796786646042749E-2</v>
          </cell>
          <cell r="H18">
            <v>9.7174163158880167E-3</v>
          </cell>
          <cell r="I18">
            <v>1.1122467331144846E-2</v>
          </cell>
          <cell r="J18">
            <v>1.2574036556110516E-2</v>
          </cell>
          <cell r="K18">
            <v>1.2756822963782145E-2</v>
          </cell>
          <cell r="L18">
            <v>9.453634410378409E-3</v>
          </cell>
          <cell r="M18">
            <v>1.2113447551873076E-2</v>
          </cell>
          <cell r="N18">
            <v>1.3803791477203703E-2</v>
          </cell>
          <cell r="O18">
            <v>8.2799119155599569E-3</v>
          </cell>
          <cell r="P18">
            <v>1.4778462014458007E-2</v>
          </cell>
          <cell r="Q18">
            <v>1.5178825965169509E-2</v>
          </cell>
          <cell r="R18">
            <v>1.3703321742789969E-2</v>
          </cell>
          <cell r="S18">
            <v>1.2353730875062145E-2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G19">
            <v>4908.0999999999995</v>
          </cell>
          <cell r="H19">
            <v>4908.0999999999995</v>
          </cell>
          <cell r="I19">
            <v>4908.0999999999995</v>
          </cell>
          <cell r="J19">
            <v>4908.0999999999995</v>
          </cell>
          <cell r="K19">
            <v>4908.0999999999995</v>
          </cell>
          <cell r="L19">
            <v>4908.0999999999995</v>
          </cell>
          <cell r="M19">
            <v>4908.0999999999995</v>
          </cell>
          <cell r="N19">
            <v>4908.0999999999995</v>
          </cell>
          <cell r="O19">
            <v>4908.0999999999995</v>
          </cell>
          <cell r="P19">
            <v>4908.0999999999995</v>
          </cell>
          <cell r="Q19">
            <v>4908.0999999999995</v>
          </cell>
          <cell r="R19">
            <v>4908.0999999999995</v>
          </cell>
          <cell r="S19">
            <v>58897.19999999999</v>
          </cell>
          <cell r="T19">
            <v>654.41333333333318</v>
          </cell>
          <cell r="U19"/>
          <cell r="V19">
            <v>9816.1999999999989</v>
          </cell>
          <cell r="W19">
            <v>14724.3</v>
          </cell>
          <cell r="X19">
            <v>19632.399999999998</v>
          </cell>
          <cell r="Y19">
            <v>24540.499999999996</v>
          </cell>
          <cell r="Z19">
            <v>29448.599999999995</v>
          </cell>
          <cell r="AA19">
            <v>34356.699999999997</v>
          </cell>
          <cell r="AB19">
            <v>39264.799999999996</v>
          </cell>
          <cell r="AC19">
            <v>44172.899999999994</v>
          </cell>
          <cell r="AD19">
            <v>49080.999999999993</v>
          </cell>
          <cell r="AE19">
            <v>53989.099999999991</v>
          </cell>
          <cell r="AF19">
            <v>58897.19999999999</v>
          </cell>
        </row>
        <row r="20">
          <cell r="G20">
            <v>4908.0999999999995</v>
          </cell>
          <cell r="H20">
            <v>4908.0999999999995</v>
          </cell>
          <cell r="I20">
            <v>4908.0999999999995</v>
          </cell>
          <cell r="J20">
            <v>4908.0999999999995</v>
          </cell>
          <cell r="K20">
            <v>4908.0999999999995</v>
          </cell>
          <cell r="L20">
            <v>4908.0999999999995</v>
          </cell>
          <cell r="M20">
            <v>4908.0999999999995</v>
          </cell>
          <cell r="N20">
            <v>4908.0999999999995</v>
          </cell>
          <cell r="O20">
            <v>4908.0999999999995</v>
          </cell>
          <cell r="P20">
            <v>4908.0999999999995</v>
          </cell>
          <cell r="Q20">
            <v>4908.0999999999995</v>
          </cell>
          <cell r="R20">
            <v>4908.0999999999995</v>
          </cell>
          <cell r="S20">
            <v>58897.19999999999</v>
          </cell>
          <cell r="T20">
            <v>654.41333333333318</v>
          </cell>
          <cell r="U20"/>
          <cell r="V20">
            <v>9816.1999999999989</v>
          </cell>
          <cell r="W20">
            <v>14724.3</v>
          </cell>
          <cell r="X20">
            <v>19632.399999999998</v>
          </cell>
          <cell r="Y20">
            <v>24540.499999999996</v>
          </cell>
          <cell r="Z20">
            <v>29448.599999999995</v>
          </cell>
          <cell r="AA20">
            <v>34356.699999999997</v>
          </cell>
          <cell r="AB20">
            <v>39264.799999999996</v>
          </cell>
          <cell r="AC20">
            <v>44172.899999999994</v>
          </cell>
          <cell r="AD20">
            <v>49080.999999999993</v>
          </cell>
          <cell r="AE20">
            <v>53989.099999999991</v>
          </cell>
          <cell r="AF20">
            <v>58897.19999999999</v>
          </cell>
        </row>
        <row r="21">
          <cell r="G21">
            <v>94750.48303158085</v>
          </cell>
          <cell r="H21">
            <v>71181.192778947792</v>
          </cell>
          <cell r="I21">
            <v>94407.923157896905</v>
          </cell>
          <cell r="J21">
            <v>107369.44315789692</v>
          </cell>
          <cell r="K21">
            <v>113547.78328421019</v>
          </cell>
          <cell r="L21">
            <v>65463.102652633599</v>
          </cell>
          <cell r="M21">
            <v>100291.02050526493</v>
          </cell>
          <cell r="N21">
            <v>131968.17486315646</v>
          </cell>
          <cell r="O21">
            <v>60891.697600001738</v>
          </cell>
          <cell r="P21">
            <v>155784.27776842058</v>
          </cell>
          <cell r="Q21">
            <v>165735.32922105171</v>
          </cell>
          <cell r="R21">
            <v>139040.24631578758</v>
          </cell>
          <cell r="S21">
            <v>1300430.674336849</v>
          </cell>
          <cell r="T21">
            <v>14449.229714853878</v>
          </cell>
          <cell r="U21"/>
          <cell r="V21">
            <v>165931.6758105277</v>
          </cell>
          <cell r="W21">
            <v>260339.59896842466</v>
          </cell>
          <cell r="X21">
            <v>367709.04212632345</v>
          </cell>
          <cell r="Y21">
            <v>481256.82541053172</v>
          </cell>
          <cell r="Z21">
            <v>546719.92806317005</v>
          </cell>
          <cell r="AA21">
            <v>647010.94856842945</v>
          </cell>
          <cell r="AB21">
            <v>778979.12343159143</v>
          </cell>
          <cell r="AC21">
            <v>839870.82103159965</v>
          </cell>
          <cell r="AD21">
            <v>995655.09880002029</v>
          </cell>
          <cell r="AE21">
            <v>1161390.4280210775</v>
          </cell>
          <cell r="AF21">
            <v>1300430.6743368616</v>
          </cell>
        </row>
        <row r="22">
          <cell r="G22">
            <v>1.1215804990713629E-2</v>
          </cell>
          <cell r="H22">
            <v>9.0905994632387317E-3</v>
          </cell>
          <cell r="I22">
            <v>1.0572805955545843E-2</v>
          </cell>
          <cell r="J22">
            <v>1.2024375180511511E-2</v>
          </cell>
          <cell r="K22">
            <v>1.2228256876116282E-2</v>
          </cell>
          <cell r="L22">
            <v>8.7942825547818095E-3</v>
          </cell>
          <cell r="M22">
            <v>1.1548290622387408E-2</v>
          </cell>
          <cell r="N22">
            <v>1.3308816076850371E-2</v>
          </cell>
          <cell r="O22">
            <v>7.6623015709232929E-3</v>
          </cell>
          <cell r="P22">
            <v>1.4327076762584438E-2</v>
          </cell>
          <cell r="Q22">
            <v>1.4742247797116274E-2</v>
          </cell>
          <cell r="R22">
            <v>1.3236089744874262E-2</v>
          </cell>
          <cell r="S22">
            <v>1.1818466225648786E-2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R23">
            <v>304775.57553683931</v>
          </cell>
          <cell r="S23">
            <v>1.4014710369451358E-2</v>
          </cell>
        </row>
        <row r="24">
          <cell r="G24">
            <v>6900</v>
          </cell>
          <cell r="H24">
            <v>6400</v>
          </cell>
          <cell r="I24">
            <v>7300</v>
          </cell>
          <cell r="J24">
            <v>7300</v>
          </cell>
          <cell r="K24">
            <v>7600</v>
          </cell>
          <cell r="L24">
            <v>6100</v>
          </cell>
          <cell r="M24">
            <v>7100</v>
          </cell>
          <cell r="N24">
            <v>8100</v>
          </cell>
          <cell r="O24">
            <v>6500</v>
          </cell>
          <cell r="P24">
            <v>8900</v>
          </cell>
          <cell r="Q24">
            <v>9200</v>
          </cell>
          <cell r="R24">
            <v>8600</v>
          </cell>
          <cell r="S24">
            <v>90000</v>
          </cell>
          <cell r="T24"/>
          <cell r="U24"/>
          <cell r="V24">
            <v>13300</v>
          </cell>
          <cell r="W24">
            <v>20600</v>
          </cell>
          <cell r="X24">
            <v>27900</v>
          </cell>
          <cell r="Y24">
            <v>35500</v>
          </cell>
          <cell r="Z24">
            <v>41600</v>
          </cell>
          <cell r="AA24">
            <v>48700</v>
          </cell>
          <cell r="AB24">
            <v>56800</v>
          </cell>
          <cell r="AC24">
            <v>63300</v>
          </cell>
          <cell r="AD24">
            <v>72200</v>
          </cell>
          <cell r="AE24">
            <v>81400</v>
          </cell>
          <cell r="AF24">
            <v>90000</v>
          </cell>
        </row>
        <row r="25">
          <cell r="G25">
            <v>976086.95652173914</v>
          </cell>
          <cell r="H25">
            <v>978125</v>
          </cell>
          <cell r="I25">
            <v>978767.12328767125</v>
          </cell>
          <cell r="J25">
            <v>978767.12328767125</v>
          </cell>
          <cell r="K25">
            <v>977631.57894736843</v>
          </cell>
          <cell r="L25">
            <v>974590.16393442615</v>
          </cell>
          <cell r="M25">
            <v>975352.11267605633</v>
          </cell>
          <cell r="N25">
            <v>975925.92592592596</v>
          </cell>
          <cell r="O25">
            <v>977692.30769230775</v>
          </cell>
          <cell r="P25">
            <v>976966.29213483143</v>
          </cell>
          <cell r="Q25">
            <v>976086.95652173914</v>
          </cell>
          <cell r="R25">
            <v>977906.97674418602</v>
          </cell>
          <cell r="S25">
            <v>977000</v>
          </cell>
          <cell r="T25"/>
          <cell r="U25"/>
          <cell r="V25">
            <v>977067.66917293239</v>
          </cell>
          <cell r="W25">
            <v>977669.90291262139</v>
          </cell>
          <cell r="X25">
            <v>977956.98924731184</v>
          </cell>
          <cell r="Y25">
            <v>977887.32394366199</v>
          </cell>
          <cell r="Z25">
            <v>977403.84615384624</v>
          </cell>
          <cell r="AA25">
            <v>977104.72279260785</v>
          </cell>
          <cell r="AB25">
            <v>976936.61971830984</v>
          </cell>
          <cell r="AC25">
            <v>977014.21800947865</v>
          </cell>
          <cell r="AD25">
            <v>977008.31024930743</v>
          </cell>
          <cell r="AE25">
            <v>976904.17690417694</v>
          </cell>
          <cell r="AF25">
            <v>977000</v>
          </cell>
        </row>
        <row r="26">
          <cell r="G26">
            <v>6735000</v>
          </cell>
          <cell r="H26">
            <v>6260000</v>
          </cell>
          <cell r="I26">
            <v>7145000</v>
          </cell>
          <cell r="J26">
            <v>7145000</v>
          </cell>
          <cell r="K26">
            <v>7430000</v>
          </cell>
          <cell r="L26">
            <v>5945000</v>
          </cell>
          <cell r="M26">
            <v>6925000</v>
          </cell>
          <cell r="N26">
            <v>7905000</v>
          </cell>
          <cell r="O26">
            <v>6355000</v>
          </cell>
          <cell r="P26">
            <v>8695000</v>
          </cell>
          <cell r="Q26">
            <v>8980000</v>
          </cell>
          <cell r="R26">
            <v>8410000</v>
          </cell>
          <cell r="S26">
            <v>87930000</v>
          </cell>
          <cell r="T26"/>
          <cell r="U26"/>
          <cell r="V26">
            <v>12995000</v>
          </cell>
          <cell r="W26">
            <v>20140000</v>
          </cell>
          <cell r="X26">
            <v>27285000</v>
          </cell>
          <cell r="Y26">
            <v>34715000</v>
          </cell>
          <cell r="Z26">
            <v>40660000</v>
          </cell>
          <cell r="AA26">
            <v>47585000</v>
          </cell>
          <cell r="AB26">
            <v>55490000</v>
          </cell>
          <cell r="AC26">
            <v>61845000</v>
          </cell>
          <cell r="AD26">
            <v>70540000</v>
          </cell>
          <cell r="AE26">
            <v>79520000</v>
          </cell>
          <cell r="AF26">
            <v>87930000</v>
          </cell>
        </row>
        <row r="27">
          <cell r="G27">
            <v>1712943.157894738</v>
          </cell>
          <cell r="H27">
            <v>1570197.8947368432</v>
          </cell>
          <cell r="I27">
            <v>1784315.7894736845</v>
          </cell>
          <cell r="J27">
            <v>1784315.7894736845</v>
          </cell>
          <cell r="K27">
            <v>1855688.4210526329</v>
          </cell>
          <cell r="L27">
            <v>1498825.2631578958</v>
          </cell>
          <cell r="M27">
            <v>1759490.5263157897</v>
          </cell>
          <cell r="N27">
            <v>2010846.3157894723</v>
          </cell>
          <cell r="O27">
            <v>1591920.0000000009</v>
          </cell>
          <cell r="P27">
            <v>2178416.8421052638</v>
          </cell>
          <cell r="Q27">
            <v>2262202.1052631568</v>
          </cell>
          <cell r="R27">
            <v>2094631.5789473671</v>
          </cell>
          <cell r="S27">
            <v>22103793.684210531</v>
          </cell>
          <cell r="T27"/>
          <cell r="U27"/>
          <cell r="V27">
            <v>3283141.0526315812</v>
          </cell>
          <cell r="W27">
            <v>5067456.8421052657</v>
          </cell>
          <cell r="X27">
            <v>6851772.6315789502</v>
          </cell>
          <cell r="Y27">
            <v>8707461.0526315831</v>
          </cell>
          <cell r="Z27">
            <v>10206286.31578948</v>
          </cell>
          <cell r="AA27">
            <v>11965776.842105269</v>
          </cell>
          <cell r="AB27">
            <v>13976623.157894742</v>
          </cell>
          <cell r="AC27">
            <v>15568543.157894742</v>
          </cell>
          <cell r="AD27">
            <v>17746960.000000007</v>
          </cell>
          <cell r="AE27">
            <v>20009162.105263166</v>
          </cell>
          <cell r="AF27">
            <v>22103793.684210531</v>
          </cell>
        </row>
        <row r="28">
          <cell r="G28">
            <v>8447943.157894738</v>
          </cell>
          <cell r="H28">
            <v>7830197.8947368432</v>
          </cell>
          <cell r="I28">
            <v>8929315.7894736845</v>
          </cell>
          <cell r="J28">
            <v>8929315.7894736845</v>
          </cell>
          <cell r="K28">
            <v>9285688.4210526329</v>
          </cell>
          <cell r="L28">
            <v>7443825.2631578958</v>
          </cell>
          <cell r="M28">
            <v>8684490.5263157897</v>
          </cell>
          <cell r="N28">
            <v>9915846.3157894723</v>
          </cell>
          <cell r="O28">
            <v>7946920.0000000009</v>
          </cell>
          <cell r="P28">
            <v>10873416.842105264</v>
          </cell>
          <cell r="Q28">
            <v>11242202.105263157</v>
          </cell>
          <cell r="R28">
            <v>10504631.578947367</v>
          </cell>
          <cell r="S28">
            <v>110033793.68421054</v>
          </cell>
          <cell r="T28"/>
          <cell r="U28"/>
          <cell r="V28">
            <v>16278141.052631581</v>
          </cell>
          <cell r="W28">
            <v>25207456.842105266</v>
          </cell>
          <cell r="X28">
            <v>34136772.631578952</v>
          </cell>
          <cell r="Y28">
            <v>43422461.052631587</v>
          </cell>
          <cell r="Z28">
            <v>50866286.315789476</v>
          </cell>
          <cell r="AA28">
            <v>59550776.842105269</v>
          </cell>
          <cell r="AB28">
            <v>69466623.157894745</v>
          </cell>
          <cell r="AC28">
            <v>77413543.157894745</v>
          </cell>
          <cell r="AD28">
            <v>88286960</v>
          </cell>
          <cell r="AE28">
            <v>99529162.105263174</v>
          </cell>
          <cell r="AF28">
            <v>110033793.68421054</v>
          </cell>
        </row>
        <row r="29">
          <cell r="G29">
            <v>6578580</v>
          </cell>
          <cell r="H29">
            <v>6114030</v>
          </cell>
          <cell r="I29">
            <v>6978185</v>
          </cell>
          <cell r="J29">
            <v>6978185</v>
          </cell>
          <cell r="K29">
            <v>7256915</v>
          </cell>
          <cell r="L29">
            <v>5807335</v>
          </cell>
          <cell r="M29">
            <v>6764400</v>
          </cell>
          <cell r="N29">
            <v>7721465</v>
          </cell>
          <cell r="O29">
            <v>6206940</v>
          </cell>
          <cell r="P29">
            <v>8492710</v>
          </cell>
          <cell r="Q29">
            <v>8771440</v>
          </cell>
          <cell r="R29">
            <v>8213980</v>
          </cell>
          <cell r="S29">
            <v>85884165</v>
          </cell>
          <cell r="T29"/>
          <cell r="U29"/>
          <cell r="V29">
            <v>12692610</v>
          </cell>
          <cell r="W29">
            <v>19670795</v>
          </cell>
          <cell r="X29">
            <v>26648980</v>
          </cell>
          <cell r="Y29">
            <v>33905895</v>
          </cell>
          <cell r="Z29">
            <v>39713230</v>
          </cell>
          <cell r="AA29">
            <v>46477630</v>
          </cell>
          <cell r="AB29">
            <v>54199095</v>
          </cell>
          <cell r="AC29">
            <v>60406035</v>
          </cell>
          <cell r="AD29">
            <v>68898745</v>
          </cell>
          <cell r="AE29">
            <v>77670185</v>
          </cell>
          <cell r="AF29">
            <v>85884165</v>
          </cell>
        </row>
        <row r="30">
          <cell r="G30">
            <v>1653366.9948631572</v>
          </cell>
          <cell r="H30">
            <v>1515586.4119578954</v>
          </cell>
          <cell r="I30">
            <v>1722257.2863157876</v>
          </cell>
          <cell r="J30">
            <v>1722257.2863157876</v>
          </cell>
          <cell r="K30">
            <v>1791147.5777684227</v>
          </cell>
          <cell r="L30">
            <v>1446696.1205052622</v>
          </cell>
          <cell r="M30">
            <v>1698295.4458105247</v>
          </cell>
          <cell r="N30">
            <v>1940909.0809263159</v>
          </cell>
          <cell r="O30">
            <v>1536553.0223999992</v>
          </cell>
          <cell r="P30">
            <v>2102651.5043368433</v>
          </cell>
          <cell r="Q30">
            <v>2183522.7160421051</v>
          </cell>
          <cell r="R30">
            <v>2021780.2926315796</v>
          </cell>
          <cell r="S30">
            <v>21335023.739873677</v>
          </cell>
          <cell r="T30"/>
          <cell r="U30"/>
          <cell r="V30">
            <v>3168953.4068210525</v>
          </cell>
          <cell r="W30">
            <v>4891210.6931368401</v>
          </cell>
          <cell r="X30">
            <v>6613467.9794526277</v>
          </cell>
          <cell r="Y30">
            <v>8404615.5572210513</v>
          </cell>
          <cell r="Z30">
            <v>9851311.6777263135</v>
          </cell>
          <cell r="AA30">
            <v>11549607.123536838</v>
          </cell>
          <cell r="AB30">
            <v>13490516.204463154</v>
          </cell>
          <cell r="AC30">
            <v>15027069.226863153</v>
          </cell>
          <cell r="AD30">
            <v>17129720.731199995</v>
          </cell>
          <cell r="AE30">
            <v>19313243.4472421</v>
          </cell>
          <cell r="AF30">
            <v>21335023.739873677</v>
          </cell>
        </row>
        <row r="31">
          <cell r="G31">
            <v>8231946.9948631572</v>
          </cell>
          <cell r="H31">
            <v>7629616.4119578954</v>
          </cell>
          <cell r="I31">
            <v>8700442.2863157876</v>
          </cell>
          <cell r="J31">
            <v>8700442.2863157876</v>
          </cell>
          <cell r="K31">
            <v>9048062.5777684227</v>
          </cell>
          <cell r="L31">
            <v>7254031.1205052622</v>
          </cell>
          <cell r="M31">
            <v>8462695.4458105247</v>
          </cell>
          <cell r="N31">
            <v>9662374.0809263159</v>
          </cell>
          <cell r="O31">
            <v>7743493.0223999992</v>
          </cell>
          <cell r="P31">
            <v>10595361.504336843</v>
          </cell>
          <cell r="Q31">
            <v>10954962.716042105</v>
          </cell>
          <cell r="R31">
            <v>10235760.29263158</v>
          </cell>
          <cell r="S31">
            <v>107219188.73987368</v>
          </cell>
          <cell r="T31"/>
          <cell r="U31"/>
          <cell r="V31">
            <v>15861563.406821053</v>
          </cell>
          <cell r="W31">
            <v>24562005.693136841</v>
          </cell>
          <cell r="X31">
            <v>33262447.979452629</v>
          </cell>
          <cell r="Y31">
            <v>42310510.557221055</v>
          </cell>
          <cell r="Z31">
            <v>49564541.677726313</v>
          </cell>
          <cell r="AA31">
            <v>58027237.12353684</v>
          </cell>
          <cell r="AB31">
            <v>67689611.204463154</v>
          </cell>
          <cell r="AC31">
            <v>75433104.226863146</v>
          </cell>
          <cell r="AD31">
            <v>86028465.731199995</v>
          </cell>
          <cell r="AE31">
            <v>96983428.447242096</v>
          </cell>
          <cell r="AF31">
            <v>107219188.73987368</v>
          </cell>
        </row>
        <row r="32">
          <cell r="G32">
            <v>156420</v>
          </cell>
          <cell r="H32">
            <v>145970</v>
          </cell>
          <cell r="I32">
            <v>166815</v>
          </cell>
          <cell r="J32">
            <v>166815</v>
          </cell>
          <cell r="K32">
            <v>173085</v>
          </cell>
          <cell r="L32">
            <v>137665</v>
          </cell>
          <cell r="M32">
            <v>160600</v>
          </cell>
          <cell r="N32">
            <v>183535</v>
          </cell>
          <cell r="O32">
            <v>148060</v>
          </cell>
          <cell r="P32">
            <v>202290</v>
          </cell>
          <cell r="Q32">
            <v>208560</v>
          </cell>
          <cell r="R32">
            <v>196020</v>
          </cell>
          <cell r="S32">
            <v>2045835</v>
          </cell>
          <cell r="T32"/>
          <cell r="U32"/>
          <cell r="V32">
            <v>302390</v>
          </cell>
          <cell r="W32">
            <v>469205</v>
          </cell>
          <cell r="X32">
            <v>636020</v>
          </cell>
          <cell r="Y32">
            <v>809105</v>
          </cell>
          <cell r="Z32">
            <v>946770</v>
          </cell>
          <cell r="AA32">
            <v>1107370</v>
          </cell>
          <cell r="AB32">
            <v>1290905</v>
          </cell>
          <cell r="AC32">
            <v>1438965</v>
          </cell>
          <cell r="AD32">
            <v>1641255</v>
          </cell>
          <cell r="AE32">
            <v>1849815</v>
          </cell>
          <cell r="AF32">
            <v>2045835</v>
          </cell>
        </row>
        <row r="33">
          <cell r="G33">
            <v>2.3224944320712693E-2</v>
          </cell>
          <cell r="H33">
            <v>2.3317891373801917E-2</v>
          </cell>
          <cell r="I33">
            <v>2.3347095871238628E-2</v>
          </cell>
          <cell r="J33">
            <v>2.3347095871238628E-2</v>
          </cell>
          <cell r="K33">
            <v>2.329542395693136E-2</v>
          </cell>
          <cell r="L33">
            <v>2.3156433978132884E-2</v>
          </cell>
          <cell r="M33">
            <v>2.3191335740072202E-2</v>
          </cell>
          <cell r="N33">
            <v>2.3217583807716637E-2</v>
          </cell>
          <cell r="O33">
            <v>2.3298190401258852E-2</v>
          </cell>
          <cell r="P33">
            <v>2.3265094882116158E-2</v>
          </cell>
          <cell r="Q33">
            <v>2.3224944320712693E-2</v>
          </cell>
          <cell r="R33">
            <v>2.330796670630202E-2</v>
          </cell>
          <cell r="S33">
            <v>2.3266632548618219E-2</v>
          </cell>
          <cell r="T33"/>
          <cell r="U33"/>
          <cell r="V33">
            <v>2.3269719122739514E-2</v>
          </cell>
          <cell r="W33">
            <v>2.3297169811320753E-2</v>
          </cell>
          <cell r="X33">
            <v>2.3310243723657687E-2</v>
          </cell>
          <cell r="Y33">
            <v>2.3307071870949159E-2</v>
          </cell>
          <cell r="Z33">
            <v>2.3285046728971963E-2</v>
          </cell>
          <cell r="AA33">
            <v>2.3271409057476097E-2</v>
          </cell>
          <cell r="AB33">
            <v>2.3263741214633267E-2</v>
          </cell>
          <cell r="AC33">
            <v>2.3267281105990783E-2</v>
          </cell>
          <cell r="AD33">
            <v>2.3267011624610149E-2</v>
          </cell>
          <cell r="AE33">
            <v>2.326226106639839E-2</v>
          </cell>
          <cell r="AF33">
            <v>2.3266632548618219E-2</v>
          </cell>
        </row>
        <row r="34">
          <cell r="G34">
            <v>59576.163031580858</v>
          </cell>
          <cell r="H34">
            <v>54611.4827789478</v>
          </cell>
          <cell r="I34">
            <v>62058.503157896921</v>
          </cell>
          <cell r="J34">
            <v>62058.503157896921</v>
          </cell>
          <cell r="K34">
            <v>64540.84328421019</v>
          </cell>
          <cell r="L34">
            <v>52129.1426526336</v>
          </cell>
          <cell r="M34">
            <v>61195.080505264923</v>
          </cell>
          <cell r="N34">
            <v>69937.234863156453</v>
          </cell>
          <cell r="O34">
            <v>55366.97760000173</v>
          </cell>
          <cell r="P34">
            <v>75765.337768420577</v>
          </cell>
          <cell r="Q34">
            <v>78679.389221051708</v>
          </cell>
          <cell r="R34">
            <v>72851.286315787584</v>
          </cell>
          <cell r="S34">
            <v>768769.94433685392</v>
          </cell>
          <cell r="T34"/>
          <cell r="U34"/>
          <cell r="V34">
            <v>114187.64581052866</v>
          </cell>
          <cell r="W34">
            <v>176246.14896842558</v>
          </cell>
          <cell r="X34">
            <v>238304.6521263225</v>
          </cell>
          <cell r="Y34">
            <v>302845.49541053176</v>
          </cell>
          <cell r="Z34">
            <v>354974.63806316629</v>
          </cell>
          <cell r="AA34">
            <v>416169.71856843121</v>
          </cell>
          <cell r="AB34">
            <v>486106.95343158767</v>
          </cell>
          <cell r="AC34">
            <v>541473.93103158846</v>
          </cell>
          <cell r="AD34">
            <v>617239.26880001277</v>
          </cell>
          <cell r="AE34">
            <v>695918.65802106634</v>
          </cell>
          <cell r="AF34">
            <v>768769.94433685392</v>
          </cell>
        </row>
        <row r="35">
          <cell r="G35">
            <v>3.4780000000001095E-2</v>
          </cell>
          <cell r="H35">
            <v>3.4780000000000248E-2</v>
          </cell>
          <cell r="I35">
            <v>3.478000000000122E-2</v>
          </cell>
          <cell r="J35">
            <v>3.478000000000122E-2</v>
          </cell>
          <cell r="K35">
            <v>3.4779999999999797E-2</v>
          </cell>
          <cell r="L35">
            <v>3.4780000000001324E-2</v>
          </cell>
          <cell r="M35">
            <v>3.4780000000000998E-2</v>
          </cell>
          <cell r="N35">
            <v>3.4779999999999305E-2</v>
          </cell>
          <cell r="O35">
            <v>3.4780000000001067E-2</v>
          </cell>
          <cell r="P35">
            <v>3.4779999999999769E-2</v>
          </cell>
          <cell r="Q35">
            <v>3.477999999999961E-2</v>
          </cell>
          <cell r="R35">
            <v>3.4779999999999117E-2</v>
          </cell>
          <cell r="S35">
            <v>3.4780000000000526E-2</v>
          </cell>
          <cell r="T35"/>
          <cell r="U35"/>
          <cell r="V35">
            <v>3.4780000000000692E-2</v>
          </cell>
          <cell r="W35">
            <v>3.4780000000000873E-2</v>
          </cell>
          <cell r="X35">
            <v>3.4780000000000963E-2</v>
          </cell>
          <cell r="Y35">
            <v>3.4780000000000609E-2</v>
          </cell>
          <cell r="Z35">
            <v>3.4780000000000803E-2</v>
          </cell>
          <cell r="AA35">
            <v>3.4780000000000831E-2</v>
          </cell>
          <cell r="AB35">
            <v>3.4780000000000609E-2</v>
          </cell>
          <cell r="AC35">
            <v>3.4780000000000602E-2</v>
          </cell>
          <cell r="AD35">
            <v>3.4780000000000706E-2</v>
          </cell>
          <cell r="AE35">
            <v>3.4780000000000671E-2</v>
          </cell>
          <cell r="AF35">
            <v>3.4780000000000526E-2</v>
          </cell>
        </row>
        <row r="36">
          <cell r="G36">
            <v>215996.16303158086</v>
          </cell>
          <cell r="H36">
            <v>200581.4827789478</v>
          </cell>
          <cell r="I36">
            <v>228873.50315789692</v>
          </cell>
          <cell r="J36">
            <v>228873.50315789692</v>
          </cell>
          <cell r="K36">
            <v>237625.84328421019</v>
          </cell>
          <cell r="L36">
            <v>189794.1426526336</v>
          </cell>
          <cell r="M36">
            <v>221795.08050526492</v>
          </cell>
          <cell r="N36">
            <v>253472.23486315645</v>
          </cell>
          <cell r="O36">
            <v>203426.97760000173</v>
          </cell>
          <cell r="P36">
            <v>278055.33776842058</v>
          </cell>
          <cell r="Q36">
            <v>287239.38922105171</v>
          </cell>
          <cell r="R36">
            <v>268871.28631578758</v>
          </cell>
          <cell r="S36">
            <v>2814604.9443368539</v>
          </cell>
          <cell r="T36"/>
          <cell r="U36"/>
          <cell r="V36">
            <v>416577.64581052866</v>
          </cell>
          <cell r="W36">
            <v>645451.14896842558</v>
          </cell>
          <cell r="X36">
            <v>874324.6521263225</v>
          </cell>
          <cell r="Y36">
            <v>1111950.4954105318</v>
          </cell>
          <cell r="Z36">
            <v>1301744.6380631663</v>
          </cell>
          <cell r="AA36">
            <v>1523539.7185684312</v>
          </cell>
          <cell r="AB36">
            <v>1777011.9534315877</v>
          </cell>
          <cell r="AC36">
            <v>1980438.9310315885</v>
          </cell>
          <cell r="AD36">
            <v>2258494.2688000128</v>
          </cell>
          <cell r="AE36">
            <v>2545733.6580210663</v>
          </cell>
          <cell r="AF36">
            <v>2814604.9443368539</v>
          </cell>
        </row>
        <row r="37">
          <cell r="G37">
            <v>2.5567899664396886E-2</v>
          </cell>
          <cell r="H37">
            <v>2.5616400182397806E-2</v>
          </cell>
          <cell r="I37">
            <v>2.5631695479703408E-2</v>
          </cell>
          <cell r="J37">
            <v>2.5631695479703408E-2</v>
          </cell>
          <cell r="K37">
            <v>2.5590546711158412E-2</v>
          </cell>
          <cell r="L37">
            <v>2.5496856245671353E-2</v>
          </cell>
          <cell r="M37">
            <v>2.5539216127092347E-2</v>
          </cell>
          <cell r="N37">
            <v>2.5562339995078443E-2</v>
          </cell>
          <cell r="O37">
            <v>2.5598216365585874E-2</v>
          </cell>
          <cell r="P37">
            <v>2.5572029639450915E-2</v>
          </cell>
          <cell r="Q37">
            <v>2.55501001077518E-2</v>
          </cell>
          <cell r="R37">
            <v>2.5595498927791074E-2</v>
          </cell>
          <cell r="S37">
            <v>2.5579459274253303E-2</v>
          </cell>
          <cell r="T37"/>
          <cell r="U37"/>
          <cell r="V37">
            <v>2.5591229641248457E-2</v>
          </cell>
          <cell r="W37">
            <v>2.560556398098425E-2</v>
          </cell>
          <cell r="X37">
            <v>2.561239931971512E-2</v>
          </cell>
          <cell r="Y37">
            <v>2.5607726242479818E-2</v>
          </cell>
          <cell r="Z37">
            <v>2.5591501411792467E-2</v>
          </cell>
          <cell r="AA37">
            <v>2.5583876472476428E-2</v>
          </cell>
          <cell r="AB37">
            <v>2.5580802299724766E-2</v>
          </cell>
          <cell r="AC37">
            <v>2.5582589948017646E-2</v>
          </cell>
          <cell r="AD37">
            <v>2.5581289341030801E-2</v>
          </cell>
          <cell r="AE37">
            <v>2.5577766397035167E-2</v>
          </cell>
          <cell r="AF37">
            <v>2.5579459274253303E-2</v>
          </cell>
        </row>
        <row r="39">
          <cell r="R39">
            <v>17800</v>
          </cell>
        </row>
        <row r="40">
          <cell r="G40">
            <v>70540000</v>
          </cell>
          <cell r="H40">
            <v>17746960.000000007</v>
          </cell>
          <cell r="I40">
            <v>88286960</v>
          </cell>
          <cell r="R40">
            <v>17390000</v>
          </cell>
          <cell r="S40">
            <v>4356833.684210524</v>
          </cell>
          <cell r="T40">
            <v>21746833.684210524</v>
          </cell>
        </row>
        <row r="41">
          <cell r="G41">
            <v>0.79898549004292363</v>
          </cell>
          <cell r="H41">
            <v>0.20101450995707643</v>
          </cell>
          <cell r="R41">
            <v>976966.29213483143</v>
          </cell>
        </row>
        <row r="42">
          <cell r="R42">
            <v>0.79965664208974752</v>
          </cell>
          <cell r="S42">
            <v>0.20034335791025251</v>
          </cell>
        </row>
        <row r="43">
          <cell r="G43">
            <v>665131.35501777369</v>
          </cell>
          <cell r="H43">
            <v>167338.5249822262</v>
          </cell>
          <cell r="I43">
            <v>832469.87999999989</v>
          </cell>
          <cell r="Q43">
            <v>167008.94</v>
          </cell>
          <cell r="R43">
            <v>133549.80815936811</v>
          </cell>
          <cell r="S43">
            <v>33459.13184063189</v>
          </cell>
        </row>
        <row r="44">
          <cell r="G44">
            <v>343858.81807007489</v>
          </cell>
          <cell r="H44">
            <v>86510.471929924868</v>
          </cell>
          <cell r="I44">
            <v>430369.28999999975</v>
          </cell>
          <cell r="Q44">
            <v>84326.16</v>
          </cell>
          <cell r="R44">
            <v>67431.973945922786</v>
          </cell>
          <cell r="S44">
            <v>16894.186054077221</v>
          </cell>
        </row>
        <row r="49">
          <cell r="S49">
            <v>2.3266632548618219E-2</v>
          </cell>
        </row>
        <row r="50">
          <cell r="S50">
            <v>3.4780000000000526E-2</v>
          </cell>
        </row>
      </sheetData>
      <sheetData sheetId="2">
        <row r="5">
          <cell r="E5"/>
        </row>
      </sheetData>
      <sheetData sheetId="3">
        <row r="5">
          <cell r="E5"/>
        </row>
      </sheetData>
      <sheetData sheetId="4"/>
      <sheetData sheetId="5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62176.27</v>
          </cell>
          <cell r="H6">
            <v>62176.27</v>
          </cell>
          <cell r="I6">
            <v>63213.82</v>
          </cell>
          <cell r="J6">
            <v>63213.82</v>
          </cell>
          <cell r="K6">
            <v>63213.82</v>
          </cell>
          <cell r="L6">
            <v>63213.82</v>
          </cell>
          <cell r="M6">
            <v>63213.82</v>
          </cell>
          <cell r="N6">
            <v>63213.82</v>
          </cell>
          <cell r="O6">
            <v>63213.82</v>
          </cell>
          <cell r="P6">
            <v>63213.82</v>
          </cell>
          <cell r="Q6">
            <v>63213.82</v>
          </cell>
          <cell r="R6">
            <v>63213.82</v>
          </cell>
          <cell r="S6">
            <v>756490.73999999987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14150.15</v>
          </cell>
          <cell r="H8">
            <v>14150.15</v>
          </cell>
          <cell r="I8">
            <v>14400.01</v>
          </cell>
          <cell r="J8">
            <v>14400.01</v>
          </cell>
          <cell r="K8">
            <v>14400.01</v>
          </cell>
          <cell r="L8">
            <v>14400.01</v>
          </cell>
          <cell r="M8">
            <v>14400.01</v>
          </cell>
          <cell r="N8">
            <v>14400.01</v>
          </cell>
          <cell r="O8">
            <v>14400.01</v>
          </cell>
          <cell r="P8">
            <v>14400.01</v>
          </cell>
          <cell r="Q8">
            <v>14400.01</v>
          </cell>
          <cell r="R8">
            <v>14400.01</v>
          </cell>
          <cell r="S8">
            <v>172300.4</v>
          </cell>
        </row>
        <row r="9">
          <cell r="G9">
            <v>5890.64</v>
          </cell>
          <cell r="H9">
            <v>5890.64</v>
          </cell>
          <cell r="I9">
            <v>5890.64</v>
          </cell>
          <cell r="J9">
            <v>5890.64</v>
          </cell>
          <cell r="K9">
            <v>5890.64</v>
          </cell>
          <cell r="L9">
            <v>5890.64</v>
          </cell>
          <cell r="M9">
            <v>5890.64</v>
          </cell>
          <cell r="N9">
            <v>5890.64</v>
          </cell>
          <cell r="O9">
            <v>5890.64</v>
          </cell>
          <cell r="P9">
            <v>5890.64</v>
          </cell>
          <cell r="Q9">
            <v>5890.64</v>
          </cell>
          <cell r="R9">
            <v>5890.64</v>
          </cell>
          <cell r="S9">
            <v>70687.680000000008</v>
          </cell>
        </row>
        <row r="10">
          <cell r="G10">
            <v>82217.06</v>
          </cell>
          <cell r="H10">
            <v>82217.06</v>
          </cell>
          <cell r="I10">
            <v>83504.47</v>
          </cell>
          <cell r="J10">
            <v>83504.47</v>
          </cell>
          <cell r="K10">
            <v>83504.47</v>
          </cell>
          <cell r="L10">
            <v>83504.47</v>
          </cell>
          <cell r="M10">
            <v>83504.47</v>
          </cell>
          <cell r="N10">
            <v>83504.47</v>
          </cell>
          <cell r="O10">
            <v>83504.47</v>
          </cell>
          <cell r="P10">
            <v>83504.47</v>
          </cell>
          <cell r="Q10">
            <v>83504.47</v>
          </cell>
          <cell r="R10">
            <v>83504.47</v>
          </cell>
          <cell r="S10">
            <v>999478.82</v>
          </cell>
        </row>
        <row r="11">
          <cell r="G11">
            <v>10419.07</v>
          </cell>
          <cell r="H11">
            <v>10573.68</v>
          </cell>
          <cell r="I11">
            <v>22317.5</v>
          </cell>
          <cell r="J11">
            <v>9355.98</v>
          </cell>
          <cell r="K11">
            <v>11929.98</v>
          </cell>
          <cell r="L11">
            <v>12182.96</v>
          </cell>
          <cell r="M11">
            <v>9355.98</v>
          </cell>
          <cell r="N11">
            <v>9355.98</v>
          </cell>
          <cell r="O11">
            <v>21937.200000000001</v>
          </cell>
          <cell r="P11">
            <v>10122.98</v>
          </cell>
          <cell r="Q11">
            <v>9355.98</v>
          </cell>
          <cell r="R11">
            <v>17682.96</v>
          </cell>
          <cell r="S11">
            <v>154590.24999999997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2250</v>
          </cell>
          <cell r="H13">
            <v>2250</v>
          </cell>
          <cell r="I13">
            <v>2250</v>
          </cell>
          <cell r="J13">
            <v>2250</v>
          </cell>
          <cell r="K13">
            <v>2250</v>
          </cell>
          <cell r="L13">
            <v>2250</v>
          </cell>
          <cell r="M13">
            <v>2250</v>
          </cell>
          <cell r="N13">
            <v>2250</v>
          </cell>
          <cell r="O13">
            <v>2250</v>
          </cell>
          <cell r="P13">
            <v>2250</v>
          </cell>
          <cell r="Q13">
            <v>2250</v>
          </cell>
          <cell r="R13">
            <v>2250</v>
          </cell>
          <cell r="S13">
            <v>27000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1690</v>
          </cell>
          <cell r="H15">
            <v>1690</v>
          </cell>
          <cell r="I15">
            <v>1690</v>
          </cell>
          <cell r="J15">
            <v>1690</v>
          </cell>
          <cell r="K15">
            <v>1690</v>
          </cell>
          <cell r="L15">
            <v>1690</v>
          </cell>
          <cell r="M15">
            <v>1690</v>
          </cell>
          <cell r="N15">
            <v>1690</v>
          </cell>
          <cell r="O15">
            <v>1690</v>
          </cell>
          <cell r="P15">
            <v>1690</v>
          </cell>
          <cell r="Q15">
            <v>1690</v>
          </cell>
          <cell r="R15">
            <v>1690</v>
          </cell>
          <cell r="S15">
            <v>20280</v>
          </cell>
        </row>
        <row r="16">
          <cell r="G16">
            <v>500</v>
          </cell>
          <cell r="H16">
            <v>500</v>
          </cell>
          <cell r="I16">
            <v>500</v>
          </cell>
          <cell r="J16">
            <v>500</v>
          </cell>
          <cell r="K16">
            <v>500</v>
          </cell>
          <cell r="L16">
            <v>500</v>
          </cell>
          <cell r="M16">
            <v>500</v>
          </cell>
          <cell r="N16">
            <v>500</v>
          </cell>
          <cell r="O16">
            <v>500</v>
          </cell>
          <cell r="P16">
            <v>500</v>
          </cell>
          <cell r="Q16">
            <v>500</v>
          </cell>
          <cell r="R16">
            <v>500</v>
          </cell>
          <cell r="S16">
            <v>6000</v>
          </cell>
        </row>
        <row r="17">
          <cell r="G17">
            <v>404</v>
          </cell>
          <cell r="H17">
            <v>404</v>
          </cell>
          <cell r="I17">
            <v>404</v>
          </cell>
          <cell r="J17">
            <v>404</v>
          </cell>
          <cell r="K17">
            <v>404</v>
          </cell>
          <cell r="L17">
            <v>404</v>
          </cell>
          <cell r="M17">
            <v>404</v>
          </cell>
          <cell r="N17">
            <v>404</v>
          </cell>
          <cell r="O17">
            <v>404</v>
          </cell>
          <cell r="P17">
            <v>404</v>
          </cell>
          <cell r="Q17">
            <v>404</v>
          </cell>
          <cell r="R17">
            <v>404</v>
          </cell>
          <cell r="S17">
            <v>4848</v>
          </cell>
        </row>
        <row r="18">
          <cell r="G18">
            <v>3087.45</v>
          </cell>
          <cell r="H18">
            <v>3087.45</v>
          </cell>
          <cell r="I18">
            <v>3121.51</v>
          </cell>
          <cell r="J18">
            <v>3121.51</v>
          </cell>
          <cell r="K18">
            <v>3121.51</v>
          </cell>
          <cell r="L18">
            <v>3121.51</v>
          </cell>
          <cell r="M18">
            <v>3121.51</v>
          </cell>
          <cell r="N18">
            <v>3121.51</v>
          </cell>
          <cell r="O18">
            <v>3121.51</v>
          </cell>
          <cell r="P18">
            <v>3121.51</v>
          </cell>
          <cell r="Q18">
            <v>3121.51</v>
          </cell>
          <cell r="R18">
            <v>3121.51</v>
          </cell>
          <cell r="S18">
            <v>37390.000000000015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1000</v>
          </cell>
          <cell r="H20">
            <v>1000</v>
          </cell>
          <cell r="I20">
            <v>1000</v>
          </cell>
          <cell r="J20">
            <v>1000</v>
          </cell>
          <cell r="K20">
            <v>1000</v>
          </cell>
          <cell r="L20">
            <v>1000</v>
          </cell>
          <cell r="M20">
            <v>1000</v>
          </cell>
          <cell r="N20">
            <v>1000</v>
          </cell>
          <cell r="O20">
            <v>1000</v>
          </cell>
          <cell r="P20">
            <v>1000</v>
          </cell>
          <cell r="Q20">
            <v>1000</v>
          </cell>
          <cell r="R20">
            <v>1000</v>
          </cell>
          <cell r="S20">
            <v>12000</v>
          </cell>
        </row>
        <row r="21">
          <cell r="G21">
            <v>640</v>
          </cell>
          <cell r="H21">
            <v>640</v>
          </cell>
          <cell r="I21">
            <v>640</v>
          </cell>
          <cell r="J21">
            <v>640</v>
          </cell>
          <cell r="K21">
            <v>640</v>
          </cell>
          <cell r="L21">
            <v>640</v>
          </cell>
          <cell r="M21">
            <v>640</v>
          </cell>
          <cell r="N21">
            <v>640</v>
          </cell>
          <cell r="O21">
            <v>640</v>
          </cell>
          <cell r="P21">
            <v>640</v>
          </cell>
          <cell r="Q21">
            <v>640</v>
          </cell>
          <cell r="R21">
            <v>640</v>
          </cell>
          <cell r="S21">
            <v>7680</v>
          </cell>
        </row>
        <row r="22">
          <cell r="G22">
            <v>6370</v>
          </cell>
          <cell r="H22">
            <v>6370</v>
          </cell>
          <cell r="I22">
            <v>6370</v>
          </cell>
          <cell r="J22">
            <v>6370</v>
          </cell>
          <cell r="K22">
            <v>6370</v>
          </cell>
          <cell r="L22">
            <v>6370</v>
          </cell>
          <cell r="M22">
            <v>6370</v>
          </cell>
          <cell r="N22">
            <v>6370</v>
          </cell>
          <cell r="O22">
            <v>6370</v>
          </cell>
          <cell r="P22">
            <v>6370</v>
          </cell>
          <cell r="Q22">
            <v>6370</v>
          </cell>
          <cell r="R22">
            <v>6370</v>
          </cell>
          <cell r="S22">
            <v>76440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260</v>
          </cell>
          <cell r="H28">
            <v>260</v>
          </cell>
          <cell r="I28">
            <v>260</v>
          </cell>
          <cell r="J28">
            <v>260</v>
          </cell>
          <cell r="K28">
            <v>260</v>
          </cell>
          <cell r="L28">
            <v>260</v>
          </cell>
          <cell r="M28">
            <v>260</v>
          </cell>
          <cell r="N28">
            <v>260</v>
          </cell>
          <cell r="O28">
            <v>710</v>
          </cell>
          <cell r="P28">
            <v>260</v>
          </cell>
          <cell r="Q28">
            <v>260</v>
          </cell>
          <cell r="R28">
            <v>260</v>
          </cell>
          <cell r="S28">
            <v>3570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34120.520000000004</v>
          </cell>
          <cell r="H34">
            <v>42275.130000000005</v>
          </cell>
          <cell r="I34">
            <v>46053.01</v>
          </cell>
          <cell r="J34">
            <v>33091.49</v>
          </cell>
          <cell r="K34">
            <v>35665.49</v>
          </cell>
          <cell r="L34">
            <v>35918.47</v>
          </cell>
          <cell r="M34">
            <v>33091.49</v>
          </cell>
          <cell r="N34">
            <v>33091.49</v>
          </cell>
          <cell r="O34">
            <v>54122.71</v>
          </cell>
          <cell r="P34">
            <v>33858.49</v>
          </cell>
          <cell r="Q34">
            <v>33091.49</v>
          </cell>
          <cell r="R34">
            <v>41418.47</v>
          </cell>
          <cell r="S34">
            <v>455798.25</v>
          </cell>
        </row>
        <row r="35">
          <cell r="G35">
            <v>116337.58</v>
          </cell>
          <cell r="H35">
            <v>124492.19</v>
          </cell>
          <cell r="I35">
            <v>129557.48000000001</v>
          </cell>
          <cell r="J35">
            <v>116595.95999999999</v>
          </cell>
          <cell r="K35">
            <v>119169.95999999999</v>
          </cell>
          <cell r="L35">
            <v>119422.94</v>
          </cell>
          <cell r="M35">
            <v>116595.95999999999</v>
          </cell>
          <cell r="N35">
            <v>116595.95999999999</v>
          </cell>
          <cell r="O35">
            <v>137627.18</v>
          </cell>
          <cell r="P35">
            <v>117362.95999999999</v>
          </cell>
          <cell r="Q35">
            <v>116595.95999999999</v>
          </cell>
          <cell r="R35">
            <v>124922.94</v>
          </cell>
          <cell r="S35">
            <v>1455277.0699999998</v>
          </cell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G37">
            <v>4908.0999999999995</v>
          </cell>
          <cell r="H37">
            <v>4908.0999999999995</v>
          </cell>
          <cell r="I37">
            <v>4908.0999999999995</v>
          </cell>
          <cell r="J37">
            <v>4908.0999999999995</v>
          </cell>
          <cell r="K37">
            <v>4908.0999999999995</v>
          </cell>
          <cell r="L37">
            <v>4908.0999999999995</v>
          </cell>
          <cell r="M37">
            <v>4908.0999999999995</v>
          </cell>
          <cell r="N37">
            <v>4908.0999999999995</v>
          </cell>
          <cell r="O37">
            <v>4908.0999999999995</v>
          </cell>
          <cell r="P37">
            <v>4908.0999999999995</v>
          </cell>
          <cell r="Q37">
            <v>4908.0999999999995</v>
          </cell>
          <cell r="R37">
            <v>4908.0999999999995</v>
          </cell>
          <cell r="S37">
            <v>58897.19999999999</v>
          </cell>
        </row>
        <row r="38">
          <cell r="G38">
            <v>121245.68000000001</v>
          </cell>
          <cell r="H38">
            <v>129400.29000000001</v>
          </cell>
          <cell r="I38">
            <v>134465.58000000002</v>
          </cell>
          <cell r="J38">
            <v>121504.06</v>
          </cell>
          <cell r="K38">
            <v>124078.06</v>
          </cell>
          <cell r="L38">
            <v>124331.04000000001</v>
          </cell>
          <cell r="M38">
            <v>121504.06</v>
          </cell>
          <cell r="N38">
            <v>121504.06</v>
          </cell>
          <cell r="O38">
            <v>142535.28</v>
          </cell>
          <cell r="P38">
            <v>122271.06</v>
          </cell>
          <cell r="Q38">
            <v>121504.06</v>
          </cell>
          <cell r="R38">
            <v>129831.04000000001</v>
          </cell>
          <cell r="S38">
            <v>1514174.2699999998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제조4_원본"/>
      <sheetName val="제조6_원본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</row>
        <row r="7">
          <cell r="G7">
            <v>11456.2</v>
          </cell>
          <cell r="H7">
            <v>10301.799999999999</v>
          </cell>
          <cell r="I7">
            <v>0</v>
          </cell>
          <cell r="J7">
            <v>0</v>
          </cell>
          <cell r="K7">
            <v>16581.599999999999</v>
          </cell>
          <cell r="L7">
            <v>15916.6</v>
          </cell>
          <cell r="M7">
            <v>16335.6</v>
          </cell>
          <cell r="N7">
            <v>16282.333333333332</v>
          </cell>
          <cell r="O7">
            <v>12472.133333333333</v>
          </cell>
          <cell r="P7">
            <v>16598.866666666665</v>
          </cell>
          <cell r="Q7">
            <v>16653.733333333334</v>
          </cell>
          <cell r="R7">
            <v>16515.466666666667</v>
          </cell>
          <cell r="S7">
            <v>149114.33333333334</v>
          </cell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19881.599999999999</v>
          </cell>
          <cell r="L8">
            <v>19216.599999999999</v>
          </cell>
          <cell r="M8">
            <v>19635.599999999999</v>
          </cell>
          <cell r="N8">
            <v>19582.333333333332</v>
          </cell>
          <cell r="O8">
            <v>15772.133333333333</v>
          </cell>
          <cell r="P8">
            <v>19898.866666666665</v>
          </cell>
          <cell r="Q8">
            <v>19953.733333333334</v>
          </cell>
          <cell r="R8">
            <v>19815.466666666667</v>
          </cell>
          <cell r="S8">
            <v>175514.33333333331</v>
          </cell>
          <cell r="U8"/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7000</v>
          </cell>
          <cell r="L9">
            <v>7000</v>
          </cell>
          <cell r="M9">
            <v>7000</v>
          </cell>
          <cell r="N9">
            <v>7000</v>
          </cell>
          <cell r="O9">
            <v>7000</v>
          </cell>
          <cell r="P9">
            <v>7000</v>
          </cell>
          <cell r="Q9">
            <v>7000</v>
          </cell>
          <cell r="R9">
            <v>6311</v>
          </cell>
          <cell r="S9">
            <v>55311</v>
          </cell>
          <cell r="U9"/>
        </row>
        <row r="10">
          <cell r="G10">
            <v>915.60000000000014</v>
          </cell>
          <cell r="H10">
            <v>836</v>
          </cell>
          <cell r="I10">
            <v>0</v>
          </cell>
          <cell r="J10">
            <v>0</v>
          </cell>
          <cell r="K10">
            <v>2344.4292266666662</v>
          </cell>
          <cell r="L10">
            <v>2021.0734933333333</v>
          </cell>
          <cell r="M10">
            <v>1975.5641599999999</v>
          </cell>
          <cell r="N10">
            <v>1994.6633333333334</v>
          </cell>
          <cell r="O10">
            <v>1897.4966666666667</v>
          </cell>
          <cell r="P10">
            <v>2454.0966666666664</v>
          </cell>
          <cell r="Q10">
            <v>2421.83</v>
          </cell>
          <cell r="R10">
            <v>2313.2966666666671</v>
          </cell>
          <cell r="S10">
            <v>19174.050213333336</v>
          </cell>
          <cell r="U10"/>
        </row>
        <row r="11">
          <cell r="G11">
            <v>915.60000000000014</v>
          </cell>
          <cell r="H11">
            <v>836</v>
          </cell>
          <cell r="I11">
            <v>0</v>
          </cell>
          <cell r="J11">
            <v>0</v>
          </cell>
          <cell r="K11">
            <v>9344.4292266666671</v>
          </cell>
          <cell r="L11">
            <v>9021.0734933333333</v>
          </cell>
          <cell r="M11">
            <v>8975.5641599999999</v>
          </cell>
          <cell r="N11">
            <v>8994.6633333333339</v>
          </cell>
          <cell r="O11">
            <v>8897.496666666666</v>
          </cell>
          <cell r="P11">
            <v>9454.0966666666664</v>
          </cell>
          <cell r="Q11">
            <v>9421.83</v>
          </cell>
          <cell r="R11">
            <v>8624.2966666666671</v>
          </cell>
          <cell r="S11">
            <v>74485.050213333321</v>
          </cell>
          <cell r="U11"/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22000</v>
          </cell>
          <cell r="L12">
            <v>22000</v>
          </cell>
          <cell r="M12">
            <v>22000</v>
          </cell>
          <cell r="N12">
            <v>22000</v>
          </cell>
          <cell r="O12">
            <v>22000</v>
          </cell>
          <cell r="P12">
            <v>22000</v>
          </cell>
          <cell r="Q12">
            <v>22000</v>
          </cell>
          <cell r="R12">
            <v>22000</v>
          </cell>
          <cell r="S12">
            <v>176000</v>
          </cell>
          <cell r="U12"/>
        </row>
        <row r="13"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>
            <v>0</v>
          </cell>
          <cell r="U13"/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22000</v>
          </cell>
          <cell r="L14">
            <v>22000</v>
          </cell>
          <cell r="M14">
            <v>22000</v>
          </cell>
          <cell r="N14">
            <v>22000</v>
          </cell>
          <cell r="O14">
            <v>22000</v>
          </cell>
          <cell r="P14">
            <v>22000</v>
          </cell>
          <cell r="Q14">
            <v>22000</v>
          </cell>
          <cell r="R14">
            <v>22000</v>
          </cell>
          <cell r="S14">
            <v>176000</v>
          </cell>
          <cell r="U14"/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32300</v>
          </cell>
          <cell r="L15">
            <v>32300</v>
          </cell>
          <cell r="M15">
            <v>32300</v>
          </cell>
          <cell r="N15">
            <v>32300</v>
          </cell>
          <cell r="O15">
            <v>32300</v>
          </cell>
          <cell r="P15">
            <v>32300</v>
          </cell>
          <cell r="Q15">
            <v>32300</v>
          </cell>
          <cell r="R15">
            <v>31611</v>
          </cell>
          <cell r="S15">
            <v>257711</v>
          </cell>
        </row>
        <row r="16">
          <cell r="G16">
            <v>12371.800000000001</v>
          </cell>
          <cell r="H16">
            <v>11137.8</v>
          </cell>
          <cell r="I16">
            <v>0</v>
          </cell>
          <cell r="J16">
            <v>0</v>
          </cell>
          <cell r="K16">
            <v>18926.029226666666</v>
          </cell>
          <cell r="L16">
            <v>17937.673493333336</v>
          </cell>
          <cell r="M16">
            <v>18311.16416</v>
          </cell>
          <cell r="N16">
            <v>18276.996666666666</v>
          </cell>
          <cell r="O16">
            <v>14369.63</v>
          </cell>
          <cell r="P16">
            <v>19052.963333333333</v>
          </cell>
          <cell r="Q16">
            <v>19075.563333333332</v>
          </cell>
          <cell r="R16">
            <v>18828.763333333336</v>
          </cell>
          <cell r="S16">
            <v>168288.38354666668</v>
          </cell>
        </row>
        <row r="17">
          <cell r="G17">
            <v>12371.800000000001</v>
          </cell>
          <cell r="H17">
            <v>11137.8</v>
          </cell>
          <cell r="I17">
            <v>0</v>
          </cell>
          <cell r="J17">
            <v>0</v>
          </cell>
          <cell r="K17">
            <v>51226.029226666666</v>
          </cell>
          <cell r="L17">
            <v>50237.673493333336</v>
          </cell>
          <cell r="M17">
            <v>50611.16416</v>
          </cell>
          <cell r="N17">
            <v>50576.996666666666</v>
          </cell>
          <cell r="O17">
            <v>46669.63</v>
          </cell>
          <cell r="P17">
            <v>51352.963333333333</v>
          </cell>
          <cell r="Q17">
            <v>51375.563333333332</v>
          </cell>
          <cell r="R17">
            <v>50439.763333333336</v>
          </cell>
          <cell r="S17">
            <v>425999.38354666671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37950</v>
          </cell>
          <cell r="L18">
            <v>37950</v>
          </cell>
          <cell r="M18">
            <v>37950</v>
          </cell>
          <cell r="N18">
            <v>37950</v>
          </cell>
          <cell r="O18">
            <v>37950</v>
          </cell>
          <cell r="P18">
            <v>37950</v>
          </cell>
          <cell r="Q18">
            <v>37950</v>
          </cell>
          <cell r="R18">
            <v>37950</v>
          </cell>
          <cell r="S18">
            <v>303600</v>
          </cell>
          <cell r="U18"/>
        </row>
        <row r="19">
          <cell r="G19">
            <v>183299.20000000001</v>
          </cell>
          <cell r="H19">
            <v>164828.79999999999</v>
          </cell>
          <cell r="I19">
            <v>0</v>
          </cell>
          <cell r="J19">
            <v>0</v>
          </cell>
          <cell r="K19">
            <v>251304</v>
          </cell>
          <cell r="L19">
            <v>241006</v>
          </cell>
          <cell r="M19">
            <v>248708.80000000002</v>
          </cell>
          <cell r="N19">
            <v>248207.33333333331</v>
          </cell>
          <cell r="O19">
            <v>186904.53333333333</v>
          </cell>
          <cell r="P19">
            <v>251258.26666666666</v>
          </cell>
          <cell r="Q19">
            <v>251806.93333333335</v>
          </cell>
          <cell r="R19">
            <v>249935.46666666667</v>
          </cell>
          <cell r="S19">
            <v>2277259.333333333</v>
          </cell>
          <cell r="U19"/>
        </row>
        <row r="20">
          <cell r="G20">
            <v>183299.20000000001</v>
          </cell>
          <cell r="H20">
            <v>164828.79999999999</v>
          </cell>
          <cell r="I20">
            <v>0</v>
          </cell>
          <cell r="J20">
            <v>0</v>
          </cell>
          <cell r="K20">
            <v>289254</v>
          </cell>
          <cell r="L20">
            <v>278956</v>
          </cell>
          <cell r="M20">
            <v>286658.80000000005</v>
          </cell>
          <cell r="N20">
            <v>286157.33333333331</v>
          </cell>
          <cell r="O20">
            <v>224854.53333333333</v>
          </cell>
          <cell r="P20">
            <v>289208.26666666666</v>
          </cell>
          <cell r="Q20">
            <v>289756.93333333335</v>
          </cell>
          <cell r="R20">
            <v>287885.46666666667</v>
          </cell>
          <cell r="S20">
            <v>2580859.333333333</v>
          </cell>
          <cell r="U20"/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105000</v>
          </cell>
          <cell r="L21">
            <v>105000</v>
          </cell>
          <cell r="M21">
            <v>105000</v>
          </cell>
          <cell r="N21">
            <v>105000</v>
          </cell>
          <cell r="O21">
            <v>105000</v>
          </cell>
          <cell r="P21">
            <v>105000</v>
          </cell>
          <cell r="Q21">
            <v>105000</v>
          </cell>
          <cell r="R21">
            <v>94665</v>
          </cell>
          <cell r="S21">
            <v>829665</v>
          </cell>
          <cell r="U21"/>
        </row>
        <row r="22">
          <cell r="G22">
            <v>9613.8000000000011</v>
          </cell>
          <cell r="H22">
            <v>8778</v>
          </cell>
          <cell r="I22">
            <v>0</v>
          </cell>
          <cell r="J22">
            <v>0</v>
          </cell>
          <cell r="K22">
            <v>43671.905066666659</v>
          </cell>
          <cell r="L22">
            <v>37292.76906666666</v>
          </cell>
          <cell r="M22">
            <v>36864.929066666664</v>
          </cell>
          <cell r="N22">
            <v>37151.416666666664</v>
          </cell>
          <cell r="O22">
            <v>33773.583333333336</v>
          </cell>
          <cell r="P22">
            <v>45341.183333333334</v>
          </cell>
          <cell r="Q22">
            <v>44857.183333333334</v>
          </cell>
          <cell r="R22">
            <v>42695.316666666673</v>
          </cell>
          <cell r="S22">
            <v>340040.08653333335</v>
          </cell>
          <cell r="U22"/>
        </row>
        <row r="23">
          <cell r="G23">
            <v>9613.8000000000011</v>
          </cell>
          <cell r="H23">
            <v>8778</v>
          </cell>
          <cell r="I23">
            <v>0</v>
          </cell>
          <cell r="J23">
            <v>0</v>
          </cell>
          <cell r="K23">
            <v>148671.90506666666</v>
          </cell>
          <cell r="L23">
            <v>142292.76906666666</v>
          </cell>
          <cell r="M23">
            <v>141864.92906666666</v>
          </cell>
          <cell r="N23">
            <v>142151.41666666666</v>
          </cell>
          <cell r="O23">
            <v>138773.58333333334</v>
          </cell>
          <cell r="P23">
            <v>150341.18333333335</v>
          </cell>
          <cell r="Q23">
            <v>149857.18333333335</v>
          </cell>
          <cell r="R23">
            <v>137360.31666666668</v>
          </cell>
          <cell r="S23">
            <v>1169705.0865333334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198000</v>
          </cell>
          <cell r="L24">
            <v>198000</v>
          </cell>
          <cell r="M24">
            <v>198000</v>
          </cell>
          <cell r="N24">
            <v>198000</v>
          </cell>
          <cell r="O24">
            <v>198000</v>
          </cell>
          <cell r="P24">
            <v>198000</v>
          </cell>
          <cell r="Q24">
            <v>198000</v>
          </cell>
          <cell r="R24">
            <v>198000</v>
          </cell>
          <cell r="S24">
            <v>1584000</v>
          </cell>
          <cell r="U24"/>
        </row>
        <row r="25"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>
            <v>0</v>
          </cell>
          <cell r="U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198000</v>
          </cell>
          <cell r="L26">
            <v>198000</v>
          </cell>
          <cell r="M26">
            <v>198000</v>
          </cell>
          <cell r="N26">
            <v>198000</v>
          </cell>
          <cell r="O26">
            <v>198000</v>
          </cell>
          <cell r="P26">
            <v>198000</v>
          </cell>
          <cell r="Q26">
            <v>198000</v>
          </cell>
          <cell r="R26">
            <v>198000</v>
          </cell>
          <cell r="S26">
            <v>1584000</v>
          </cell>
          <cell r="U26"/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340950</v>
          </cell>
          <cell r="L27">
            <v>340950</v>
          </cell>
          <cell r="M27">
            <v>340950</v>
          </cell>
          <cell r="N27">
            <v>340950</v>
          </cell>
          <cell r="O27">
            <v>340950</v>
          </cell>
          <cell r="P27">
            <v>340950</v>
          </cell>
          <cell r="Q27">
            <v>340950</v>
          </cell>
          <cell r="R27">
            <v>330615</v>
          </cell>
          <cell r="S27">
            <v>2717265</v>
          </cell>
        </row>
        <row r="28">
          <cell r="G28">
            <v>192913</v>
          </cell>
          <cell r="H28">
            <v>173606.8</v>
          </cell>
          <cell r="I28">
            <v>0</v>
          </cell>
          <cell r="J28">
            <v>0</v>
          </cell>
          <cell r="K28">
            <v>294975.90506666666</v>
          </cell>
          <cell r="L28">
            <v>278298.76906666666</v>
          </cell>
          <cell r="M28">
            <v>285573.72906666668</v>
          </cell>
          <cell r="N28">
            <v>285358.75</v>
          </cell>
          <cell r="O28">
            <v>220678.11666666667</v>
          </cell>
          <cell r="P28">
            <v>296599.45</v>
          </cell>
          <cell r="Q28">
            <v>296664.1166666667</v>
          </cell>
          <cell r="R28">
            <v>292630.78333333333</v>
          </cell>
          <cell r="S28">
            <v>2617299.4198666667</v>
          </cell>
          <cell r="U28">
            <v>814305.97734126251</v>
          </cell>
        </row>
        <row r="29">
          <cell r="G29">
            <v>192913</v>
          </cell>
          <cell r="H29">
            <v>173606.8</v>
          </cell>
          <cell r="I29">
            <v>0</v>
          </cell>
          <cell r="J29">
            <v>0</v>
          </cell>
          <cell r="K29">
            <v>635925.90506666666</v>
          </cell>
          <cell r="L29">
            <v>619248.76906666672</v>
          </cell>
          <cell r="M29">
            <v>626523.72906666668</v>
          </cell>
          <cell r="N29">
            <v>626308.75</v>
          </cell>
          <cell r="O29">
            <v>561628.1166666667</v>
          </cell>
          <cell r="P29">
            <v>637549.44999999995</v>
          </cell>
          <cell r="Q29">
            <v>637614.1166666667</v>
          </cell>
          <cell r="R29">
            <v>623245.78333333333</v>
          </cell>
          <cell r="S29">
            <v>5334564.4198666662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33679.403189772958</v>
          </cell>
          <cell r="L30">
            <v>32212.10621767243</v>
          </cell>
          <cell r="M30">
            <v>36788.620455554446</v>
          </cell>
          <cell r="N30">
            <v>31237.513971272445</v>
          </cell>
          <cell r="O30">
            <v>36652.559748170279</v>
          </cell>
          <cell r="P30">
            <v>31401.992510785971</v>
          </cell>
          <cell r="Q30">
            <v>34972.707128142429</v>
          </cell>
          <cell r="R30">
            <v>33343.426670849432</v>
          </cell>
          <cell r="S30">
            <v>270288.32989222038</v>
          </cell>
          <cell r="U30"/>
        </row>
        <row r="31">
          <cell r="G31">
            <v>102483.09749801969</v>
          </cell>
          <cell r="H31">
            <v>72595.243094506994</v>
          </cell>
          <cell r="I31">
            <v>0</v>
          </cell>
          <cell r="J31">
            <v>0</v>
          </cell>
          <cell r="K31">
            <v>169229.81573683006</v>
          </cell>
          <cell r="L31">
            <v>155365.82115885001</v>
          </cell>
          <cell r="M31">
            <v>182110.36009507734</v>
          </cell>
          <cell r="N31">
            <v>154127.15605603484</v>
          </cell>
          <cell r="O31">
            <v>138525.94308701399</v>
          </cell>
          <cell r="P31">
            <v>157950.75356187925</v>
          </cell>
          <cell r="Q31">
            <v>176492.76922934849</v>
          </cell>
          <cell r="R31">
            <v>166873.40961662368</v>
          </cell>
          <cell r="S31">
            <v>1475754.3691341844</v>
          </cell>
          <cell r="U31"/>
        </row>
        <row r="32">
          <cell r="G32">
            <v>102483.09749801969</v>
          </cell>
          <cell r="H32">
            <v>72595.243094506994</v>
          </cell>
          <cell r="I32">
            <v>0</v>
          </cell>
          <cell r="J32">
            <v>0</v>
          </cell>
          <cell r="K32">
            <v>202909.21892660303</v>
          </cell>
          <cell r="L32">
            <v>187577.92737652245</v>
          </cell>
          <cell r="M32">
            <v>218898.98055063179</v>
          </cell>
          <cell r="N32">
            <v>185364.67002730729</v>
          </cell>
          <cell r="O32">
            <v>175178.50283518428</v>
          </cell>
          <cell r="P32">
            <v>189352.74607266521</v>
          </cell>
          <cell r="Q32">
            <v>211465.47635749093</v>
          </cell>
          <cell r="R32">
            <v>200216.83628747312</v>
          </cell>
          <cell r="S32">
            <v>1746042.6990264049</v>
          </cell>
          <cell r="U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71441.158281336582</v>
          </cell>
          <cell r="L33">
            <v>68328.710158699061</v>
          </cell>
          <cell r="M33">
            <v>78036.467632994274</v>
          </cell>
          <cell r="N33">
            <v>66261.393272396104</v>
          </cell>
          <cell r="O33">
            <v>77747.854011270305</v>
          </cell>
          <cell r="P33">
            <v>66610.287144091446</v>
          </cell>
          <cell r="Q33">
            <v>74184.530271817261</v>
          </cell>
          <cell r="R33">
            <v>63766.77749082751</v>
          </cell>
          <cell r="S33">
            <v>566377.17826343246</v>
          </cell>
          <cell r="U33"/>
        </row>
        <row r="34">
          <cell r="G34">
            <v>8190.6325019803116</v>
          </cell>
          <cell r="H34">
            <v>5891.1669054930062</v>
          </cell>
          <cell r="I34">
            <v>0</v>
          </cell>
          <cell r="J34">
            <v>0</v>
          </cell>
          <cell r="K34">
            <v>23926.96278024069</v>
          </cell>
          <cell r="L34">
            <v>19728.192133628967</v>
          </cell>
          <cell r="M34">
            <v>22023.721232677646</v>
          </cell>
          <cell r="N34">
            <v>18881.310225146928</v>
          </cell>
          <cell r="O34">
            <v>21075.18483241029</v>
          </cell>
          <cell r="P34">
            <v>23352.583378003481</v>
          </cell>
          <cell r="Q34">
            <v>25666.045849742175</v>
          </cell>
          <cell r="R34">
            <v>23373.708416036498</v>
          </cell>
          <cell r="S34">
            <v>192109.50825535998</v>
          </cell>
          <cell r="U34"/>
        </row>
        <row r="35">
          <cell r="G35">
            <v>8190.6325019803116</v>
          </cell>
          <cell r="H35">
            <v>5891.1669054930062</v>
          </cell>
          <cell r="I35">
            <v>0</v>
          </cell>
          <cell r="J35">
            <v>0</v>
          </cell>
          <cell r="K35">
            <v>95368.121061577272</v>
          </cell>
          <cell r="L35">
            <v>88056.902292328028</v>
          </cell>
          <cell r="M35">
            <v>100060.18886567192</v>
          </cell>
          <cell r="N35">
            <v>85142.703497543029</v>
          </cell>
          <cell r="O35">
            <v>98823.038843680595</v>
          </cell>
          <cell r="P35">
            <v>89962.87052209492</v>
          </cell>
          <cell r="Q35">
            <v>99850.576121559439</v>
          </cell>
          <cell r="R35">
            <v>87140.485906864007</v>
          </cell>
          <cell r="S35">
            <v>758486.68651879265</v>
          </cell>
          <cell r="U35"/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156329.35459848633</v>
          </cell>
          <cell r="L36">
            <v>146547.37478448282</v>
          </cell>
          <cell r="M36">
            <v>177057.46970369629</v>
          </cell>
          <cell r="N36">
            <v>140050.09314181635</v>
          </cell>
          <cell r="O36">
            <v>176150.39832113523</v>
          </cell>
          <cell r="P36">
            <v>141146.61673857315</v>
          </cell>
          <cell r="Q36">
            <v>164951.38085428294</v>
          </cell>
          <cell r="R36">
            <v>154089.5111389962</v>
          </cell>
          <cell r="S36">
            <v>1256322.1992814692</v>
          </cell>
          <cell r="U36"/>
        </row>
        <row r="37"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>
            <v>0</v>
          </cell>
          <cell r="U37"/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156329.35459848633</v>
          </cell>
          <cell r="L38">
            <v>146547.37478448282</v>
          </cell>
          <cell r="M38">
            <v>177057.46970369629</v>
          </cell>
          <cell r="N38">
            <v>140050.09314181635</v>
          </cell>
          <cell r="O38">
            <v>176150.39832113523</v>
          </cell>
          <cell r="P38">
            <v>141146.61673857315</v>
          </cell>
          <cell r="Q38">
            <v>164951.38085428294</v>
          </cell>
          <cell r="R38">
            <v>154089.5111389962</v>
          </cell>
          <cell r="S38">
            <v>1256322.1992814692</v>
          </cell>
          <cell r="U38"/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261449.91606959587</v>
          </cell>
          <cell r="L39">
            <v>247088.1911608543</v>
          </cell>
          <cell r="M39">
            <v>291882.557792245</v>
          </cell>
          <cell r="N39">
            <v>237549.00038548489</v>
          </cell>
          <cell r="O39">
            <v>290550.81208057585</v>
          </cell>
          <cell r="P39">
            <v>239158.89639345056</v>
          </cell>
          <cell r="Q39">
            <v>274108.61825424264</v>
          </cell>
          <cell r="R39">
            <v>251199.71530067315</v>
          </cell>
          <cell r="S39">
            <v>2092987.7074371225</v>
          </cell>
          <cell r="U39"/>
        </row>
        <row r="40">
          <cell r="G40">
            <v>110673.73000000001</v>
          </cell>
          <cell r="H40">
            <v>78486.41</v>
          </cell>
          <cell r="I40">
            <v>0</v>
          </cell>
          <cell r="J40">
            <v>0</v>
          </cell>
          <cell r="K40">
            <v>193156.77851707075</v>
          </cell>
          <cell r="L40">
            <v>175094.01329247898</v>
          </cell>
          <cell r="M40">
            <v>204134.08132775498</v>
          </cell>
          <cell r="N40">
            <v>173008.46628118178</v>
          </cell>
          <cell r="O40">
            <v>159601.12791942427</v>
          </cell>
          <cell r="P40">
            <v>181303.33693988272</v>
          </cell>
          <cell r="Q40">
            <v>202158.81507909065</v>
          </cell>
          <cell r="R40">
            <v>190247.11803266019</v>
          </cell>
          <cell r="S40">
            <v>1667863.8773895442</v>
          </cell>
          <cell r="U40"/>
        </row>
        <row r="41">
          <cell r="G41">
            <v>110673.73000000001</v>
          </cell>
          <cell r="H41">
            <v>78486.41</v>
          </cell>
          <cell r="I41">
            <v>0</v>
          </cell>
          <cell r="J41">
            <v>0</v>
          </cell>
          <cell r="K41">
            <v>454606.69458666665</v>
          </cell>
          <cell r="L41">
            <v>422182.20445333328</v>
          </cell>
          <cell r="M41">
            <v>496016.63911999995</v>
          </cell>
          <cell r="N41">
            <v>410557.46666666667</v>
          </cell>
          <cell r="O41">
            <v>450151.94000000012</v>
          </cell>
          <cell r="P41">
            <v>420462.23333333328</v>
          </cell>
          <cell r="Q41">
            <v>476267.43333333329</v>
          </cell>
          <cell r="R41">
            <v>441446.83333333337</v>
          </cell>
          <cell r="S41">
            <v>3760851.5848266664</v>
          </cell>
          <cell r="U41"/>
        </row>
        <row r="42">
          <cell r="G42">
            <v>0</v>
          </cell>
          <cell r="H42">
            <v>0</v>
          </cell>
          <cell r="I42">
            <v>38227.43</v>
          </cell>
          <cell r="J42">
            <v>38227.43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76454.86</v>
          </cell>
          <cell r="U42"/>
        </row>
        <row r="43">
          <cell r="G43">
            <v>0</v>
          </cell>
          <cell r="H43">
            <v>0</v>
          </cell>
          <cell r="I43">
            <v>41897.1</v>
          </cell>
          <cell r="J43">
            <v>44590.06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86487.16</v>
          </cell>
          <cell r="U43"/>
        </row>
        <row r="44">
          <cell r="G44">
            <v>0</v>
          </cell>
          <cell r="H44">
            <v>0</v>
          </cell>
          <cell r="I44">
            <v>80124.53</v>
          </cell>
          <cell r="J44">
            <v>82817.489999999991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162942.01999999999</v>
          </cell>
          <cell r="T44">
            <v>1410770.8150399998</v>
          </cell>
          <cell r="U44"/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4270.5968102270417</v>
          </cell>
          <cell r="L45">
            <v>5737.8937823275701</v>
          </cell>
          <cell r="M45">
            <v>1161.3795444455536</v>
          </cell>
          <cell r="N45">
            <v>6712.4860287275551</v>
          </cell>
          <cell r="O45">
            <v>1297.4402518297211</v>
          </cell>
          <cell r="P45">
            <v>6548.0074892140292</v>
          </cell>
          <cell r="Q45">
            <v>2977.2928718575713</v>
          </cell>
          <cell r="R45">
            <v>4606.5733291505676</v>
          </cell>
          <cell r="S45">
            <v>33311.67010777961</v>
          </cell>
        </row>
        <row r="46">
          <cell r="G46">
            <v>80816.10250198032</v>
          </cell>
          <cell r="H46">
            <v>92233.556905492995</v>
          </cell>
          <cell r="I46">
            <v>0</v>
          </cell>
          <cell r="J46">
            <v>0</v>
          </cell>
          <cell r="K46">
            <v>82074.18426316994</v>
          </cell>
          <cell r="L46">
            <v>85640.178841149987</v>
          </cell>
          <cell r="M46">
            <v>66598.439904922678</v>
          </cell>
          <cell r="N46">
            <v>94080.17727729847</v>
          </cell>
          <cell r="O46">
            <v>48378.590246319334</v>
          </cell>
          <cell r="P46">
            <v>93307.513104787417</v>
          </cell>
          <cell r="Q46">
            <v>75314.164103984862</v>
          </cell>
          <cell r="R46">
            <v>83062.057050042989</v>
          </cell>
          <cell r="S46">
            <v>801504.96419914905</v>
          </cell>
        </row>
        <row r="47">
          <cell r="G47">
            <v>80816.10250198032</v>
          </cell>
          <cell r="H47">
            <v>92233.556905492995</v>
          </cell>
          <cell r="I47">
            <v>0</v>
          </cell>
          <cell r="J47">
            <v>0</v>
          </cell>
          <cell r="K47">
            <v>86344.781073396982</v>
          </cell>
          <cell r="L47">
            <v>91378.07262347755</v>
          </cell>
          <cell r="M47">
            <v>67759.819449368224</v>
          </cell>
          <cell r="N47">
            <v>100792.66330602602</v>
          </cell>
          <cell r="O47">
            <v>49676.030498149055</v>
          </cell>
          <cell r="P47">
            <v>99855.520594001442</v>
          </cell>
          <cell r="Q47">
            <v>78291.456975842433</v>
          </cell>
          <cell r="R47">
            <v>87668.63037919355</v>
          </cell>
          <cell r="S47">
            <v>834816.63430692861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33558.841718663418</v>
          </cell>
          <cell r="L48">
            <v>36671.289841300939</v>
          </cell>
          <cell r="M48">
            <v>26963.532367005726</v>
          </cell>
          <cell r="N48">
            <v>38738.606727603896</v>
          </cell>
          <cell r="O48">
            <v>27252.145988729695</v>
          </cell>
          <cell r="P48">
            <v>38389.712855908554</v>
          </cell>
          <cell r="Q48">
            <v>30815.469728182739</v>
          </cell>
          <cell r="R48">
            <v>30898.22250917249</v>
          </cell>
          <cell r="S48">
            <v>263287.82173656748</v>
          </cell>
        </row>
        <row r="49">
          <cell r="G49">
            <v>1423.1674980196894</v>
          </cell>
          <cell r="H49">
            <v>2886.8330945069938</v>
          </cell>
          <cell r="I49">
            <v>0</v>
          </cell>
          <cell r="J49">
            <v>0</v>
          </cell>
          <cell r="K49">
            <v>19744.942286425969</v>
          </cell>
          <cell r="L49">
            <v>17564.576933037693</v>
          </cell>
          <cell r="M49">
            <v>14841.207833989018</v>
          </cell>
          <cell r="N49">
            <v>18270.106441519736</v>
          </cell>
          <cell r="O49">
            <v>12698.398500923046</v>
          </cell>
          <cell r="P49">
            <v>21988.599955329853</v>
          </cell>
          <cell r="Q49">
            <v>19191.137483591159</v>
          </cell>
          <cell r="R49">
            <v>19321.608250630175</v>
          </cell>
          <cell r="S49">
            <v>147930.57827797331</v>
          </cell>
        </row>
        <row r="50">
          <cell r="G50">
            <v>1423.1674980196894</v>
          </cell>
          <cell r="H50">
            <v>2886.8330945069938</v>
          </cell>
          <cell r="I50">
            <v>0</v>
          </cell>
          <cell r="J50">
            <v>0</v>
          </cell>
          <cell r="K50">
            <v>53303.784005089386</v>
          </cell>
          <cell r="L50">
            <v>54235.866774338632</v>
          </cell>
          <cell r="M50">
            <v>41804.74020099474</v>
          </cell>
          <cell r="N50">
            <v>57008.713169123628</v>
          </cell>
          <cell r="O50">
            <v>39950.544489652741</v>
          </cell>
          <cell r="P50">
            <v>60378.312811238407</v>
          </cell>
          <cell r="Q50">
            <v>50006.607211773895</v>
          </cell>
          <cell r="R50">
            <v>50219.830759802666</v>
          </cell>
          <cell r="S50">
            <v>411218.40001454082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41670.64540151367</v>
          </cell>
          <cell r="L51">
            <v>51452.625215517182</v>
          </cell>
          <cell r="M51">
            <v>20942.53029630371</v>
          </cell>
          <cell r="N51">
            <v>57949.906858183647</v>
          </cell>
          <cell r="O51">
            <v>21849.601678864768</v>
          </cell>
          <cell r="P51">
            <v>56853.383261426847</v>
          </cell>
          <cell r="Q51">
            <v>33048.619145717064</v>
          </cell>
          <cell r="R51">
            <v>43910.488861003803</v>
          </cell>
          <cell r="S51">
            <v>327677.80071853066</v>
          </cell>
          <cell r="U51"/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U52"/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41670.64540151367</v>
          </cell>
          <cell r="L53">
            <v>51452.625215517182</v>
          </cell>
          <cell r="M53">
            <v>20942.53029630371</v>
          </cell>
          <cell r="N53">
            <v>57949.906858183647</v>
          </cell>
          <cell r="O53">
            <v>21849.601678864768</v>
          </cell>
          <cell r="P53">
            <v>56853.383261426847</v>
          </cell>
          <cell r="Q53">
            <v>33048.619145717064</v>
          </cell>
          <cell r="R53">
            <v>43910.488861003803</v>
          </cell>
          <cell r="S53">
            <v>327677.80071853066</v>
          </cell>
          <cell r="U53"/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79500.083930404129</v>
          </cell>
          <cell r="L54">
            <v>93861.808839145699</v>
          </cell>
          <cell r="M54">
            <v>49067.44220775499</v>
          </cell>
          <cell r="N54">
            <v>103400.99961451509</v>
          </cell>
          <cell r="O54">
            <v>50399.187919424185</v>
          </cell>
          <cell r="P54">
            <v>101791.10360654943</v>
          </cell>
          <cell r="Q54">
            <v>66841.381745757375</v>
          </cell>
          <cell r="R54">
            <v>79415.284699326861</v>
          </cell>
          <cell r="S54">
            <v>624277.29256287776</v>
          </cell>
        </row>
        <row r="55">
          <cell r="G55">
            <v>82239.27</v>
          </cell>
          <cell r="H55">
            <v>95120.389999999985</v>
          </cell>
          <cell r="I55">
            <v>0</v>
          </cell>
          <cell r="J55">
            <v>0</v>
          </cell>
          <cell r="K55">
            <v>101819.12654959591</v>
          </cell>
          <cell r="L55">
            <v>103204.75577418768</v>
          </cell>
          <cell r="M55">
            <v>81439.647738911692</v>
          </cell>
          <cell r="N55">
            <v>112350.2837188182</v>
          </cell>
          <cell r="O55">
            <v>61076.98874724238</v>
          </cell>
          <cell r="P55">
            <v>115296.11306011726</v>
          </cell>
          <cell r="Q55">
            <v>94505.301587576017</v>
          </cell>
          <cell r="R55">
            <v>102383.66530067316</v>
          </cell>
          <cell r="S55">
            <v>949435.54247712228</v>
          </cell>
        </row>
        <row r="56">
          <cell r="G56">
            <v>0</v>
          </cell>
          <cell r="H56">
            <v>0</v>
          </cell>
          <cell r="I56">
            <v>-80124.53</v>
          </cell>
          <cell r="J56">
            <v>-82817.489999999991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-162942.01999999999</v>
          </cell>
        </row>
        <row r="57">
          <cell r="G57">
            <v>82239.27</v>
          </cell>
          <cell r="H57">
            <v>95120.389999999985</v>
          </cell>
          <cell r="I57">
            <v>-80124.53</v>
          </cell>
          <cell r="J57">
            <v>-82817.489999999991</v>
          </cell>
          <cell r="K57">
            <v>181319.21048000004</v>
          </cell>
          <cell r="L57">
            <v>197066.56461333338</v>
          </cell>
          <cell r="M57">
            <v>130507.08994666667</v>
          </cell>
          <cell r="N57">
            <v>215751.2833333333</v>
          </cell>
          <cell r="O57">
            <v>111476.17666666656</v>
          </cell>
          <cell r="P57">
            <v>217087.21666666667</v>
          </cell>
          <cell r="Q57">
            <v>161346.68333333341</v>
          </cell>
          <cell r="R57">
            <v>181798.95</v>
          </cell>
          <cell r="S57">
            <v>1410770.8150399998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793.99831909725128</v>
          </cell>
          <cell r="L58">
            <v>809.61912190056853</v>
          </cell>
          <cell r="M58">
            <v>807.26683749400922</v>
          </cell>
          <cell r="N58">
            <v>807.81218984994439</v>
          </cell>
          <cell r="O58">
            <v>2348.5661753335808</v>
          </cell>
          <cell r="P58">
            <v>2134.3795434330341</v>
          </cell>
          <cell r="Q58">
            <v>2140.1315586547666</v>
          </cell>
          <cell r="R58">
            <v>2179.8370406046706</v>
          </cell>
          <cell r="S58">
            <v>12021.610786367826</v>
          </cell>
          <cell r="U58"/>
        </row>
        <row r="59">
          <cell r="G59">
            <v>11348.805700137051</v>
          </cell>
          <cell r="H59">
            <v>11335.904110580386</v>
          </cell>
          <cell r="I59">
            <v>0</v>
          </cell>
          <cell r="J59">
            <v>0</v>
          </cell>
          <cell r="K59">
            <v>3989.6250084675708</v>
          </cell>
          <cell r="L59">
            <v>3904.9647623159358</v>
          </cell>
          <cell r="M59">
            <v>3996.1176213839808</v>
          </cell>
          <cell r="N59">
            <v>3985.7779835959832</v>
          </cell>
          <cell r="O59">
            <v>8876.2516608839796</v>
          </cell>
          <cell r="P59">
            <v>10735.84286591085</v>
          </cell>
          <cell r="Q59">
            <v>10800.357659420457</v>
          </cell>
          <cell r="R59">
            <v>10909.401812991442</v>
          </cell>
          <cell r="S59">
            <v>79883.049185687647</v>
          </cell>
          <cell r="U59"/>
        </row>
        <row r="60">
          <cell r="G60">
            <v>11348.805700137051</v>
          </cell>
          <cell r="H60">
            <v>11335.904110580386</v>
          </cell>
          <cell r="I60">
            <v>0</v>
          </cell>
          <cell r="J60">
            <v>0</v>
          </cell>
          <cell r="K60">
            <v>4783.6233275648219</v>
          </cell>
          <cell r="L60">
            <v>4714.583884216504</v>
          </cell>
          <cell r="M60">
            <v>4803.3844588779903</v>
          </cell>
          <cell r="N60">
            <v>4793.5901734459276</v>
          </cell>
          <cell r="O60">
            <v>11224.81783621756</v>
          </cell>
          <cell r="P60">
            <v>12870.222409343885</v>
          </cell>
          <cell r="Q60">
            <v>12940.489218075223</v>
          </cell>
          <cell r="R60">
            <v>13089.238853596113</v>
          </cell>
          <cell r="S60">
            <v>91904.659972055451</v>
          </cell>
          <cell r="U60"/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1684.2388586911393</v>
          </cell>
          <cell r="L61">
            <v>1717.3738949405997</v>
          </cell>
          <cell r="M61">
            <v>1712.3842007448677</v>
          </cell>
          <cell r="N61">
            <v>1713.5410087726093</v>
          </cell>
          <cell r="O61">
            <v>4981.8070385863848</v>
          </cell>
          <cell r="P61">
            <v>4527.4717587973446</v>
          </cell>
          <cell r="Q61">
            <v>4539.67300320708</v>
          </cell>
          <cell r="R61">
            <v>4168.7732009866895</v>
          </cell>
          <cell r="S61">
            <v>25045.262964726713</v>
          </cell>
          <cell r="U61"/>
        </row>
        <row r="62">
          <cell r="G62">
            <v>907.01685541850577</v>
          </cell>
          <cell r="H62">
            <v>919.91844497516956</v>
          </cell>
          <cell r="I62">
            <v>0</v>
          </cell>
          <cell r="J62">
            <v>0</v>
          </cell>
          <cell r="K62">
            <v>564.08268642903101</v>
          </cell>
          <cell r="L62">
            <v>495.84840817243872</v>
          </cell>
          <cell r="M62">
            <v>483.27497930597229</v>
          </cell>
          <cell r="N62">
            <v>488.27677433739075</v>
          </cell>
          <cell r="O62">
            <v>1350.4231785277429</v>
          </cell>
          <cell r="P62">
            <v>1587.2647645274333</v>
          </cell>
          <cell r="Q62">
            <v>1570.6166099081431</v>
          </cell>
          <cell r="R62">
            <v>1528.0635636082777</v>
          </cell>
          <cell r="S62">
            <v>9894.7862652101048</v>
          </cell>
          <cell r="U62"/>
        </row>
        <row r="63">
          <cell r="G63">
            <v>907.01685541850577</v>
          </cell>
          <cell r="H63">
            <v>919.91844497516956</v>
          </cell>
          <cell r="I63">
            <v>0</v>
          </cell>
          <cell r="J63">
            <v>0</v>
          </cell>
          <cell r="K63">
            <v>2248.3215451201704</v>
          </cell>
          <cell r="L63">
            <v>2213.2223031130384</v>
          </cell>
          <cell r="M63">
            <v>2195.65918005084</v>
          </cell>
          <cell r="N63">
            <v>2201.8177831100002</v>
          </cell>
          <cell r="O63">
            <v>6332.2302171141273</v>
          </cell>
          <cell r="P63">
            <v>6114.7365233247783</v>
          </cell>
          <cell r="Q63">
            <v>6110.2896131152229</v>
          </cell>
          <cell r="R63">
            <v>5696.8367645949675</v>
          </cell>
          <cell r="S63">
            <v>34940.04922993682</v>
          </cell>
          <cell r="U63"/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5293.3221273150093</v>
          </cell>
          <cell r="L64">
            <v>5397.4608126704561</v>
          </cell>
          <cell r="M64">
            <v>5381.7789166267285</v>
          </cell>
          <cell r="N64">
            <v>5385.4145989996296</v>
          </cell>
          <cell r="O64">
            <v>15657.107835557206</v>
          </cell>
          <cell r="P64">
            <v>14229.196956220227</v>
          </cell>
          <cell r="Q64">
            <v>14267.543724365112</v>
          </cell>
          <cell r="R64">
            <v>14532.246937364471</v>
          </cell>
          <cell r="S64">
            <v>80144.071909118837</v>
          </cell>
          <cell r="U64"/>
        </row>
        <row r="65"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>
            <v>0</v>
          </cell>
          <cell r="U65"/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5293.3221273150093</v>
          </cell>
          <cell r="L66">
            <v>5397.4608126704561</v>
          </cell>
          <cell r="M66">
            <v>5381.7789166267285</v>
          </cell>
          <cell r="N66">
            <v>5385.4145989996296</v>
          </cell>
          <cell r="O66">
            <v>15657.107835557206</v>
          </cell>
          <cell r="P66">
            <v>14229.196956220227</v>
          </cell>
          <cell r="Q66">
            <v>14267.543724365112</v>
          </cell>
          <cell r="R66">
            <v>14532.246937364471</v>
          </cell>
          <cell r="S66">
            <v>80144.071909118837</v>
          </cell>
          <cell r="U66"/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7771.5593051033993</v>
          </cell>
          <cell r="L67">
            <v>7924.4538295116245</v>
          </cell>
          <cell r="M67">
            <v>7901.4299548656054</v>
          </cell>
          <cell r="N67">
            <v>7906.767797622183</v>
          </cell>
          <cell r="O67">
            <v>22987.481049477174</v>
          </cell>
          <cell r="P67">
            <v>20891.048258450606</v>
          </cell>
          <cell r="Q67">
            <v>20947.348286226959</v>
          </cell>
          <cell r="R67">
            <v>20880.85717895583</v>
          </cell>
          <cell r="S67">
            <v>117210.94566021339</v>
          </cell>
          <cell r="U67"/>
        </row>
        <row r="68">
          <cell r="G68">
            <v>12255.822555555556</v>
          </cell>
          <cell r="H68">
            <v>12255.822555555556</v>
          </cell>
          <cell r="I68">
            <v>0</v>
          </cell>
          <cell r="J68">
            <v>0</v>
          </cell>
          <cell r="K68">
            <v>4553.7076948966014</v>
          </cell>
          <cell r="L68">
            <v>4400.8131704883745</v>
          </cell>
          <cell r="M68">
            <v>4479.3926006899528</v>
          </cell>
          <cell r="N68">
            <v>4474.0547579333743</v>
          </cell>
          <cell r="O68">
            <v>10226.674839411722</v>
          </cell>
          <cell r="P68">
            <v>12323.107630438284</v>
          </cell>
          <cell r="Q68">
            <v>12370.974269328601</v>
          </cell>
          <cell r="R68">
            <v>12437.465376599719</v>
          </cell>
          <cell r="S68">
            <v>89777.83545089775</v>
          </cell>
          <cell r="U68"/>
        </row>
        <row r="69">
          <cell r="G69">
            <v>0</v>
          </cell>
          <cell r="H69">
            <v>0</v>
          </cell>
          <cell r="I69">
            <v>12255.822555555556</v>
          </cell>
          <cell r="J69">
            <v>12255.822555555556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24511.645111111113</v>
          </cell>
          <cell r="U69"/>
        </row>
        <row r="70">
          <cell r="G70">
            <v>12255.822555555556</v>
          </cell>
          <cell r="H70">
            <v>12255.822555555556</v>
          </cell>
          <cell r="I70">
            <v>12255.822555555556</v>
          </cell>
          <cell r="J70">
            <v>12255.822555555556</v>
          </cell>
          <cell r="K70">
            <v>12325.267</v>
          </cell>
          <cell r="L70">
            <v>12325.267</v>
          </cell>
          <cell r="M70">
            <v>12380.822555555558</v>
          </cell>
          <cell r="N70">
            <v>12380.822555555558</v>
          </cell>
          <cell r="O70">
            <v>33214.155888888898</v>
          </cell>
          <cell r="P70">
            <v>33214.15588888889</v>
          </cell>
          <cell r="Q70">
            <v>33318.322555555562</v>
          </cell>
          <cell r="R70">
            <v>33318.322555555547</v>
          </cell>
          <cell r="S70">
            <v>231500.42622222225</v>
          </cell>
          <cell r="T70">
            <v>1179270.3888177776</v>
          </cell>
          <cell r="U70"/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615.80834369209754</v>
          </cell>
          <cell r="L71">
            <v>614.32687455750545</v>
          </cell>
          <cell r="M71">
            <v>602.79821088901463</v>
          </cell>
          <cell r="N71">
            <v>602.25936241054126</v>
          </cell>
          <cell r="O71">
            <v>702.06304359986075</v>
          </cell>
          <cell r="P71">
            <v>587.64650140677611</v>
          </cell>
          <cell r="Q71">
            <v>581.2421254163105</v>
          </cell>
          <cell r="R71">
            <v>625.09061859389863</v>
          </cell>
          <cell r="S71">
            <v>4931.2350805660044</v>
          </cell>
          <cell r="U71"/>
        </row>
        <row r="72">
          <cell r="G72">
            <v>4049.524864517994</v>
          </cell>
          <cell r="H72">
            <v>4457.2279153007412</v>
          </cell>
          <cell r="I72">
            <v>0</v>
          </cell>
          <cell r="J72">
            <v>0</v>
          </cell>
          <cell r="K72">
            <v>4077.8682477786269</v>
          </cell>
          <cell r="L72">
            <v>3901.3560666562889</v>
          </cell>
          <cell r="M72">
            <v>3950.4932719987823</v>
          </cell>
          <cell r="N72">
            <v>3939.0036974691434</v>
          </cell>
          <cell r="O72">
            <v>3457.6749811491859</v>
          </cell>
          <cell r="P72">
            <v>3890.6730265137667</v>
          </cell>
          <cell r="Q72">
            <v>3856.6744960534879</v>
          </cell>
          <cell r="R72">
            <v>4116.7935564485215</v>
          </cell>
          <cell r="S72">
            <v>39697.290123886538</v>
          </cell>
          <cell r="U72"/>
        </row>
        <row r="73">
          <cell r="G73">
            <v>4049.524864517994</v>
          </cell>
          <cell r="H73">
            <v>4457.2279153007412</v>
          </cell>
          <cell r="I73">
            <v>0</v>
          </cell>
          <cell r="J73">
            <v>0</v>
          </cell>
          <cell r="K73">
            <v>4693.6765914707248</v>
          </cell>
          <cell r="L73">
            <v>4515.682941213794</v>
          </cell>
          <cell r="M73">
            <v>4553.2914828877965</v>
          </cell>
          <cell r="N73">
            <v>4541.263059879685</v>
          </cell>
          <cell r="O73">
            <v>4159.7380247490464</v>
          </cell>
          <cell r="P73">
            <v>4478.3195279205429</v>
          </cell>
          <cell r="Q73">
            <v>4437.916621469798</v>
          </cell>
          <cell r="R73">
            <v>4741.8841750424199</v>
          </cell>
          <cell r="S73">
            <v>44628.525204452548</v>
          </cell>
          <cell r="U73"/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1703.8175517172663</v>
          </cell>
          <cell r="L74">
            <v>1699.7186252579202</v>
          </cell>
          <cell r="M74">
            <v>1667.8211368470763</v>
          </cell>
          <cell r="N74">
            <v>1666.3302517287702</v>
          </cell>
          <cell r="O74">
            <v>1942.4669190509978</v>
          </cell>
          <cell r="P74">
            <v>1625.8994110068904</v>
          </cell>
          <cell r="Q74">
            <v>1608.1797936419657</v>
          </cell>
          <cell r="R74">
            <v>1559.2675470142665</v>
          </cell>
          <cell r="S74">
            <v>13473.501236265154</v>
          </cell>
          <cell r="U74"/>
        </row>
        <row r="75">
          <cell r="G75">
            <v>212.39220979962323</v>
          </cell>
          <cell r="H75">
            <v>237.3708152975081</v>
          </cell>
          <cell r="I75">
            <v>0</v>
          </cell>
          <cell r="J75">
            <v>0</v>
          </cell>
          <cell r="K75">
            <v>708.65674637635095</v>
          </cell>
          <cell r="L75">
            <v>603.68775400053096</v>
          </cell>
          <cell r="M75">
            <v>585.56293243576022</v>
          </cell>
          <cell r="N75">
            <v>589.5859951071152</v>
          </cell>
          <cell r="O75">
            <v>624.80065107440134</v>
          </cell>
          <cell r="P75">
            <v>702.09717405735341</v>
          </cell>
          <cell r="Q75">
            <v>687.03253177485544</v>
          </cell>
          <cell r="R75">
            <v>703.25275115228089</v>
          </cell>
          <cell r="S75">
            <v>5654.4395610757801</v>
          </cell>
          <cell r="U75"/>
        </row>
        <row r="76">
          <cell r="G76">
            <v>212.39220979962323</v>
          </cell>
          <cell r="H76">
            <v>237.3708152975081</v>
          </cell>
          <cell r="I76">
            <v>0</v>
          </cell>
          <cell r="J76">
            <v>0</v>
          </cell>
          <cell r="K76">
            <v>2412.4742980936171</v>
          </cell>
          <cell r="L76">
            <v>2303.4063792584511</v>
          </cell>
          <cell r="M76">
            <v>2253.3840692828367</v>
          </cell>
          <cell r="N76">
            <v>2255.9162468358854</v>
          </cell>
          <cell r="O76">
            <v>2567.2675701253993</v>
          </cell>
          <cell r="P76">
            <v>2327.9965850642438</v>
          </cell>
          <cell r="Q76">
            <v>2295.2123254168209</v>
          </cell>
          <cell r="R76">
            <v>2262.5202981665475</v>
          </cell>
          <cell r="S76">
            <v>19127.940797340932</v>
          </cell>
          <cell r="U76"/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3212.9130975239877</v>
          </cell>
          <cell r="L77">
            <v>3205.183693343507</v>
          </cell>
          <cell r="M77">
            <v>3145.0341437687725</v>
          </cell>
          <cell r="N77">
            <v>3142.222760402824</v>
          </cell>
          <cell r="O77">
            <v>3662.9376187818816</v>
          </cell>
          <cell r="P77">
            <v>3065.9817464701359</v>
          </cell>
          <cell r="Q77">
            <v>3032.5676108677067</v>
          </cell>
          <cell r="R77">
            <v>3261.3423578812099</v>
          </cell>
          <cell r="S77">
            <v>25728.183029040028</v>
          </cell>
          <cell r="U77"/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U78"/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3212.9130975239877</v>
          </cell>
          <cell r="L79">
            <v>3205.183693343507</v>
          </cell>
          <cell r="M79">
            <v>3145.0341437687725</v>
          </cell>
          <cell r="N79">
            <v>3142.222760402824</v>
          </cell>
          <cell r="O79">
            <v>3662.9376187818816</v>
          </cell>
          <cell r="P79">
            <v>3065.9817464701359</v>
          </cell>
          <cell r="Q79">
            <v>3032.5676108677067</v>
          </cell>
          <cell r="R79">
            <v>3261.3423578812099</v>
          </cell>
          <cell r="S79">
            <v>25728.183029040028</v>
          </cell>
          <cell r="U79"/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5532.5389929333514</v>
          </cell>
          <cell r="L80">
            <v>5519.2291931589325</v>
          </cell>
          <cell r="M80">
            <v>5415.6534915048633</v>
          </cell>
          <cell r="N80">
            <v>5410.8123745421353</v>
          </cell>
          <cell r="O80">
            <v>6307.4675814327402</v>
          </cell>
          <cell r="P80">
            <v>5279.5276588838024</v>
          </cell>
          <cell r="Q80">
            <v>5221.9895299259824</v>
          </cell>
          <cell r="R80">
            <v>5445.700523489375</v>
          </cell>
          <cell r="S80">
            <v>44132.919345871182</v>
          </cell>
          <cell r="U80"/>
        </row>
        <row r="81">
          <cell r="G81">
            <v>4261.9170743176173</v>
          </cell>
          <cell r="H81">
            <v>4694.5987305982489</v>
          </cell>
          <cell r="I81">
            <v>0</v>
          </cell>
          <cell r="J81">
            <v>0</v>
          </cell>
          <cell r="K81">
            <v>4786.5249941549782</v>
          </cell>
          <cell r="L81">
            <v>4505.0438206568197</v>
          </cell>
          <cell r="M81">
            <v>4536.0562044345425</v>
          </cell>
          <cell r="N81">
            <v>4528.589692576259</v>
          </cell>
          <cell r="O81">
            <v>4082.4756322235871</v>
          </cell>
          <cell r="P81">
            <v>4592.7702005711199</v>
          </cell>
          <cell r="Q81">
            <v>4543.7070278283436</v>
          </cell>
          <cell r="R81">
            <v>4820.0463076008027</v>
          </cell>
          <cell r="S81">
            <v>45351.729684962316</v>
          </cell>
          <cell r="U81"/>
        </row>
        <row r="82">
          <cell r="G82">
            <v>4261.9170743176173</v>
          </cell>
          <cell r="H82">
            <v>4694.5987305982489</v>
          </cell>
          <cell r="I82">
            <v>0</v>
          </cell>
          <cell r="J82">
            <v>0</v>
          </cell>
          <cell r="K82">
            <v>10319.06398708833</v>
          </cell>
          <cell r="L82">
            <v>10024.273013815753</v>
          </cell>
          <cell r="M82">
            <v>9951.7096959394057</v>
          </cell>
          <cell r="N82">
            <v>9939.4020671183935</v>
          </cell>
          <cell r="O82">
            <v>10389.943213656326</v>
          </cell>
          <cell r="P82">
            <v>9872.2978594549222</v>
          </cell>
          <cell r="Q82">
            <v>9765.6965577543269</v>
          </cell>
          <cell r="R82">
            <v>10265.746831090179</v>
          </cell>
          <cell r="S82">
            <v>89484.649030833505</v>
          </cell>
          <cell r="U82"/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2860.7901474376931</v>
          </cell>
          <cell r="L83">
            <v>4313.9477858694963</v>
          </cell>
          <cell r="M83">
            <v>-248.68550393747023</v>
          </cell>
          <cell r="N83">
            <v>5302.4144764670691</v>
          </cell>
          <cell r="O83">
            <v>-1753.1889671037204</v>
          </cell>
          <cell r="P83">
            <v>3825.9814443742189</v>
          </cell>
          <cell r="Q83">
            <v>255.91918778649415</v>
          </cell>
          <cell r="R83">
            <v>1801.6456699519983</v>
          </cell>
          <cell r="S83">
            <v>16358.824240845777</v>
          </cell>
        </row>
        <row r="84">
          <cell r="G84">
            <v>65417.771937325277</v>
          </cell>
          <cell r="H84">
            <v>76440.424879611863</v>
          </cell>
          <cell r="I84">
            <v>0</v>
          </cell>
          <cell r="J84">
            <v>0</v>
          </cell>
          <cell r="K84">
            <v>74006.691006923749</v>
          </cell>
          <cell r="L84">
            <v>77833.858012177763</v>
          </cell>
          <cell r="M84">
            <v>58651.829011539914</v>
          </cell>
          <cell r="N84">
            <v>86155.395596233342</v>
          </cell>
          <cell r="O84">
            <v>36044.663604286172</v>
          </cell>
          <cell r="P84">
            <v>78680.997212362796</v>
          </cell>
          <cell r="Q84">
            <v>60657.13194851092</v>
          </cell>
          <cell r="R84">
            <v>68035.861680603019</v>
          </cell>
          <cell r="S84">
            <v>681924.62488957471</v>
          </cell>
        </row>
        <row r="85">
          <cell r="G85">
            <v>65417.771937325277</v>
          </cell>
          <cell r="H85">
            <v>76440.424879611863</v>
          </cell>
          <cell r="I85">
            <v>0</v>
          </cell>
          <cell r="J85">
            <v>0</v>
          </cell>
          <cell r="K85">
            <v>76867.481154361449</v>
          </cell>
          <cell r="L85">
            <v>82147.805798047266</v>
          </cell>
          <cell r="M85">
            <v>58403.143507602443</v>
          </cell>
          <cell r="N85">
            <v>91457.810072700406</v>
          </cell>
          <cell r="O85">
            <v>34291.474637182451</v>
          </cell>
          <cell r="P85">
            <v>82506.978656737017</v>
          </cell>
          <cell r="Q85">
            <v>60913.051136297414</v>
          </cell>
          <cell r="R85">
            <v>69837.50735055501</v>
          </cell>
          <cell r="S85">
            <v>698283.44913042057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30170.78530825501</v>
          </cell>
          <cell r="L86">
            <v>33254.197321102423</v>
          </cell>
          <cell r="M86">
            <v>23583.32702941378</v>
          </cell>
          <cell r="N86">
            <v>35358.73546710251</v>
          </cell>
          <cell r="O86">
            <v>20327.872031092313</v>
          </cell>
          <cell r="P86">
            <v>32236.341686104322</v>
          </cell>
          <cell r="Q86">
            <v>24667.616931333694</v>
          </cell>
          <cell r="R86">
            <v>25170.181761171534</v>
          </cell>
          <cell r="S86">
            <v>224769.05753557559</v>
          </cell>
        </row>
        <row r="87">
          <cell r="G87">
            <v>303.75843280156045</v>
          </cell>
          <cell r="H87">
            <v>1729.5438342343159</v>
          </cell>
          <cell r="I87">
            <v>0</v>
          </cell>
          <cell r="J87">
            <v>0</v>
          </cell>
          <cell r="K87">
            <v>18472.202853620587</v>
          </cell>
          <cell r="L87">
            <v>16465.040770864725</v>
          </cell>
          <cell r="M87">
            <v>13772.369922247286</v>
          </cell>
          <cell r="N87">
            <v>17192.24367207523</v>
          </cell>
          <cell r="O87">
            <v>10723.174671320901</v>
          </cell>
          <cell r="P87">
            <v>19699.238016745065</v>
          </cell>
          <cell r="Q87">
            <v>16933.488341908163</v>
          </cell>
          <cell r="R87">
            <v>17090.291935869616</v>
          </cell>
          <cell r="S87">
            <v>132381.35245168745</v>
          </cell>
        </row>
        <row r="88">
          <cell r="G88">
            <v>303.75843280156045</v>
          </cell>
          <cell r="H88">
            <v>1729.5438342343159</v>
          </cell>
          <cell r="I88">
            <v>0</v>
          </cell>
          <cell r="J88">
            <v>0</v>
          </cell>
          <cell r="K88">
            <v>48642.988161875597</v>
          </cell>
          <cell r="L88">
            <v>49719.238091967149</v>
          </cell>
          <cell r="M88">
            <v>37355.69695166107</v>
          </cell>
          <cell r="N88">
            <v>52550.97913917774</v>
          </cell>
          <cell r="O88">
            <v>31051.046702413216</v>
          </cell>
          <cell r="P88">
            <v>51935.579702849383</v>
          </cell>
          <cell r="Q88">
            <v>41601.105273241861</v>
          </cell>
          <cell r="R88">
            <v>42260.473697041147</v>
          </cell>
          <cell r="S88">
            <v>357150.40998726303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33164.410176674668</v>
          </cell>
          <cell r="L89">
            <v>42849.980709503223</v>
          </cell>
          <cell r="M89">
            <v>12415.717235908209</v>
          </cell>
          <cell r="N89">
            <v>49422.269498781192</v>
          </cell>
          <cell r="O89">
            <v>2529.5562245256806</v>
          </cell>
          <cell r="P89">
            <v>39558.204558736485</v>
          </cell>
          <cell r="Q89">
            <v>15748.507810484247</v>
          </cell>
          <cell r="R89">
            <v>26116.899565758122</v>
          </cell>
          <cell r="S89">
            <v>221805.54578037179</v>
          </cell>
          <cell r="U89"/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U90"/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33164.410176674668</v>
          </cell>
          <cell r="L91">
            <v>42849.980709503223</v>
          </cell>
          <cell r="M91">
            <v>12415.717235908209</v>
          </cell>
          <cell r="N91">
            <v>49422.269498781192</v>
          </cell>
          <cell r="O91">
            <v>2529.5562245256806</v>
          </cell>
          <cell r="P91">
            <v>39558.204558736485</v>
          </cell>
          <cell r="Q91">
            <v>15748.507810484247</v>
          </cell>
          <cell r="R91">
            <v>26116.899565758122</v>
          </cell>
          <cell r="S91">
            <v>221805.54578037179</v>
          </cell>
          <cell r="U91"/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66195.985632367374</v>
          </cell>
          <cell r="L92">
            <v>80418.125816475134</v>
          </cell>
          <cell r="M92">
            <v>35750.358761384516</v>
          </cell>
          <cell r="N92">
            <v>90083.419442350772</v>
          </cell>
          <cell r="O92">
            <v>21104.239288514273</v>
          </cell>
          <cell r="P92">
            <v>75620.527689215029</v>
          </cell>
          <cell r="Q92">
            <v>40672.043929604435</v>
          </cell>
          <cell r="R92">
            <v>53088.726996881654</v>
          </cell>
          <cell r="S92">
            <v>462933.42755679321</v>
          </cell>
        </row>
        <row r="93">
          <cell r="G93">
            <v>65721.530370126842</v>
          </cell>
          <cell r="H93">
            <v>78169.968713846174</v>
          </cell>
          <cell r="I93">
            <v>0</v>
          </cell>
          <cell r="J93">
            <v>0</v>
          </cell>
          <cell r="K93">
            <v>92478.89386054434</v>
          </cell>
          <cell r="L93">
            <v>94298.898783042489</v>
          </cell>
          <cell r="M93">
            <v>72424.198933787207</v>
          </cell>
          <cell r="N93">
            <v>103347.63926830857</v>
          </cell>
          <cell r="O93">
            <v>46767.838275607071</v>
          </cell>
          <cell r="P93">
            <v>98380.235229107857</v>
          </cell>
          <cell r="Q93">
            <v>77590.620290419087</v>
          </cell>
          <cell r="R93">
            <v>85126.153616472642</v>
          </cell>
          <cell r="S93">
            <v>814305.97734126227</v>
          </cell>
          <cell r="U93">
            <v>-602519.07835086714</v>
          </cell>
        </row>
        <row r="94">
          <cell r="G94">
            <v>0</v>
          </cell>
          <cell r="H94">
            <v>0</v>
          </cell>
          <cell r="I94">
            <v>-92380.352555555553</v>
          </cell>
          <cell r="J94">
            <v>-95073.312555555545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-187453.6651111111</v>
          </cell>
        </row>
        <row r="95">
          <cell r="G95">
            <v>65721.530370126842</v>
          </cell>
          <cell r="H95">
            <v>78169.968713846174</v>
          </cell>
          <cell r="I95">
            <v>-92380.352555555553</v>
          </cell>
          <cell r="J95">
            <v>-95073.312555555545</v>
          </cell>
          <cell r="K95">
            <v>158674.87949291171</v>
          </cell>
          <cell r="L95">
            <v>174717.02459951764</v>
          </cell>
          <cell r="M95">
            <v>108174.55769517172</v>
          </cell>
          <cell r="N95">
            <v>193431.05871065933</v>
          </cell>
          <cell r="O95">
            <v>67872.07756412134</v>
          </cell>
          <cell r="P95">
            <v>174000.76291832287</v>
          </cell>
          <cell r="Q95">
            <v>118262.66422002352</v>
          </cell>
          <cell r="R95">
            <v>138214.8806133543</v>
          </cell>
          <cell r="S95">
            <v>1089785.7397869446</v>
          </cell>
        </row>
        <row r="97">
          <cell r="R97">
            <v>-4820.0463076007873</v>
          </cell>
          <cell r="T97"/>
        </row>
        <row r="98">
          <cell r="T98"/>
        </row>
        <row r="99">
          <cell r="T99"/>
        </row>
        <row r="100">
          <cell r="T100"/>
        </row>
        <row r="101">
          <cell r="T101"/>
        </row>
        <row r="102">
          <cell r="T102"/>
        </row>
        <row r="103">
          <cell r="T103"/>
        </row>
        <row r="104">
          <cell r="T104"/>
        </row>
        <row r="105">
          <cell r="T105"/>
        </row>
        <row r="106">
          <cell r="T106"/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U5"/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  <cell r="U6"/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/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14248</v>
          </cell>
          <cell r="L8">
            <v>13640</v>
          </cell>
          <cell r="M8">
            <v>14225.466666666667</v>
          </cell>
          <cell r="N8">
            <v>14230.666666666666</v>
          </cell>
          <cell r="O8">
            <v>10363.866666666667</v>
          </cell>
          <cell r="P8">
            <v>14211.6</v>
          </cell>
          <cell r="Q8">
            <v>14211.6</v>
          </cell>
          <cell r="R8">
            <v>14130.133333333333</v>
          </cell>
          <cell r="S8">
            <v>131019.33333333334</v>
          </cell>
          <cell r="U8"/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1328</v>
          </cell>
          <cell r="L9">
            <v>1328</v>
          </cell>
          <cell r="M9">
            <v>1217.3333333333333</v>
          </cell>
          <cell r="N9">
            <v>1328</v>
          </cell>
          <cell r="O9">
            <v>1328</v>
          </cell>
          <cell r="P9">
            <v>1438.6666666666667</v>
          </cell>
          <cell r="Q9">
            <v>1549.3333333333333</v>
          </cell>
          <cell r="R9">
            <v>1549.3333333333333</v>
          </cell>
          <cell r="S9">
            <v>11066.666666666668</v>
          </cell>
          <cell r="U9"/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/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/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1005.6</v>
          </cell>
          <cell r="L12">
            <v>948.6</v>
          </cell>
          <cell r="M12">
            <v>892.8</v>
          </cell>
          <cell r="N12">
            <v>723.66666666666663</v>
          </cell>
          <cell r="O12">
            <v>780.26666666666665</v>
          </cell>
          <cell r="P12">
            <v>948.6</v>
          </cell>
          <cell r="Q12">
            <v>892.8</v>
          </cell>
          <cell r="R12">
            <v>836</v>
          </cell>
          <cell r="S12">
            <v>7028.3333333333339</v>
          </cell>
          <cell r="U12"/>
        </row>
        <row r="13">
          <cell r="G13">
            <v>11456.2</v>
          </cell>
          <cell r="H13">
            <v>10301.799999999999</v>
          </cell>
          <cell r="I13">
            <v>0</v>
          </cell>
          <cell r="J13">
            <v>0</v>
          </cell>
          <cell r="K13">
            <v>16581.599999999999</v>
          </cell>
          <cell r="L13">
            <v>15916.6</v>
          </cell>
          <cell r="M13">
            <v>16335.6</v>
          </cell>
          <cell r="N13">
            <v>16282.333333333332</v>
          </cell>
          <cell r="O13">
            <v>12472.133333333333</v>
          </cell>
          <cell r="P13">
            <v>16598.866666666665</v>
          </cell>
          <cell r="Q13">
            <v>16653.733333333334</v>
          </cell>
          <cell r="R13">
            <v>16515.466666666667</v>
          </cell>
          <cell r="S13">
            <v>149114.33333333334</v>
          </cell>
          <cell r="U13"/>
        </row>
        <row r="14">
          <cell r="G14">
            <v>11456.2</v>
          </cell>
          <cell r="H14">
            <v>10301.799999999999</v>
          </cell>
          <cell r="I14">
            <v>0</v>
          </cell>
          <cell r="J14">
            <v>0</v>
          </cell>
          <cell r="K14">
            <v>19881.599999999999</v>
          </cell>
          <cell r="L14">
            <v>19216.599999999999</v>
          </cell>
          <cell r="M14">
            <v>19635.599999999999</v>
          </cell>
          <cell r="N14">
            <v>19582.333333333332</v>
          </cell>
          <cell r="O14">
            <v>15772.133333333333</v>
          </cell>
          <cell r="P14">
            <v>19898.866666666665</v>
          </cell>
          <cell r="Q14">
            <v>19953.733333333334</v>
          </cell>
          <cell r="R14">
            <v>19815.466666666667</v>
          </cell>
          <cell r="S14">
            <v>175514.33333333334</v>
          </cell>
          <cell r="U14"/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7000</v>
          </cell>
          <cell r="L15">
            <v>7000</v>
          </cell>
          <cell r="M15">
            <v>7000</v>
          </cell>
          <cell r="N15">
            <v>7000</v>
          </cell>
          <cell r="O15">
            <v>7000</v>
          </cell>
          <cell r="P15">
            <v>7000</v>
          </cell>
          <cell r="Q15">
            <v>7000</v>
          </cell>
          <cell r="R15">
            <v>6311</v>
          </cell>
          <cell r="S15">
            <v>55311</v>
          </cell>
          <cell r="U15"/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U16"/>
        </row>
        <row r="17">
          <cell r="G17">
            <v>915.60000000000014</v>
          </cell>
          <cell r="H17">
            <v>836</v>
          </cell>
          <cell r="I17">
            <v>0</v>
          </cell>
          <cell r="J17">
            <v>0</v>
          </cell>
          <cell r="K17">
            <v>1215.0666666666666</v>
          </cell>
          <cell r="L17">
            <v>996.66666666666663</v>
          </cell>
          <cell r="M17">
            <v>1033.0666666666666</v>
          </cell>
          <cell r="N17">
            <v>1033.0666666666666</v>
          </cell>
          <cell r="O17">
            <v>758.73333333333335</v>
          </cell>
          <cell r="P17">
            <v>1218.5333333333333</v>
          </cell>
          <cell r="Q17">
            <v>1218.5333333333333</v>
          </cell>
          <cell r="R17">
            <v>1142.2666666666669</v>
          </cell>
          <cell r="S17">
            <v>10367.533333333333</v>
          </cell>
          <cell r="U17"/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/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/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548.56255999999996</v>
          </cell>
          <cell r="L20">
            <v>475.87349333333333</v>
          </cell>
          <cell r="M20">
            <v>426.23082666666664</v>
          </cell>
          <cell r="N20">
            <v>542.13</v>
          </cell>
          <cell r="O20">
            <v>687.03</v>
          </cell>
          <cell r="P20">
            <v>687.03</v>
          </cell>
          <cell r="Q20">
            <v>687.03</v>
          </cell>
          <cell r="R20">
            <v>687.03</v>
          </cell>
          <cell r="S20">
            <v>4740.9168799999989</v>
          </cell>
          <cell r="U20"/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580.79999999999995</v>
          </cell>
          <cell r="L21">
            <v>548.5333333333333</v>
          </cell>
          <cell r="M21">
            <v>516.26666666666665</v>
          </cell>
          <cell r="N21">
            <v>419.46666666666664</v>
          </cell>
          <cell r="O21">
            <v>451.73333333333335</v>
          </cell>
          <cell r="P21">
            <v>548.5333333333333</v>
          </cell>
          <cell r="Q21">
            <v>516.26666666666665</v>
          </cell>
          <cell r="R21">
            <v>484</v>
          </cell>
          <cell r="S21">
            <v>4065.6000000000004</v>
          </cell>
          <cell r="U21"/>
        </row>
        <row r="22">
          <cell r="G22">
            <v>915.60000000000014</v>
          </cell>
          <cell r="H22">
            <v>836</v>
          </cell>
          <cell r="I22">
            <v>0</v>
          </cell>
          <cell r="J22">
            <v>0</v>
          </cell>
          <cell r="K22">
            <v>2344.4292266666662</v>
          </cell>
          <cell r="L22">
            <v>2021.0734933333333</v>
          </cell>
          <cell r="M22">
            <v>1975.5641599999999</v>
          </cell>
          <cell r="N22">
            <v>1994.6633333333334</v>
          </cell>
          <cell r="O22">
            <v>1897.4966666666667</v>
          </cell>
          <cell r="P22">
            <v>2454.0966666666664</v>
          </cell>
          <cell r="Q22">
            <v>2421.83</v>
          </cell>
          <cell r="R22">
            <v>2313.2966666666671</v>
          </cell>
          <cell r="S22">
            <v>19174.050213333332</v>
          </cell>
          <cell r="U22"/>
        </row>
        <row r="23">
          <cell r="G23">
            <v>915.60000000000014</v>
          </cell>
          <cell r="H23">
            <v>836</v>
          </cell>
          <cell r="I23">
            <v>0</v>
          </cell>
          <cell r="J23">
            <v>0</v>
          </cell>
          <cell r="K23">
            <v>9344.4292266666671</v>
          </cell>
          <cell r="L23">
            <v>9021.0734933333333</v>
          </cell>
          <cell r="M23">
            <v>8975.5641599999999</v>
          </cell>
          <cell r="N23">
            <v>8994.6633333333339</v>
          </cell>
          <cell r="O23">
            <v>8897.496666666666</v>
          </cell>
          <cell r="P23">
            <v>9454.0966666666664</v>
          </cell>
          <cell r="Q23">
            <v>9421.83</v>
          </cell>
          <cell r="R23">
            <v>8624.2966666666671</v>
          </cell>
          <cell r="S23">
            <v>74485.050213333336</v>
          </cell>
          <cell r="U23"/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22000</v>
          </cell>
          <cell r="L24">
            <v>22000</v>
          </cell>
          <cell r="M24">
            <v>22000</v>
          </cell>
          <cell r="N24">
            <v>22000</v>
          </cell>
          <cell r="O24">
            <v>22000</v>
          </cell>
          <cell r="P24">
            <v>22000</v>
          </cell>
          <cell r="Q24">
            <v>22000</v>
          </cell>
          <cell r="R24">
            <v>22000</v>
          </cell>
          <cell r="S24">
            <v>176000</v>
          </cell>
          <cell r="U24"/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32300</v>
          </cell>
          <cell r="L25">
            <v>32300</v>
          </cell>
          <cell r="M25">
            <v>32300</v>
          </cell>
          <cell r="N25">
            <v>32300</v>
          </cell>
          <cell r="O25">
            <v>32300</v>
          </cell>
          <cell r="P25">
            <v>32300</v>
          </cell>
          <cell r="Q25">
            <v>32300</v>
          </cell>
          <cell r="R25">
            <v>31611</v>
          </cell>
          <cell r="S25">
            <v>257711</v>
          </cell>
          <cell r="U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/>
        </row>
        <row r="27">
          <cell r="G27">
            <v>12371.800000000001</v>
          </cell>
          <cell r="H27">
            <v>11137.8</v>
          </cell>
          <cell r="I27">
            <v>0</v>
          </cell>
          <cell r="J27">
            <v>0</v>
          </cell>
          <cell r="K27">
            <v>15463.066666666666</v>
          </cell>
          <cell r="L27">
            <v>14636.666666666666</v>
          </cell>
          <cell r="M27">
            <v>15258.533333333333</v>
          </cell>
          <cell r="N27">
            <v>15263.733333333334</v>
          </cell>
          <cell r="O27">
            <v>11122.6</v>
          </cell>
          <cell r="P27">
            <v>15430.133333333333</v>
          </cell>
          <cell r="Q27">
            <v>15430.133333333333</v>
          </cell>
          <cell r="R27">
            <v>15272.4</v>
          </cell>
          <cell r="S27">
            <v>141386.86666666667</v>
          </cell>
          <cell r="U27"/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1328</v>
          </cell>
          <cell r="L28">
            <v>1328</v>
          </cell>
          <cell r="M28">
            <v>1217.3333333333333</v>
          </cell>
          <cell r="N28">
            <v>1328</v>
          </cell>
          <cell r="O28">
            <v>1328</v>
          </cell>
          <cell r="P28">
            <v>1438.6666666666667</v>
          </cell>
          <cell r="Q28">
            <v>1549.3333333333333</v>
          </cell>
          <cell r="R28">
            <v>1549.3333333333333</v>
          </cell>
          <cell r="S28">
            <v>11066.666666666668</v>
          </cell>
          <cell r="U28"/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/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548.56255999999996</v>
          </cell>
          <cell r="L30">
            <v>475.87349333333333</v>
          </cell>
          <cell r="M30">
            <v>426.23082666666664</v>
          </cell>
          <cell r="N30">
            <v>542.13</v>
          </cell>
          <cell r="O30">
            <v>687.03</v>
          </cell>
          <cell r="P30">
            <v>687.03</v>
          </cell>
          <cell r="Q30">
            <v>687.03</v>
          </cell>
          <cell r="R30">
            <v>687.03</v>
          </cell>
          <cell r="S30">
            <v>4740.9168799999989</v>
          </cell>
          <cell r="U30"/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1586.4</v>
          </cell>
          <cell r="L31">
            <v>1497.1333333333332</v>
          </cell>
          <cell r="M31">
            <v>1409.0666666666666</v>
          </cell>
          <cell r="N31">
            <v>1143.1333333333332</v>
          </cell>
          <cell r="O31">
            <v>1232</v>
          </cell>
          <cell r="P31">
            <v>1497.1333333333332</v>
          </cell>
          <cell r="Q31">
            <v>1409.0666666666666</v>
          </cell>
          <cell r="R31">
            <v>1320</v>
          </cell>
          <cell r="S31">
            <v>11093.933333333334</v>
          </cell>
          <cell r="U31"/>
        </row>
        <row r="32">
          <cell r="G32">
            <v>12371.800000000001</v>
          </cell>
          <cell r="H32">
            <v>11137.8</v>
          </cell>
          <cell r="I32">
            <v>0</v>
          </cell>
          <cell r="J32">
            <v>0</v>
          </cell>
          <cell r="K32">
            <v>18926.029226666666</v>
          </cell>
          <cell r="L32">
            <v>17937.673493333336</v>
          </cell>
          <cell r="M32">
            <v>18311.164159999997</v>
          </cell>
          <cell r="N32">
            <v>18276.996666666666</v>
          </cell>
          <cell r="O32">
            <v>14369.630000000001</v>
          </cell>
          <cell r="P32">
            <v>19052.963333333333</v>
          </cell>
          <cell r="Q32">
            <v>19075.563333333332</v>
          </cell>
          <cell r="R32">
            <v>18828.763333333332</v>
          </cell>
          <cell r="S32">
            <v>168288.38354666665</v>
          </cell>
          <cell r="U32"/>
        </row>
        <row r="33">
          <cell r="G33">
            <v>12371.800000000001</v>
          </cell>
          <cell r="H33">
            <v>11137.8</v>
          </cell>
          <cell r="I33">
            <v>0</v>
          </cell>
          <cell r="J33">
            <v>0</v>
          </cell>
          <cell r="K33">
            <v>51226.029226666666</v>
          </cell>
          <cell r="L33">
            <v>50237.673493333336</v>
          </cell>
          <cell r="M33">
            <v>50611.16416</v>
          </cell>
          <cell r="N33">
            <v>50576.996666666666</v>
          </cell>
          <cell r="O33">
            <v>46669.630000000005</v>
          </cell>
          <cell r="P33">
            <v>51352.963333333333</v>
          </cell>
          <cell r="Q33">
            <v>51375.563333333332</v>
          </cell>
          <cell r="R33">
            <v>50439.763333333336</v>
          </cell>
          <cell r="S33">
            <v>425999.38354666665</v>
          </cell>
          <cell r="U33"/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11500</v>
          </cell>
          <cell r="L34">
            <v>11500</v>
          </cell>
          <cell r="M34">
            <v>11500</v>
          </cell>
          <cell r="N34">
            <v>11500</v>
          </cell>
          <cell r="O34">
            <v>11500</v>
          </cell>
          <cell r="P34">
            <v>11500</v>
          </cell>
          <cell r="Q34">
            <v>11500</v>
          </cell>
          <cell r="R34">
            <v>11500</v>
          </cell>
          <cell r="S34">
            <v>11500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G36">
            <v>16000</v>
          </cell>
          <cell r="H36">
            <v>16000</v>
          </cell>
          <cell r="I36">
            <v>0</v>
          </cell>
          <cell r="J36">
            <v>0</v>
          </cell>
          <cell r="K36">
            <v>16000</v>
          </cell>
          <cell r="L36">
            <v>16000</v>
          </cell>
          <cell r="M36">
            <v>16000</v>
          </cell>
          <cell r="N36">
            <v>16000</v>
          </cell>
          <cell r="O36">
            <v>16000</v>
          </cell>
          <cell r="P36">
            <v>16000</v>
          </cell>
          <cell r="Q36">
            <v>16000</v>
          </cell>
          <cell r="R36">
            <v>16000</v>
          </cell>
          <cell r="S36">
            <v>16000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10000</v>
          </cell>
          <cell r="L37">
            <v>10000</v>
          </cell>
          <cell r="M37">
            <v>10000</v>
          </cell>
          <cell r="N37">
            <v>10000</v>
          </cell>
          <cell r="O37">
            <v>10000</v>
          </cell>
          <cell r="P37">
            <v>10000</v>
          </cell>
          <cell r="Q37">
            <v>10000</v>
          </cell>
          <cell r="R37">
            <v>10000</v>
          </cell>
          <cell r="S37">
            <v>9999.9999999999982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10000</v>
          </cell>
          <cell r="L40">
            <v>10000</v>
          </cell>
          <cell r="M40">
            <v>10000</v>
          </cell>
          <cell r="N40">
            <v>10000</v>
          </cell>
          <cell r="O40">
            <v>10000</v>
          </cell>
          <cell r="P40">
            <v>10000</v>
          </cell>
          <cell r="Q40">
            <v>10000</v>
          </cell>
          <cell r="R40">
            <v>10000</v>
          </cell>
          <cell r="S40">
            <v>9999.9999999999982</v>
          </cell>
        </row>
        <row r="41">
          <cell r="G41">
            <v>16000</v>
          </cell>
          <cell r="H41">
            <v>16000</v>
          </cell>
          <cell r="I41">
            <v>0</v>
          </cell>
          <cell r="J41">
            <v>0</v>
          </cell>
          <cell r="K41">
            <v>15155.59415255464</v>
          </cell>
          <cell r="L41">
            <v>15141.801641053993</v>
          </cell>
          <cell r="M41">
            <v>15224.956536643895</v>
          </cell>
          <cell r="N41">
            <v>15243.965852560033</v>
          </cell>
          <cell r="O41">
            <v>14985.770945360857</v>
          </cell>
          <cell r="P41">
            <v>15137.073615467723</v>
          </cell>
          <cell r="Q41">
            <v>15120.149235806988</v>
          </cell>
          <cell r="R41">
            <v>15133.418371465939</v>
          </cell>
          <cell r="S41">
            <v>15271.900979785087</v>
          </cell>
        </row>
        <row r="42">
          <cell r="G42">
            <v>16000</v>
          </cell>
          <cell r="H42">
            <v>16000</v>
          </cell>
          <cell r="I42">
            <v>0</v>
          </cell>
          <cell r="J42">
            <v>0</v>
          </cell>
          <cell r="K42">
            <v>14548.829068083054</v>
          </cell>
          <cell r="L42">
            <v>14516.407689185393</v>
          </cell>
          <cell r="M42">
            <v>14598.932551080694</v>
          </cell>
          <cell r="N42">
            <v>14613.0355592626</v>
          </cell>
          <cell r="O42">
            <v>14256.443854562054</v>
          </cell>
          <cell r="P42">
            <v>14533.906453633877</v>
          </cell>
          <cell r="Q42">
            <v>14521.439596934242</v>
          </cell>
          <cell r="R42">
            <v>14528.321311298918</v>
          </cell>
          <cell r="S42">
            <v>14704.550245658949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15000</v>
          </cell>
          <cell r="L43">
            <v>15000</v>
          </cell>
          <cell r="M43">
            <v>15000</v>
          </cell>
          <cell r="N43">
            <v>15000</v>
          </cell>
          <cell r="O43">
            <v>15000</v>
          </cell>
          <cell r="P43">
            <v>15000</v>
          </cell>
          <cell r="Q43">
            <v>15000</v>
          </cell>
          <cell r="R43">
            <v>15000</v>
          </cell>
          <cell r="S43">
            <v>15000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3500</v>
          </cell>
          <cell r="U44">
            <v>3500</v>
          </cell>
        </row>
        <row r="45">
          <cell r="G45">
            <v>10500</v>
          </cell>
          <cell r="H45">
            <v>10500</v>
          </cell>
          <cell r="I45">
            <v>0</v>
          </cell>
          <cell r="J45">
            <v>0</v>
          </cell>
          <cell r="K45">
            <v>22000</v>
          </cell>
          <cell r="L45">
            <v>22000</v>
          </cell>
          <cell r="M45">
            <v>22000</v>
          </cell>
          <cell r="N45">
            <v>22000</v>
          </cell>
          <cell r="O45">
            <v>22000</v>
          </cell>
          <cell r="P45">
            <v>22000</v>
          </cell>
          <cell r="Q45">
            <v>22000</v>
          </cell>
          <cell r="R45">
            <v>22000</v>
          </cell>
          <cell r="S45">
            <v>20057.069183926746</v>
          </cell>
          <cell r="U45">
            <v>22000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3500</v>
          </cell>
          <cell r="U46">
            <v>3500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8000</v>
          </cell>
          <cell r="U47">
            <v>8000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15000</v>
          </cell>
          <cell r="L48">
            <v>15000</v>
          </cell>
          <cell r="M48">
            <v>15000</v>
          </cell>
          <cell r="N48">
            <v>15000</v>
          </cell>
          <cell r="O48">
            <v>15000</v>
          </cell>
          <cell r="P48">
            <v>15000</v>
          </cell>
          <cell r="Q48">
            <v>15000</v>
          </cell>
          <cell r="R48">
            <v>15000</v>
          </cell>
          <cell r="S48">
            <v>15000.000000000002</v>
          </cell>
          <cell r="T48">
            <v>5000</v>
          </cell>
          <cell r="U48">
            <v>20000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15000</v>
          </cell>
          <cell r="L49">
            <v>15000</v>
          </cell>
          <cell r="M49">
            <v>15000</v>
          </cell>
          <cell r="N49">
            <v>15000</v>
          </cell>
          <cell r="O49">
            <v>15000</v>
          </cell>
          <cell r="P49">
            <v>15000</v>
          </cell>
          <cell r="Q49">
            <v>15000</v>
          </cell>
          <cell r="R49">
            <v>15000</v>
          </cell>
          <cell r="S49">
            <v>14999.999999999998</v>
          </cell>
          <cell r="T49">
            <v>7000</v>
          </cell>
          <cell r="U49">
            <v>22000</v>
          </cell>
        </row>
        <row r="50">
          <cell r="G50">
            <v>10500</v>
          </cell>
          <cell r="H50">
            <v>10500</v>
          </cell>
          <cell r="I50">
            <v>0</v>
          </cell>
          <cell r="J50">
            <v>0</v>
          </cell>
          <cell r="K50">
            <v>18627.947719607568</v>
          </cell>
          <cell r="L50">
            <v>18451.960895870303</v>
          </cell>
          <cell r="M50">
            <v>18660.456497989246</v>
          </cell>
          <cell r="N50">
            <v>18625.407128019931</v>
          </cell>
          <cell r="O50">
            <v>17799.021166484261</v>
          </cell>
          <cell r="P50">
            <v>18475.712040682996</v>
          </cell>
          <cell r="Q50">
            <v>18522.019850003235</v>
          </cell>
          <cell r="R50">
            <v>18456.481298694936</v>
          </cell>
          <cell r="S50">
            <v>17734.390113199701</v>
          </cell>
        </row>
        <row r="51">
          <cell r="G51">
            <v>10500</v>
          </cell>
          <cell r="H51">
            <v>10500</v>
          </cell>
          <cell r="I51">
            <v>0</v>
          </cell>
          <cell r="J51">
            <v>0</v>
          </cell>
          <cell r="K51">
            <v>15910.217891360788</v>
          </cell>
          <cell r="L51">
            <v>15773.374329764909</v>
          </cell>
          <cell r="M51">
            <v>15805.683803018648</v>
          </cell>
          <cell r="N51">
            <v>15803.973022521872</v>
          </cell>
          <cell r="O51">
            <v>15596.924453282554</v>
          </cell>
          <cell r="P51">
            <v>15902.226160158438</v>
          </cell>
          <cell r="Q51">
            <v>15905.315987799966</v>
          </cell>
          <cell r="R51">
            <v>15927.132608688091</v>
          </cell>
          <cell r="S51">
            <v>15703.890689247974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9000</v>
          </cell>
          <cell r="L52">
            <v>9000</v>
          </cell>
          <cell r="M52">
            <v>9000</v>
          </cell>
          <cell r="N52">
            <v>9000</v>
          </cell>
          <cell r="O52">
            <v>9000</v>
          </cell>
          <cell r="P52">
            <v>9000</v>
          </cell>
          <cell r="Q52">
            <v>9000</v>
          </cell>
          <cell r="R52">
            <v>9000</v>
          </cell>
          <cell r="S52">
            <v>72000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10555.727554179568</v>
          </cell>
          <cell r="L53">
            <v>10555.727554179568</v>
          </cell>
          <cell r="M53">
            <v>10555.727554179568</v>
          </cell>
          <cell r="N53">
            <v>10555.727554179568</v>
          </cell>
          <cell r="O53">
            <v>10555.727554179568</v>
          </cell>
          <cell r="P53">
            <v>10555.727554179568</v>
          </cell>
          <cell r="Q53">
            <v>10555.727554179568</v>
          </cell>
          <cell r="R53">
            <v>10458.859257853279</v>
          </cell>
          <cell r="S53">
            <v>10543.845625526268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G55">
            <v>15592.961412243973</v>
          </cell>
          <cell r="H55">
            <v>15587.171613783692</v>
          </cell>
          <cell r="I55">
            <v>0</v>
          </cell>
          <cell r="J55">
            <v>0</v>
          </cell>
          <cell r="K55">
            <v>16471.471808093265</v>
          </cell>
          <cell r="L55">
            <v>16408.562969710772</v>
          </cell>
          <cell r="M55">
            <v>16406.225150516872</v>
          </cell>
          <cell r="N55">
            <v>16406.086759027934</v>
          </cell>
          <cell r="O55">
            <v>16409.292791253843</v>
          </cell>
          <cell r="P55">
            <v>16473.826106492925</v>
          </cell>
          <cell r="Q55">
            <v>16473.826106492925</v>
          </cell>
          <cell r="R55">
            <v>16448.75723527409</v>
          </cell>
          <cell r="S55">
            <v>16297.494392454177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  <cell r="P56">
            <v>10000</v>
          </cell>
          <cell r="Q56">
            <v>10000</v>
          </cell>
          <cell r="R56">
            <v>10000</v>
          </cell>
          <cell r="S56">
            <v>9999.9999999999982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15000</v>
          </cell>
          <cell r="L58">
            <v>15000.000000000002</v>
          </cell>
          <cell r="M58">
            <v>15000</v>
          </cell>
          <cell r="N58">
            <v>15000</v>
          </cell>
          <cell r="O58">
            <v>15000.000000000002</v>
          </cell>
          <cell r="P58">
            <v>15000.000000000002</v>
          </cell>
          <cell r="Q58">
            <v>15000.000000000002</v>
          </cell>
          <cell r="R58">
            <v>15000.000000000002</v>
          </cell>
          <cell r="S58">
            <v>15000.000000000002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11830.559757942512</v>
          </cell>
          <cell r="L59">
            <v>11831.945495836488</v>
          </cell>
          <cell r="M59">
            <v>11831.945495836488</v>
          </cell>
          <cell r="N59">
            <v>11834.723275208493</v>
          </cell>
          <cell r="O59">
            <v>11833.333333333334</v>
          </cell>
          <cell r="P59">
            <v>11831.945495836488</v>
          </cell>
          <cell r="Q59">
            <v>11831.945495836488</v>
          </cell>
          <cell r="R59">
            <v>11833.333333333334</v>
          </cell>
          <cell r="S59">
            <v>11832.352817455787</v>
          </cell>
        </row>
        <row r="60">
          <cell r="G60">
            <v>15592.961412243973</v>
          </cell>
          <cell r="H60">
            <v>15587.171613783692</v>
          </cell>
          <cell r="I60">
            <v>0</v>
          </cell>
          <cell r="J60">
            <v>0</v>
          </cell>
          <cell r="K60">
            <v>15585.725961526432</v>
          </cell>
          <cell r="L60">
            <v>15514.763894554017</v>
          </cell>
          <cell r="M60">
            <v>15595.60749777401</v>
          </cell>
          <cell r="N60">
            <v>15613.000057084508</v>
          </cell>
          <cell r="O60">
            <v>15357.258096879785</v>
          </cell>
          <cell r="P60">
            <v>15567.103384967764</v>
          </cell>
          <cell r="Q60">
            <v>15552.050101097935</v>
          </cell>
          <cell r="R60">
            <v>15541.688965587933</v>
          </cell>
          <cell r="S60">
            <v>15552.466336102665</v>
          </cell>
        </row>
        <row r="61">
          <cell r="G61">
            <v>15592.961412243973</v>
          </cell>
          <cell r="H61">
            <v>15587.171613783692</v>
          </cell>
          <cell r="I61">
            <v>0</v>
          </cell>
          <cell r="J61">
            <v>0</v>
          </cell>
          <cell r="K61">
            <v>12414.11670330332</v>
          </cell>
          <cell r="L61">
            <v>12326.382294531266</v>
          </cell>
          <cell r="M61">
            <v>12379.160595595094</v>
          </cell>
          <cell r="N61">
            <v>12383.272856784235</v>
          </cell>
          <cell r="O61">
            <v>12034.124047408703</v>
          </cell>
          <cell r="P61">
            <v>12415.046934324919</v>
          </cell>
          <cell r="Q61">
            <v>12410.84428660604</v>
          </cell>
          <cell r="R61">
            <v>12356.239247487878</v>
          </cell>
          <cell r="S61">
            <v>12522.469810762728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37950</v>
          </cell>
          <cell r="L62">
            <v>37950</v>
          </cell>
          <cell r="M62">
            <v>37950</v>
          </cell>
          <cell r="N62">
            <v>37950</v>
          </cell>
          <cell r="O62">
            <v>37950</v>
          </cell>
          <cell r="P62">
            <v>37950</v>
          </cell>
          <cell r="Q62">
            <v>37950</v>
          </cell>
          <cell r="R62">
            <v>37950</v>
          </cell>
          <cell r="S62">
            <v>303600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G64">
            <v>183299.20000000001</v>
          </cell>
          <cell r="H64">
            <v>164828.79999999999</v>
          </cell>
          <cell r="I64">
            <v>0</v>
          </cell>
          <cell r="J64">
            <v>0</v>
          </cell>
          <cell r="K64">
            <v>227968</v>
          </cell>
          <cell r="L64">
            <v>218240</v>
          </cell>
          <cell r="M64">
            <v>227607.46666666667</v>
          </cell>
          <cell r="N64">
            <v>227690.66666666666</v>
          </cell>
          <cell r="O64">
            <v>165821.86666666667</v>
          </cell>
          <cell r="P64">
            <v>227385.60000000001</v>
          </cell>
          <cell r="Q64">
            <v>227385.60000000001</v>
          </cell>
          <cell r="R64">
            <v>226082.13333333333</v>
          </cell>
          <cell r="S64">
            <v>2096309.3333333335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13280</v>
          </cell>
          <cell r="L65">
            <v>13280</v>
          </cell>
          <cell r="M65">
            <v>12173.333333333332</v>
          </cell>
          <cell r="N65">
            <v>13280</v>
          </cell>
          <cell r="O65">
            <v>13280</v>
          </cell>
          <cell r="P65">
            <v>14386.666666666668</v>
          </cell>
          <cell r="Q65">
            <v>15493.333333333332</v>
          </cell>
          <cell r="R65">
            <v>15493.333333333332</v>
          </cell>
          <cell r="S65">
            <v>110666.66666666666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10056</v>
          </cell>
          <cell r="L68">
            <v>9486</v>
          </cell>
          <cell r="M68">
            <v>8928</v>
          </cell>
          <cell r="N68">
            <v>7236.6666666666661</v>
          </cell>
          <cell r="O68">
            <v>7802.666666666667</v>
          </cell>
          <cell r="P68">
            <v>9486</v>
          </cell>
          <cell r="Q68">
            <v>8928</v>
          </cell>
          <cell r="R68">
            <v>8360</v>
          </cell>
          <cell r="S68">
            <v>70283.333333333328</v>
          </cell>
        </row>
        <row r="69">
          <cell r="G69">
            <v>183299.20000000001</v>
          </cell>
          <cell r="H69">
            <v>164828.79999999999</v>
          </cell>
          <cell r="I69">
            <v>0</v>
          </cell>
          <cell r="J69">
            <v>0</v>
          </cell>
          <cell r="K69">
            <v>251304</v>
          </cell>
          <cell r="L69">
            <v>241006</v>
          </cell>
          <cell r="M69">
            <v>248708.80000000002</v>
          </cell>
          <cell r="N69">
            <v>248207.33333333331</v>
          </cell>
          <cell r="O69">
            <v>186904.53333333333</v>
          </cell>
          <cell r="P69">
            <v>251258.26666666666</v>
          </cell>
          <cell r="Q69">
            <v>251806.93333333335</v>
          </cell>
          <cell r="R69">
            <v>249935.46666666667</v>
          </cell>
          <cell r="S69">
            <v>2277259.3333333335</v>
          </cell>
        </row>
        <row r="70">
          <cell r="G70">
            <v>183299.20000000001</v>
          </cell>
          <cell r="H70">
            <v>164828.79999999999</v>
          </cell>
          <cell r="I70">
            <v>0</v>
          </cell>
          <cell r="J70">
            <v>0</v>
          </cell>
          <cell r="K70">
            <v>289254</v>
          </cell>
          <cell r="L70">
            <v>278956</v>
          </cell>
          <cell r="M70">
            <v>286658.80000000005</v>
          </cell>
          <cell r="N70">
            <v>286157.33333333331</v>
          </cell>
          <cell r="O70">
            <v>224854.53333333333</v>
          </cell>
          <cell r="P70">
            <v>289208.26666666666</v>
          </cell>
          <cell r="Q70">
            <v>289756.93333333335</v>
          </cell>
          <cell r="R70">
            <v>287885.46666666667</v>
          </cell>
          <cell r="S70">
            <v>2580859.3333333335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105000</v>
          </cell>
          <cell r="L71">
            <v>105000</v>
          </cell>
          <cell r="M71">
            <v>105000</v>
          </cell>
          <cell r="N71">
            <v>105000</v>
          </cell>
          <cell r="O71">
            <v>105000</v>
          </cell>
          <cell r="P71">
            <v>105000</v>
          </cell>
          <cell r="Q71">
            <v>105000</v>
          </cell>
          <cell r="R71">
            <v>94665</v>
          </cell>
          <cell r="S71">
            <v>829665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9613.8000000000011</v>
          </cell>
          <cell r="H73">
            <v>8778</v>
          </cell>
          <cell r="I73">
            <v>0</v>
          </cell>
          <cell r="J73">
            <v>0</v>
          </cell>
          <cell r="K73">
            <v>26731.466666666664</v>
          </cell>
          <cell r="L73">
            <v>21926.666666666664</v>
          </cell>
          <cell r="M73">
            <v>22727.466666666664</v>
          </cell>
          <cell r="N73">
            <v>22727.466666666664</v>
          </cell>
          <cell r="O73">
            <v>16692.133333333335</v>
          </cell>
          <cell r="P73">
            <v>26807.733333333334</v>
          </cell>
          <cell r="Q73">
            <v>26807.733333333334</v>
          </cell>
          <cell r="R73">
            <v>25129.866666666672</v>
          </cell>
          <cell r="S73">
            <v>207942.33333333331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8228.4383999999991</v>
          </cell>
          <cell r="L76">
            <v>7138.1024000000007</v>
          </cell>
          <cell r="M76">
            <v>6393.4623999999994</v>
          </cell>
          <cell r="N76">
            <v>8131.95</v>
          </cell>
          <cell r="O76">
            <v>10305.450000000001</v>
          </cell>
          <cell r="P76">
            <v>10305.450000000001</v>
          </cell>
          <cell r="Q76">
            <v>10305.450000000001</v>
          </cell>
          <cell r="R76">
            <v>10305.450000000001</v>
          </cell>
          <cell r="S76">
            <v>71113.753199999992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8712</v>
          </cell>
          <cell r="L77">
            <v>8228</v>
          </cell>
          <cell r="M77">
            <v>7744</v>
          </cell>
          <cell r="N77">
            <v>6292</v>
          </cell>
          <cell r="O77">
            <v>6776</v>
          </cell>
          <cell r="P77">
            <v>8228</v>
          </cell>
          <cell r="Q77">
            <v>7744</v>
          </cell>
          <cell r="R77">
            <v>7260</v>
          </cell>
          <cell r="S77">
            <v>60984</v>
          </cell>
        </row>
        <row r="78">
          <cell r="G78">
            <v>9613.8000000000011</v>
          </cell>
          <cell r="H78">
            <v>8778</v>
          </cell>
          <cell r="I78">
            <v>0</v>
          </cell>
          <cell r="J78">
            <v>0</v>
          </cell>
          <cell r="K78">
            <v>43671.905066666659</v>
          </cell>
          <cell r="L78">
            <v>37292.76906666666</v>
          </cell>
          <cell r="M78">
            <v>36864.929066666664</v>
          </cell>
          <cell r="N78">
            <v>37151.416666666664</v>
          </cell>
          <cell r="O78">
            <v>33773.583333333336</v>
          </cell>
          <cell r="P78">
            <v>45341.183333333334</v>
          </cell>
          <cell r="Q78">
            <v>44857.183333333334</v>
          </cell>
          <cell r="R78">
            <v>42695.316666666673</v>
          </cell>
          <cell r="S78">
            <v>340040.08653333329</v>
          </cell>
        </row>
        <row r="79">
          <cell r="G79">
            <v>9613.8000000000011</v>
          </cell>
          <cell r="H79">
            <v>8778</v>
          </cell>
          <cell r="I79">
            <v>0</v>
          </cell>
          <cell r="J79">
            <v>0</v>
          </cell>
          <cell r="K79">
            <v>148671.90506666666</v>
          </cell>
          <cell r="L79">
            <v>142292.76906666666</v>
          </cell>
          <cell r="M79">
            <v>141864.92906666666</v>
          </cell>
          <cell r="N79">
            <v>142151.41666666666</v>
          </cell>
          <cell r="O79">
            <v>138773.58333333334</v>
          </cell>
          <cell r="P79">
            <v>150341.18333333335</v>
          </cell>
          <cell r="Q79">
            <v>149857.18333333335</v>
          </cell>
          <cell r="R79">
            <v>137360.31666666668</v>
          </cell>
          <cell r="S79">
            <v>1169705.0865333332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198000</v>
          </cell>
          <cell r="L80">
            <v>198000</v>
          </cell>
          <cell r="M80">
            <v>198000</v>
          </cell>
          <cell r="N80">
            <v>198000</v>
          </cell>
          <cell r="O80">
            <v>198000</v>
          </cell>
          <cell r="P80">
            <v>198000</v>
          </cell>
          <cell r="Q80">
            <v>198000</v>
          </cell>
          <cell r="R80">
            <v>198000</v>
          </cell>
          <cell r="S80">
            <v>1584000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340950</v>
          </cell>
          <cell r="L81">
            <v>340950</v>
          </cell>
          <cell r="M81">
            <v>340950</v>
          </cell>
          <cell r="N81">
            <v>340950</v>
          </cell>
          <cell r="O81">
            <v>340950</v>
          </cell>
          <cell r="P81">
            <v>340950</v>
          </cell>
          <cell r="Q81">
            <v>340950</v>
          </cell>
          <cell r="R81">
            <v>330615</v>
          </cell>
          <cell r="S81">
            <v>2717265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192913</v>
          </cell>
          <cell r="H83">
            <v>173606.8</v>
          </cell>
          <cell r="I83">
            <v>0</v>
          </cell>
          <cell r="J83">
            <v>0</v>
          </cell>
          <cell r="K83">
            <v>254699.46666666667</v>
          </cell>
          <cell r="L83">
            <v>240166.66666666666</v>
          </cell>
          <cell r="M83">
            <v>250334.93333333335</v>
          </cell>
          <cell r="N83">
            <v>250418.13333333333</v>
          </cell>
          <cell r="O83">
            <v>182514</v>
          </cell>
          <cell r="P83">
            <v>254193.33333333334</v>
          </cell>
          <cell r="Q83">
            <v>254193.33333333334</v>
          </cell>
          <cell r="R83">
            <v>251212</v>
          </cell>
          <cell r="S83">
            <v>2304251.6666666665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13280</v>
          </cell>
          <cell r="L84">
            <v>13280</v>
          </cell>
          <cell r="M84">
            <v>12173.333333333332</v>
          </cell>
          <cell r="N84">
            <v>13280</v>
          </cell>
          <cell r="O84">
            <v>13280</v>
          </cell>
          <cell r="P84">
            <v>14386.666666666668</v>
          </cell>
          <cell r="Q84">
            <v>15493.333333333332</v>
          </cell>
          <cell r="R84">
            <v>15493.333333333332</v>
          </cell>
          <cell r="S84">
            <v>110666.66666666666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8228.4383999999991</v>
          </cell>
          <cell r="L86">
            <v>7138.1024000000007</v>
          </cell>
          <cell r="M86">
            <v>6393.4623999999994</v>
          </cell>
          <cell r="N86">
            <v>8131.95</v>
          </cell>
          <cell r="O86">
            <v>10305.450000000001</v>
          </cell>
          <cell r="P86">
            <v>10305.450000000001</v>
          </cell>
          <cell r="Q86">
            <v>10305.450000000001</v>
          </cell>
          <cell r="R86">
            <v>10305.450000000001</v>
          </cell>
          <cell r="S86">
            <v>71113.753199999992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18768</v>
          </cell>
          <cell r="L87">
            <v>17714</v>
          </cell>
          <cell r="M87">
            <v>16672</v>
          </cell>
          <cell r="N87">
            <v>13528.666666666666</v>
          </cell>
          <cell r="O87">
            <v>14578.666666666668</v>
          </cell>
          <cell r="P87">
            <v>17714</v>
          </cell>
          <cell r="Q87">
            <v>16672</v>
          </cell>
          <cell r="R87">
            <v>15620</v>
          </cell>
          <cell r="S87">
            <v>131267.33333333334</v>
          </cell>
        </row>
        <row r="88">
          <cell r="G88">
            <v>192913</v>
          </cell>
          <cell r="H88">
            <v>173606.8</v>
          </cell>
          <cell r="I88">
            <v>0</v>
          </cell>
          <cell r="J88">
            <v>0</v>
          </cell>
          <cell r="K88">
            <v>294975.90506666666</v>
          </cell>
          <cell r="L88">
            <v>278298.76906666666</v>
          </cell>
          <cell r="M88">
            <v>285573.72906666668</v>
          </cell>
          <cell r="N88">
            <v>285358.75</v>
          </cell>
          <cell r="O88">
            <v>220678.11666666667</v>
          </cell>
          <cell r="P88">
            <v>296599.45</v>
          </cell>
          <cell r="Q88">
            <v>296664.1166666667</v>
          </cell>
          <cell r="R88">
            <v>292630.78333333333</v>
          </cell>
          <cell r="S88">
            <v>2617299.4198666667</v>
          </cell>
        </row>
        <row r="89">
          <cell r="G89">
            <v>192913</v>
          </cell>
          <cell r="H89">
            <v>173606.8</v>
          </cell>
          <cell r="I89">
            <v>0</v>
          </cell>
          <cell r="J89">
            <v>0</v>
          </cell>
          <cell r="K89">
            <v>635925.90506666666</v>
          </cell>
          <cell r="L89">
            <v>619248.76906666672</v>
          </cell>
          <cell r="M89">
            <v>626523.72906666668</v>
          </cell>
          <cell r="N89">
            <v>626308.75</v>
          </cell>
          <cell r="O89">
            <v>561628.1166666667</v>
          </cell>
          <cell r="P89">
            <v>637549.44999999995</v>
          </cell>
          <cell r="Q89">
            <v>637614.1166666667</v>
          </cell>
          <cell r="R89">
            <v>623245.78333333333</v>
          </cell>
          <cell r="S89">
            <v>5334564.4198666662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33679.403189772958</v>
          </cell>
          <cell r="L90">
            <v>32212.10621767243</v>
          </cell>
          <cell r="M90">
            <v>36788.620455554446</v>
          </cell>
          <cell r="N90">
            <v>31237.513971272445</v>
          </cell>
          <cell r="O90">
            <v>36652.559748170279</v>
          </cell>
          <cell r="P90">
            <v>31401.992510785971</v>
          </cell>
          <cell r="Q90">
            <v>34972.707128142429</v>
          </cell>
          <cell r="R90">
            <v>33343.426670849432</v>
          </cell>
          <cell r="S90">
            <v>270288.32989222038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G92">
            <v>102483.09749801969</v>
          </cell>
          <cell r="H92">
            <v>72595.243094506994</v>
          </cell>
          <cell r="I92">
            <v>0</v>
          </cell>
          <cell r="J92">
            <v>0</v>
          </cell>
          <cell r="K92">
            <v>145413.37474178334</v>
          </cell>
          <cell r="L92">
            <v>133143.37236637939</v>
          </cell>
          <cell r="M92">
            <v>158586.45272822463</v>
          </cell>
          <cell r="N92">
            <v>134706.25721833971</v>
          </cell>
          <cell r="O92">
            <v>115109.77037032436</v>
          </cell>
          <cell r="P92">
            <v>135234.10811099573</v>
          </cell>
          <cell r="Q92">
            <v>150611.55291585124</v>
          </cell>
          <cell r="R92">
            <v>142771.83777252282</v>
          </cell>
          <cell r="S92">
            <v>1290655.0668169481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13553.408313944996</v>
          </cell>
          <cell r="L93">
            <v>12962.932441536057</v>
          </cell>
          <cell r="M93">
            <v>13570.913323604529</v>
          </cell>
          <cell r="N93">
            <v>12570.732895106003</v>
          </cell>
          <cell r="O93">
            <v>14749.878589566708</v>
          </cell>
          <cell r="P93">
            <v>13689.999967328511</v>
          </cell>
          <cell r="Q93">
            <v>16419.509366828894</v>
          </cell>
          <cell r="R93">
            <v>15654.570420819005</v>
          </cell>
          <cell r="S93">
            <v>113171.9453187347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10263.032681101722</v>
          </cell>
          <cell r="L96">
            <v>9259.5163509345675</v>
          </cell>
          <cell r="M96">
            <v>9952.9940432481853</v>
          </cell>
          <cell r="N96">
            <v>6850.1659425891394</v>
          </cell>
          <cell r="O96">
            <v>8666.2941271229301</v>
          </cell>
          <cell r="P96">
            <v>9026.645483555023</v>
          </cell>
          <cell r="Q96">
            <v>9461.7069466683533</v>
          </cell>
          <cell r="R96">
            <v>8447.0014232818558</v>
          </cell>
          <cell r="S96">
            <v>71927.356998501768</v>
          </cell>
        </row>
        <row r="97">
          <cell r="G97">
            <v>102483.09749801969</v>
          </cell>
          <cell r="H97">
            <v>72595.243094506994</v>
          </cell>
          <cell r="I97">
            <v>0</v>
          </cell>
          <cell r="J97">
            <v>0</v>
          </cell>
          <cell r="K97">
            <v>169229.81573683006</v>
          </cell>
          <cell r="L97">
            <v>155365.82115885001</v>
          </cell>
          <cell r="M97">
            <v>182110.36009507734</v>
          </cell>
          <cell r="N97">
            <v>154127.15605603484</v>
          </cell>
          <cell r="O97">
            <v>138525.94308701399</v>
          </cell>
          <cell r="P97">
            <v>157950.75356187925</v>
          </cell>
          <cell r="Q97">
            <v>176492.76922934849</v>
          </cell>
          <cell r="R97">
            <v>166873.40961662368</v>
          </cell>
          <cell r="S97">
            <v>1475754.3691341847</v>
          </cell>
        </row>
        <row r="98">
          <cell r="G98">
            <v>102483.09749801969</v>
          </cell>
          <cell r="H98">
            <v>72595.243094506994</v>
          </cell>
          <cell r="I98">
            <v>0</v>
          </cell>
          <cell r="J98">
            <v>0</v>
          </cell>
          <cell r="K98">
            <v>202909.21892660303</v>
          </cell>
          <cell r="L98">
            <v>187577.92737652245</v>
          </cell>
          <cell r="M98">
            <v>218898.98055063179</v>
          </cell>
          <cell r="N98">
            <v>185364.67002730729</v>
          </cell>
          <cell r="O98">
            <v>175178.50283518428</v>
          </cell>
          <cell r="P98">
            <v>189352.74607266521</v>
          </cell>
          <cell r="Q98">
            <v>211465.47635749093</v>
          </cell>
          <cell r="R98">
            <v>200216.83628747312</v>
          </cell>
          <cell r="S98">
            <v>1746042.6990264051</v>
          </cell>
        </row>
        <row r="99">
          <cell r="G99">
            <v>8945.6449344476951</v>
          </cell>
          <cell r="H99">
            <v>7046.8503654222559</v>
          </cell>
          <cell r="I99">
            <v>0</v>
          </cell>
          <cell r="J99">
            <v>0</v>
          </cell>
          <cell r="K99">
            <v>10205.879754476653</v>
          </cell>
          <cell r="L99">
            <v>9761.2443083855851</v>
          </cell>
          <cell r="M99">
            <v>11148.06680471347</v>
          </cell>
          <cell r="N99">
            <v>9465.9133246280144</v>
          </cell>
          <cell r="O99">
            <v>11106.836287324328</v>
          </cell>
          <cell r="P99">
            <v>9515.755306298779</v>
          </cell>
          <cell r="Q99">
            <v>10597.790038831041</v>
          </cell>
          <cell r="R99">
            <v>10104.068688136191</v>
          </cell>
          <cell r="S99">
            <v>9948.1487686270921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71441.158281336582</v>
          </cell>
          <cell r="L100">
            <v>68328.710158699061</v>
          </cell>
          <cell r="M100">
            <v>78036.467632994274</v>
          </cell>
          <cell r="N100">
            <v>66261.393272396104</v>
          </cell>
          <cell r="O100">
            <v>77747.854011270305</v>
          </cell>
          <cell r="P100">
            <v>66610.287144091446</v>
          </cell>
          <cell r="Q100">
            <v>74184.530271817261</v>
          </cell>
          <cell r="R100">
            <v>63766.77749082751</v>
          </cell>
          <cell r="S100">
            <v>566377.17826343246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G102">
            <v>8190.6325019803116</v>
          </cell>
          <cell r="H102">
            <v>5891.1669054930062</v>
          </cell>
          <cell r="I102">
            <v>0</v>
          </cell>
          <cell r="J102">
            <v>0</v>
          </cell>
          <cell r="K102">
            <v>12400.824293672764</v>
          </cell>
          <cell r="L102">
            <v>9728.7068273576297</v>
          </cell>
          <cell r="M102">
            <v>11516.69621372266</v>
          </cell>
          <cell r="N102">
            <v>9778.9195252290465</v>
          </cell>
          <cell r="O102">
            <v>8427.1269190692146</v>
          </cell>
          <cell r="P102">
            <v>11595.265032568606</v>
          </cell>
          <cell r="Q102">
            <v>12913.760421983581</v>
          </cell>
          <cell r="R102">
            <v>11541.54086016837</v>
          </cell>
          <cell r="S102">
            <v>101984.6395012452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5598.5635251678841</v>
          </cell>
          <cell r="L105">
            <v>4645.1174283115643</v>
          </cell>
          <cell r="M105">
            <v>4751.6497299082466</v>
          </cell>
          <cell r="N105">
            <v>5131.7555906805856</v>
          </cell>
          <cell r="O105">
            <v>7630.7297344804338</v>
          </cell>
          <cell r="P105">
            <v>6537.6093680864496</v>
          </cell>
          <cell r="Q105">
            <v>7280.9996903780884</v>
          </cell>
          <cell r="R105">
            <v>6941.798310810208</v>
          </cell>
          <cell r="S105">
            <v>48518.223377823466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5927.5749614000397</v>
          </cell>
          <cell r="L106">
            <v>5354.3678779597712</v>
          </cell>
          <cell r="M106">
            <v>5755.3752890467395</v>
          </cell>
          <cell r="N106">
            <v>3970.6351092372975</v>
          </cell>
          <cell r="O106">
            <v>5017.3281788606437</v>
          </cell>
          <cell r="P106">
            <v>5219.708977348424</v>
          </cell>
          <cell r="Q106">
            <v>5471.2857373805045</v>
          </cell>
          <cell r="R106">
            <v>4890.3692450579174</v>
          </cell>
          <cell r="S106">
            <v>41606.645376291337</v>
          </cell>
        </row>
        <row r="107">
          <cell r="G107">
            <v>8190.6325019803116</v>
          </cell>
          <cell r="H107">
            <v>5891.1669054930062</v>
          </cell>
          <cell r="I107">
            <v>0</v>
          </cell>
          <cell r="J107">
            <v>0</v>
          </cell>
          <cell r="K107">
            <v>23926.96278024069</v>
          </cell>
          <cell r="L107">
            <v>19728.192133628967</v>
          </cell>
          <cell r="M107">
            <v>22023.721232677646</v>
          </cell>
          <cell r="N107">
            <v>18881.310225146928</v>
          </cell>
          <cell r="O107">
            <v>21075.18483241029</v>
          </cell>
          <cell r="P107">
            <v>23352.583378003481</v>
          </cell>
          <cell r="Q107">
            <v>25666.045849742175</v>
          </cell>
          <cell r="R107">
            <v>23373.708416036498</v>
          </cell>
          <cell r="S107">
            <v>192109.50825535998</v>
          </cell>
        </row>
        <row r="108">
          <cell r="G108">
            <v>8190.6325019803116</v>
          </cell>
          <cell r="H108">
            <v>5891.1669054930062</v>
          </cell>
          <cell r="I108">
            <v>0</v>
          </cell>
          <cell r="J108">
            <v>0</v>
          </cell>
          <cell r="K108">
            <v>95368.121061577272</v>
          </cell>
          <cell r="L108">
            <v>88056.902292328028</v>
          </cell>
          <cell r="M108">
            <v>100060.18886567192</v>
          </cell>
          <cell r="N108">
            <v>85142.703497543029</v>
          </cell>
          <cell r="O108">
            <v>98823.038843680595</v>
          </cell>
          <cell r="P108">
            <v>89962.87052209492</v>
          </cell>
          <cell r="Q108">
            <v>99850.576121559439</v>
          </cell>
          <cell r="R108">
            <v>87140.485906864007</v>
          </cell>
          <cell r="S108">
            <v>758486.68651879241</v>
          </cell>
        </row>
        <row r="109">
          <cell r="G109">
            <v>8945.6449344476951</v>
          </cell>
          <cell r="H109">
            <v>7046.8503654222559</v>
          </cell>
          <cell r="I109">
            <v>0</v>
          </cell>
          <cell r="J109">
            <v>0</v>
          </cell>
          <cell r="K109">
            <v>10205.879754476653</v>
          </cell>
          <cell r="L109">
            <v>9761.2443083855815</v>
          </cell>
          <cell r="M109">
            <v>11148.066804713468</v>
          </cell>
          <cell r="N109">
            <v>9465.9133246280144</v>
          </cell>
          <cell r="O109">
            <v>11106.83628732433</v>
          </cell>
          <cell r="P109">
            <v>9515.755306298779</v>
          </cell>
          <cell r="Q109">
            <v>10597.790038831039</v>
          </cell>
          <cell r="R109">
            <v>10104.068688136193</v>
          </cell>
          <cell r="S109">
            <v>10183.072768916762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156329.35459848633</v>
          </cell>
          <cell r="L110">
            <v>146547.37478448282</v>
          </cell>
          <cell r="M110">
            <v>177057.46970369629</v>
          </cell>
          <cell r="N110">
            <v>140050.09314181635</v>
          </cell>
          <cell r="O110">
            <v>176150.39832113523</v>
          </cell>
          <cell r="P110">
            <v>141146.61673857315</v>
          </cell>
          <cell r="Q110">
            <v>164951.38085428294</v>
          </cell>
          <cell r="R110">
            <v>154089.5111389962</v>
          </cell>
          <cell r="S110">
            <v>1256322.1992814692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7105.8797544766521</v>
          </cell>
          <cell r="L111">
            <v>6661.2443083855824</v>
          </cell>
          <cell r="M111">
            <v>8048.0668047134677</v>
          </cell>
          <cell r="N111">
            <v>6365.9133246280153</v>
          </cell>
          <cell r="O111">
            <v>8006.8362873243277</v>
          </cell>
          <cell r="P111">
            <v>6415.7553062987799</v>
          </cell>
          <cell r="Q111">
            <v>7497.7900388310427</v>
          </cell>
          <cell r="R111">
            <v>7004.0686881361908</v>
          </cell>
          <cell r="S111">
            <v>7138.1943140992571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261449.91606959587</v>
          </cell>
          <cell r="L112">
            <v>247088.1911608543</v>
          </cell>
          <cell r="M112">
            <v>291882.557792245</v>
          </cell>
          <cell r="N112">
            <v>237549.00038548489</v>
          </cell>
          <cell r="O112">
            <v>290550.81208057585</v>
          </cell>
          <cell r="P112">
            <v>239158.89639345056</v>
          </cell>
          <cell r="Q112">
            <v>274108.61825424264</v>
          </cell>
          <cell r="R112">
            <v>251199.71530067315</v>
          </cell>
          <cell r="S112">
            <v>2092987.7074371225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G114">
            <v>110673.73000000001</v>
          </cell>
          <cell r="H114">
            <v>78486.41</v>
          </cell>
          <cell r="I114">
            <v>0</v>
          </cell>
          <cell r="J114">
            <v>0</v>
          </cell>
          <cell r="K114">
            <v>157814.19903545611</v>
          </cell>
          <cell r="L114">
            <v>142872.07919373701</v>
          </cell>
          <cell r="M114">
            <v>170103.14894194729</v>
          </cell>
          <cell r="N114">
            <v>144485.17674356877</v>
          </cell>
          <cell r="O114">
            <v>123536.89728939357</v>
          </cell>
          <cell r="P114">
            <v>146829.37314356433</v>
          </cell>
          <cell r="Q114">
            <v>163525.31333783481</v>
          </cell>
          <cell r="R114">
            <v>154313.37863269119</v>
          </cell>
          <cell r="S114">
            <v>1392639.7063181931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13553.408313944996</v>
          </cell>
          <cell r="L115">
            <v>12962.932441536057</v>
          </cell>
          <cell r="M115">
            <v>13570.913323604529</v>
          </cell>
          <cell r="N115">
            <v>12570.732895106003</v>
          </cell>
          <cell r="O115">
            <v>14749.878589566708</v>
          </cell>
          <cell r="P115">
            <v>13689.999967328511</v>
          </cell>
          <cell r="Q115">
            <v>16419.509366828894</v>
          </cell>
          <cell r="R115">
            <v>15654.570420819005</v>
          </cell>
          <cell r="S115">
            <v>113171.9453187347</v>
          </cell>
        </row>
        <row r="116"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5598.5635251678841</v>
          </cell>
          <cell r="L117">
            <v>4645.1174283115643</v>
          </cell>
          <cell r="M117">
            <v>4751.6497299082466</v>
          </cell>
          <cell r="N117">
            <v>5131.7555906805856</v>
          </cell>
          <cell r="O117">
            <v>7630.7297344804338</v>
          </cell>
          <cell r="P117">
            <v>6537.6093680864496</v>
          </cell>
          <cell r="Q117">
            <v>7280.9996903780884</v>
          </cell>
          <cell r="R117">
            <v>6941.798310810208</v>
          </cell>
          <cell r="S117">
            <v>48518.223377823466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16190.607642501762</v>
          </cell>
          <cell r="L118">
            <v>14613.884228894338</v>
          </cell>
          <cell r="M118">
            <v>15708.369332294926</v>
          </cell>
          <cell r="N118">
            <v>10820.801051826436</v>
          </cell>
          <cell r="O118">
            <v>13683.622305983574</v>
          </cell>
          <cell r="P118">
            <v>14246.354460903447</v>
          </cell>
          <cell r="Q118">
            <v>14932.992684048859</v>
          </cell>
          <cell r="R118">
            <v>13337.370668339772</v>
          </cell>
          <cell r="S118">
            <v>113534.00237479311</v>
          </cell>
        </row>
        <row r="119">
          <cell r="G119">
            <v>110673.73000000001</v>
          </cell>
          <cell r="H119">
            <v>78486.41</v>
          </cell>
          <cell r="I119">
            <v>0</v>
          </cell>
          <cell r="J119">
            <v>0</v>
          </cell>
          <cell r="K119">
            <v>193156.77851707075</v>
          </cell>
          <cell r="L119">
            <v>175094.01329247895</v>
          </cell>
          <cell r="M119">
            <v>204134.081327755</v>
          </cell>
          <cell r="N119">
            <v>173008.46628118178</v>
          </cell>
          <cell r="O119">
            <v>159601.12791942427</v>
          </cell>
          <cell r="P119">
            <v>181303.33693988272</v>
          </cell>
          <cell r="Q119">
            <v>202158.81507909065</v>
          </cell>
          <cell r="R119">
            <v>190247.11803266019</v>
          </cell>
          <cell r="S119">
            <v>1667863.8773895444</v>
          </cell>
        </row>
        <row r="120">
          <cell r="G120">
            <v>110673.73000000001</v>
          </cell>
          <cell r="H120">
            <v>78486.41</v>
          </cell>
          <cell r="I120">
            <v>0</v>
          </cell>
          <cell r="J120">
            <v>0</v>
          </cell>
          <cell r="K120">
            <v>454606.69458666665</v>
          </cell>
          <cell r="L120">
            <v>422182.20445333328</v>
          </cell>
          <cell r="M120">
            <v>496016.63912000001</v>
          </cell>
          <cell r="N120">
            <v>410557.46666666667</v>
          </cell>
          <cell r="O120">
            <v>450151.94000000012</v>
          </cell>
          <cell r="P120">
            <v>420462.23333333328</v>
          </cell>
          <cell r="Q120">
            <v>476267.43333333329</v>
          </cell>
          <cell r="R120">
            <v>441446.83333333337</v>
          </cell>
          <cell r="S120">
            <v>3760851.5848266669</v>
          </cell>
        </row>
        <row r="121">
          <cell r="G121">
            <v>8945.6449344476951</v>
          </cell>
          <cell r="H121">
            <v>7046.8503654222568</v>
          </cell>
          <cell r="I121" t="e">
            <v>#DIV/0!</v>
          </cell>
          <cell r="J121" t="e">
            <v>#DIV/0!</v>
          </cell>
          <cell r="K121">
            <v>8874.5253428702727</v>
          </cell>
          <cell r="L121">
            <v>8403.6973668646879</v>
          </cell>
          <cell r="M121">
            <v>9800.538030540336</v>
          </cell>
          <cell r="N121">
            <v>8117.4742219766713</v>
          </cell>
          <cell r="O121">
            <v>9645.5005107175712</v>
          </cell>
          <cell r="P121">
            <v>8187.6917326874154</v>
          </cell>
          <cell r="Q121">
            <v>9270.3106775341766</v>
          </cell>
          <cell r="R121">
            <v>8751.9608372468574</v>
          </cell>
          <cell r="S121">
            <v>8828.3028804305286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4270.5968102270417</v>
          </cell>
          <cell r="L122">
            <v>5737.8937823275701</v>
          </cell>
          <cell r="M122">
            <v>1161.3795444455536</v>
          </cell>
          <cell r="N122">
            <v>6712.4860287275551</v>
          </cell>
          <cell r="O122">
            <v>1297.4402518297211</v>
          </cell>
          <cell r="P122">
            <v>6548.0074892140292</v>
          </cell>
          <cell r="Q122">
            <v>2977.2928718575713</v>
          </cell>
          <cell r="R122">
            <v>4606.5733291505676</v>
          </cell>
          <cell r="S122">
            <v>33311.67010777961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G124">
            <v>80816.10250198032</v>
          </cell>
          <cell r="H124">
            <v>92233.556905492995</v>
          </cell>
          <cell r="I124">
            <v>0</v>
          </cell>
          <cell r="J124">
            <v>0</v>
          </cell>
          <cell r="K124">
            <v>82554.625258216663</v>
          </cell>
          <cell r="L124">
            <v>85096.627633620607</v>
          </cell>
          <cell r="M124">
            <v>69021.013938442047</v>
          </cell>
          <cell r="N124">
            <v>92984.409448326944</v>
          </cell>
          <cell r="O124">
            <v>50712.096296342308</v>
          </cell>
          <cell r="P124">
            <v>92151.491889004275</v>
          </cell>
          <cell r="Q124">
            <v>76774.047084148769</v>
          </cell>
          <cell r="R124">
            <v>83310.295560810511</v>
          </cell>
          <cell r="S124">
            <v>805654.26651638537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-273.40831394499583</v>
          </cell>
          <cell r="L125">
            <v>317.06755846394299</v>
          </cell>
          <cell r="M125">
            <v>-1397.5799902711969</v>
          </cell>
          <cell r="N125">
            <v>709.26710489399738</v>
          </cell>
          <cell r="O125">
            <v>-1469.8785895667079</v>
          </cell>
          <cell r="P125">
            <v>696.66669933815683</v>
          </cell>
          <cell r="Q125">
            <v>-926.17603349556157</v>
          </cell>
          <cell r="R125">
            <v>-161.23708748567333</v>
          </cell>
          <cell r="S125">
            <v>-2505.2786520680384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-207.03268110172212</v>
          </cell>
          <cell r="L128">
            <v>226.48364906543247</v>
          </cell>
          <cell r="M128">
            <v>-1024.9940432481853</v>
          </cell>
          <cell r="N128">
            <v>386.50072407752668</v>
          </cell>
          <cell r="O128">
            <v>-863.62746045626318</v>
          </cell>
          <cell r="P128">
            <v>459.35451644497698</v>
          </cell>
          <cell r="Q128">
            <v>-533.70694666835334</v>
          </cell>
          <cell r="R128">
            <v>-87.00142328185575</v>
          </cell>
          <cell r="S128">
            <v>-1644.0236651684436</v>
          </cell>
        </row>
        <row r="129">
          <cell r="G129">
            <v>80816.10250198032</v>
          </cell>
          <cell r="H129">
            <v>92233.556905492995</v>
          </cell>
          <cell r="I129">
            <v>0</v>
          </cell>
          <cell r="J129">
            <v>0</v>
          </cell>
          <cell r="K129">
            <v>82074.18426316994</v>
          </cell>
          <cell r="L129">
            <v>85640.178841149973</v>
          </cell>
          <cell r="M129">
            <v>66598.439904922663</v>
          </cell>
          <cell r="N129">
            <v>94080.17727729847</v>
          </cell>
          <cell r="O129">
            <v>48378.590246319334</v>
          </cell>
          <cell r="P129">
            <v>93307.513104787402</v>
          </cell>
          <cell r="Q129">
            <v>75314.164103984862</v>
          </cell>
          <cell r="R129">
            <v>83062.057050042989</v>
          </cell>
          <cell r="S129">
            <v>801504.96419914893</v>
          </cell>
        </row>
        <row r="130">
          <cell r="G130">
            <v>80816.10250198032</v>
          </cell>
          <cell r="H130">
            <v>92233.556905492995</v>
          </cell>
          <cell r="I130">
            <v>0</v>
          </cell>
          <cell r="J130">
            <v>0</v>
          </cell>
          <cell r="K130">
            <v>86344.781073396982</v>
          </cell>
          <cell r="L130">
            <v>91378.07262347755</v>
          </cell>
          <cell r="M130">
            <v>67759.819449368224</v>
          </cell>
          <cell r="N130">
            <v>100792.66330602602</v>
          </cell>
          <cell r="O130">
            <v>49676.030498149055</v>
          </cell>
          <cell r="P130">
            <v>99855.520594001428</v>
          </cell>
          <cell r="Q130">
            <v>78291.456975842433</v>
          </cell>
          <cell r="R130">
            <v>87668.63037919355</v>
          </cell>
          <cell r="S130">
            <v>834816.63430692849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33558.841718663418</v>
          </cell>
          <cell r="L131">
            <v>36671.289841300939</v>
          </cell>
          <cell r="M131">
            <v>26963.532367005726</v>
          </cell>
          <cell r="N131">
            <v>38738.606727603896</v>
          </cell>
          <cell r="O131">
            <v>27252.145988729695</v>
          </cell>
          <cell r="P131">
            <v>38389.712855908554</v>
          </cell>
          <cell r="Q131">
            <v>30815.469728182739</v>
          </cell>
          <cell r="R131">
            <v>30898.22250917249</v>
          </cell>
          <cell r="S131">
            <v>263287.82173656748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G133">
            <v>1423.1674980196894</v>
          </cell>
          <cell r="H133">
            <v>2886.8330945069938</v>
          </cell>
          <cell r="I133">
            <v>0</v>
          </cell>
          <cell r="J133">
            <v>0</v>
          </cell>
          <cell r="K133">
            <v>14330.6423729939</v>
          </cell>
          <cell r="L133">
            <v>12197.959839309035</v>
          </cell>
          <cell r="M133">
            <v>11210.770452944003</v>
          </cell>
          <cell r="N133">
            <v>12948.547141437617</v>
          </cell>
          <cell r="O133">
            <v>8265.0064142641204</v>
          </cell>
          <cell r="P133">
            <v>15212.468300764727</v>
          </cell>
          <cell r="Q133">
            <v>13893.972911349752</v>
          </cell>
          <cell r="R133">
            <v>13588.325806498302</v>
          </cell>
          <cell r="S133">
            <v>105957.69383208815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2629.874874832115</v>
          </cell>
          <cell r="L136">
            <v>2492.9849716884364</v>
          </cell>
          <cell r="M136">
            <v>1641.8126700917528</v>
          </cell>
          <cell r="N136">
            <v>3000.1944093194143</v>
          </cell>
          <cell r="O136">
            <v>2674.720265519567</v>
          </cell>
          <cell r="P136">
            <v>3767.8406319135511</v>
          </cell>
          <cell r="Q136">
            <v>3024.4503096219123</v>
          </cell>
          <cell r="R136">
            <v>3363.6516891897927</v>
          </cell>
          <cell r="S136">
            <v>22595.529822176541</v>
          </cell>
        </row>
        <row r="137"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2784.4250385999603</v>
          </cell>
          <cell r="L137">
            <v>2873.6321220402288</v>
          </cell>
          <cell r="M137">
            <v>1988.6247109532605</v>
          </cell>
          <cell r="N137">
            <v>2321.3648907627025</v>
          </cell>
          <cell r="O137">
            <v>1758.6718211393563</v>
          </cell>
          <cell r="P137">
            <v>3008.291022651576</v>
          </cell>
          <cell r="Q137">
            <v>2272.7142626194955</v>
          </cell>
          <cell r="R137">
            <v>2369.6307549420826</v>
          </cell>
          <cell r="S137">
            <v>19377.354623708663</v>
          </cell>
        </row>
        <row r="138">
          <cell r="G138">
            <v>1423.1674980196894</v>
          </cell>
          <cell r="H138">
            <v>2886.8330945069938</v>
          </cell>
          <cell r="I138">
            <v>0</v>
          </cell>
          <cell r="J138">
            <v>0</v>
          </cell>
          <cell r="K138">
            <v>19744.942286425976</v>
          </cell>
          <cell r="L138">
            <v>17564.576933037701</v>
          </cell>
          <cell r="M138">
            <v>14841.207833989018</v>
          </cell>
          <cell r="N138">
            <v>18270.106441519732</v>
          </cell>
          <cell r="O138">
            <v>12698.398500923044</v>
          </cell>
          <cell r="P138">
            <v>21988.599955329853</v>
          </cell>
          <cell r="Q138">
            <v>19191.137483591159</v>
          </cell>
          <cell r="R138">
            <v>19321.608250630175</v>
          </cell>
          <cell r="S138">
            <v>147930.57827797334</v>
          </cell>
        </row>
        <row r="139">
          <cell r="G139">
            <v>1423.1674980196894</v>
          </cell>
          <cell r="H139">
            <v>2886.8330945069938</v>
          </cell>
          <cell r="I139">
            <v>0</v>
          </cell>
          <cell r="J139">
            <v>0</v>
          </cell>
          <cell r="K139">
            <v>53303.784005089394</v>
          </cell>
          <cell r="L139">
            <v>54235.86677433864</v>
          </cell>
          <cell r="M139">
            <v>41804.74020099474</v>
          </cell>
          <cell r="N139">
            <v>57008.713169123628</v>
          </cell>
          <cell r="O139">
            <v>39950.544489652741</v>
          </cell>
          <cell r="P139">
            <v>60378.312811238407</v>
          </cell>
          <cell r="Q139">
            <v>50006.607211773895</v>
          </cell>
          <cell r="R139">
            <v>50219.830759802666</v>
          </cell>
          <cell r="S139">
            <v>411218.40001454082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41670.64540151367</v>
          </cell>
          <cell r="L140">
            <v>51452.625215517182</v>
          </cell>
          <cell r="M140">
            <v>20942.53029630371</v>
          </cell>
          <cell r="N140">
            <v>57949.906858183647</v>
          </cell>
          <cell r="O140">
            <v>21849.601678864768</v>
          </cell>
          <cell r="P140">
            <v>56853.383261426847</v>
          </cell>
          <cell r="Q140">
            <v>33048.619145717064</v>
          </cell>
          <cell r="R140">
            <v>43910.488861003803</v>
          </cell>
          <cell r="S140">
            <v>327677.80071853066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79500.083930404129</v>
          </cell>
          <cell r="L141">
            <v>93861.808839145699</v>
          </cell>
          <cell r="M141">
            <v>49067.44220775499</v>
          </cell>
          <cell r="N141">
            <v>103400.99961451509</v>
          </cell>
          <cell r="O141">
            <v>50399.187919424185</v>
          </cell>
          <cell r="P141">
            <v>101791.10360654943</v>
          </cell>
          <cell r="Q141">
            <v>66841.381745757375</v>
          </cell>
          <cell r="R141">
            <v>79415.284699326861</v>
          </cell>
          <cell r="S141">
            <v>624277.29256287776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G143">
            <v>82239.27</v>
          </cell>
          <cell r="H143">
            <v>95120.389999999985</v>
          </cell>
          <cell r="I143">
            <v>0</v>
          </cell>
          <cell r="J143">
            <v>0</v>
          </cell>
          <cell r="K143">
            <v>96885.267631210561</v>
          </cell>
          <cell r="L143">
            <v>97294.587472929648</v>
          </cell>
          <cell r="M143">
            <v>80231.784391386056</v>
          </cell>
          <cell r="N143">
            <v>105932.95658976457</v>
          </cell>
          <cell r="O143">
            <v>58977.102710606428</v>
          </cell>
          <cell r="P143">
            <v>107363.960189769</v>
          </cell>
          <cell r="Q143">
            <v>90668.019995498529</v>
          </cell>
          <cell r="R143">
            <v>96898.621367308806</v>
          </cell>
          <cell r="S143">
            <v>911611.96034847363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-273.40831394499583</v>
          </cell>
          <cell r="L144">
            <v>317.06755846394299</v>
          </cell>
          <cell r="M144">
            <v>-1397.5799902711969</v>
          </cell>
          <cell r="N144">
            <v>709.26710489399738</v>
          </cell>
          <cell r="O144">
            <v>-1469.8785895667079</v>
          </cell>
          <cell r="P144">
            <v>696.66669933815683</v>
          </cell>
          <cell r="Q144">
            <v>-926.17603349556157</v>
          </cell>
          <cell r="R144">
            <v>-161.23708748567333</v>
          </cell>
          <cell r="S144">
            <v>-2505.2786520680384</v>
          </cell>
        </row>
        <row r="145"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2629.874874832115</v>
          </cell>
          <cell r="L146">
            <v>2492.9849716884364</v>
          </cell>
          <cell r="M146">
            <v>1641.8126700917528</v>
          </cell>
          <cell r="N146">
            <v>3000.1944093194143</v>
          </cell>
          <cell r="O146">
            <v>2674.720265519567</v>
          </cell>
          <cell r="P146">
            <v>3767.8406319135511</v>
          </cell>
          <cell r="Q146">
            <v>3024.4503096219123</v>
          </cell>
          <cell r="R146">
            <v>3363.6516891897927</v>
          </cell>
          <cell r="S146">
            <v>22595.529822176541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2577.3923574982382</v>
          </cell>
          <cell r="L147">
            <v>3100.1157711056612</v>
          </cell>
          <cell r="M147">
            <v>963.63066770507521</v>
          </cell>
          <cell r="N147">
            <v>2707.8656148402292</v>
          </cell>
          <cell r="O147">
            <v>895.04436068309315</v>
          </cell>
          <cell r="P147">
            <v>3467.645539096553</v>
          </cell>
          <cell r="Q147">
            <v>1739.0073159511421</v>
          </cell>
          <cell r="R147">
            <v>2282.6293316602269</v>
          </cell>
          <cell r="S147">
            <v>17733.33095854022</v>
          </cell>
        </row>
        <row r="148">
          <cell r="G148">
            <v>82239.27</v>
          </cell>
          <cell r="H148">
            <v>95120.389999999985</v>
          </cell>
          <cell r="I148">
            <v>0</v>
          </cell>
          <cell r="J148">
            <v>0</v>
          </cell>
          <cell r="K148">
            <v>101819.12654959591</v>
          </cell>
          <cell r="L148">
            <v>103204.75577418768</v>
          </cell>
          <cell r="M148">
            <v>81439.647738911677</v>
          </cell>
          <cell r="N148">
            <v>112350.2837188182</v>
          </cell>
          <cell r="O148">
            <v>61076.98874724238</v>
          </cell>
          <cell r="P148">
            <v>115296.11306011726</v>
          </cell>
          <cell r="Q148">
            <v>94505.301587576017</v>
          </cell>
          <cell r="R148">
            <v>102383.66530067315</v>
          </cell>
          <cell r="S148">
            <v>949435.54247712239</v>
          </cell>
        </row>
        <row r="149">
          <cell r="G149">
            <v>82239.27</v>
          </cell>
          <cell r="H149">
            <v>95120.389999999985</v>
          </cell>
          <cell r="I149">
            <v>0</v>
          </cell>
          <cell r="J149">
            <v>0</v>
          </cell>
          <cell r="K149">
            <v>181319.21048000004</v>
          </cell>
          <cell r="L149">
            <v>197066.56461333338</v>
          </cell>
          <cell r="M149">
            <v>130507.08994666667</v>
          </cell>
          <cell r="N149">
            <v>215751.2833333333</v>
          </cell>
          <cell r="O149">
            <v>111476.17666666656</v>
          </cell>
          <cell r="P149">
            <v>217087.21666666667</v>
          </cell>
          <cell r="Q149">
            <v>161346.68333333341</v>
          </cell>
          <cell r="R149">
            <v>181798.95</v>
          </cell>
          <cell r="S149">
            <v>1573712.8350400003</v>
          </cell>
          <cell r="T149">
            <v>1573712.8350399998</v>
          </cell>
        </row>
        <row r="150">
          <cell r="G150">
            <v>0</v>
          </cell>
          <cell r="H150">
            <v>0</v>
          </cell>
          <cell r="I150">
            <v>38227.43</v>
          </cell>
          <cell r="J150">
            <v>38227.43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76454.86</v>
          </cell>
        </row>
        <row r="151">
          <cell r="G151"/>
          <cell r="H151"/>
          <cell r="I151">
            <v>41897.1</v>
          </cell>
          <cell r="J151">
            <v>44590.06</v>
          </cell>
          <cell r="K151"/>
          <cell r="L151"/>
          <cell r="M151"/>
          <cell r="N151"/>
          <cell r="O151"/>
          <cell r="P151"/>
          <cell r="Q151"/>
          <cell r="R151"/>
          <cell r="S151">
            <v>86487.16</v>
          </cell>
          <cell r="T151"/>
        </row>
        <row r="152">
          <cell r="G152">
            <v>0</v>
          </cell>
          <cell r="H152">
            <v>0</v>
          </cell>
          <cell r="I152">
            <v>80124.53</v>
          </cell>
          <cell r="J152">
            <v>82817.489999999991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162942.01999999999</v>
          </cell>
        </row>
        <row r="153"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4270.5968102270417</v>
          </cell>
          <cell r="L153">
            <v>5737.8937823275701</v>
          </cell>
          <cell r="M153">
            <v>1161.3795444455536</v>
          </cell>
          <cell r="N153">
            <v>6712.4860287275551</v>
          </cell>
          <cell r="O153">
            <v>1297.4402518297211</v>
          </cell>
          <cell r="P153">
            <v>6548.0074892140292</v>
          </cell>
          <cell r="Q153">
            <v>2977.2928718575713</v>
          </cell>
          <cell r="R153">
            <v>4606.5733291505676</v>
          </cell>
          <cell r="S153">
            <v>33311.67010777961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G155">
            <v>80816.10250198032</v>
          </cell>
          <cell r="H155">
            <v>92233.556905492995</v>
          </cell>
          <cell r="I155">
            <v>0</v>
          </cell>
          <cell r="J155">
            <v>0</v>
          </cell>
          <cell r="K155">
            <v>82554.625258216663</v>
          </cell>
          <cell r="L155">
            <v>85096.627633620607</v>
          </cell>
          <cell r="M155">
            <v>69021.013938442047</v>
          </cell>
          <cell r="N155">
            <v>92984.409448326944</v>
          </cell>
          <cell r="O155">
            <v>50712.096296342308</v>
          </cell>
          <cell r="P155">
            <v>92151.491889004275</v>
          </cell>
          <cell r="Q155">
            <v>76774.047084148769</v>
          </cell>
          <cell r="R155">
            <v>83310.295560810511</v>
          </cell>
          <cell r="S155">
            <v>805654.26651638537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-273.40831394499583</v>
          </cell>
          <cell r="L156">
            <v>317.06755846394299</v>
          </cell>
          <cell r="M156">
            <v>-1397.5799902711969</v>
          </cell>
          <cell r="N156">
            <v>709.26710489399738</v>
          </cell>
          <cell r="O156">
            <v>-1469.8785895667079</v>
          </cell>
          <cell r="P156">
            <v>696.66669933815683</v>
          </cell>
          <cell r="Q156">
            <v>-926.17603349556157</v>
          </cell>
          <cell r="R156">
            <v>-161.23708748567333</v>
          </cell>
          <cell r="S156">
            <v>-2505.2786520680384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-207.03268110172212</v>
          </cell>
          <cell r="L159">
            <v>226.48364906543247</v>
          </cell>
          <cell r="M159">
            <v>-1024.9940432481853</v>
          </cell>
          <cell r="N159">
            <v>386.50072407752668</v>
          </cell>
          <cell r="O159">
            <v>-863.62746045626318</v>
          </cell>
          <cell r="P159">
            <v>459.35451644497698</v>
          </cell>
          <cell r="Q159">
            <v>-533.70694666835334</v>
          </cell>
          <cell r="R159">
            <v>-87.00142328185575</v>
          </cell>
          <cell r="S159">
            <v>-1644.0236651684436</v>
          </cell>
        </row>
        <row r="160">
          <cell r="G160">
            <v>80816.10250198032</v>
          </cell>
          <cell r="H160">
            <v>92233.556905492995</v>
          </cell>
          <cell r="I160">
            <v>0</v>
          </cell>
          <cell r="J160">
            <v>0</v>
          </cell>
          <cell r="K160">
            <v>82074.18426316994</v>
          </cell>
          <cell r="L160">
            <v>85640.178841149973</v>
          </cell>
          <cell r="M160">
            <v>66598.439904922663</v>
          </cell>
          <cell r="N160">
            <v>94080.17727729847</v>
          </cell>
          <cell r="O160">
            <v>48378.590246319334</v>
          </cell>
          <cell r="P160">
            <v>93307.513104787402</v>
          </cell>
          <cell r="Q160">
            <v>75314.164103984862</v>
          </cell>
          <cell r="R160">
            <v>83062.057050042989</v>
          </cell>
          <cell r="S160">
            <v>801504.96419914893</v>
          </cell>
        </row>
        <row r="161">
          <cell r="G161">
            <v>80816.10250198032</v>
          </cell>
          <cell r="H161">
            <v>92233.556905492995</v>
          </cell>
          <cell r="I161">
            <v>0</v>
          </cell>
          <cell r="J161">
            <v>0</v>
          </cell>
          <cell r="K161">
            <v>86344.781073396982</v>
          </cell>
          <cell r="L161">
            <v>91378.07262347755</v>
          </cell>
          <cell r="M161">
            <v>67759.819449368224</v>
          </cell>
          <cell r="N161">
            <v>100792.66330602602</v>
          </cell>
          <cell r="O161">
            <v>49676.030498149055</v>
          </cell>
          <cell r="P161">
            <v>99855.520594001428</v>
          </cell>
          <cell r="Q161">
            <v>78291.456975842433</v>
          </cell>
          <cell r="R161">
            <v>87668.63037919355</v>
          </cell>
          <cell r="S161">
            <v>834816.63430692849</v>
          </cell>
        </row>
        <row r="162"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33558.841718663418</v>
          </cell>
          <cell r="L162">
            <v>36671.289841300939</v>
          </cell>
          <cell r="M162">
            <v>26963.532367005726</v>
          </cell>
          <cell r="N162">
            <v>38738.606727603896</v>
          </cell>
          <cell r="O162">
            <v>27252.145988729695</v>
          </cell>
          <cell r="P162">
            <v>38389.712855908554</v>
          </cell>
          <cell r="Q162">
            <v>30815.469728182739</v>
          </cell>
          <cell r="R162">
            <v>30898.22250917249</v>
          </cell>
          <cell r="S162">
            <v>263287.82173656748</v>
          </cell>
        </row>
        <row r="163"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G164">
            <v>1423.1674980196894</v>
          </cell>
          <cell r="H164">
            <v>2886.8330945069938</v>
          </cell>
          <cell r="I164">
            <v>0</v>
          </cell>
          <cell r="J164">
            <v>0</v>
          </cell>
          <cell r="K164">
            <v>14330.6423729939</v>
          </cell>
          <cell r="L164">
            <v>12197.959839309035</v>
          </cell>
          <cell r="M164">
            <v>11210.770452944003</v>
          </cell>
          <cell r="N164">
            <v>12948.547141437617</v>
          </cell>
          <cell r="O164">
            <v>8265.0064142641204</v>
          </cell>
          <cell r="P164">
            <v>15212.468300764727</v>
          </cell>
          <cell r="Q164">
            <v>13893.972911349752</v>
          </cell>
          <cell r="R164">
            <v>13588.325806498302</v>
          </cell>
          <cell r="S164">
            <v>105957.69383208815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2629.874874832115</v>
          </cell>
          <cell r="L167">
            <v>2492.9849716884364</v>
          </cell>
          <cell r="M167">
            <v>1641.8126700917528</v>
          </cell>
          <cell r="N167">
            <v>3000.1944093194143</v>
          </cell>
          <cell r="O167">
            <v>2674.720265519567</v>
          </cell>
          <cell r="P167">
            <v>3767.8406319135511</v>
          </cell>
          <cell r="Q167">
            <v>3024.4503096219123</v>
          </cell>
          <cell r="R167">
            <v>3363.6516891897927</v>
          </cell>
          <cell r="S167">
            <v>22595.529822176541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2784.4250385999603</v>
          </cell>
          <cell r="L168">
            <v>2873.6321220402288</v>
          </cell>
          <cell r="M168">
            <v>1988.6247109532605</v>
          </cell>
          <cell r="N168">
            <v>2321.3648907627025</v>
          </cell>
          <cell r="O168">
            <v>1758.6718211393563</v>
          </cell>
          <cell r="P168">
            <v>3008.291022651576</v>
          </cell>
          <cell r="Q168">
            <v>2272.7142626194955</v>
          </cell>
          <cell r="R168">
            <v>2369.6307549420826</v>
          </cell>
          <cell r="S168">
            <v>19377.354623708663</v>
          </cell>
        </row>
        <row r="169">
          <cell r="G169">
            <v>1423.1674980196894</v>
          </cell>
          <cell r="H169">
            <v>2886.8330945069938</v>
          </cell>
          <cell r="I169">
            <v>0</v>
          </cell>
          <cell r="J169">
            <v>0</v>
          </cell>
          <cell r="K169">
            <v>19744.942286425976</v>
          </cell>
          <cell r="L169">
            <v>17564.576933037701</v>
          </cell>
          <cell r="M169">
            <v>14841.207833989018</v>
          </cell>
          <cell r="N169">
            <v>18270.106441519732</v>
          </cell>
          <cell r="O169">
            <v>12698.398500923044</v>
          </cell>
          <cell r="P169">
            <v>21988.599955329853</v>
          </cell>
          <cell r="Q169">
            <v>19191.137483591159</v>
          </cell>
          <cell r="R169">
            <v>19321.608250630175</v>
          </cell>
          <cell r="S169">
            <v>147930.57827797334</v>
          </cell>
        </row>
        <row r="170">
          <cell r="G170">
            <v>1423.1674980196894</v>
          </cell>
          <cell r="H170">
            <v>2886.8330945069938</v>
          </cell>
          <cell r="I170">
            <v>0</v>
          </cell>
          <cell r="J170">
            <v>0</v>
          </cell>
          <cell r="K170">
            <v>53303.784005089394</v>
          </cell>
          <cell r="L170">
            <v>54235.86677433864</v>
          </cell>
          <cell r="M170">
            <v>41804.74020099474</v>
          </cell>
          <cell r="N170">
            <v>57008.713169123628</v>
          </cell>
          <cell r="O170">
            <v>39950.544489652741</v>
          </cell>
          <cell r="P170">
            <v>60378.312811238407</v>
          </cell>
          <cell r="Q170">
            <v>50006.607211773895</v>
          </cell>
          <cell r="R170">
            <v>50219.830759802666</v>
          </cell>
          <cell r="S170">
            <v>411218.40001454082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41670.64540151367</v>
          </cell>
          <cell r="L171">
            <v>51452.625215517182</v>
          </cell>
          <cell r="M171">
            <v>20942.53029630371</v>
          </cell>
          <cell r="N171">
            <v>57949.906858183647</v>
          </cell>
          <cell r="O171">
            <v>21849.601678864768</v>
          </cell>
          <cell r="P171">
            <v>56853.383261426847</v>
          </cell>
          <cell r="Q171">
            <v>33048.619145717064</v>
          </cell>
          <cell r="R171">
            <v>43910.488861003803</v>
          </cell>
          <cell r="S171">
            <v>327677.80071853066</v>
          </cell>
        </row>
        <row r="172">
          <cell r="G172">
            <v>0</v>
          </cell>
          <cell r="H172">
            <v>0</v>
          </cell>
          <cell r="I172">
            <v>-80124.53</v>
          </cell>
          <cell r="J172">
            <v>-82817.489999999991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-162942.01999999999</v>
          </cell>
          <cell r="T172"/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79500.083930404129</v>
          </cell>
          <cell r="L173">
            <v>93861.808839145699</v>
          </cell>
          <cell r="M173">
            <v>49067.44220775499</v>
          </cell>
          <cell r="N173">
            <v>103400.99961451509</v>
          </cell>
          <cell r="O173">
            <v>50399.187919424185</v>
          </cell>
          <cell r="P173">
            <v>101791.10360654943</v>
          </cell>
          <cell r="Q173">
            <v>66841.381745757375</v>
          </cell>
          <cell r="R173">
            <v>79415.284699326861</v>
          </cell>
          <cell r="S173">
            <v>624277.29256287776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G175">
            <v>82239.27</v>
          </cell>
          <cell r="H175">
            <v>95120.389999999985</v>
          </cell>
          <cell r="I175">
            <v>0</v>
          </cell>
          <cell r="J175">
            <v>0</v>
          </cell>
          <cell r="K175">
            <v>96885.267631210561</v>
          </cell>
          <cell r="L175">
            <v>97294.587472929648</v>
          </cell>
          <cell r="M175">
            <v>80231.784391386056</v>
          </cell>
          <cell r="N175">
            <v>105932.95658976457</v>
          </cell>
          <cell r="O175">
            <v>58977.102710606428</v>
          </cell>
          <cell r="P175">
            <v>107363.960189769</v>
          </cell>
          <cell r="Q175">
            <v>90668.019995498529</v>
          </cell>
          <cell r="R175">
            <v>96898.621367308806</v>
          </cell>
          <cell r="S175">
            <v>911611.96034847363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-273.40831394499583</v>
          </cell>
          <cell r="L176">
            <v>317.06755846394299</v>
          </cell>
          <cell r="M176">
            <v>-1397.5799902711969</v>
          </cell>
          <cell r="N176">
            <v>709.26710489399738</v>
          </cell>
          <cell r="O176">
            <v>-1469.8785895667079</v>
          </cell>
          <cell r="P176">
            <v>696.66669933815683</v>
          </cell>
          <cell r="Q176">
            <v>-926.17603349556157</v>
          </cell>
          <cell r="R176">
            <v>-161.23708748567333</v>
          </cell>
          <cell r="S176">
            <v>-2505.2786520680384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2629.874874832115</v>
          </cell>
          <cell r="L178">
            <v>2492.9849716884364</v>
          </cell>
          <cell r="M178">
            <v>1641.8126700917528</v>
          </cell>
          <cell r="N178">
            <v>3000.1944093194143</v>
          </cell>
          <cell r="O178">
            <v>2674.720265519567</v>
          </cell>
          <cell r="P178">
            <v>3767.8406319135511</v>
          </cell>
          <cell r="Q178">
            <v>3024.4503096219123</v>
          </cell>
          <cell r="R178">
            <v>3363.6516891897927</v>
          </cell>
          <cell r="S178">
            <v>22595.529822176541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2577.3923574982382</v>
          </cell>
          <cell r="L179">
            <v>3100.1157711056612</v>
          </cell>
          <cell r="M179">
            <v>963.63066770507521</v>
          </cell>
          <cell r="N179">
            <v>2707.8656148402292</v>
          </cell>
          <cell r="O179">
            <v>895.04436068309315</v>
          </cell>
          <cell r="P179">
            <v>3467.645539096553</v>
          </cell>
          <cell r="Q179">
            <v>1739.0073159511421</v>
          </cell>
          <cell r="R179">
            <v>2282.6293316602269</v>
          </cell>
          <cell r="S179">
            <v>17733.33095854022</v>
          </cell>
        </row>
        <row r="180">
          <cell r="G180">
            <v>82239.27</v>
          </cell>
          <cell r="H180">
            <v>95120.389999999985</v>
          </cell>
          <cell r="I180">
            <v>0</v>
          </cell>
          <cell r="J180">
            <v>0</v>
          </cell>
          <cell r="K180">
            <v>101819.12654959591</v>
          </cell>
          <cell r="L180">
            <v>103204.75577418768</v>
          </cell>
          <cell r="M180">
            <v>81439.647738911677</v>
          </cell>
          <cell r="N180">
            <v>112350.2837188182</v>
          </cell>
          <cell r="O180">
            <v>61076.98874724238</v>
          </cell>
          <cell r="P180">
            <v>115296.11306011726</v>
          </cell>
          <cell r="Q180">
            <v>94505.301587576017</v>
          </cell>
          <cell r="R180">
            <v>102383.66530067315</v>
          </cell>
          <cell r="S180">
            <v>949435.54247712239</v>
          </cell>
        </row>
        <row r="181">
          <cell r="G181">
            <v>0</v>
          </cell>
          <cell r="H181">
            <v>0</v>
          </cell>
          <cell r="I181">
            <v>-80124.53</v>
          </cell>
          <cell r="J181">
            <v>-82817.489999999991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-162942.01999999999</v>
          </cell>
          <cell r="T181"/>
        </row>
        <row r="182">
          <cell r="G182">
            <v>82239.27</v>
          </cell>
          <cell r="H182">
            <v>95120.389999999985</v>
          </cell>
          <cell r="I182">
            <v>-80124.53</v>
          </cell>
          <cell r="J182">
            <v>-82817.489999999991</v>
          </cell>
          <cell r="K182">
            <v>181319.21048000004</v>
          </cell>
          <cell r="L182">
            <v>197066.56461333338</v>
          </cell>
          <cell r="M182">
            <v>130507.08994666667</v>
          </cell>
          <cell r="N182">
            <v>215751.2833333333</v>
          </cell>
          <cell r="O182">
            <v>111476.17666666656</v>
          </cell>
          <cell r="P182">
            <v>217087.21666666667</v>
          </cell>
          <cell r="Q182">
            <v>161346.68333333341</v>
          </cell>
          <cell r="R182">
            <v>181798.95</v>
          </cell>
          <cell r="S182">
            <v>1410770.8150399998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793.99831909725128</v>
          </cell>
          <cell r="L183">
            <v>809.61912190056853</v>
          </cell>
          <cell r="M183">
            <v>807.26683749400922</v>
          </cell>
          <cell r="N183">
            <v>807.81218984994439</v>
          </cell>
          <cell r="O183">
            <v>2348.5661753335808</v>
          </cell>
          <cell r="P183">
            <v>2134.3795434330341</v>
          </cell>
          <cell r="Q183">
            <v>2140.1315586547666</v>
          </cell>
          <cell r="R183">
            <v>2179.8370406046706</v>
          </cell>
          <cell r="S183">
            <v>12021.610786367826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G185">
            <v>11348.805700137051</v>
          </cell>
          <cell r="H185">
            <v>11335.904110580386</v>
          </cell>
          <cell r="I185">
            <v>0</v>
          </cell>
          <cell r="J185">
            <v>0</v>
          </cell>
          <cell r="K185">
            <v>3428.1478940901929</v>
          </cell>
          <cell r="L185">
            <v>3346.425703855683</v>
          </cell>
          <cell r="M185">
            <v>3479.9234811746801</v>
          </cell>
          <cell r="N185">
            <v>3483.547273643821</v>
          </cell>
          <cell r="O185">
            <v>7375.8262724244005</v>
          </cell>
          <cell r="P185">
            <v>9191.8025210463347</v>
          </cell>
          <cell r="Q185">
            <v>9216.5738360539635</v>
          </cell>
          <cell r="R185">
            <v>9333.7539480856813</v>
          </cell>
          <cell r="S185">
            <v>71540.710741092204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319.52417204883324</v>
          </cell>
          <cell r="L186">
            <v>325.81036178301667</v>
          </cell>
          <cell r="M186">
            <v>297.79176672001222</v>
          </cell>
          <cell r="N186">
            <v>325.0832085214322</v>
          </cell>
          <cell r="O186">
            <v>945.11996389181684</v>
          </cell>
          <cell r="P186">
            <v>930.50324337949246</v>
          </cell>
          <cell r="Q186">
            <v>1004.7809580431672</v>
          </cell>
          <cell r="R186">
            <v>1023.42248128591</v>
          </cell>
          <cell r="S186">
            <v>5172.0361556736807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241.9529423285442</v>
          </cell>
          <cell r="L189">
            <v>232.72869667723614</v>
          </cell>
          <cell r="M189">
            <v>218.40237348928829</v>
          </cell>
          <cell r="N189">
            <v>177.14750143073022</v>
          </cell>
          <cell r="O189">
            <v>555.3054245677622</v>
          </cell>
          <cell r="P189">
            <v>613.53710148502307</v>
          </cell>
          <cell r="Q189">
            <v>579.00286532332598</v>
          </cell>
          <cell r="R189">
            <v>552.22538361984994</v>
          </cell>
          <cell r="S189">
            <v>3170.30228892176</v>
          </cell>
        </row>
        <row r="190">
          <cell r="G190">
            <v>11348.805700137051</v>
          </cell>
          <cell r="H190">
            <v>11335.904110580386</v>
          </cell>
          <cell r="I190">
            <v>0</v>
          </cell>
          <cell r="J190">
            <v>0</v>
          </cell>
          <cell r="K190">
            <v>3989.6250084675708</v>
          </cell>
          <cell r="L190">
            <v>3904.9647623159358</v>
          </cell>
          <cell r="M190">
            <v>3996.1176213839808</v>
          </cell>
          <cell r="N190">
            <v>3985.7779835959832</v>
          </cell>
          <cell r="O190">
            <v>8876.2516608839796</v>
          </cell>
          <cell r="P190">
            <v>10735.84286591085</v>
          </cell>
          <cell r="Q190">
            <v>10800.357659420457</v>
          </cell>
          <cell r="R190">
            <v>10909.401812991442</v>
          </cell>
          <cell r="S190">
            <v>79883.049185687632</v>
          </cell>
        </row>
        <row r="191">
          <cell r="G191">
            <v>11348.805700137051</v>
          </cell>
          <cell r="H191">
            <v>11335.904110580386</v>
          </cell>
          <cell r="I191">
            <v>0</v>
          </cell>
          <cell r="J191">
            <v>0</v>
          </cell>
          <cell r="K191">
            <v>4783.6233275648219</v>
          </cell>
          <cell r="L191">
            <v>4714.583884216504</v>
          </cell>
          <cell r="M191">
            <v>4803.3844588779903</v>
          </cell>
          <cell r="N191">
            <v>4793.5901734459276</v>
          </cell>
          <cell r="O191">
            <v>11224.81783621756</v>
          </cell>
          <cell r="P191">
            <v>12870.222409343885</v>
          </cell>
          <cell r="Q191">
            <v>12940.489218075223</v>
          </cell>
          <cell r="R191">
            <v>13089.238853596113</v>
          </cell>
          <cell r="S191">
            <v>91904.659972055466</v>
          </cell>
        </row>
        <row r="192">
          <cell r="G192">
            <v>990.62566122597809</v>
          </cell>
          <cell r="H192">
            <v>1100.3809150420691</v>
          </cell>
          <cell r="I192">
            <v>0</v>
          </cell>
          <cell r="J192">
            <v>0</v>
          </cell>
          <cell r="K192">
            <v>240.60555124159129</v>
          </cell>
          <cell r="L192">
            <v>245.33912784865711</v>
          </cell>
          <cell r="M192">
            <v>244.62631439212399</v>
          </cell>
          <cell r="N192">
            <v>244.79157268180134</v>
          </cell>
          <cell r="O192">
            <v>711.68671979805481</v>
          </cell>
          <cell r="P192">
            <v>646.78167982819207</v>
          </cell>
          <cell r="Q192">
            <v>648.52471474386869</v>
          </cell>
          <cell r="R192">
            <v>660.55667897111232</v>
          </cell>
          <cell r="S192">
            <v>523.63051054931202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1684.2388586911393</v>
          </cell>
          <cell r="L193">
            <v>1717.3738949405997</v>
          </cell>
          <cell r="M193">
            <v>1712.3842007448677</v>
          </cell>
          <cell r="N193">
            <v>1713.5410087726093</v>
          </cell>
          <cell r="O193">
            <v>4981.8070385863848</v>
          </cell>
          <cell r="P193">
            <v>4527.4717587973446</v>
          </cell>
          <cell r="Q193">
            <v>4539.67300320708</v>
          </cell>
          <cell r="R193">
            <v>4168.7732009866895</v>
          </cell>
          <cell r="S193">
            <v>25045.262964726713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G195">
            <v>907.01685541850577</v>
          </cell>
          <cell r="H195">
            <v>919.91844497516956</v>
          </cell>
          <cell r="I195">
            <v>0</v>
          </cell>
          <cell r="J195">
            <v>0</v>
          </cell>
          <cell r="K195">
            <v>292.35178512861626</v>
          </cell>
          <cell r="L195">
            <v>244.52133075582825</v>
          </cell>
          <cell r="M195">
            <v>252.71529118802351</v>
          </cell>
          <cell r="N195">
            <v>252.88601401847953</v>
          </cell>
          <cell r="O195">
            <v>539.98043720144415</v>
          </cell>
          <cell r="P195">
            <v>788.12503625997954</v>
          </cell>
          <cell r="Q195">
            <v>790.24898240589528</v>
          </cell>
          <cell r="R195">
            <v>754.53187583273598</v>
          </cell>
          <cell r="S195">
            <v>5742.2960531846784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131.9871971392985</v>
          </cell>
          <cell r="L198">
            <v>116.75038782069375</v>
          </cell>
          <cell r="M198">
            <v>104.2672762077749</v>
          </cell>
          <cell r="N198">
            <v>132.70885529798494</v>
          </cell>
          <cell r="O198">
            <v>488.95012710285761</v>
          </cell>
          <cell r="P198">
            <v>444.35841749236278</v>
          </cell>
          <cell r="Q198">
            <v>445.55593477048001</v>
          </cell>
          <cell r="R198">
            <v>453.82225515352332</v>
          </cell>
          <cell r="S198">
            <v>2318.400450984976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139.74370416111626</v>
          </cell>
          <cell r="L199">
            <v>134.57668959591672</v>
          </cell>
          <cell r="M199">
            <v>126.29241191017387</v>
          </cell>
          <cell r="N199">
            <v>102.68190502092625</v>
          </cell>
          <cell r="O199">
            <v>321.49261422344136</v>
          </cell>
          <cell r="P199">
            <v>354.78131077509096</v>
          </cell>
          <cell r="Q199">
            <v>334.81169273176789</v>
          </cell>
          <cell r="R199">
            <v>319.70943262201837</v>
          </cell>
          <cell r="S199">
            <v>1834.0897610404515</v>
          </cell>
        </row>
        <row r="200">
          <cell r="G200">
            <v>907.01685541850577</v>
          </cell>
          <cell r="H200">
            <v>919.91844497516956</v>
          </cell>
          <cell r="I200">
            <v>0</v>
          </cell>
          <cell r="J200">
            <v>0</v>
          </cell>
          <cell r="K200">
            <v>564.08268642903101</v>
          </cell>
          <cell r="L200">
            <v>495.84840817243872</v>
          </cell>
          <cell r="M200">
            <v>483.27497930597229</v>
          </cell>
          <cell r="N200">
            <v>488.27677433739075</v>
          </cell>
          <cell r="O200">
            <v>1350.4231785277429</v>
          </cell>
          <cell r="P200">
            <v>1587.2647645274333</v>
          </cell>
          <cell r="Q200">
            <v>1570.6166099081431</v>
          </cell>
          <cell r="R200">
            <v>1528.0635636082777</v>
          </cell>
          <cell r="S200">
            <v>9894.7862652101066</v>
          </cell>
        </row>
        <row r="201">
          <cell r="G201">
            <v>907.01685541850577</v>
          </cell>
          <cell r="H201">
            <v>919.91844497516956</v>
          </cell>
          <cell r="I201">
            <v>0</v>
          </cell>
          <cell r="J201">
            <v>0</v>
          </cell>
          <cell r="K201">
            <v>2248.3215451201704</v>
          </cell>
          <cell r="L201">
            <v>2213.2223031130384</v>
          </cell>
          <cell r="M201">
            <v>2195.65918005084</v>
          </cell>
          <cell r="N201">
            <v>2201.8177831100002</v>
          </cell>
          <cell r="O201">
            <v>6332.2302171141273</v>
          </cell>
          <cell r="P201">
            <v>6114.7365233247783</v>
          </cell>
          <cell r="Q201">
            <v>6110.2896131152229</v>
          </cell>
          <cell r="R201">
            <v>5696.8367645949675</v>
          </cell>
          <cell r="S201">
            <v>34940.04922993682</v>
          </cell>
        </row>
        <row r="202">
          <cell r="G202">
            <v>990.62566122597809</v>
          </cell>
          <cell r="H202">
            <v>1100.3809150420689</v>
          </cell>
          <cell r="I202">
            <v>0</v>
          </cell>
          <cell r="J202">
            <v>0</v>
          </cell>
          <cell r="K202">
            <v>240.60555124159134</v>
          </cell>
          <cell r="L202">
            <v>245.33912784865711</v>
          </cell>
          <cell r="M202">
            <v>244.62631439212396</v>
          </cell>
          <cell r="N202">
            <v>244.79157268180131</v>
          </cell>
          <cell r="O202">
            <v>711.68671979805492</v>
          </cell>
          <cell r="P202">
            <v>646.78167982819207</v>
          </cell>
          <cell r="Q202">
            <v>648.52471474386857</v>
          </cell>
          <cell r="R202">
            <v>660.55667897111232</v>
          </cell>
          <cell r="S202">
            <v>469.08808049218862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5293.3221273150093</v>
          </cell>
          <cell r="L203">
            <v>5397.4608126704561</v>
          </cell>
          <cell r="M203">
            <v>5381.7789166267285</v>
          </cell>
          <cell r="N203">
            <v>5385.4145989996296</v>
          </cell>
          <cell r="O203">
            <v>15657.107835557206</v>
          </cell>
          <cell r="P203">
            <v>14229.196956220227</v>
          </cell>
          <cell r="Q203">
            <v>14267.543724365112</v>
          </cell>
          <cell r="R203">
            <v>14532.246937364471</v>
          </cell>
          <cell r="S203">
            <v>80144.071909118837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240.60555124159131</v>
          </cell>
          <cell r="L204">
            <v>245.33912784865711</v>
          </cell>
          <cell r="M204">
            <v>244.62631439212399</v>
          </cell>
          <cell r="N204">
            <v>244.79157268180134</v>
          </cell>
          <cell r="O204">
            <v>711.68671979805481</v>
          </cell>
          <cell r="P204">
            <v>646.78167982819207</v>
          </cell>
          <cell r="Q204">
            <v>648.52471474386869</v>
          </cell>
          <cell r="R204">
            <v>660.55667897111232</v>
          </cell>
          <cell r="S204">
            <v>455.36404493817525</v>
          </cell>
        </row>
        <row r="205">
          <cell r="G205">
            <v>0</v>
          </cell>
          <cell r="H205">
            <v>0</v>
          </cell>
          <cell r="I205">
            <v>12255.822555555556</v>
          </cell>
          <cell r="J205">
            <v>12255.822555555556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24511.645111111113</v>
          </cell>
          <cell r="T205"/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7771.5593051033993</v>
          </cell>
          <cell r="L206">
            <v>7924.4538295116245</v>
          </cell>
          <cell r="M206">
            <v>7901.4299548656054</v>
          </cell>
          <cell r="N206">
            <v>7906.767797622183</v>
          </cell>
          <cell r="O206">
            <v>22987.481049477174</v>
          </cell>
          <cell r="P206">
            <v>20891.048258450606</v>
          </cell>
          <cell r="Q206">
            <v>20947.348286226959</v>
          </cell>
          <cell r="R206">
            <v>20880.85717895583</v>
          </cell>
          <cell r="S206">
            <v>117210.94566021339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G208">
            <v>12255.822555555556</v>
          </cell>
          <cell r="H208">
            <v>12255.822555555556</v>
          </cell>
          <cell r="I208">
            <v>0</v>
          </cell>
          <cell r="J208">
            <v>0</v>
          </cell>
          <cell r="K208">
            <v>3720.4996792188094</v>
          </cell>
          <cell r="L208">
            <v>3590.9470346115113</v>
          </cell>
          <cell r="M208">
            <v>3732.6387723627035</v>
          </cell>
          <cell r="N208">
            <v>3736.4332876623007</v>
          </cell>
          <cell r="O208">
            <v>7915.8067096258446</v>
          </cell>
          <cell r="P208">
            <v>9979.9275573063151</v>
          </cell>
          <cell r="Q208">
            <v>10006.822818459859</v>
          </cell>
          <cell r="R208">
            <v>10088.285823918417</v>
          </cell>
          <cell r="S208">
            <v>77283.006794276866</v>
          </cell>
        </row>
        <row r="209"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319.52417204883324</v>
          </cell>
          <cell r="L209">
            <v>325.81036178301667</v>
          </cell>
          <cell r="M209">
            <v>297.79176672001222</v>
          </cell>
          <cell r="N209">
            <v>325.0832085214322</v>
          </cell>
          <cell r="O209">
            <v>945.11996389181684</v>
          </cell>
          <cell r="P209">
            <v>930.50324337949246</v>
          </cell>
          <cell r="Q209">
            <v>1004.7809580431672</v>
          </cell>
          <cell r="R209">
            <v>1023.42248128591</v>
          </cell>
          <cell r="S209">
            <v>5172.0361556736807</v>
          </cell>
        </row>
        <row r="210"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</row>
        <row r="211"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131.9871971392985</v>
          </cell>
          <cell r="L211">
            <v>116.75038782069375</v>
          </cell>
          <cell r="M211">
            <v>104.2672762077749</v>
          </cell>
          <cell r="N211">
            <v>132.70885529798494</v>
          </cell>
          <cell r="O211">
            <v>488.95012710285761</v>
          </cell>
          <cell r="P211">
            <v>444.35841749236278</v>
          </cell>
          <cell r="Q211">
            <v>445.55593477048001</v>
          </cell>
          <cell r="R211">
            <v>453.82225515352332</v>
          </cell>
          <cell r="S211">
            <v>2318.400450984976</v>
          </cell>
        </row>
        <row r="212"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381.69664648966045</v>
          </cell>
          <cell r="L212">
            <v>367.30538627315286</v>
          </cell>
          <cell r="M212">
            <v>344.69478539946215</v>
          </cell>
          <cell r="N212">
            <v>279.8294064516565</v>
          </cell>
          <cell r="O212">
            <v>876.79803879120357</v>
          </cell>
          <cell r="P212">
            <v>968.31841226011397</v>
          </cell>
          <cell r="Q212">
            <v>913.81455805509381</v>
          </cell>
          <cell r="R212">
            <v>871.93481624186825</v>
          </cell>
          <cell r="S212">
            <v>5004.3920499622118</v>
          </cell>
        </row>
        <row r="213">
          <cell r="G213">
            <v>12255.822555555556</v>
          </cell>
          <cell r="H213">
            <v>12255.822555555556</v>
          </cell>
          <cell r="I213">
            <v>0</v>
          </cell>
          <cell r="J213">
            <v>0</v>
          </cell>
          <cell r="K213">
            <v>4553.7076948966014</v>
          </cell>
          <cell r="L213">
            <v>4400.8131704883745</v>
          </cell>
          <cell r="M213">
            <v>4479.3926006899528</v>
          </cell>
          <cell r="N213">
            <v>4474.0547579333743</v>
          </cell>
          <cell r="O213">
            <v>10226.674839411722</v>
          </cell>
          <cell r="P213">
            <v>12323.107630438286</v>
          </cell>
          <cell r="Q213">
            <v>12370.974269328601</v>
          </cell>
          <cell r="R213">
            <v>12437.465376599719</v>
          </cell>
          <cell r="S213">
            <v>89777.835450897735</v>
          </cell>
        </row>
        <row r="214">
          <cell r="G214">
            <v>0</v>
          </cell>
          <cell r="H214">
            <v>0</v>
          </cell>
          <cell r="I214">
            <v>12255.822555555556</v>
          </cell>
          <cell r="J214">
            <v>12255.822555555556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24511.645111111113</v>
          </cell>
          <cell r="T214"/>
        </row>
        <row r="215">
          <cell r="G215">
            <v>12255.822555555556</v>
          </cell>
          <cell r="H215">
            <v>12255.822555555556</v>
          </cell>
          <cell r="I215">
            <v>12255.822555555556</v>
          </cell>
          <cell r="J215">
            <v>12255.822555555556</v>
          </cell>
          <cell r="K215">
            <v>12325.267</v>
          </cell>
          <cell r="L215">
            <v>12325.267</v>
          </cell>
          <cell r="M215">
            <v>12380.822555555558</v>
          </cell>
          <cell r="N215">
            <v>12380.822555555558</v>
          </cell>
          <cell r="O215">
            <v>33214.155888888898</v>
          </cell>
          <cell r="P215">
            <v>33214.15588888889</v>
          </cell>
          <cell r="Q215">
            <v>33318.322555555562</v>
          </cell>
          <cell r="R215">
            <v>33318.322555555547</v>
          </cell>
          <cell r="S215">
            <v>231500.42622222225</v>
          </cell>
        </row>
        <row r="216">
          <cell r="G216">
            <v>990.62566122597809</v>
          </cell>
          <cell r="H216">
            <v>1100.3809150420691</v>
          </cell>
          <cell r="I216" t="e">
            <v>#DIV/0!</v>
          </cell>
          <cell r="J216" t="e">
            <v>#DIV/0!</v>
          </cell>
          <cell r="K216">
            <v>240.60555124159131</v>
          </cell>
          <cell r="L216">
            <v>245.33912784865711</v>
          </cell>
          <cell r="M216">
            <v>244.62631439212399</v>
          </cell>
          <cell r="N216">
            <v>244.79157268180134</v>
          </cell>
          <cell r="O216">
            <v>711.68671979805492</v>
          </cell>
          <cell r="P216">
            <v>646.78167982819207</v>
          </cell>
          <cell r="Q216">
            <v>648.5247147438688</v>
          </cell>
          <cell r="R216">
            <v>660.55667897111221</v>
          </cell>
          <cell r="S216">
            <v>543.42901695035482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3476.5984911297905</v>
          </cell>
          <cell r="L217">
            <v>4928.2746604270014</v>
          </cell>
          <cell r="M217">
            <v>354.1127069515444</v>
          </cell>
          <cell r="N217">
            <v>5904.6738388776103</v>
          </cell>
          <cell r="O217">
            <v>-1051.1259235038597</v>
          </cell>
          <cell r="P217">
            <v>4413.6279457809951</v>
          </cell>
          <cell r="Q217">
            <v>837.16131320280465</v>
          </cell>
          <cell r="R217">
            <v>2426.736288545897</v>
          </cell>
          <cell r="S217">
            <v>21290.059321411783</v>
          </cell>
        </row>
        <row r="218"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G219">
            <v>69467.296801843273</v>
          </cell>
          <cell r="H219">
            <v>80897.652794912603</v>
          </cell>
          <cell r="I219">
            <v>0</v>
          </cell>
          <cell r="J219">
            <v>0</v>
          </cell>
          <cell r="K219">
            <v>79126.477364126476</v>
          </cell>
          <cell r="L219">
            <v>81750.201929764924</v>
          </cell>
          <cell r="M219">
            <v>65541.090457267361</v>
          </cell>
          <cell r="N219">
            <v>89500.86217468312</v>
          </cell>
          <cell r="O219">
            <v>43336.27002391791</v>
          </cell>
          <cell r="P219">
            <v>82959.689367957937</v>
          </cell>
          <cell r="Q219">
            <v>67557.473248094801</v>
          </cell>
          <cell r="R219">
            <v>73976.541612724832</v>
          </cell>
          <cell r="S219">
            <v>734113.55577529315</v>
          </cell>
        </row>
        <row r="220"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-592.932485993829</v>
          </cell>
          <cell r="L220">
            <v>-8.7428033190736869</v>
          </cell>
          <cell r="M220">
            <v>-1695.3717569912092</v>
          </cell>
          <cell r="N220">
            <v>384.18389637256519</v>
          </cell>
          <cell r="O220">
            <v>-2414.9985534585248</v>
          </cell>
          <cell r="P220">
            <v>-233.83654404133563</v>
          </cell>
          <cell r="Q220">
            <v>-1930.9569915387287</v>
          </cell>
          <cell r="R220">
            <v>-1184.6595687715833</v>
          </cell>
          <cell r="S220">
            <v>-7677.3148077417191</v>
          </cell>
        </row>
        <row r="221"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-448.98562343026629</v>
          </cell>
          <cell r="L223">
            <v>-6.2450476118036704</v>
          </cell>
          <cell r="M223">
            <v>-1243.3964167374736</v>
          </cell>
          <cell r="N223">
            <v>209.35322264679647</v>
          </cell>
          <cell r="O223">
            <v>-1418.9328850240254</v>
          </cell>
          <cell r="P223">
            <v>-154.18258504004609</v>
          </cell>
          <cell r="Q223">
            <v>-1112.7098119916793</v>
          </cell>
          <cell r="R223">
            <v>-639.22680690170569</v>
          </cell>
          <cell r="S223">
            <v>-4814.3259540902036</v>
          </cell>
        </row>
        <row r="224">
          <cell r="G224">
            <v>69467.296801843273</v>
          </cell>
          <cell r="H224">
            <v>80897.652794912603</v>
          </cell>
          <cell r="I224">
            <v>0</v>
          </cell>
          <cell r="J224">
            <v>0</v>
          </cell>
          <cell r="K224">
            <v>78084.55925470237</v>
          </cell>
          <cell r="L224">
            <v>81735.214078834033</v>
          </cell>
          <cell r="M224">
            <v>62602.322283538677</v>
          </cell>
          <cell r="N224">
            <v>90094.399293702474</v>
          </cell>
          <cell r="O224">
            <v>39502.338585435355</v>
          </cell>
          <cell r="P224">
            <v>82571.670238876555</v>
          </cell>
          <cell r="Q224">
            <v>64513.806444564398</v>
          </cell>
          <cell r="R224">
            <v>72152.655237051542</v>
          </cell>
          <cell r="S224">
            <v>721621.91501346126</v>
          </cell>
        </row>
        <row r="225">
          <cell r="G225">
            <v>69467.296801843273</v>
          </cell>
          <cell r="H225">
            <v>80897.652794912603</v>
          </cell>
          <cell r="I225">
            <v>0</v>
          </cell>
          <cell r="J225">
            <v>0</v>
          </cell>
          <cell r="K225">
            <v>81561.157745832155</v>
          </cell>
          <cell r="L225">
            <v>86663.48873926104</v>
          </cell>
          <cell r="M225">
            <v>62956.434990490219</v>
          </cell>
          <cell r="N225">
            <v>95999.073132580088</v>
          </cell>
          <cell r="O225">
            <v>38451.212661931495</v>
          </cell>
          <cell r="P225">
            <v>86985.298184657557</v>
          </cell>
          <cell r="Q225">
            <v>65350.967757767205</v>
          </cell>
          <cell r="R225">
            <v>74579.391525597443</v>
          </cell>
          <cell r="S225">
            <v>742911.97433487303</v>
          </cell>
        </row>
        <row r="226"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31874.602859972278</v>
          </cell>
          <cell r="L226">
            <v>34953.915946360343</v>
          </cell>
          <cell r="M226">
            <v>25251.148166260857</v>
          </cell>
          <cell r="N226">
            <v>37025.065718831283</v>
          </cell>
          <cell r="O226">
            <v>22270.338950143312</v>
          </cell>
          <cell r="P226">
            <v>33862.241097111211</v>
          </cell>
          <cell r="Q226">
            <v>26275.796724975658</v>
          </cell>
          <cell r="R226">
            <v>26729.449308185802</v>
          </cell>
          <cell r="S226">
            <v>238242.55877184076</v>
          </cell>
        </row>
        <row r="227"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G228">
            <v>516.15064260118368</v>
          </cell>
          <cell r="H228">
            <v>1966.9146495318241</v>
          </cell>
          <cell r="I228">
            <v>0</v>
          </cell>
          <cell r="J228">
            <v>0</v>
          </cell>
          <cell r="K228">
            <v>14038.290587865284</v>
          </cell>
          <cell r="L228">
            <v>11953.438508553207</v>
          </cell>
          <cell r="M228">
            <v>10958.055161755979</v>
          </cell>
          <cell r="N228">
            <v>12695.661127419138</v>
          </cell>
          <cell r="O228">
            <v>7725.0259770626762</v>
          </cell>
          <cell r="P228">
            <v>14424.343264504747</v>
          </cell>
          <cell r="Q228">
            <v>13103.723928943857</v>
          </cell>
          <cell r="R228">
            <v>12833.793930665566</v>
          </cell>
          <cell r="S228">
            <v>100215.39777890345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2497.8876776928164</v>
          </cell>
          <cell r="L231">
            <v>2376.2345838677425</v>
          </cell>
          <cell r="M231">
            <v>1537.5453938839778</v>
          </cell>
          <cell r="N231">
            <v>2867.4855540214294</v>
          </cell>
          <cell r="O231">
            <v>2185.7701384167094</v>
          </cell>
          <cell r="P231">
            <v>3323.4822144211885</v>
          </cell>
          <cell r="Q231">
            <v>2578.8943748514321</v>
          </cell>
          <cell r="R231">
            <v>2909.8294340362695</v>
          </cell>
          <cell r="S231">
            <v>20277.129371191564</v>
          </cell>
        </row>
        <row r="232"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2644.6813344388443</v>
          </cell>
          <cell r="L232">
            <v>2739.0554324443119</v>
          </cell>
          <cell r="M232">
            <v>1862.3322990430868</v>
          </cell>
          <cell r="N232">
            <v>2218.6829857417761</v>
          </cell>
          <cell r="O232">
            <v>1437.1792069159151</v>
          </cell>
          <cell r="P232">
            <v>2653.5097118764852</v>
          </cell>
          <cell r="Q232">
            <v>1937.9025698877276</v>
          </cell>
          <cell r="R232">
            <v>2049.9213223200641</v>
          </cell>
          <cell r="S232">
            <v>17543.264862668209</v>
          </cell>
        </row>
        <row r="233">
          <cell r="G233">
            <v>516.15064260118368</v>
          </cell>
          <cell r="H233">
            <v>1966.9146495318241</v>
          </cell>
          <cell r="I233">
            <v>0</v>
          </cell>
          <cell r="J233">
            <v>0</v>
          </cell>
          <cell r="K233">
            <v>19180.859599996944</v>
          </cell>
          <cell r="L233">
            <v>17068.728524865262</v>
          </cell>
          <cell r="M233">
            <v>14357.932854683044</v>
          </cell>
          <cell r="N233">
            <v>17781.829667182345</v>
          </cell>
          <cell r="O233">
            <v>11347.975322395299</v>
          </cell>
          <cell r="P233">
            <v>20401.335190802423</v>
          </cell>
          <cell r="Q233">
            <v>17620.520873683017</v>
          </cell>
          <cell r="R233">
            <v>17793.544687021902</v>
          </cell>
          <cell r="S233">
            <v>138035.79201276324</v>
          </cell>
        </row>
        <row r="234">
          <cell r="G234">
            <v>516.15064260118368</v>
          </cell>
          <cell r="H234">
            <v>1966.9146495318241</v>
          </cell>
          <cell r="I234">
            <v>0</v>
          </cell>
          <cell r="J234">
            <v>0</v>
          </cell>
          <cell r="K234">
            <v>51055.462459969218</v>
          </cell>
          <cell r="L234">
            <v>52022.644471225605</v>
          </cell>
          <cell r="M234">
            <v>39609.081020943901</v>
          </cell>
          <cell r="N234">
            <v>54806.895386013624</v>
          </cell>
          <cell r="O234">
            <v>33618.314272538613</v>
          </cell>
          <cell r="P234">
            <v>54263.576287913631</v>
          </cell>
          <cell r="Q234">
            <v>43896.317598658672</v>
          </cell>
          <cell r="R234">
            <v>44522.993995207704</v>
          </cell>
          <cell r="S234">
            <v>376278.35078460397</v>
          </cell>
        </row>
        <row r="235"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36377.323274198658</v>
          </cell>
          <cell r="L235">
            <v>46055.164402846727</v>
          </cell>
          <cell r="M235">
            <v>15560.751379676982</v>
          </cell>
          <cell r="N235">
            <v>52564.492259184015</v>
          </cell>
          <cell r="O235">
            <v>6192.4938433075622</v>
          </cell>
          <cell r="P235">
            <v>42624.186305206618</v>
          </cell>
          <cell r="Q235">
            <v>18781.075421351954</v>
          </cell>
          <cell r="R235">
            <v>29378.241923639333</v>
          </cell>
          <cell r="S235">
            <v>247533.72880941187</v>
          </cell>
        </row>
        <row r="236">
          <cell r="G236">
            <v>0</v>
          </cell>
          <cell r="H236">
            <v>0</v>
          </cell>
          <cell r="I236">
            <v>-92380.352555555553</v>
          </cell>
          <cell r="J236">
            <v>-95073.312555555545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-187453.6651111111</v>
          </cell>
          <cell r="T236"/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71728.524625300721</v>
          </cell>
          <cell r="L237">
            <v>85937.355009634077</v>
          </cell>
          <cell r="M237">
            <v>41166.012252889384</v>
          </cell>
          <cell r="N237">
            <v>95494.231816892905</v>
          </cell>
          <cell r="O237">
            <v>27411.706869947015</v>
          </cell>
          <cell r="P237">
            <v>80900.055348098831</v>
          </cell>
          <cell r="Q237">
            <v>45894.033459530416</v>
          </cell>
          <cell r="R237">
            <v>58534.427520371028</v>
          </cell>
          <cell r="S237">
            <v>507066.3469026644</v>
          </cell>
        </row>
        <row r="238"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39">
          <cell r="G239">
            <v>69983.44744444445</v>
          </cell>
          <cell r="H239">
            <v>82864.56744444443</v>
          </cell>
          <cell r="I239">
            <v>0</v>
          </cell>
          <cell r="J239">
            <v>0</v>
          </cell>
          <cell r="K239">
            <v>93164.767951991758</v>
          </cell>
          <cell r="L239">
            <v>93703.640438318136</v>
          </cell>
          <cell r="M239">
            <v>76499.145619023344</v>
          </cell>
          <cell r="N239">
            <v>102196.52330210226</v>
          </cell>
          <cell r="O239">
            <v>51061.296000980583</v>
          </cell>
          <cell r="P239">
            <v>97384.03263246268</v>
          </cell>
          <cell r="Q239">
            <v>80661.197177038659</v>
          </cell>
          <cell r="R239">
            <v>86810.335543390393</v>
          </cell>
          <cell r="S239">
            <v>834328.95355419663</v>
          </cell>
          <cell r="T239">
            <v>0.97053623405570744</v>
          </cell>
        </row>
        <row r="240"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-592.932485993829</v>
          </cell>
          <cell r="L240">
            <v>-8.7428033190736869</v>
          </cell>
          <cell r="M240">
            <v>-1695.3717569912092</v>
          </cell>
          <cell r="N240">
            <v>384.18389637256519</v>
          </cell>
          <cell r="O240">
            <v>-2414.9985534585248</v>
          </cell>
          <cell r="P240">
            <v>-233.83654404133563</v>
          </cell>
          <cell r="Q240">
            <v>-1930.9569915387287</v>
          </cell>
          <cell r="R240">
            <v>-1184.6595687715833</v>
          </cell>
          <cell r="S240">
            <v>-7677.3148077417191</v>
          </cell>
          <cell r="T240">
            <v>-8.9306647808690166E-3</v>
          </cell>
        </row>
        <row r="241"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/>
        </row>
        <row r="242"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2497.8876776928164</v>
          </cell>
          <cell r="L242">
            <v>2376.2345838677425</v>
          </cell>
          <cell r="M242">
            <v>1537.5453938839778</v>
          </cell>
          <cell r="N242">
            <v>2867.4855540214294</v>
          </cell>
          <cell r="O242">
            <v>2185.7701384167094</v>
          </cell>
          <cell r="P242">
            <v>3323.4822144211885</v>
          </cell>
          <cell r="Q242">
            <v>2578.8943748514321</v>
          </cell>
          <cell r="R242">
            <v>2909.8294340362695</v>
          </cell>
          <cell r="S242">
            <v>20277.129371191564</v>
          </cell>
          <cell r="T242">
            <v>2.3587445567533304E-2</v>
          </cell>
        </row>
        <row r="243"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2195.6957110085777</v>
          </cell>
          <cell r="L243">
            <v>2732.8103848325081</v>
          </cell>
          <cell r="M243">
            <v>618.93588230561318</v>
          </cell>
          <cell r="N243">
            <v>2428.0362083885725</v>
          </cell>
          <cell r="O243">
            <v>18.246321891889693</v>
          </cell>
          <cell r="P243">
            <v>2499.3271268364392</v>
          </cell>
          <cell r="Q243">
            <v>825.19275789604831</v>
          </cell>
          <cell r="R243">
            <v>1410.6945154183584</v>
          </cell>
          <cell r="S243">
            <v>12728.938908578004</v>
          </cell>
          <cell r="T243">
            <v>1.4806985157628206E-2</v>
          </cell>
        </row>
        <row r="244">
          <cell r="G244">
            <v>69983.44744444445</v>
          </cell>
          <cell r="H244">
            <v>82864.56744444443</v>
          </cell>
          <cell r="I244">
            <v>0</v>
          </cell>
          <cell r="J244">
            <v>0</v>
          </cell>
          <cell r="K244">
            <v>97265.418854699325</v>
          </cell>
          <cell r="L244">
            <v>98803.94260369931</v>
          </cell>
          <cell r="M244">
            <v>76960.255138221721</v>
          </cell>
          <cell r="N244">
            <v>107876.22896088482</v>
          </cell>
          <cell r="O244">
            <v>50850.313907830656</v>
          </cell>
          <cell r="P244">
            <v>102973.00542967897</v>
          </cell>
          <cell r="Q244">
            <v>82134.327318247408</v>
          </cell>
          <cell r="R244">
            <v>89946.199924073429</v>
          </cell>
          <cell r="S244">
            <v>859657.70702622458</v>
          </cell>
        </row>
        <row r="245">
          <cell r="G245">
            <v>0</v>
          </cell>
          <cell r="H245">
            <v>0</v>
          </cell>
          <cell r="I245">
            <v>-92380.352555555553</v>
          </cell>
          <cell r="J245">
            <v>-95073.312555555545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-187453.6651111111</v>
          </cell>
          <cell r="T245"/>
        </row>
        <row r="246">
          <cell r="G246">
            <v>69983.44744444445</v>
          </cell>
          <cell r="H246">
            <v>82864.56744444443</v>
          </cell>
          <cell r="I246">
            <v>-92380.352555555553</v>
          </cell>
          <cell r="J246">
            <v>-95073.312555555545</v>
          </cell>
          <cell r="K246">
            <v>168993.94348000005</v>
          </cell>
          <cell r="L246">
            <v>184741.29761333339</v>
          </cell>
          <cell r="M246">
            <v>118126.26739111111</v>
          </cell>
          <cell r="N246">
            <v>203370.46077777771</v>
          </cell>
          <cell r="O246">
            <v>78262.020777777667</v>
          </cell>
          <cell r="P246">
            <v>183873.06077777781</v>
          </cell>
          <cell r="Q246">
            <v>128028.36077777782</v>
          </cell>
          <cell r="R246">
            <v>148480.62744444446</v>
          </cell>
          <cell r="S246">
            <v>1179270.3888177779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판매6"/>
      <sheetName val="판매4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  <cell r="AC6">
            <v>51000</v>
          </cell>
          <cell r="AD6">
            <v>56000</v>
          </cell>
          <cell r="AE6">
            <v>61000</v>
          </cell>
          <cell r="AF6">
            <v>64406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  <cell r="AC7">
            <v>96512.027814852743</v>
          </cell>
          <cell r="AD7">
            <v>109587.67105688711</v>
          </cell>
          <cell r="AE7">
            <v>122547.09678376424</v>
          </cell>
          <cell r="AF7">
            <v>135564.9663336949</v>
          </cell>
        </row>
        <row r="8">
          <cell r="G8">
            <v>15859.755340702824</v>
          </cell>
          <cell r="H8">
            <v>14773.154431177472</v>
          </cell>
          <cell r="I8">
            <v>16355.137027505783</v>
          </cell>
          <cell r="J8">
            <v>16863.361164706679</v>
          </cell>
          <cell r="K8">
            <v>16809.035882592707</v>
          </cell>
          <cell r="L8">
            <v>16640.559098179561</v>
          </cell>
          <cell r="M8">
            <v>17004.659668437012</v>
          </cell>
          <cell r="N8">
            <v>16885.30135375616</v>
          </cell>
          <cell r="O8">
            <v>16321.063847794539</v>
          </cell>
          <cell r="P8">
            <v>18075.64324203437</v>
          </cell>
          <cell r="Q8">
            <v>17959.425726877136</v>
          </cell>
          <cell r="R8">
            <v>16423.869549930656</v>
          </cell>
          <cell r="S8">
            <v>199970.9663336949</v>
          </cell>
          <cell r="U8"/>
          <cell r="V8">
            <v>30632.909771880295</v>
          </cell>
          <cell r="W8">
            <v>46988.04679938608</v>
          </cell>
          <cell r="X8">
            <v>63851.407964092759</v>
          </cell>
          <cell r="Y8">
            <v>80660.443846685463</v>
          </cell>
          <cell r="Z8">
            <v>97301.002944865031</v>
          </cell>
          <cell r="AA8">
            <v>114305.66261330203</v>
          </cell>
          <cell r="AB8">
            <v>131190.9639670582</v>
          </cell>
          <cell r="AC8">
            <v>147512.02781485274</v>
          </cell>
          <cell r="AD8">
            <v>165587.67105688711</v>
          </cell>
          <cell r="AE8">
            <v>183547.09678376425</v>
          </cell>
          <cell r="AF8">
            <v>199970.9663336949</v>
          </cell>
        </row>
        <row r="9">
          <cell r="G9">
            <v>15000</v>
          </cell>
          <cell r="H9">
            <v>15000</v>
          </cell>
          <cell r="I9">
            <v>16000</v>
          </cell>
          <cell r="J9">
            <v>15000</v>
          </cell>
          <cell r="K9">
            <v>15000</v>
          </cell>
          <cell r="L9">
            <v>15000</v>
          </cell>
          <cell r="M9">
            <v>15000</v>
          </cell>
          <cell r="N9">
            <v>15000</v>
          </cell>
          <cell r="O9">
            <v>15000</v>
          </cell>
          <cell r="P9">
            <v>14000</v>
          </cell>
          <cell r="Q9">
            <v>14000</v>
          </cell>
          <cell r="R9">
            <v>14000</v>
          </cell>
          <cell r="S9">
            <v>178000</v>
          </cell>
          <cell r="U9"/>
          <cell r="V9">
            <v>30000</v>
          </cell>
          <cell r="W9">
            <v>46000</v>
          </cell>
          <cell r="X9">
            <v>61000</v>
          </cell>
          <cell r="Y9">
            <v>76000</v>
          </cell>
          <cell r="Z9">
            <v>91000</v>
          </cell>
          <cell r="AA9">
            <v>106000</v>
          </cell>
          <cell r="AB9">
            <v>121000</v>
          </cell>
          <cell r="AC9">
            <v>136000</v>
          </cell>
          <cell r="AD9">
            <v>150000</v>
          </cell>
          <cell r="AE9">
            <v>164000</v>
          </cell>
          <cell r="AF9">
            <v>178000</v>
          </cell>
        </row>
        <row r="10">
          <cell r="G10">
            <v>8810.5446248949956</v>
          </cell>
          <cell r="H10">
            <v>7883.2289551615359</v>
          </cell>
          <cell r="I10">
            <v>9415.1908075191022</v>
          </cell>
          <cell r="J10">
            <v>9970.614085331119</v>
          </cell>
          <cell r="K10">
            <v>10001.05548943125</v>
          </cell>
          <cell r="L10">
            <v>10004.586446333693</v>
          </cell>
          <cell r="M10">
            <v>10794.850064192431</v>
          </cell>
          <cell r="N10">
            <v>10823.463365458369</v>
          </cell>
          <cell r="O10">
            <v>9795.2459202058471</v>
          </cell>
          <cell r="P10">
            <v>11490.084829884816</v>
          </cell>
          <cell r="Q10">
            <v>11530.90965901488</v>
          </cell>
          <cell r="R10">
            <v>11509.136509370845</v>
          </cell>
          <cell r="S10">
            <v>122028.9107567989</v>
          </cell>
          <cell r="U10"/>
          <cell r="V10">
            <v>16693.773580056532</v>
          </cell>
          <cell r="W10">
            <v>26108.964387575634</v>
          </cell>
          <cell r="X10">
            <v>36079.578472906753</v>
          </cell>
          <cell r="Y10">
            <v>46080.633962338004</v>
          </cell>
          <cell r="Z10">
            <v>56085.220408671696</v>
          </cell>
          <cell r="AA10">
            <v>66880.070472864129</v>
          </cell>
          <cell r="AB10">
            <v>77703.533838322503</v>
          </cell>
          <cell r="AC10">
            <v>87498.779758528355</v>
          </cell>
          <cell r="AD10">
            <v>98988.864588413169</v>
          </cell>
          <cell r="AE10">
            <v>110519.77424742805</v>
          </cell>
          <cell r="AF10">
            <v>122028.9107567989</v>
          </cell>
        </row>
        <row r="11">
          <cell r="G11">
            <v>23810.544624894996</v>
          </cell>
          <cell r="H11">
            <v>22883.228955161536</v>
          </cell>
          <cell r="I11">
            <v>25415.190807519102</v>
          </cell>
          <cell r="J11">
            <v>24970.614085331119</v>
          </cell>
          <cell r="K11">
            <v>25001.055489431252</v>
          </cell>
          <cell r="L11">
            <v>25004.586446333691</v>
          </cell>
          <cell r="M11">
            <v>25794.850064192433</v>
          </cell>
          <cell r="N11">
            <v>25823.463365458367</v>
          </cell>
          <cell r="O11">
            <v>24795.245920205845</v>
          </cell>
          <cell r="P11">
            <v>25490.084829884814</v>
          </cell>
          <cell r="Q11">
            <v>25530.90965901488</v>
          </cell>
          <cell r="R11">
            <v>25509.136509370845</v>
          </cell>
          <cell r="S11">
            <v>300028.91075679893</v>
          </cell>
          <cell r="U11"/>
          <cell r="V11">
            <v>46693.773580056528</v>
          </cell>
          <cell r="W11">
            <v>72108.96438757563</v>
          </cell>
          <cell r="X11">
            <v>97079.578472906753</v>
          </cell>
          <cell r="Y11">
            <v>122080.633962338</v>
          </cell>
          <cell r="Z11">
            <v>147085.22040867171</v>
          </cell>
          <cell r="AA11">
            <v>172880.07047286414</v>
          </cell>
          <cell r="AB11">
            <v>198703.5338383225</v>
          </cell>
          <cell r="AC11">
            <v>223498.77975852834</v>
          </cell>
          <cell r="AD11">
            <v>248988.86458841315</v>
          </cell>
          <cell r="AE11">
            <v>274519.77424742805</v>
          </cell>
          <cell r="AF11">
            <v>300028.91075679893</v>
          </cell>
        </row>
        <row r="12">
          <cell r="G12">
            <v>21000</v>
          </cell>
          <cell r="H12">
            <v>21000</v>
          </cell>
          <cell r="I12">
            <v>22000</v>
          </cell>
          <cell r="J12">
            <v>21000</v>
          </cell>
          <cell r="K12">
            <v>21000</v>
          </cell>
          <cell r="L12">
            <v>21000</v>
          </cell>
          <cell r="M12">
            <v>20000</v>
          </cell>
          <cell r="N12">
            <v>20000</v>
          </cell>
          <cell r="O12">
            <v>20000</v>
          </cell>
          <cell r="P12">
            <v>19000</v>
          </cell>
          <cell r="Q12">
            <v>19000</v>
          </cell>
          <cell r="R12">
            <v>17406</v>
          </cell>
          <cell r="S12">
            <v>242406</v>
          </cell>
          <cell r="V12">
            <v>42000</v>
          </cell>
          <cell r="W12">
            <v>64000</v>
          </cell>
          <cell r="X12">
            <v>85000</v>
          </cell>
          <cell r="Y12">
            <v>106000</v>
          </cell>
          <cell r="Z12">
            <v>127000</v>
          </cell>
          <cell r="AA12">
            <v>147000</v>
          </cell>
          <cell r="AB12">
            <v>167000</v>
          </cell>
          <cell r="AC12">
            <v>187000</v>
          </cell>
          <cell r="AD12">
            <v>206000</v>
          </cell>
          <cell r="AE12">
            <v>225000</v>
          </cell>
          <cell r="AF12">
            <v>242406</v>
          </cell>
        </row>
        <row r="13">
          <cell r="G13">
            <v>18670.29996559782</v>
          </cell>
          <cell r="H13">
            <v>16656.38338633901</v>
          </cell>
          <cell r="I13">
            <v>19770.327835024887</v>
          </cell>
          <cell r="J13">
            <v>20833.975250037798</v>
          </cell>
          <cell r="K13">
            <v>20810.091372023955</v>
          </cell>
          <cell r="L13">
            <v>20645.145544513252</v>
          </cell>
          <cell r="M13">
            <v>22799.509732629442</v>
          </cell>
          <cell r="N13">
            <v>22708.76471921453</v>
          </cell>
          <cell r="O13">
            <v>21116.309768000385</v>
          </cell>
          <cell r="P13">
            <v>24565.728071919184</v>
          </cell>
          <cell r="Q13">
            <v>24490.335385892016</v>
          </cell>
          <cell r="R13">
            <v>24527.0060593015</v>
          </cell>
          <cell r="S13">
            <v>257593.87709049374</v>
          </cell>
          <cell r="V13">
            <v>35326.683351936823</v>
          </cell>
          <cell r="W13">
            <v>55097.01118696171</v>
          </cell>
          <cell r="X13">
            <v>75930.986436999519</v>
          </cell>
          <cell r="Y13">
            <v>96741.077809023467</v>
          </cell>
          <cell r="Z13">
            <v>117386.22335353671</v>
          </cell>
          <cell r="AA13">
            <v>140185.73308616615</v>
          </cell>
          <cell r="AB13">
            <v>162894.4978053807</v>
          </cell>
          <cell r="AC13">
            <v>184010.80757338111</v>
          </cell>
          <cell r="AD13">
            <v>208576.53564530029</v>
          </cell>
          <cell r="AE13">
            <v>233066.87103119231</v>
          </cell>
          <cell r="AF13">
            <v>257593.8770904938</v>
          </cell>
        </row>
        <row r="14">
          <cell r="G14">
            <v>39670.29996559782</v>
          </cell>
          <cell r="H14">
            <v>37656.38338633901</v>
          </cell>
          <cell r="I14">
            <v>41770.327835024887</v>
          </cell>
          <cell r="J14">
            <v>41833.975250037794</v>
          </cell>
          <cell r="K14">
            <v>41810.091372023955</v>
          </cell>
          <cell r="L14">
            <v>41645.145544513252</v>
          </cell>
          <cell r="M14">
            <v>42799.509732629442</v>
          </cell>
          <cell r="N14">
            <v>42708.76471921453</v>
          </cell>
          <cell r="O14">
            <v>41116.309768000385</v>
          </cell>
          <cell r="P14">
            <v>43565.728071919184</v>
          </cell>
          <cell r="Q14">
            <v>43490.335385892016</v>
          </cell>
          <cell r="R14">
            <v>41933.0060593015</v>
          </cell>
          <cell r="S14">
            <v>499999.87709049374</v>
          </cell>
          <cell r="V14">
            <v>77326.683351936823</v>
          </cell>
          <cell r="W14">
            <v>119097.01118696171</v>
          </cell>
          <cell r="X14">
            <v>160930.98643699952</v>
          </cell>
          <cell r="Y14">
            <v>202741.07780902347</v>
          </cell>
          <cell r="Z14">
            <v>244386.22335353671</v>
          </cell>
          <cell r="AA14">
            <v>287185.73308616615</v>
          </cell>
          <cell r="AB14">
            <v>329894.49780538073</v>
          </cell>
          <cell r="AC14">
            <v>371010.80757338111</v>
          </cell>
          <cell r="AD14">
            <v>414576.53564530029</v>
          </cell>
          <cell r="AE14">
            <v>458066.87103119231</v>
          </cell>
          <cell r="AF14">
            <v>499999.8770904938</v>
          </cell>
        </row>
        <row r="15">
          <cell r="G15">
            <v>72000</v>
          </cell>
          <cell r="H15">
            <v>72000</v>
          </cell>
          <cell r="I15">
            <v>72000</v>
          </cell>
          <cell r="J15">
            <v>72000</v>
          </cell>
          <cell r="K15">
            <v>72000</v>
          </cell>
          <cell r="L15">
            <v>72000</v>
          </cell>
          <cell r="M15">
            <v>60000</v>
          </cell>
          <cell r="N15">
            <v>60000</v>
          </cell>
          <cell r="O15">
            <v>60000</v>
          </cell>
          <cell r="P15">
            <v>60000</v>
          </cell>
          <cell r="Q15">
            <v>60000</v>
          </cell>
          <cell r="R15">
            <v>40872</v>
          </cell>
          <cell r="S15">
            <v>772872</v>
          </cell>
          <cell r="U15"/>
          <cell r="V15">
            <v>144000</v>
          </cell>
          <cell r="W15">
            <v>216000</v>
          </cell>
          <cell r="X15">
            <v>288000</v>
          </cell>
          <cell r="Y15">
            <v>360000</v>
          </cell>
          <cell r="Z15">
            <v>432000</v>
          </cell>
          <cell r="AA15">
            <v>492000</v>
          </cell>
          <cell r="AB15">
            <v>552000</v>
          </cell>
          <cell r="AC15">
            <v>612000</v>
          </cell>
          <cell r="AD15">
            <v>672000</v>
          </cell>
          <cell r="AE15">
            <v>732000</v>
          </cell>
          <cell r="AF15">
            <v>772872</v>
          </cell>
        </row>
        <row r="16">
          <cell r="G16">
            <v>157756.08545124519</v>
          </cell>
          <cell r="H16">
            <v>140370.47089883956</v>
          </cell>
          <cell r="I16">
            <v>165682.19244009253</v>
          </cell>
          <cell r="J16">
            <v>173813.77863530687</v>
          </cell>
          <cell r="K16">
            <v>172944.57412148331</v>
          </cell>
          <cell r="L16">
            <v>170248.94557087295</v>
          </cell>
          <cell r="M16">
            <v>192074.5546949922</v>
          </cell>
          <cell r="N16">
            <v>190164.82166009856</v>
          </cell>
          <cell r="O16">
            <v>181137.02156471263</v>
          </cell>
          <cell r="P16">
            <v>209210.29187254989</v>
          </cell>
          <cell r="Q16">
            <v>207350.81163003418</v>
          </cell>
          <cell r="R16">
            <v>208285.91279889052</v>
          </cell>
          <cell r="S16">
            <v>2169039.4613391184</v>
          </cell>
          <cell r="U16"/>
          <cell r="V16">
            <v>298126.55635008472</v>
          </cell>
          <cell r="W16">
            <v>463808.74879017728</v>
          </cell>
          <cell r="X16">
            <v>637622.52742548415</v>
          </cell>
          <cell r="Y16">
            <v>810567.1015469674</v>
          </cell>
          <cell r="Z16">
            <v>980816.04711784038</v>
          </cell>
          <cell r="AA16">
            <v>1172890.6018128325</v>
          </cell>
          <cell r="AB16">
            <v>1363055.4234729311</v>
          </cell>
          <cell r="AC16">
            <v>1544192.4450376439</v>
          </cell>
          <cell r="AD16">
            <v>1753402.7369101937</v>
          </cell>
          <cell r="AE16">
            <v>1960753.5485402278</v>
          </cell>
          <cell r="AF16">
            <v>2169039.4613391184</v>
          </cell>
        </row>
        <row r="17">
          <cell r="G17">
            <v>229756.08545124519</v>
          </cell>
          <cell r="H17">
            <v>212370.47089883956</v>
          </cell>
          <cell r="I17">
            <v>237682.19244009253</v>
          </cell>
          <cell r="J17">
            <v>245813.77863530687</v>
          </cell>
          <cell r="K17">
            <v>244944.57412148331</v>
          </cell>
          <cell r="L17">
            <v>242248.94557087295</v>
          </cell>
          <cell r="M17">
            <v>252074.5546949922</v>
          </cell>
          <cell r="N17">
            <v>250164.82166009856</v>
          </cell>
          <cell r="O17">
            <v>241137.02156471263</v>
          </cell>
          <cell r="P17">
            <v>269210.29187254992</v>
          </cell>
          <cell r="Q17">
            <v>267350.81163003418</v>
          </cell>
          <cell r="R17">
            <v>249157.91279889052</v>
          </cell>
          <cell r="S17">
            <v>2941911.4613391184</v>
          </cell>
          <cell r="U17"/>
          <cell r="V17">
            <v>442126.55635008472</v>
          </cell>
          <cell r="W17">
            <v>679808.74879017728</v>
          </cell>
          <cell r="X17">
            <v>925622.52742548415</v>
          </cell>
          <cell r="Y17">
            <v>1170567.1015469674</v>
          </cell>
          <cell r="Z17">
            <v>1412816.0471178405</v>
          </cell>
          <cell r="AA17">
            <v>1664890.6018128325</v>
          </cell>
          <cell r="AB17">
            <v>1915055.4234729311</v>
          </cell>
          <cell r="AC17">
            <v>2156192.4450376439</v>
          </cell>
          <cell r="AD17">
            <v>2425402.7369101937</v>
          </cell>
          <cell r="AE17">
            <v>2692753.548540228</v>
          </cell>
          <cell r="AF17">
            <v>2941911.4613391184</v>
          </cell>
        </row>
        <row r="18">
          <cell r="G18">
            <v>285000</v>
          </cell>
          <cell r="H18">
            <v>285000</v>
          </cell>
          <cell r="I18">
            <v>304000</v>
          </cell>
          <cell r="J18">
            <v>285000</v>
          </cell>
          <cell r="K18">
            <v>285000</v>
          </cell>
          <cell r="L18">
            <v>285000</v>
          </cell>
          <cell r="M18">
            <v>285000</v>
          </cell>
          <cell r="N18">
            <v>285000</v>
          </cell>
          <cell r="O18">
            <v>285000</v>
          </cell>
          <cell r="P18">
            <v>266000</v>
          </cell>
          <cell r="Q18">
            <v>266000</v>
          </cell>
          <cell r="R18">
            <v>266000</v>
          </cell>
          <cell r="S18">
            <v>3382000</v>
          </cell>
          <cell r="U18"/>
          <cell r="V18">
            <v>570000</v>
          </cell>
          <cell r="W18">
            <v>874000</v>
          </cell>
          <cell r="X18">
            <v>1159000</v>
          </cell>
          <cell r="Y18">
            <v>1444000</v>
          </cell>
          <cell r="Z18">
            <v>1729000</v>
          </cell>
          <cell r="AA18">
            <v>2014000</v>
          </cell>
          <cell r="AB18">
            <v>2299000</v>
          </cell>
          <cell r="AC18">
            <v>2584000</v>
          </cell>
          <cell r="AD18">
            <v>2850000</v>
          </cell>
          <cell r="AE18">
            <v>3116000</v>
          </cell>
          <cell r="AF18">
            <v>3382000</v>
          </cell>
        </row>
        <row r="19">
          <cell r="G19">
            <v>194650.76637258488</v>
          </cell>
          <cell r="H19">
            <v>174106.42596871531</v>
          </cell>
          <cell r="I19">
            <v>207773.74986326191</v>
          </cell>
          <cell r="J19">
            <v>219823.22073680931</v>
          </cell>
          <cell r="K19">
            <v>220533.43754724131</v>
          </cell>
          <cell r="L19">
            <v>220892.58503986849</v>
          </cell>
          <cell r="M19">
            <v>238682.01599255495</v>
          </cell>
          <cell r="N19">
            <v>239338.10901844571</v>
          </cell>
          <cell r="O19">
            <v>218302.08842279902</v>
          </cell>
          <cell r="P19">
            <v>254805.26721638301</v>
          </cell>
          <cell r="Q19">
            <v>255744.23828637449</v>
          </cell>
          <cell r="R19">
            <v>255219.301005852</v>
          </cell>
          <cell r="S19">
            <v>2699871.2054708907</v>
          </cell>
          <cell r="U19"/>
          <cell r="V19">
            <v>368757.19234130019</v>
          </cell>
          <cell r="W19">
            <v>576530.94220456213</v>
          </cell>
          <cell r="X19">
            <v>796354.16294137144</v>
          </cell>
          <cell r="Y19">
            <v>1016887.6004886128</v>
          </cell>
          <cell r="Z19">
            <v>1237780.1855284814</v>
          </cell>
          <cell r="AA19">
            <v>1476462.2015210362</v>
          </cell>
          <cell r="AB19">
            <v>1715800.3105394819</v>
          </cell>
          <cell r="AC19">
            <v>1934102.3989622809</v>
          </cell>
          <cell r="AD19">
            <v>2188907.6661786642</v>
          </cell>
          <cell r="AE19">
            <v>2444651.9044650388</v>
          </cell>
          <cell r="AF19">
            <v>2699871.2054708907</v>
          </cell>
        </row>
        <row r="20">
          <cell r="G20">
            <v>479650.76637258485</v>
          </cell>
          <cell r="H20">
            <v>459106.42596871534</v>
          </cell>
          <cell r="I20">
            <v>511773.74986326194</v>
          </cell>
          <cell r="J20">
            <v>504823.22073680931</v>
          </cell>
          <cell r="K20">
            <v>505533.43754724134</v>
          </cell>
          <cell r="L20">
            <v>505892.58503986849</v>
          </cell>
          <cell r="M20">
            <v>523682.01599255495</v>
          </cell>
          <cell r="N20">
            <v>524338.10901844571</v>
          </cell>
          <cell r="O20">
            <v>503302.08842279902</v>
          </cell>
          <cell r="P20">
            <v>520805.26721638301</v>
          </cell>
          <cell r="Q20">
            <v>521744.23828637449</v>
          </cell>
          <cell r="R20">
            <v>521219.301005852</v>
          </cell>
          <cell r="S20">
            <v>6081871.2054708889</v>
          </cell>
          <cell r="V20">
            <v>938757.19234130019</v>
          </cell>
          <cell r="W20">
            <v>1450530.942204562</v>
          </cell>
          <cell r="X20">
            <v>1955354.1629413716</v>
          </cell>
          <cell r="Y20">
            <v>2460887.6004886129</v>
          </cell>
          <cell r="Z20">
            <v>2966780.1855284814</v>
          </cell>
          <cell r="AA20">
            <v>3490462.2015210362</v>
          </cell>
          <cell r="AB20">
            <v>4014800.3105394822</v>
          </cell>
          <cell r="AC20">
            <v>4518102.3989622807</v>
          </cell>
          <cell r="AD20">
            <v>5038907.6661786642</v>
          </cell>
          <cell r="AE20">
            <v>5560651.9044650383</v>
          </cell>
          <cell r="AF20">
            <v>6081871.2054708907</v>
          </cell>
        </row>
        <row r="21">
          <cell r="G21">
            <v>357000</v>
          </cell>
          <cell r="H21">
            <v>357000</v>
          </cell>
          <cell r="I21">
            <v>376000</v>
          </cell>
          <cell r="J21">
            <v>357000</v>
          </cell>
          <cell r="K21">
            <v>357000</v>
          </cell>
          <cell r="L21">
            <v>357000</v>
          </cell>
          <cell r="M21">
            <v>345000</v>
          </cell>
          <cell r="N21">
            <v>345000</v>
          </cell>
          <cell r="O21">
            <v>345000</v>
          </cell>
          <cell r="P21">
            <v>326000</v>
          </cell>
          <cell r="Q21">
            <v>326000</v>
          </cell>
          <cell r="R21">
            <v>306872</v>
          </cell>
          <cell r="S21">
            <v>4154872</v>
          </cell>
          <cell r="V21">
            <v>714000</v>
          </cell>
          <cell r="W21">
            <v>1090000</v>
          </cell>
          <cell r="X21">
            <v>1447000</v>
          </cell>
          <cell r="Y21">
            <v>1804000</v>
          </cell>
          <cell r="Z21">
            <v>2161000</v>
          </cell>
          <cell r="AA21">
            <v>2506000</v>
          </cell>
          <cell r="AB21">
            <v>2851000</v>
          </cell>
          <cell r="AC21">
            <v>3196000</v>
          </cell>
          <cell r="AD21">
            <v>3522000</v>
          </cell>
          <cell r="AE21">
            <v>3848000</v>
          </cell>
          <cell r="AF21">
            <v>4154872</v>
          </cell>
        </row>
        <row r="22">
          <cell r="G22">
            <v>352406.85182383005</v>
          </cell>
          <cell r="H22">
            <v>314476.89686755487</v>
          </cell>
          <cell r="I22">
            <v>373455.94230335444</v>
          </cell>
          <cell r="J22">
            <v>393636.99937211617</v>
          </cell>
          <cell r="K22">
            <v>393478.01166872459</v>
          </cell>
          <cell r="L22">
            <v>391141.53061074147</v>
          </cell>
          <cell r="M22">
            <v>430756.57068754715</v>
          </cell>
          <cell r="N22">
            <v>429502.93067854427</v>
          </cell>
          <cell r="O22">
            <v>399439.10998751165</v>
          </cell>
          <cell r="P22">
            <v>464015.55908893293</v>
          </cell>
          <cell r="Q22">
            <v>463095.04991640867</v>
          </cell>
          <cell r="R22">
            <v>463505.21380474255</v>
          </cell>
          <cell r="S22">
            <v>4868910.6668100087</v>
          </cell>
          <cell r="V22">
            <v>666883.74869138491</v>
          </cell>
          <cell r="W22">
            <v>1040339.6909947394</v>
          </cell>
          <cell r="X22">
            <v>1433976.6903668556</v>
          </cell>
          <cell r="Y22">
            <v>1827454.7020355803</v>
          </cell>
          <cell r="Z22">
            <v>2218596.2326463219</v>
          </cell>
          <cell r="AA22">
            <v>2649352.8033338687</v>
          </cell>
          <cell r="AB22">
            <v>3078855.7340124128</v>
          </cell>
          <cell r="AC22">
            <v>3478294.8439999251</v>
          </cell>
          <cell r="AD22">
            <v>3942310.4030888579</v>
          </cell>
          <cell r="AE22">
            <v>4405405.4530052664</v>
          </cell>
          <cell r="AF22">
            <v>4868910.6668100096</v>
          </cell>
        </row>
        <row r="23">
          <cell r="G23">
            <v>709406.85182383005</v>
          </cell>
          <cell r="H23">
            <v>671476.89686755487</v>
          </cell>
          <cell r="I23">
            <v>749455.94230335439</v>
          </cell>
          <cell r="J23">
            <v>750636.99937211617</v>
          </cell>
          <cell r="K23">
            <v>750478.01166872459</v>
          </cell>
          <cell r="L23">
            <v>748141.53061074147</v>
          </cell>
          <cell r="M23">
            <v>775756.57068754709</v>
          </cell>
          <cell r="N23">
            <v>774502.93067854433</v>
          </cell>
          <cell r="O23">
            <v>744439.10998751165</v>
          </cell>
          <cell r="P23">
            <v>790015.55908893293</v>
          </cell>
          <cell r="Q23">
            <v>789095.04991640872</v>
          </cell>
          <cell r="R23">
            <v>770377.21380474255</v>
          </cell>
          <cell r="S23">
            <v>9023782.6668100096</v>
          </cell>
          <cell r="V23">
            <v>1380883.7486913849</v>
          </cell>
          <cell r="W23">
            <v>2130339.6909947395</v>
          </cell>
          <cell r="X23">
            <v>2880976.6903668558</v>
          </cell>
          <cell r="Y23">
            <v>3631454.7020355803</v>
          </cell>
          <cell r="Z23">
            <v>4379596.2326463219</v>
          </cell>
          <cell r="AA23">
            <v>5155352.8033338692</v>
          </cell>
          <cell r="AB23">
            <v>5929855.7340124128</v>
          </cell>
          <cell r="AC23">
            <v>6674294.8439999251</v>
          </cell>
          <cell r="AD23">
            <v>7464310.4030888584</v>
          </cell>
          <cell r="AE23">
            <v>8253405.4530052664</v>
          </cell>
          <cell r="AF23">
            <v>9023782.6668100096</v>
          </cell>
        </row>
        <row r="24">
          <cell r="G24">
            <v>104775.03124906031</v>
          </cell>
          <cell r="H24">
            <v>95295.473954837333</v>
          </cell>
          <cell r="I24">
            <v>91563.084306560297</v>
          </cell>
          <cell r="J24">
            <v>87000.224548306564</v>
          </cell>
          <cell r="K24">
            <v>97212.562428041681</v>
          </cell>
          <cell r="L24">
            <v>90703.546439333411</v>
          </cell>
          <cell r="M24">
            <v>77332.772298527168</v>
          </cell>
          <cell r="N24">
            <v>72936.519837368818</v>
          </cell>
          <cell r="O24">
            <v>79856.211814888607</v>
          </cell>
          <cell r="P24">
            <v>71421.792317589046</v>
          </cell>
          <cell r="Q24">
            <v>74452.947069168877</v>
          </cell>
          <cell r="R24">
            <v>48992.802610919891</v>
          </cell>
          <cell r="S24">
            <v>991542.96887460211</v>
          </cell>
          <cell r="U24"/>
          <cell r="V24">
            <v>200070.50520389766</v>
          </cell>
          <cell r="W24">
            <v>291633.58951045794</v>
          </cell>
          <cell r="X24">
            <v>378633.81405876449</v>
          </cell>
          <cell r="Y24">
            <v>475846.3764868062</v>
          </cell>
          <cell r="Z24">
            <v>566549.92292613955</v>
          </cell>
          <cell r="AA24">
            <v>643882.69522466674</v>
          </cell>
          <cell r="AB24">
            <v>716819.2150620356</v>
          </cell>
          <cell r="AC24">
            <v>796675.42687692423</v>
          </cell>
          <cell r="AD24">
            <v>868097.21919451328</v>
          </cell>
          <cell r="AE24">
            <v>942550.16626368219</v>
          </cell>
          <cell r="AF24">
            <v>991542.96887460211</v>
          </cell>
        </row>
        <row r="25">
          <cell r="G25">
            <v>172176.02898837128</v>
          </cell>
          <cell r="H25">
            <v>139340.31826633977</v>
          </cell>
          <cell r="I25">
            <v>158024.71410924935</v>
          </cell>
          <cell r="J25">
            <v>157519.14344647239</v>
          </cell>
          <cell r="K25">
            <v>175129.01258724771</v>
          </cell>
          <cell r="L25">
            <v>160856.07438370021</v>
          </cell>
          <cell r="M25">
            <v>185670.72253211043</v>
          </cell>
          <cell r="N25">
            <v>173374.50359226853</v>
          </cell>
          <cell r="O25">
            <v>180811.45451987171</v>
          </cell>
          <cell r="P25">
            <v>186777.17521029309</v>
          </cell>
          <cell r="Q25">
            <v>192973.48753800176</v>
          </cell>
          <cell r="R25">
            <v>187252.47013342843</v>
          </cell>
          <cell r="S25">
            <v>2069905.1053073548</v>
          </cell>
          <cell r="U25"/>
          <cell r="V25">
            <v>311516.34725471109</v>
          </cell>
          <cell r="W25">
            <v>469541.06136396044</v>
          </cell>
          <cell r="X25">
            <v>627060.20481043286</v>
          </cell>
          <cell r="Y25">
            <v>802189.21739768051</v>
          </cell>
          <cell r="Z25">
            <v>963045.29178138077</v>
          </cell>
          <cell r="AA25">
            <v>1148716.0143134913</v>
          </cell>
          <cell r="AB25">
            <v>1322090.5179057599</v>
          </cell>
          <cell r="AC25">
            <v>1502901.9724256315</v>
          </cell>
          <cell r="AD25">
            <v>1689679.1476359246</v>
          </cell>
          <cell r="AE25">
            <v>1882652.6351739264</v>
          </cell>
          <cell r="AF25">
            <v>2069905.1053073548</v>
          </cell>
        </row>
        <row r="26">
          <cell r="G26">
            <v>276951.06023743161</v>
          </cell>
          <cell r="H26">
            <v>234635.79222117711</v>
          </cell>
          <cell r="I26">
            <v>249587.79841580964</v>
          </cell>
          <cell r="J26">
            <v>244519.36799477896</v>
          </cell>
          <cell r="K26">
            <v>272341.57501528936</v>
          </cell>
          <cell r="L26">
            <v>251559.62082303362</v>
          </cell>
          <cell r="M26">
            <v>263003.49483063759</v>
          </cell>
          <cell r="N26">
            <v>246311.02342963737</v>
          </cell>
          <cell r="O26">
            <v>260667.66633476032</v>
          </cell>
          <cell r="P26">
            <v>258198.96752788214</v>
          </cell>
          <cell r="Q26">
            <v>267426.43460717064</v>
          </cell>
          <cell r="R26">
            <v>236245.27274434833</v>
          </cell>
          <cell r="S26">
            <v>3061448.0741819567</v>
          </cell>
          <cell r="U26"/>
          <cell r="V26">
            <v>511586.85245860874</v>
          </cell>
          <cell r="W26">
            <v>761174.65087441844</v>
          </cell>
          <cell r="X26">
            <v>1005694.0188691973</v>
          </cell>
          <cell r="Y26">
            <v>1278035.5938844867</v>
          </cell>
          <cell r="Z26">
            <v>1529595.2147075203</v>
          </cell>
          <cell r="AA26">
            <v>1792598.709538158</v>
          </cell>
          <cell r="AB26">
            <v>2038909.7329677953</v>
          </cell>
          <cell r="AC26">
            <v>2299577.3993025557</v>
          </cell>
          <cell r="AD26">
            <v>2557776.3668304379</v>
          </cell>
          <cell r="AE26">
            <v>2825202.8014376084</v>
          </cell>
          <cell r="AF26">
            <v>3061448.0741819572</v>
          </cell>
        </row>
        <row r="27">
          <cell r="G27">
            <v>261937.5781226508</v>
          </cell>
          <cell r="H27">
            <v>238238.68488709343</v>
          </cell>
          <cell r="I27">
            <v>244168.22481749408</v>
          </cell>
          <cell r="J27">
            <v>217500.56137076643</v>
          </cell>
          <cell r="K27">
            <v>243031.40607010422</v>
          </cell>
          <cell r="L27">
            <v>226758.8660983335</v>
          </cell>
          <cell r="M27">
            <v>231998.31689558155</v>
          </cell>
          <cell r="N27">
            <v>218809.55951210644</v>
          </cell>
          <cell r="O27">
            <v>239568.63544466591</v>
          </cell>
          <cell r="P27">
            <v>199981.01848924937</v>
          </cell>
          <cell r="Q27">
            <v>208468.25179367285</v>
          </cell>
          <cell r="R27">
            <v>201379.69364441533</v>
          </cell>
          <cell r="S27">
            <v>2731840.7971461336</v>
          </cell>
          <cell r="U27"/>
          <cell r="V27">
            <v>500176.26300974423</v>
          </cell>
          <cell r="W27">
            <v>744344.48782723828</v>
          </cell>
          <cell r="X27">
            <v>961845.04919800465</v>
          </cell>
          <cell r="Y27">
            <v>1204876.4552681088</v>
          </cell>
          <cell r="Z27">
            <v>1431635.3213664424</v>
          </cell>
          <cell r="AA27">
            <v>1663633.6382620239</v>
          </cell>
          <cell r="AB27">
            <v>1882443.1977741304</v>
          </cell>
          <cell r="AC27">
            <v>2122011.8332187962</v>
          </cell>
          <cell r="AD27">
            <v>2321992.8517080457</v>
          </cell>
          <cell r="AE27">
            <v>2530461.1035017185</v>
          </cell>
          <cell r="AF27">
            <v>2731840.7971461336</v>
          </cell>
        </row>
        <row r="28">
          <cell r="G28">
            <v>153854.18139910226</v>
          </cell>
          <cell r="H28">
            <v>125206.00659610266</v>
          </cell>
          <cell r="I28">
            <v>143680.65161187047</v>
          </cell>
          <cell r="J28">
            <v>144574.27738471929</v>
          </cell>
          <cell r="K28">
            <v>162038.03851877406</v>
          </cell>
          <cell r="L28">
            <v>151241.91189022563</v>
          </cell>
          <cell r="M28">
            <v>166959.13640218694</v>
          </cell>
          <cell r="N28">
            <v>157885.1500927578</v>
          </cell>
          <cell r="O28">
            <v>156442.24659657638</v>
          </cell>
          <cell r="P28">
            <v>164128.49048630279</v>
          </cell>
          <cell r="Q28">
            <v>171702.0413004006</v>
          </cell>
          <cell r="R28">
            <v>165550.45602634683</v>
          </cell>
          <cell r="S28">
            <v>1863262.588305366</v>
          </cell>
          <cell r="U28"/>
          <cell r="V28">
            <v>279060.18799520493</v>
          </cell>
          <cell r="W28">
            <v>422740.83960707544</v>
          </cell>
          <cell r="X28">
            <v>567315.11699179467</v>
          </cell>
          <cell r="Y28">
            <v>729353.15551056876</v>
          </cell>
          <cell r="Z28">
            <v>880595.06740079436</v>
          </cell>
          <cell r="AA28">
            <v>1047554.2038029813</v>
          </cell>
          <cell r="AB28">
            <v>1205439.3538957392</v>
          </cell>
          <cell r="AC28">
            <v>1361881.6004923156</v>
          </cell>
          <cell r="AD28">
            <v>1526010.0909786185</v>
          </cell>
          <cell r="AE28">
            <v>1697712.1322790191</v>
          </cell>
          <cell r="AF28">
            <v>1863262.588305366</v>
          </cell>
        </row>
        <row r="29">
          <cell r="G29">
            <v>415791.75952175306</v>
          </cell>
          <cell r="H29">
            <v>363444.6914831961</v>
          </cell>
          <cell r="I29">
            <v>387848.87642936455</v>
          </cell>
          <cell r="J29">
            <v>362074.83875548572</v>
          </cell>
          <cell r="K29">
            <v>405069.44458887831</v>
          </cell>
          <cell r="L29">
            <v>378000.7779885591</v>
          </cell>
          <cell r="M29">
            <v>398957.45329776849</v>
          </cell>
          <cell r="N29">
            <v>376694.70960486424</v>
          </cell>
          <cell r="O29">
            <v>396010.88204124232</v>
          </cell>
          <cell r="P29">
            <v>364109.50897555216</v>
          </cell>
          <cell r="Q29">
            <v>380170.29309407342</v>
          </cell>
          <cell r="R29">
            <v>366930.14967076213</v>
          </cell>
          <cell r="S29">
            <v>4595103.3854514994</v>
          </cell>
          <cell r="U29"/>
          <cell r="V29">
            <v>779236.45100494917</v>
          </cell>
          <cell r="W29">
            <v>1167085.3274343137</v>
          </cell>
          <cell r="X29">
            <v>1529160.1661897993</v>
          </cell>
          <cell r="Y29">
            <v>1934229.6107786775</v>
          </cell>
          <cell r="Z29">
            <v>2312230.3887672368</v>
          </cell>
          <cell r="AA29">
            <v>2711187.8420650051</v>
          </cell>
          <cell r="AB29">
            <v>3087882.5516698696</v>
          </cell>
          <cell r="AC29">
            <v>3483893.4337111115</v>
          </cell>
          <cell r="AD29">
            <v>3848002.9426866639</v>
          </cell>
          <cell r="AE29">
            <v>4228173.2357807374</v>
          </cell>
          <cell r="AF29">
            <v>4595103.3854514994</v>
          </cell>
        </row>
        <row r="30">
          <cell r="G30">
            <v>366712.60937171109</v>
          </cell>
          <cell r="H30">
            <v>333534.1588419308</v>
          </cell>
          <cell r="I30">
            <v>335731.30912405439</v>
          </cell>
          <cell r="J30">
            <v>304500.78591907298</v>
          </cell>
          <cell r="K30">
            <v>340243.96849814593</v>
          </cell>
          <cell r="L30">
            <v>317462.41253766691</v>
          </cell>
          <cell r="M30">
            <v>309331.08919410873</v>
          </cell>
          <cell r="N30">
            <v>291746.07934947527</v>
          </cell>
          <cell r="O30">
            <v>319424.84725955455</v>
          </cell>
          <cell r="P30">
            <v>271402.81080683845</v>
          </cell>
          <cell r="Q30">
            <v>282921.1988628417</v>
          </cell>
          <cell r="R30">
            <v>250372.49625533522</v>
          </cell>
          <cell r="S30">
            <v>3723383.7660207367</v>
          </cell>
          <cell r="U30"/>
          <cell r="V30">
            <v>700246.76821364183</v>
          </cell>
          <cell r="W30">
            <v>1035978.0773376962</v>
          </cell>
          <cell r="X30">
            <v>1340478.8632567693</v>
          </cell>
          <cell r="Y30">
            <v>1680722.831754915</v>
          </cell>
          <cell r="Z30">
            <v>1998185.2442925819</v>
          </cell>
          <cell r="AA30">
            <v>2307516.3334866907</v>
          </cell>
          <cell r="AB30">
            <v>2599262.4128361661</v>
          </cell>
          <cell r="AC30">
            <v>2918687.2600957202</v>
          </cell>
          <cell r="AD30">
            <v>3190090.070902559</v>
          </cell>
          <cell r="AE30">
            <v>3473011.2697654008</v>
          </cell>
          <cell r="AF30">
            <v>3723383.7660207357</v>
          </cell>
        </row>
        <row r="31">
          <cell r="G31">
            <v>326030.21038747358</v>
          </cell>
          <cell r="H31">
            <v>264546.32486244245</v>
          </cell>
          <cell r="I31">
            <v>301705.3657211198</v>
          </cell>
          <cell r="J31">
            <v>302093.4208311917</v>
          </cell>
          <cell r="K31">
            <v>337167.05110602174</v>
          </cell>
          <cell r="L31">
            <v>312097.98627392587</v>
          </cell>
          <cell r="M31">
            <v>352629.85893429734</v>
          </cell>
          <cell r="N31">
            <v>331259.65368502634</v>
          </cell>
          <cell r="O31">
            <v>337253.70111644809</v>
          </cell>
          <cell r="P31">
            <v>350905.66569659591</v>
          </cell>
          <cell r="Q31">
            <v>364675.52883840236</v>
          </cell>
          <cell r="R31">
            <v>352802.92615977523</v>
          </cell>
          <cell r="S31">
            <v>3933167.6936127204</v>
          </cell>
          <cell r="U31"/>
          <cell r="V31">
            <v>590576.53524991602</v>
          </cell>
          <cell r="W31">
            <v>892281.90097103594</v>
          </cell>
          <cell r="X31">
            <v>1194375.3218022275</v>
          </cell>
          <cell r="Y31">
            <v>1531542.3729082493</v>
          </cell>
          <cell r="Z31">
            <v>1843640.3591821752</v>
          </cell>
          <cell r="AA31">
            <v>2196270.2181164725</v>
          </cell>
          <cell r="AB31">
            <v>2527529.8718014993</v>
          </cell>
          <cell r="AC31">
            <v>2864783.5729179471</v>
          </cell>
          <cell r="AD31">
            <v>3215689.2386145433</v>
          </cell>
          <cell r="AE31">
            <v>3580364.7674529455</v>
          </cell>
          <cell r="AF31">
            <v>3933167.6936127208</v>
          </cell>
        </row>
        <row r="32">
          <cell r="G32">
            <v>692742.81975918473</v>
          </cell>
          <cell r="H32">
            <v>598080.48370437324</v>
          </cell>
          <cell r="I32">
            <v>637436.67484517419</v>
          </cell>
          <cell r="J32">
            <v>606594.20675026462</v>
          </cell>
          <cell r="K32">
            <v>677411.01960416767</v>
          </cell>
          <cell r="L32">
            <v>629560.39881159272</v>
          </cell>
          <cell r="M32">
            <v>661960.94812840607</v>
          </cell>
          <cell r="N32">
            <v>623005.73303450155</v>
          </cell>
          <cell r="O32">
            <v>656678.54837600258</v>
          </cell>
          <cell r="P32">
            <v>622308.47650343436</v>
          </cell>
          <cell r="Q32">
            <v>647596.72770124406</v>
          </cell>
          <cell r="R32">
            <v>603175.42241511052</v>
          </cell>
          <cell r="S32">
            <v>7656551.4596334565</v>
          </cell>
          <cell r="U32"/>
          <cell r="V32">
            <v>1290823.3034635577</v>
          </cell>
          <cell r="W32">
            <v>1928259.9783087322</v>
          </cell>
          <cell r="X32">
            <v>2534854.185058997</v>
          </cell>
          <cell r="Y32">
            <v>3212265.204663164</v>
          </cell>
          <cell r="Z32">
            <v>3841825.6034747572</v>
          </cell>
          <cell r="AA32">
            <v>4503786.5516031627</v>
          </cell>
          <cell r="AB32">
            <v>5126792.2846376654</v>
          </cell>
          <cell r="AC32">
            <v>5783470.8330136668</v>
          </cell>
          <cell r="AD32">
            <v>6405779.3095171023</v>
          </cell>
          <cell r="AE32">
            <v>7053376.0372183463</v>
          </cell>
          <cell r="AF32">
            <v>7656551.4596334565</v>
          </cell>
        </row>
        <row r="33">
          <cell r="G33">
            <v>-32775.03124906031</v>
          </cell>
          <cell r="H33">
            <v>-23295.473954837333</v>
          </cell>
          <cell r="I33">
            <v>-19563.084306560297</v>
          </cell>
          <cell r="J33">
            <v>-15000.224548306564</v>
          </cell>
          <cell r="K33">
            <v>-25212.562428041681</v>
          </cell>
          <cell r="L33">
            <v>-18703.546439333411</v>
          </cell>
          <cell r="M33">
            <v>-17332.772298527168</v>
          </cell>
          <cell r="N33">
            <v>-12936.519837368818</v>
          </cell>
          <cell r="O33">
            <v>-19856.211814888607</v>
          </cell>
          <cell r="P33">
            <v>-11421.792317589046</v>
          </cell>
          <cell r="Q33">
            <v>-14452.947069168877</v>
          </cell>
          <cell r="R33">
            <v>-8120.8026109198909</v>
          </cell>
          <cell r="S33">
            <v>-218670.96887460203</v>
          </cell>
          <cell r="V33">
            <v>-56070.505203897657</v>
          </cell>
          <cell r="W33">
            <v>-75633.589510457939</v>
          </cell>
          <cell r="X33">
            <v>-90633.814058764488</v>
          </cell>
          <cell r="Y33">
            <v>-115846.3764868062</v>
          </cell>
          <cell r="Z33">
            <v>-134549.92292613955</v>
          </cell>
          <cell r="AA33">
            <v>-151882.69522466674</v>
          </cell>
          <cell r="AB33">
            <v>-164819.2150620356</v>
          </cell>
          <cell r="AC33">
            <v>-184675.42687692423</v>
          </cell>
          <cell r="AD33">
            <v>-196097.21919451328</v>
          </cell>
          <cell r="AE33">
            <v>-210550.16626368219</v>
          </cell>
          <cell r="AF33">
            <v>-218670.96887460211</v>
          </cell>
        </row>
        <row r="34">
          <cell r="G34">
            <v>-14419.943537126092</v>
          </cell>
          <cell r="H34">
            <v>1030.1526324997831</v>
          </cell>
          <cell r="I34">
            <v>7657.4783308431797</v>
          </cell>
          <cell r="J34">
            <v>16294.63518883448</v>
          </cell>
          <cell r="K34">
            <v>-2184.4384657643968</v>
          </cell>
          <cell r="L34">
            <v>9392.8711871727428</v>
          </cell>
          <cell r="M34">
            <v>6403.8321628817648</v>
          </cell>
          <cell r="N34">
            <v>16790.318067830027</v>
          </cell>
          <cell r="O34">
            <v>325.56704484092188</v>
          </cell>
          <cell r="P34">
            <v>22433.116662256798</v>
          </cell>
          <cell r="Q34">
            <v>14377.324092032417</v>
          </cell>
          <cell r="R34">
            <v>21033.442665462091</v>
          </cell>
          <cell r="S34">
            <v>99134.356031763717</v>
          </cell>
          <cell r="V34">
            <v>-13389.790904626367</v>
          </cell>
          <cell r="W34">
            <v>-5732.3125737831579</v>
          </cell>
          <cell r="X34">
            <v>10562.322615051293</v>
          </cell>
          <cell r="Y34">
            <v>8377.884149286896</v>
          </cell>
          <cell r="Z34">
            <v>17770.75533645961</v>
          </cell>
          <cell r="AA34">
            <v>24174.587499341229</v>
          </cell>
          <cell r="AB34">
            <v>40964.905567171285</v>
          </cell>
          <cell r="AC34">
            <v>41290.472612012411</v>
          </cell>
          <cell r="AD34">
            <v>63723.589274269063</v>
          </cell>
          <cell r="AE34">
            <v>78100.913366301451</v>
          </cell>
          <cell r="AF34">
            <v>99134.3560317636</v>
          </cell>
        </row>
        <row r="35">
          <cell r="G35">
            <v>-47194.974786186402</v>
          </cell>
          <cell r="H35">
            <v>-22265.32132233755</v>
          </cell>
          <cell r="I35">
            <v>-11905.605975717117</v>
          </cell>
          <cell r="J35">
            <v>1294.4106405279163</v>
          </cell>
          <cell r="K35">
            <v>-27397.000893806078</v>
          </cell>
          <cell r="L35">
            <v>-9310.6752521606686</v>
          </cell>
          <cell r="M35">
            <v>-10928.940135645404</v>
          </cell>
          <cell r="N35">
            <v>3853.7982304612087</v>
          </cell>
          <cell r="O35">
            <v>-19530.644770047686</v>
          </cell>
          <cell r="P35">
            <v>11011.324344667752</v>
          </cell>
          <cell r="Q35">
            <v>-75.622977136459667</v>
          </cell>
          <cell r="R35">
            <v>12912.6400545422</v>
          </cell>
          <cell r="S35">
            <v>-119536.61284283828</v>
          </cell>
          <cell r="V35">
            <v>-69460.296108524024</v>
          </cell>
          <cell r="W35">
            <v>-81365.902084241097</v>
          </cell>
          <cell r="X35">
            <v>-80071.491443713196</v>
          </cell>
          <cell r="Y35">
            <v>-107468.4923375193</v>
          </cell>
          <cell r="Z35">
            <v>-116779.16758967994</v>
          </cell>
          <cell r="AA35">
            <v>-127708.10772532551</v>
          </cell>
          <cell r="AB35">
            <v>-123854.30949486431</v>
          </cell>
          <cell r="AC35">
            <v>-143384.95426491182</v>
          </cell>
          <cell r="AD35">
            <v>-132373.62992024422</v>
          </cell>
          <cell r="AE35">
            <v>-132449.25289738073</v>
          </cell>
          <cell r="AF35">
            <v>-119536.61284283851</v>
          </cell>
        </row>
        <row r="36">
          <cell r="G36">
            <v>23062.421877349203</v>
          </cell>
          <cell r="H36">
            <v>46761.315112906566</v>
          </cell>
          <cell r="I36">
            <v>59831.775182505924</v>
          </cell>
          <cell r="J36">
            <v>67499.438629233569</v>
          </cell>
          <cell r="K36">
            <v>41968.593929895782</v>
          </cell>
          <cell r="L36">
            <v>58241.133901666501</v>
          </cell>
          <cell r="M36">
            <v>53001.683104418451</v>
          </cell>
          <cell r="N36">
            <v>66190.44048789356</v>
          </cell>
          <cell r="O36">
            <v>45431.36455533409</v>
          </cell>
          <cell r="P36">
            <v>66018.981510750629</v>
          </cell>
          <cell r="Q36">
            <v>57531.748206327145</v>
          </cell>
          <cell r="R36">
            <v>64620.306355584675</v>
          </cell>
          <cell r="S36">
            <v>650159.20285386592</v>
          </cell>
          <cell r="V36">
            <v>69823.736990255769</v>
          </cell>
          <cell r="W36">
            <v>129655.51217276172</v>
          </cell>
          <cell r="X36">
            <v>197154.95080199535</v>
          </cell>
          <cell r="Y36">
            <v>239123.54473189125</v>
          </cell>
          <cell r="Z36">
            <v>297364.67863355763</v>
          </cell>
          <cell r="AA36">
            <v>350366.36173797608</v>
          </cell>
          <cell r="AB36">
            <v>416556.80222586961</v>
          </cell>
          <cell r="AC36">
            <v>461988.16678120382</v>
          </cell>
          <cell r="AD36">
            <v>528007.14829195431</v>
          </cell>
          <cell r="AE36">
            <v>585538.89649828151</v>
          </cell>
          <cell r="AF36">
            <v>650159.20285386639</v>
          </cell>
        </row>
        <row r="37">
          <cell r="G37">
            <v>40796.584973482619</v>
          </cell>
          <cell r="H37">
            <v>48900.419372612654</v>
          </cell>
          <cell r="I37">
            <v>64093.098251391435</v>
          </cell>
          <cell r="J37">
            <v>75248.94335209002</v>
          </cell>
          <cell r="K37">
            <v>58495.399028467247</v>
          </cell>
          <cell r="L37">
            <v>69650.673149642855</v>
          </cell>
          <cell r="M37">
            <v>71722.879590368015</v>
          </cell>
          <cell r="N37">
            <v>81452.958925687912</v>
          </cell>
          <cell r="O37">
            <v>61859.841826222633</v>
          </cell>
          <cell r="P37">
            <v>90676.776730080222</v>
          </cell>
          <cell r="Q37">
            <v>84042.196985973889</v>
          </cell>
          <cell r="R37">
            <v>89668.844979505171</v>
          </cell>
          <cell r="S37">
            <v>836608.61716552463</v>
          </cell>
          <cell r="V37">
            <v>89697.004346095258</v>
          </cell>
          <cell r="W37">
            <v>153790.10259748669</v>
          </cell>
          <cell r="X37">
            <v>229039.04594957677</v>
          </cell>
          <cell r="Y37">
            <v>287534.44497804402</v>
          </cell>
          <cell r="Z37">
            <v>357185.11812768702</v>
          </cell>
          <cell r="AA37">
            <v>428907.99771805492</v>
          </cell>
          <cell r="AB37">
            <v>510360.95664374274</v>
          </cell>
          <cell r="AC37">
            <v>572220.79846996535</v>
          </cell>
          <cell r="AD37">
            <v>662897.57520004571</v>
          </cell>
          <cell r="AE37">
            <v>746939.77218601969</v>
          </cell>
          <cell r="AF37">
            <v>836608.61716552475</v>
          </cell>
        </row>
        <row r="38">
          <cell r="G38">
            <v>63859.006850831822</v>
          </cell>
          <cell r="H38">
            <v>95661.73448551922</v>
          </cell>
          <cell r="I38">
            <v>123924.87343389736</v>
          </cell>
          <cell r="J38">
            <v>142748.38198132359</v>
          </cell>
          <cell r="K38">
            <v>100463.99295836303</v>
          </cell>
          <cell r="L38">
            <v>127891.80705130936</v>
          </cell>
          <cell r="M38">
            <v>124724.56269478647</v>
          </cell>
          <cell r="N38">
            <v>147643.39941358147</v>
          </cell>
          <cell r="O38">
            <v>107291.20638155672</v>
          </cell>
          <cell r="P38">
            <v>156695.75824083085</v>
          </cell>
          <cell r="Q38">
            <v>141573.94519230103</v>
          </cell>
          <cell r="R38">
            <v>154289.15133508985</v>
          </cell>
          <cell r="S38">
            <v>1486767.8200193907</v>
          </cell>
          <cell r="V38">
            <v>159520.74133635103</v>
          </cell>
          <cell r="W38">
            <v>283445.61477024842</v>
          </cell>
          <cell r="X38">
            <v>426193.99675157212</v>
          </cell>
          <cell r="Y38">
            <v>526657.98970993527</v>
          </cell>
          <cell r="Z38">
            <v>654549.79676124465</v>
          </cell>
          <cell r="AA38">
            <v>779274.359456031</v>
          </cell>
          <cell r="AB38">
            <v>926917.75886961236</v>
          </cell>
          <cell r="AC38">
            <v>1034208.9652511692</v>
          </cell>
          <cell r="AD38">
            <v>1190904.723492</v>
          </cell>
          <cell r="AE38">
            <v>1332478.6686843012</v>
          </cell>
          <cell r="AF38">
            <v>1486767.8200193911</v>
          </cell>
        </row>
        <row r="39">
          <cell r="G39">
            <v>-9712.6093717111071</v>
          </cell>
          <cell r="H39">
            <v>23465.841158069234</v>
          </cell>
          <cell r="I39">
            <v>40268.690875945627</v>
          </cell>
          <cell r="J39">
            <v>52499.214080927006</v>
          </cell>
          <cell r="K39">
            <v>16756.0315018541</v>
          </cell>
          <cell r="L39">
            <v>39537.587462333089</v>
          </cell>
          <cell r="M39">
            <v>35668.910805891283</v>
          </cell>
          <cell r="N39">
            <v>53253.920650524742</v>
          </cell>
          <cell r="O39">
            <v>25575.152740445483</v>
          </cell>
          <cell r="P39">
            <v>54597.189193161583</v>
          </cell>
          <cell r="Q39">
            <v>43078.801137158269</v>
          </cell>
          <cell r="R39">
            <v>56499.503744664784</v>
          </cell>
          <cell r="S39">
            <v>431488.2339792641</v>
          </cell>
          <cell r="V39">
            <v>13753.231786358112</v>
          </cell>
          <cell r="W39">
            <v>54021.922662303783</v>
          </cell>
          <cell r="X39">
            <v>106521.13674323086</v>
          </cell>
          <cell r="Y39">
            <v>123277.16824508505</v>
          </cell>
          <cell r="Z39">
            <v>162814.75570741808</v>
          </cell>
          <cell r="AA39">
            <v>198483.66651330935</v>
          </cell>
          <cell r="AB39">
            <v>251737.58716383402</v>
          </cell>
          <cell r="AC39">
            <v>277312.73990427959</v>
          </cell>
          <cell r="AD39">
            <v>331909.92909744103</v>
          </cell>
          <cell r="AE39">
            <v>374988.73023459932</v>
          </cell>
          <cell r="AF39">
            <v>431488.23397926427</v>
          </cell>
        </row>
        <row r="40">
          <cell r="G40">
            <v>26376.641436356527</v>
          </cell>
          <cell r="H40">
            <v>49930.572005112437</v>
          </cell>
          <cell r="I40">
            <v>71750.576582234615</v>
          </cell>
          <cell r="J40">
            <v>91543.5785409245</v>
          </cell>
          <cell r="K40">
            <v>56310.96056270285</v>
          </cell>
          <cell r="L40">
            <v>79043.544336815597</v>
          </cell>
          <cell r="M40">
            <v>78126.71175324978</v>
          </cell>
          <cell r="N40">
            <v>98243.276993517939</v>
          </cell>
          <cell r="O40">
            <v>62185.408871063555</v>
          </cell>
          <cell r="P40">
            <v>113109.89339233702</v>
          </cell>
          <cell r="Q40">
            <v>98419.521078006306</v>
          </cell>
          <cell r="R40">
            <v>110702.28764496726</v>
          </cell>
          <cell r="S40">
            <v>935742.97319728835</v>
          </cell>
          <cell r="V40">
            <v>76307.213441468892</v>
          </cell>
          <cell r="W40">
            <v>148057.79002370354</v>
          </cell>
          <cell r="X40">
            <v>239601.36856462806</v>
          </cell>
          <cell r="Y40">
            <v>295912.32912733092</v>
          </cell>
          <cell r="Z40">
            <v>374955.87346414663</v>
          </cell>
          <cell r="AA40">
            <v>453082.58521739615</v>
          </cell>
          <cell r="AB40">
            <v>551325.86221091403</v>
          </cell>
          <cell r="AC40">
            <v>613511.27108197776</v>
          </cell>
          <cell r="AD40">
            <v>726621.16447431478</v>
          </cell>
          <cell r="AE40">
            <v>825040.68555232114</v>
          </cell>
          <cell r="AF40">
            <v>935742.97319728835</v>
          </cell>
        </row>
        <row r="41">
          <cell r="G41">
            <v>16664.03206464542</v>
          </cell>
          <cell r="H41">
            <v>73396.413163181671</v>
          </cell>
          <cell r="I41">
            <v>112019.26745818024</v>
          </cell>
          <cell r="J41">
            <v>144042.79262185149</v>
          </cell>
          <cell r="K41">
            <v>73066.992064556951</v>
          </cell>
          <cell r="L41">
            <v>118581.13179914869</v>
          </cell>
          <cell r="M41">
            <v>113795.62255914106</v>
          </cell>
          <cell r="N41">
            <v>151497.19764404267</v>
          </cell>
          <cell r="O41">
            <v>87760.561611509038</v>
          </cell>
          <cell r="P41">
            <v>167707.0825854986</v>
          </cell>
          <cell r="Q41">
            <v>141498.32221516458</v>
          </cell>
          <cell r="R41">
            <v>167201.79138963204</v>
          </cell>
          <cell r="S41">
            <v>1367231.2071765524</v>
          </cell>
          <cell r="V41">
            <v>90060.445227827004</v>
          </cell>
          <cell r="W41">
            <v>202079.71268600732</v>
          </cell>
          <cell r="X41">
            <v>346122.50530785893</v>
          </cell>
          <cell r="Y41">
            <v>419189.49737241596</v>
          </cell>
          <cell r="Z41">
            <v>537770.62917156471</v>
          </cell>
          <cell r="AA41">
            <v>651566.25173070549</v>
          </cell>
          <cell r="AB41">
            <v>803063.44937474804</v>
          </cell>
          <cell r="AC41">
            <v>890824.01098625734</v>
          </cell>
          <cell r="AD41">
            <v>1058531.0935717558</v>
          </cell>
          <cell r="AE41">
            <v>1200029.4157869206</v>
          </cell>
          <cell r="AF41">
            <v>1367231.2071765526</v>
          </cell>
        </row>
        <row r="42">
          <cell r="G42">
            <v>8546.8631434775489</v>
          </cell>
          <cell r="H42">
            <v>9059.2862968289937</v>
          </cell>
          <cell r="I42">
            <v>8167.0404730209075</v>
          </cell>
          <cell r="J42">
            <v>8154.6149023858734</v>
          </cell>
          <cell r="K42">
            <v>8159.2731994904007</v>
          </cell>
          <cell r="L42">
            <v>8191.5900050190912</v>
          </cell>
          <cell r="M42">
            <v>6642.2092241071095</v>
          </cell>
          <cell r="N42">
            <v>6656.3221905932414</v>
          </cell>
          <cell r="O42">
            <v>6914.1248311778872</v>
          </cell>
          <cell r="P42">
            <v>6525.3884398312539</v>
          </cell>
          <cell r="Q42">
            <v>6536.7005292296044</v>
          </cell>
          <cell r="R42">
            <v>4618.1707686494565</v>
          </cell>
          <cell r="S42">
            <v>88171.584003811382</v>
          </cell>
          <cell r="U42"/>
          <cell r="V42">
            <v>17606.149440306544</v>
          </cell>
          <cell r="W42">
            <v>25773.189913327453</v>
          </cell>
          <cell r="X42">
            <v>33927.804815713323</v>
          </cell>
          <cell r="Y42">
            <v>42087.078015203726</v>
          </cell>
          <cell r="Z42">
            <v>50278.668020222816</v>
          </cell>
          <cell r="AA42">
            <v>56920.877244329924</v>
          </cell>
          <cell r="AB42">
            <v>63577.199434923168</v>
          </cell>
          <cell r="AC42">
            <v>70491.324266101059</v>
          </cell>
          <cell r="AD42">
            <v>77016.71270593231</v>
          </cell>
          <cell r="AE42">
            <v>83553.413235161919</v>
          </cell>
          <cell r="AF42">
            <v>88171.584003811382</v>
          </cell>
        </row>
        <row r="43">
          <cell r="G43">
            <v>14044.996587526482</v>
          </cell>
          <cell r="H43">
            <v>13246.419619721775</v>
          </cell>
          <cell r="I43">
            <v>14095.137201219524</v>
          </cell>
          <cell r="J43">
            <v>14764.421140619508</v>
          </cell>
          <cell r="K43">
            <v>14698.979464861459</v>
          </cell>
          <cell r="L43">
            <v>14527.182926077105</v>
          </cell>
          <cell r="M43">
            <v>15947.492236391785</v>
          </cell>
          <cell r="N43">
            <v>15822.479028579004</v>
          </cell>
          <cell r="O43">
            <v>15655.049733077301</v>
          </cell>
          <cell r="P43">
            <v>17064.730250985744</v>
          </cell>
          <cell r="Q43">
            <v>16942.377001477907</v>
          </cell>
          <cell r="R43">
            <v>17650.83518073447</v>
          </cell>
          <cell r="S43">
            <v>184460.10037127204</v>
          </cell>
          <cell r="U43"/>
          <cell r="V43">
            <v>27291.416207248258</v>
          </cell>
          <cell r="W43">
            <v>41386.553408467778</v>
          </cell>
          <cell r="X43">
            <v>56150.974549087288</v>
          </cell>
          <cell r="Y43">
            <v>70849.954013948751</v>
          </cell>
          <cell r="Z43">
            <v>85377.136940025855</v>
          </cell>
          <cell r="AA43">
            <v>101324.62917641764</v>
          </cell>
          <cell r="AB43">
            <v>117147.10820499665</v>
          </cell>
          <cell r="AC43">
            <v>132802.15793807394</v>
          </cell>
          <cell r="AD43">
            <v>149866.88818905968</v>
          </cell>
          <cell r="AE43">
            <v>166809.26519053758</v>
          </cell>
          <cell r="AF43">
            <v>184460.10037127204</v>
          </cell>
        </row>
        <row r="44">
          <cell r="G44">
            <v>22591.859731004031</v>
          </cell>
          <cell r="H44">
            <v>22305.705916550767</v>
          </cell>
          <cell r="I44">
            <v>22262.177674240433</v>
          </cell>
          <cell r="J44">
            <v>22919.036043005381</v>
          </cell>
          <cell r="K44">
            <v>22858.252664351858</v>
          </cell>
          <cell r="L44">
            <v>22718.772931096195</v>
          </cell>
          <cell r="M44">
            <v>22589.701460498894</v>
          </cell>
          <cell r="N44">
            <v>22478.801219172245</v>
          </cell>
          <cell r="O44">
            <v>22569.17456425519</v>
          </cell>
          <cell r="P44">
            <v>23590.118690816998</v>
          </cell>
          <cell r="Q44">
            <v>23479.077530707513</v>
          </cell>
          <cell r="R44">
            <v>22269.005949383925</v>
          </cell>
          <cell r="S44">
            <v>272631.68437508348</v>
          </cell>
          <cell r="U44"/>
          <cell r="V44">
            <v>44897.565647554802</v>
          </cell>
          <cell r="W44">
            <v>67159.743321795235</v>
          </cell>
          <cell r="X44">
            <v>90078.779364800605</v>
          </cell>
          <cell r="Y44">
            <v>112937.03202915247</v>
          </cell>
          <cell r="Z44">
            <v>135655.80496024867</v>
          </cell>
          <cell r="AA44">
            <v>158245.50642074755</v>
          </cell>
          <cell r="AB44">
            <v>180724.3076399198</v>
          </cell>
          <cell r="AC44">
            <v>203293.482204175</v>
          </cell>
          <cell r="AD44">
            <v>226883.60089499201</v>
          </cell>
          <cell r="AE44">
            <v>250362.6784256995</v>
          </cell>
          <cell r="AF44">
            <v>272631.68437508342</v>
          </cell>
        </row>
        <row r="45">
          <cell r="G45">
            <v>21367.157858693874</v>
          </cell>
          <cell r="H45">
            <v>22648.215742072494</v>
          </cell>
          <cell r="I45">
            <v>21778.774594722421</v>
          </cell>
          <cell r="J45">
            <v>20386.537255964686</v>
          </cell>
          <cell r="K45">
            <v>20398.182998726003</v>
          </cell>
          <cell r="L45">
            <v>20478.975012547729</v>
          </cell>
          <cell r="M45">
            <v>19926.62767232133</v>
          </cell>
          <cell r="N45">
            <v>19968.966571779729</v>
          </cell>
          <cell r="O45">
            <v>20742.374493533662</v>
          </cell>
          <cell r="P45">
            <v>18271.087631527509</v>
          </cell>
          <cell r="Q45">
            <v>18302.761481842896</v>
          </cell>
          <cell r="R45">
            <v>18982.498755458717</v>
          </cell>
          <cell r="S45">
            <v>243252.16006919101</v>
          </cell>
          <cell r="U45"/>
          <cell r="V45">
            <v>44015.373600766368</v>
          </cell>
          <cell r="W45">
            <v>65794.148195488786</v>
          </cell>
          <cell r="X45">
            <v>86180.685451453464</v>
          </cell>
          <cell r="Y45">
            <v>106578.86845017946</v>
          </cell>
          <cell r="Z45">
            <v>127057.84346272719</v>
          </cell>
          <cell r="AA45">
            <v>146984.47113504852</v>
          </cell>
          <cell r="AB45">
            <v>166953.43770682823</v>
          </cell>
          <cell r="AC45">
            <v>187695.81220036189</v>
          </cell>
          <cell r="AD45">
            <v>205966.8998318894</v>
          </cell>
          <cell r="AE45">
            <v>224269.6613137323</v>
          </cell>
          <cell r="AF45">
            <v>243252.16006919101</v>
          </cell>
        </row>
        <row r="46">
          <cell r="G46">
            <v>12550.419854746546</v>
          </cell>
          <cell r="H46">
            <v>11902.738008043412</v>
          </cell>
          <cell r="I46">
            <v>12815.707397703818</v>
          </cell>
          <cell r="J46">
            <v>13551.086367696607</v>
          </cell>
          <cell r="K46">
            <v>13600.224003588792</v>
          </cell>
          <cell r="L46">
            <v>13658.911723022758</v>
          </cell>
          <cell r="M46">
            <v>14340.330533846442</v>
          </cell>
          <cell r="N46">
            <v>14408.891875714711</v>
          </cell>
          <cell r="O46">
            <v>13545.110608877831</v>
          </cell>
          <cell r="P46">
            <v>14995.453344322166</v>
          </cell>
          <cell r="Q46">
            <v>15074.820654116265</v>
          </cell>
          <cell r="R46">
            <v>15605.154961824039</v>
          </cell>
          <cell r="S46">
            <v>166048.84933350337</v>
          </cell>
          <cell r="U46"/>
          <cell r="V46">
            <v>24453.157862789958</v>
          </cell>
          <cell r="W46">
            <v>37268.865260493774</v>
          </cell>
          <cell r="X46">
            <v>50819.951628190378</v>
          </cell>
          <cell r="Y46">
            <v>64420.175631779173</v>
          </cell>
          <cell r="Z46">
            <v>78079.08735480193</v>
          </cell>
          <cell r="AA46">
            <v>92419.417888648371</v>
          </cell>
          <cell r="AB46">
            <v>106828.30976436308</v>
          </cell>
          <cell r="AC46">
            <v>120373.42037324091</v>
          </cell>
          <cell r="AD46">
            <v>135368.87371756308</v>
          </cell>
          <cell r="AE46">
            <v>150443.69437167933</v>
          </cell>
          <cell r="AF46">
            <v>166048.84933350337</v>
          </cell>
        </row>
        <row r="47">
          <cell r="G47">
            <v>33917.57771344042</v>
          </cell>
          <cell r="H47">
            <v>34550.953750115907</v>
          </cell>
          <cell r="I47">
            <v>34594.481992426241</v>
          </cell>
          <cell r="J47">
            <v>33937.623623661289</v>
          </cell>
          <cell r="K47">
            <v>33998.407002314794</v>
          </cell>
          <cell r="L47">
            <v>34137.886735570486</v>
          </cell>
          <cell r="M47">
            <v>34266.958206167772</v>
          </cell>
          <cell r="N47">
            <v>34377.858447494436</v>
          </cell>
          <cell r="O47">
            <v>34287.485102411491</v>
          </cell>
          <cell r="P47">
            <v>33266.540975849675</v>
          </cell>
          <cell r="Q47">
            <v>33377.582135959165</v>
          </cell>
          <cell r="R47">
            <v>34587.653717282752</v>
          </cell>
          <cell r="S47">
            <v>409301.00940269441</v>
          </cell>
          <cell r="U47"/>
          <cell r="V47">
            <v>68468.531463556326</v>
          </cell>
          <cell r="W47">
            <v>103063.01345598255</v>
          </cell>
          <cell r="X47">
            <v>137000.63707964384</v>
          </cell>
          <cell r="Y47">
            <v>170999.04408195865</v>
          </cell>
          <cell r="Z47">
            <v>205136.93081752912</v>
          </cell>
          <cell r="AA47">
            <v>239403.88902369689</v>
          </cell>
          <cell r="AB47">
            <v>273781.74747119134</v>
          </cell>
          <cell r="AC47">
            <v>308069.23257360281</v>
          </cell>
          <cell r="AD47">
            <v>341335.77354945248</v>
          </cell>
          <cell r="AE47">
            <v>374713.3556854116</v>
          </cell>
          <cell r="AF47">
            <v>409301.00940269441</v>
          </cell>
        </row>
        <row r="48">
          <cell r="G48">
            <v>29914.021002171423</v>
          </cell>
          <cell r="H48">
            <v>31707.50203890149</v>
          </cell>
          <cell r="I48">
            <v>29945.81506774333</v>
          </cell>
          <cell r="J48">
            <v>28541.15215835056</v>
          </cell>
          <cell r="K48">
            <v>28557.456198216401</v>
          </cell>
          <cell r="L48">
            <v>28670.56501756682</v>
          </cell>
          <cell r="M48">
            <v>26568.836896428438</v>
          </cell>
          <cell r="N48">
            <v>26625.288762372969</v>
          </cell>
          <cell r="O48">
            <v>27656.499324711549</v>
          </cell>
          <cell r="P48">
            <v>24796.476071358764</v>
          </cell>
          <cell r="Q48">
            <v>24839.462011072501</v>
          </cell>
          <cell r="R48">
            <v>23600.669524108172</v>
          </cell>
          <cell r="S48">
            <v>331423.74407300242</v>
          </cell>
          <cell r="U48"/>
          <cell r="V48">
            <v>61621.523041072913</v>
          </cell>
          <cell r="W48">
            <v>91567.338108816242</v>
          </cell>
          <cell r="X48">
            <v>120108.49026716678</v>
          </cell>
          <cell r="Y48">
            <v>148665.9464653832</v>
          </cell>
          <cell r="Z48">
            <v>177336.51148295001</v>
          </cell>
          <cell r="AA48">
            <v>203905.34837937844</v>
          </cell>
          <cell r="AB48">
            <v>230530.63714175142</v>
          </cell>
          <cell r="AC48">
            <v>258187.13646646295</v>
          </cell>
          <cell r="AD48">
            <v>282983.6125378217</v>
          </cell>
          <cell r="AE48">
            <v>307823.07454889419</v>
          </cell>
          <cell r="AF48">
            <v>331423.74407300237</v>
          </cell>
        </row>
        <row r="49">
          <cell r="G49">
            <v>26595.416442273028</v>
          </cell>
          <cell r="H49">
            <v>25149.157627765187</v>
          </cell>
          <cell r="I49">
            <v>26910.844598923344</v>
          </cell>
          <cell r="J49">
            <v>28315.507508316114</v>
          </cell>
          <cell r="K49">
            <v>28299.203468450251</v>
          </cell>
          <cell r="L49">
            <v>28186.094649099861</v>
          </cell>
          <cell r="M49">
            <v>30287.822770238228</v>
          </cell>
          <cell r="N49">
            <v>30231.370904293715</v>
          </cell>
          <cell r="O49">
            <v>29200.160341955132</v>
          </cell>
          <cell r="P49">
            <v>32060.18359530791</v>
          </cell>
          <cell r="Q49">
            <v>32017.197655594173</v>
          </cell>
          <cell r="R49">
            <v>33255.990142558512</v>
          </cell>
          <cell r="S49">
            <v>350508.94970477547</v>
          </cell>
          <cell r="U49"/>
          <cell r="V49">
            <v>51744.574070038216</v>
          </cell>
          <cell r="W49">
            <v>78655.41866896156</v>
          </cell>
          <cell r="X49">
            <v>106970.92617727767</v>
          </cell>
          <cell r="Y49">
            <v>135270.12964572792</v>
          </cell>
          <cell r="Z49">
            <v>163456.22429482779</v>
          </cell>
          <cell r="AA49">
            <v>193744.047065066</v>
          </cell>
          <cell r="AB49">
            <v>223975.41796935973</v>
          </cell>
          <cell r="AC49">
            <v>253175.57831131486</v>
          </cell>
          <cell r="AD49">
            <v>285235.76190662279</v>
          </cell>
          <cell r="AE49">
            <v>317252.95956221689</v>
          </cell>
          <cell r="AF49">
            <v>350508.94970477541</v>
          </cell>
        </row>
        <row r="50">
          <cell r="G50">
            <v>56509.437444444455</v>
          </cell>
          <cell r="H50">
            <v>56856.659666666674</v>
          </cell>
          <cell r="I50">
            <v>56856.659666666674</v>
          </cell>
          <cell r="J50">
            <v>56856.659666666674</v>
          </cell>
          <cell r="K50">
            <v>56856.659666666652</v>
          </cell>
          <cell r="L50">
            <v>56856.659666666681</v>
          </cell>
          <cell r="M50">
            <v>56856.659666666666</v>
          </cell>
          <cell r="N50">
            <v>56856.659666666688</v>
          </cell>
          <cell r="O50">
            <v>56856.659666666681</v>
          </cell>
          <cell r="P50">
            <v>56856.659666666674</v>
          </cell>
          <cell r="Q50">
            <v>56856.659666666674</v>
          </cell>
          <cell r="R50">
            <v>56856.659666666688</v>
          </cell>
          <cell r="S50">
            <v>681932.69377777784</v>
          </cell>
          <cell r="U50"/>
          <cell r="V50">
            <v>113366.09711111113</v>
          </cell>
          <cell r="W50">
            <v>170222.7567777778</v>
          </cell>
          <cell r="X50">
            <v>227079.41644444445</v>
          </cell>
          <cell r="Y50">
            <v>283936.07611111109</v>
          </cell>
          <cell r="Z50">
            <v>340792.73577777779</v>
          </cell>
          <cell r="AA50">
            <v>397649.39544444444</v>
          </cell>
          <cell r="AB50">
            <v>454506.05511111114</v>
          </cell>
          <cell r="AC50">
            <v>511362.71477777779</v>
          </cell>
          <cell r="AD50">
            <v>568219.37444444443</v>
          </cell>
          <cell r="AE50">
            <v>625076.03411111108</v>
          </cell>
          <cell r="AF50">
            <v>681932.69377777772</v>
          </cell>
        </row>
        <row r="51">
          <cell r="G51">
            <v>1590.6550069247196</v>
          </cell>
          <cell r="H51">
            <v>1946.9923332673256</v>
          </cell>
          <cell r="I51">
            <v>1970.9064077879304</v>
          </cell>
          <cell r="J51">
            <v>1958.6121261937501</v>
          </cell>
          <cell r="K51">
            <v>1168.3320354632681</v>
          </cell>
          <cell r="L51">
            <v>1165.5213430340023</v>
          </cell>
          <cell r="M51">
            <v>953.04064962690097</v>
          </cell>
          <cell r="N51">
            <v>952.18871527358317</v>
          </cell>
          <cell r="O51">
            <v>1109.9810966005703</v>
          </cell>
          <cell r="P51">
            <v>929.08537771822307</v>
          </cell>
          <cell r="Q51">
            <v>918.9598820811234</v>
          </cell>
          <cell r="R51">
            <v>673.22012551172133</v>
          </cell>
          <cell r="S51">
            <v>15337.49509948312</v>
          </cell>
          <cell r="U51"/>
          <cell r="V51">
            <v>3537.6473401920452</v>
          </cell>
          <cell r="W51">
            <v>5508.5537479799759</v>
          </cell>
          <cell r="X51">
            <v>7467.1658741737265</v>
          </cell>
          <cell r="Y51">
            <v>8635.4979096369952</v>
          </cell>
          <cell r="Z51">
            <v>9801.019252670998</v>
          </cell>
          <cell r="AA51">
            <v>10754.059902297899</v>
          </cell>
          <cell r="AB51">
            <v>11706.248617571482</v>
          </cell>
          <cell r="AC51">
            <v>12816.229714172052</v>
          </cell>
          <cell r="AD51">
            <v>13745.315091890276</v>
          </cell>
          <cell r="AE51">
            <v>14664.274973971398</v>
          </cell>
          <cell r="AF51">
            <v>15337.49509948312</v>
          </cell>
        </row>
        <row r="52">
          <cell r="G52">
            <v>3485.2153777203766</v>
          </cell>
          <cell r="H52">
            <v>3795.8365369050675</v>
          </cell>
          <cell r="I52">
            <v>4535.3346491184921</v>
          </cell>
          <cell r="J52">
            <v>4728.2468685370577</v>
          </cell>
          <cell r="K52">
            <v>2806.3428653566757</v>
          </cell>
          <cell r="L52">
            <v>2755.955273498425</v>
          </cell>
          <cell r="M52">
            <v>3050.9143063885508</v>
          </cell>
          <cell r="N52">
            <v>3017.8799537793216</v>
          </cell>
          <cell r="O52">
            <v>3350.9778305226814</v>
          </cell>
          <cell r="P52">
            <v>3239.5703841157956</v>
          </cell>
          <cell r="Q52">
            <v>3175.7846234160243</v>
          </cell>
          <cell r="R52">
            <v>3430.7660099039081</v>
          </cell>
          <cell r="S52">
            <v>41372.824679262376</v>
          </cell>
          <cell r="U52"/>
          <cell r="V52">
            <v>7281.0519146254446</v>
          </cell>
          <cell r="W52">
            <v>11816.386563743938</v>
          </cell>
          <cell r="X52">
            <v>16544.633432280996</v>
          </cell>
          <cell r="Y52">
            <v>19350.976297637673</v>
          </cell>
          <cell r="Z52">
            <v>22106.931571136098</v>
          </cell>
          <cell r="AA52">
            <v>25157.845877524647</v>
          </cell>
          <cell r="AB52">
            <v>28175.725831303967</v>
          </cell>
          <cell r="AC52">
            <v>31526.70366182665</v>
          </cell>
          <cell r="AD52">
            <v>34766.274045942446</v>
          </cell>
          <cell r="AE52">
            <v>37942.05866935847</v>
          </cell>
          <cell r="AF52">
            <v>41372.824679262376</v>
          </cell>
        </row>
        <row r="53">
          <cell r="G53">
            <v>5075.8703846450962</v>
          </cell>
          <cell r="H53">
            <v>5742.8288701723932</v>
          </cell>
          <cell r="I53">
            <v>6506.2410569064223</v>
          </cell>
          <cell r="J53">
            <v>6686.8589947308083</v>
          </cell>
          <cell r="K53">
            <v>3974.674900819944</v>
          </cell>
          <cell r="L53">
            <v>3921.4766165324272</v>
          </cell>
          <cell r="M53">
            <v>4003.9549560154519</v>
          </cell>
          <cell r="N53">
            <v>3970.0686690529046</v>
          </cell>
          <cell r="O53">
            <v>4460.9589271232517</v>
          </cell>
          <cell r="P53">
            <v>4168.6557618340184</v>
          </cell>
          <cell r="Q53">
            <v>4094.7445054971477</v>
          </cell>
          <cell r="R53">
            <v>4103.9861354156292</v>
          </cell>
          <cell r="S53">
            <v>56710.319778745492</v>
          </cell>
          <cell r="U53"/>
          <cell r="V53">
            <v>10818.699254817489</v>
          </cell>
          <cell r="W53">
            <v>17324.940311723913</v>
          </cell>
          <cell r="X53">
            <v>24011.799306454723</v>
          </cell>
          <cell r="Y53">
            <v>27986.474207274667</v>
          </cell>
          <cell r="Z53">
            <v>31907.950823807096</v>
          </cell>
          <cell r="AA53">
            <v>35911.905779822548</v>
          </cell>
          <cell r="AB53">
            <v>39881.974448875451</v>
          </cell>
          <cell r="AC53">
            <v>44342.933375998706</v>
          </cell>
          <cell r="AD53">
            <v>48511.589137832721</v>
          </cell>
          <cell r="AE53">
            <v>52606.333643329868</v>
          </cell>
          <cell r="AF53">
            <v>56710.319778745499</v>
          </cell>
        </row>
        <row r="54">
          <cell r="G54">
            <v>6296.3427357436813</v>
          </cell>
          <cell r="H54">
            <v>7706.8446525164973</v>
          </cell>
          <cell r="I54">
            <v>8321.6048328823745</v>
          </cell>
          <cell r="J54">
            <v>7752.8396661835941</v>
          </cell>
          <cell r="K54">
            <v>4624.6476403754359</v>
          </cell>
          <cell r="L54">
            <v>4613.5219828429263</v>
          </cell>
          <cell r="M54">
            <v>4526.9430857277794</v>
          </cell>
          <cell r="N54">
            <v>4522.8963975495199</v>
          </cell>
          <cell r="O54">
            <v>5272.4102088527088</v>
          </cell>
          <cell r="P54">
            <v>4118.9451745507895</v>
          </cell>
          <cell r="Q54">
            <v>4074.0554772263135</v>
          </cell>
          <cell r="R54">
            <v>4381.3993292747564</v>
          </cell>
          <cell r="S54">
            <v>66212.451183726371</v>
          </cell>
          <cell r="U54"/>
          <cell r="V54">
            <v>14003.187388260179</v>
          </cell>
          <cell r="W54">
            <v>22324.792221142554</v>
          </cell>
          <cell r="X54">
            <v>30077.631887326148</v>
          </cell>
          <cell r="Y54">
            <v>34702.279527701583</v>
          </cell>
          <cell r="Z54">
            <v>39315.801510544508</v>
          </cell>
          <cell r="AA54">
            <v>43842.744596272285</v>
          </cell>
          <cell r="AB54">
            <v>48365.640993821806</v>
          </cell>
          <cell r="AC54">
            <v>53638.051202674513</v>
          </cell>
          <cell r="AD54">
            <v>57756.996377225303</v>
          </cell>
          <cell r="AE54">
            <v>61831.051854451616</v>
          </cell>
          <cell r="AF54">
            <v>66212.451183726371</v>
          </cell>
        </row>
        <row r="55">
          <cell r="G55">
            <v>4300.3085573928611</v>
          </cell>
          <cell r="H55">
            <v>4708.109396300888</v>
          </cell>
          <cell r="I55">
            <v>5687.536319105966</v>
          </cell>
          <cell r="J55">
            <v>5979.8392465844463</v>
          </cell>
          <cell r="K55">
            <v>3578.5594441288881</v>
          </cell>
          <cell r="L55">
            <v>3575.76419974889</v>
          </cell>
          <cell r="M55">
            <v>3791.227726263382</v>
          </cell>
          <cell r="N55">
            <v>3798.2507757047101</v>
          </cell>
          <cell r="O55">
            <v>4038.5198582955518</v>
          </cell>
          <cell r="P55">
            <v>3945.5974656054332</v>
          </cell>
          <cell r="Q55">
            <v>3916.978250976224</v>
          </cell>
          <cell r="R55">
            <v>4203.8258430263622</v>
          </cell>
          <cell r="S55">
            <v>51524.5170831336</v>
          </cell>
          <cell r="U55"/>
          <cell r="V55">
            <v>9008.4179536937481</v>
          </cell>
          <cell r="W55">
            <v>14695.954272799714</v>
          </cell>
          <cell r="X55">
            <v>20675.793519384162</v>
          </cell>
          <cell r="Y55">
            <v>24254.352963513051</v>
          </cell>
          <cell r="Z55">
            <v>27830.117163261941</v>
          </cell>
          <cell r="AA55">
            <v>31621.344889525324</v>
          </cell>
          <cell r="AB55">
            <v>35419.595665230037</v>
          </cell>
          <cell r="AC55">
            <v>39458.115523525586</v>
          </cell>
          <cell r="AD55">
            <v>43403.712989131018</v>
          </cell>
          <cell r="AE55">
            <v>47320.69124010724</v>
          </cell>
          <cell r="AF55">
            <v>51524.5170831336</v>
          </cell>
        </row>
        <row r="56">
          <cell r="G56">
            <v>10596.651293136543</v>
          </cell>
          <cell r="H56">
            <v>12414.954048817384</v>
          </cell>
          <cell r="I56">
            <v>14009.14115198834</v>
          </cell>
          <cell r="J56">
            <v>13732.67891276804</v>
          </cell>
          <cell r="K56">
            <v>8203.2070845043236</v>
          </cell>
          <cell r="L56">
            <v>8189.2861825918162</v>
          </cell>
          <cell r="M56">
            <v>8318.1708119911618</v>
          </cell>
          <cell r="N56">
            <v>8321.1471732542304</v>
          </cell>
          <cell r="O56">
            <v>9310.9300671482597</v>
          </cell>
          <cell r="P56">
            <v>8064.5426401562227</v>
          </cell>
          <cell r="Q56">
            <v>7991.0337282025375</v>
          </cell>
          <cell r="R56">
            <v>8585.2251723011177</v>
          </cell>
          <cell r="S56">
            <v>117736.96826685999</v>
          </cell>
          <cell r="U56"/>
          <cell r="V56">
            <v>23011.605341953928</v>
          </cell>
          <cell r="W56">
            <v>37020.746493942264</v>
          </cell>
          <cell r="X56">
            <v>50753.42540671031</v>
          </cell>
          <cell r="Y56">
            <v>58956.632491214637</v>
          </cell>
          <cell r="Z56">
            <v>67145.918673806445</v>
          </cell>
          <cell r="AA56">
            <v>75464.089485797609</v>
          </cell>
          <cell r="AB56">
            <v>83785.23665905185</v>
          </cell>
          <cell r="AC56">
            <v>93096.166726200099</v>
          </cell>
          <cell r="AD56">
            <v>101160.70936635631</v>
          </cell>
          <cell r="AE56">
            <v>109151.74309455886</v>
          </cell>
          <cell r="AF56">
            <v>117736.96826685997</v>
          </cell>
        </row>
        <row r="57">
          <cell r="G57">
            <v>7886.9977426684009</v>
          </cell>
          <cell r="H57">
            <v>9653.8369857838225</v>
          </cell>
          <cell r="I57">
            <v>10292.511240670305</v>
          </cell>
          <cell r="J57">
            <v>9711.4517923773437</v>
          </cell>
          <cell r="K57">
            <v>5792.9796758387038</v>
          </cell>
          <cell r="L57">
            <v>5779.0433258769281</v>
          </cell>
          <cell r="M57">
            <v>5479.98373535468</v>
          </cell>
          <cell r="N57">
            <v>5475.0851128231034</v>
          </cell>
          <cell r="O57">
            <v>6382.3913054532786</v>
          </cell>
          <cell r="P57">
            <v>5048.0305522690123</v>
          </cell>
          <cell r="Q57">
            <v>4993.0153593074374</v>
          </cell>
          <cell r="R57">
            <v>5054.6194547864779</v>
          </cell>
          <cell r="S57">
            <v>81549.946283209487</v>
          </cell>
          <cell r="U57"/>
          <cell r="V57">
            <v>17540.834728452224</v>
          </cell>
          <cell r="W57">
            <v>27833.345969122529</v>
          </cell>
          <cell r="X57">
            <v>37544.797761499874</v>
          </cell>
          <cell r="Y57">
            <v>43337.777437338576</v>
          </cell>
          <cell r="Z57">
            <v>49116.82076321551</v>
          </cell>
          <cell r="AA57">
            <v>54596.804498570185</v>
          </cell>
          <cell r="AB57">
            <v>60071.889611393286</v>
          </cell>
          <cell r="AC57">
            <v>66454.280916846561</v>
          </cell>
          <cell r="AD57">
            <v>71502.311469115579</v>
          </cell>
          <cell r="AE57">
            <v>76495.326828423014</v>
          </cell>
          <cell r="AF57">
            <v>81549.946283209487</v>
          </cell>
        </row>
        <row r="58">
          <cell r="G58">
            <v>7785.5239351132377</v>
          </cell>
          <cell r="H58">
            <v>8503.945933205956</v>
          </cell>
          <cell r="I58">
            <v>10222.870968224459</v>
          </cell>
          <cell r="J58">
            <v>10708.086115121503</v>
          </cell>
          <cell r="K58">
            <v>6384.9023094855638</v>
          </cell>
          <cell r="L58">
            <v>6331.7194732473145</v>
          </cell>
          <cell r="M58">
            <v>6842.1420326519328</v>
          </cell>
          <cell r="N58">
            <v>6816.1307294840317</v>
          </cell>
          <cell r="O58">
            <v>7389.4976888182337</v>
          </cell>
          <cell r="P58">
            <v>7185.1678497212288</v>
          </cell>
          <cell r="Q58">
            <v>7092.7628743922487</v>
          </cell>
          <cell r="R58">
            <v>7634.5918529302708</v>
          </cell>
          <cell r="S58">
            <v>92897.341762395983</v>
          </cell>
          <cell r="U58"/>
          <cell r="V58">
            <v>16289.469868319193</v>
          </cell>
          <cell r="W58">
            <v>26512.340836543652</v>
          </cell>
          <cell r="X58">
            <v>37220.426951665155</v>
          </cell>
          <cell r="Y58">
            <v>43605.32926115072</v>
          </cell>
          <cell r="Z58">
            <v>49937.048734398035</v>
          </cell>
          <cell r="AA58">
            <v>56779.190767049971</v>
          </cell>
          <cell r="AB58">
            <v>63595.321496534001</v>
          </cell>
          <cell r="AC58">
            <v>70984.819185352244</v>
          </cell>
          <cell r="AD58">
            <v>78169.987035073456</v>
          </cell>
          <cell r="AE58">
            <v>85262.749909465711</v>
          </cell>
          <cell r="AF58">
            <v>92897.341762395983</v>
          </cell>
        </row>
        <row r="59">
          <cell r="G59">
            <v>15672.521677781639</v>
          </cell>
          <cell r="H59">
            <v>18157.782918989778</v>
          </cell>
          <cell r="I59">
            <v>20515.382208894764</v>
          </cell>
          <cell r="J59">
            <v>20419.537907498845</v>
          </cell>
          <cell r="K59">
            <v>12177.881985324268</v>
          </cell>
          <cell r="L59">
            <v>12110.762799124243</v>
          </cell>
          <cell r="M59">
            <v>12322.125768006612</v>
          </cell>
          <cell r="N59">
            <v>12291.215842307134</v>
          </cell>
          <cell r="O59">
            <v>13771.888994271512</v>
          </cell>
          <cell r="P59">
            <v>12233.198401990241</v>
          </cell>
          <cell r="Q59">
            <v>12085.778233699686</v>
          </cell>
          <cell r="R59">
            <v>12689.211307716749</v>
          </cell>
          <cell r="S59">
            <v>174447.28804560547</v>
          </cell>
          <cell r="U59"/>
          <cell r="V59">
            <v>33830.304596771413</v>
          </cell>
          <cell r="W59">
            <v>54345.686805666177</v>
          </cell>
          <cell r="X59">
            <v>74765.224713165022</v>
          </cell>
          <cell r="Y59">
            <v>86943.106698489297</v>
          </cell>
          <cell r="Z59">
            <v>99053.869497613545</v>
          </cell>
          <cell r="AA59">
            <v>111375.99526562015</v>
          </cell>
          <cell r="AB59">
            <v>123667.21110792729</v>
          </cell>
          <cell r="AC59">
            <v>137439.1001021988</v>
          </cell>
          <cell r="AD59">
            <v>149672.29850418904</v>
          </cell>
          <cell r="AE59">
            <v>161758.07673788874</v>
          </cell>
          <cell r="AF59">
            <v>174447.28804560547</v>
          </cell>
        </row>
        <row r="60">
          <cell r="G60">
            <v>-42912.549399462572</v>
          </cell>
          <cell r="H60">
            <v>-34301.752584933653</v>
          </cell>
          <cell r="I60">
            <v>-29701.031187369135</v>
          </cell>
          <cell r="J60">
            <v>-25113.451576886189</v>
          </cell>
          <cell r="K60">
            <v>-34540.167662995351</v>
          </cell>
          <cell r="L60">
            <v>-28060.657787386503</v>
          </cell>
          <cell r="M60">
            <v>-24928.022172261179</v>
          </cell>
          <cell r="N60">
            <v>-20545.030743235642</v>
          </cell>
          <cell r="O60">
            <v>-27880.317742667066</v>
          </cell>
          <cell r="P60">
            <v>-18876.266135138525</v>
          </cell>
          <cell r="Q60">
            <v>-21908.607480479604</v>
          </cell>
          <cell r="R60">
            <v>-13412.193505081068</v>
          </cell>
          <cell r="S60">
            <v>-322180.04797789641</v>
          </cell>
          <cell r="V60">
            <v>-73676.654644204202</v>
          </cell>
          <cell r="W60">
            <v>-101406.7794237854</v>
          </cell>
          <cell r="X60">
            <v>-124561.6188744778</v>
          </cell>
          <cell r="Y60">
            <v>-157933.45450200993</v>
          </cell>
          <cell r="Z60">
            <v>-184828.59094636235</v>
          </cell>
          <cell r="AA60">
            <v>-208803.57246899666</v>
          </cell>
          <cell r="AB60">
            <v>-228396.41449695878</v>
          </cell>
          <cell r="AC60">
            <v>-255166.75114302529</v>
          </cell>
          <cell r="AD60">
            <v>-273113.9319004456</v>
          </cell>
          <cell r="AE60">
            <v>-294103.5794988441</v>
          </cell>
          <cell r="AF60">
            <v>-306842.55287841347</v>
          </cell>
        </row>
        <row r="61">
          <cell r="G61">
            <v>-31950.155502372952</v>
          </cell>
          <cell r="H61">
            <v>-16012.10352412706</v>
          </cell>
          <cell r="I61">
            <v>-10972.993519494838</v>
          </cell>
          <cell r="J61">
            <v>-3198.0328203220861</v>
          </cell>
          <cell r="K61">
            <v>-19689.760795982533</v>
          </cell>
          <cell r="L61">
            <v>-7890.2670124027863</v>
          </cell>
          <cell r="M61">
            <v>-12594.574379898571</v>
          </cell>
          <cell r="N61">
            <v>-2050.0409145282988</v>
          </cell>
          <cell r="O61">
            <v>-18680.460518759061</v>
          </cell>
          <cell r="P61">
            <v>2128.8160271552588</v>
          </cell>
          <cell r="Q61">
            <v>-5740.8375328615148</v>
          </cell>
          <cell r="R61">
            <v>-48.15852517628673</v>
          </cell>
          <cell r="S61">
            <v>-126698.56901877074</v>
          </cell>
          <cell r="V61">
            <v>-40681.207111874624</v>
          </cell>
          <cell r="W61">
            <v>-47118.865982250936</v>
          </cell>
          <cell r="X61">
            <v>-45588.651934035996</v>
          </cell>
          <cell r="Y61">
            <v>-62472.069864661855</v>
          </cell>
          <cell r="Z61">
            <v>-67606.381603566246</v>
          </cell>
          <cell r="AA61">
            <v>-77150.041677076413</v>
          </cell>
          <cell r="AB61">
            <v>-76182.202637825365</v>
          </cell>
          <cell r="AC61">
            <v>-91511.685326061532</v>
          </cell>
          <cell r="AD61">
            <v>-86143.298914790619</v>
          </cell>
          <cell r="AE61">
            <v>-88708.351824236132</v>
          </cell>
          <cell r="AF61">
            <v>-85325.744339508441</v>
          </cell>
        </row>
        <row r="62">
          <cell r="G62">
            <v>-74862.704901835532</v>
          </cell>
          <cell r="H62">
            <v>-50313.856109060711</v>
          </cell>
          <cell r="I62">
            <v>-40674.024706863973</v>
          </cell>
          <cell r="J62">
            <v>-28311.484397208274</v>
          </cell>
          <cell r="K62">
            <v>-54229.928458977884</v>
          </cell>
          <cell r="L62">
            <v>-35950.924799789289</v>
          </cell>
          <cell r="M62">
            <v>-37522.596552159754</v>
          </cell>
          <cell r="N62">
            <v>-22595.07165776394</v>
          </cell>
          <cell r="O62">
            <v>-46560.778261426123</v>
          </cell>
          <cell r="P62">
            <v>-16747.450107983266</v>
          </cell>
          <cell r="Q62">
            <v>-27649.445013341119</v>
          </cell>
          <cell r="R62">
            <v>-13460.352030257354</v>
          </cell>
          <cell r="S62">
            <v>-448878.61699666717</v>
          </cell>
          <cell r="V62">
            <v>-114357.86175607883</v>
          </cell>
          <cell r="W62">
            <v>-148525.64540603635</v>
          </cell>
          <cell r="X62">
            <v>-170150.2708085138</v>
          </cell>
          <cell r="Y62">
            <v>-220405.5243666718</v>
          </cell>
          <cell r="Z62">
            <v>-252434.97254992859</v>
          </cell>
          <cell r="AA62">
            <v>-285953.61414607306</v>
          </cell>
          <cell r="AB62">
            <v>-304578.61713478412</v>
          </cell>
          <cell r="AC62">
            <v>-346678.4364690868</v>
          </cell>
          <cell r="AD62">
            <v>-359257.23081523622</v>
          </cell>
          <cell r="AE62">
            <v>-382811.93132308021</v>
          </cell>
          <cell r="AF62">
            <v>-392168.29721792194</v>
          </cell>
        </row>
        <row r="63">
          <cell r="G63">
            <v>-4601.0787170883523</v>
          </cell>
          <cell r="H63">
            <v>16406.254718317574</v>
          </cell>
          <cell r="I63">
            <v>29731.395754901132</v>
          </cell>
          <cell r="J63">
            <v>39360.06170708529</v>
          </cell>
          <cell r="K63">
            <v>16945.763290794344</v>
          </cell>
          <cell r="L63">
            <v>33148.636906275846</v>
          </cell>
          <cell r="M63">
            <v>28548.11234636934</v>
          </cell>
          <cell r="N63">
            <v>41698.577518564307</v>
          </cell>
          <cell r="O63">
            <v>19416.579852947718</v>
          </cell>
          <cell r="P63">
            <v>43628.94870467233</v>
          </cell>
          <cell r="Q63">
            <v>35154.931247257933</v>
          </cell>
          <cell r="R63">
            <v>41256.408270851207</v>
          </cell>
          <cell r="S63">
            <v>340694.59160094865</v>
          </cell>
          <cell r="V63">
            <v>25808.363389489401</v>
          </cell>
          <cell r="W63">
            <v>63861.363977272937</v>
          </cell>
          <cell r="X63">
            <v>110974.26535054189</v>
          </cell>
          <cell r="Y63">
            <v>132544.67628171179</v>
          </cell>
          <cell r="Z63">
            <v>170306.83517083043</v>
          </cell>
          <cell r="AA63">
            <v>203381.89060292757</v>
          </cell>
          <cell r="AB63">
            <v>249603.36451904138</v>
          </cell>
          <cell r="AC63">
            <v>274292.35458084196</v>
          </cell>
          <cell r="AD63">
            <v>322040.24846006487</v>
          </cell>
          <cell r="AE63">
            <v>361269.23518454924</v>
          </cell>
          <cell r="AF63">
            <v>406907.04278467537</v>
          </cell>
        </row>
        <row r="64">
          <cell r="G64">
            <v>23945.856561343211</v>
          </cell>
          <cell r="H64">
            <v>32289.571968268356</v>
          </cell>
          <cell r="I64">
            <v>45589.854534581653</v>
          </cell>
          <cell r="J64">
            <v>55718.017737808965</v>
          </cell>
          <cell r="K64">
            <v>41316.615580749567</v>
          </cell>
          <cell r="L64">
            <v>52415.997226871208</v>
          </cell>
          <cell r="M64">
            <v>53591.321330258193</v>
          </cell>
          <cell r="N64">
            <v>63245.816274268494</v>
          </cell>
          <cell r="O64">
            <v>44276.211359049252</v>
          </cell>
          <cell r="P64">
            <v>71735.725920152632</v>
          </cell>
          <cell r="Q64">
            <v>65050.398080881401</v>
          </cell>
          <cell r="R64">
            <v>69859.864174654766</v>
          </cell>
          <cell r="S64">
            <v>619035.25074888766</v>
          </cell>
          <cell r="V64">
            <v>65243.8464833053</v>
          </cell>
          <cell r="W64">
            <v>116521.23733699293</v>
          </cell>
          <cell r="X64">
            <v>178219.09432138639</v>
          </cell>
          <cell r="Y64">
            <v>223114.26934626483</v>
          </cell>
          <cell r="Z64">
            <v>279106.03077288507</v>
          </cell>
          <cell r="AA64">
            <v>336488.57982940658</v>
          </cell>
          <cell r="AB64">
            <v>403532.64687937964</v>
          </cell>
          <cell r="AC64">
            <v>451847.37809672445</v>
          </cell>
          <cell r="AD64">
            <v>527528.7014824826</v>
          </cell>
          <cell r="AE64">
            <v>596496.07781434036</v>
          </cell>
          <cell r="AF64">
            <v>670559.76783202135</v>
          </cell>
        </row>
        <row r="65">
          <cell r="G65">
            <v>19344.777844254859</v>
          </cell>
          <cell r="H65">
            <v>48695.826686585933</v>
          </cell>
          <cell r="I65">
            <v>75321.250289482792</v>
          </cell>
          <cell r="J65">
            <v>95078.079444894247</v>
          </cell>
          <cell r="K65">
            <v>58262.378871543915</v>
          </cell>
          <cell r="L65">
            <v>85564.634133147047</v>
          </cell>
          <cell r="M65">
            <v>82139.433676627537</v>
          </cell>
          <cell r="N65">
            <v>104944.39379283279</v>
          </cell>
          <cell r="O65">
            <v>63692.79121199697</v>
          </cell>
          <cell r="P65">
            <v>115364.67462482495</v>
          </cell>
          <cell r="Q65">
            <v>100205.32932813934</v>
          </cell>
          <cell r="R65">
            <v>111116.27244550598</v>
          </cell>
          <cell r="S65">
            <v>959729.84234983637</v>
          </cell>
          <cell r="V65">
            <v>91052.209872794701</v>
          </cell>
          <cell r="W65">
            <v>180382.60131426586</v>
          </cell>
          <cell r="X65">
            <v>289193.35967192828</v>
          </cell>
          <cell r="Y65">
            <v>355658.94562797662</v>
          </cell>
          <cell r="Z65">
            <v>449412.8659437155</v>
          </cell>
          <cell r="AA65">
            <v>539870.47043233411</v>
          </cell>
          <cell r="AB65">
            <v>653136.01139842102</v>
          </cell>
          <cell r="AC65">
            <v>726139.73267756635</v>
          </cell>
          <cell r="AD65">
            <v>849568.94994254748</v>
          </cell>
          <cell r="AE65">
            <v>957765.3129988896</v>
          </cell>
          <cell r="AF65">
            <v>1077466.8106166967</v>
          </cell>
        </row>
        <row r="66">
          <cell r="G66">
            <v>-47513.628116550928</v>
          </cell>
          <cell r="H66">
            <v>-17895.497866616079</v>
          </cell>
          <cell r="I66">
            <v>30.364567531996727</v>
          </cell>
          <cell r="J66">
            <v>14246.6101301991</v>
          </cell>
          <cell r="K66">
            <v>-17594.404372201006</v>
          </cell>
          <cell r="L66">
            <v>5087.9791188893432</v>
          </cell>
          <cell r="M66">
            <v>3620.0901741081616</v>
          </cell>
          <cell r="N66">
            <v>21153.546775328665</v>
          </cell>
          <cell r="O66">
            <v>-8463.7378897193485</v>
          </cell>
          <cell r="P66">
            <v>24752.682569533805</v>
          </cell>
          <cell r="Q66">
            <v>13246.323766778329</v>
          </cell>
          <cell r="R66">
            <v>27844.214765770139</v>
          </cell>
          <cell r="S66">
            <v>18514.543623052181</v>
          </cell>
          <cell r="V66">
            <v>-47868.291254714801</v>
          </cell>
          <cell r="W66">
            <v>-37545.415446512459</v>
          </cell>
          <cell r="X66">
            <v>-13587.353523935919</v>
          </cell>
          <cell r="Y66">
            <v>-25388.778220298147</v>
          </cell>
          <cell r="Z66">
            <v>-14521.755775531929</v>
          </cell>
          <cell r="AA66">
            <v>-5421.6818660690915</v>
          </cell>
          <cell r="AB66">
            <v>21206.950022082601</v>
          </cell>
          <cell r="AC66">
            <v>19125.603437816666</v>
          </cell>
          <cell r="AD66">
            <v>48926.31655961927</v>
          </cell>
          <cell r="AE66">
            <v>67165.655685705133</v>
          </cell>
          <cell r="AF66">
            <v>100064.48990626191</v>
          </cell>
        </row>
        <row r="67">
          <cell r="G67">
            <v>-8004.2989410297414</v>
          </cell>
          <cell r="H67">
            <v>16277.468444141296</v>
          </cell>
          <cell r="I67">
            <v>34616.861015086819</v>
          </cell>
          <cell r="J67">
            <v>52519.98491748688</v>
          </cell>
          <cell r="K67">
            <v>21626.854784767034</v>
          </cell>
          <cell r="L67">
            <v>44525.730214468422</v>
          </cell>
          <cell r="M67">
            <v>40996.746950359622</v>
          </cell>
          <cell r="N67">
            <v>61195.775359740197</v>
          </cell>
          <cell r="O67">
            <v>25595.750840290191</v>
          </cell>
          <cell r="P67">
            <v>73864.541947307895</v>
          </cell>
          <cell r="Q67">
            <v>59309.560548019886</v>
          </cell>
          <cell r="R67">
            <v>69811.705649478477</v>
          </cell>
          <cell r="S67">
            <v>492336.68173011695</v>
          </cell>
          <cell r="V67">
            <v>24562.639371430676</v>
          </cell>
          <cell r="W67">
            <v>69402.37135474199</v>
          </cell>
          <cell r="X67">
            <v>132630.4423873504</v>
          </cell>
          <cell r="Y67">
            <v>160642.19948160299</v>
          </cell>
          <cell r="Z67">
            <v>211499.64916931884</v>
          </cell>
          <cell r="AA67">
            <v>259338.53815233015</v>
          </cell>
          <cell r="AB67">
            <v>327350.44424155424</v>
          </cell>
          <cell r="AC67">
            <v>360335.69277066295</v>
          </cell>
          <cell r="AD67">
            <v>441385.40256769198</v>
          </cell>
          <cell r="AE67">
            <v>507787.72599010426</v>
          </cell>
          <cell r="AF67">
            <v>585234.02349251288</v>
          </cell>
        </row>
        <row r="68">
          <cell r="G68">
            <v>-55517.927057580673</v>
          </cell>
          <cell r="H68">
            <v>-1618.0294224747831</v>
          </cell>
          <cell r="I68">
            <v>34647.225582618819</v>
          </cell>
          <cell r="J68">
            <v>66766.595047685987</v>
          </cell>
          <cell r="K68">
            <v>4032.4504125660278</v>
          </cell>
          <cell r="L68">
            <v>49613.709333357765</v>
          </cell>
          <cell r="M68">
            <v>44616.837124467784</v>
          </cell>
          <cell r="N68">
            <v>82349.322135068855</v>
          </cell>
          <cell r="O68">
            <v>17132.012950570843</v>
          </cell>
          <cell r="P68">
            <v>98617.224516841699</v>
          </cell>
          <cell r="Q68">
            <v>72555.884314798212</v>
          </cell>
          <cell r="R68">
            <v>97655.92041524862</v>
          </cell>
          <cell r="S68">
            <v>510851.2253531692</v>
          </cell>
          <cell r="V68">
            <v>-23305.651883284125</v>
          </cell>
          <cell r="W68">
            <v>31856.955908229531</v>
          </cell>
          <cell r="X68">
            <v>119043.08886341448</v>
          </cell>
          <cell r="Y68">
            <v>135253.42126130484</v>
          </cell>
          <cell r="Z68">
            <v>196977.89339378692</v>
          </cell>
          <cell r="AA68">
            <v>253916.85628626106</v>
          </cell>
          <cell r="AB68">
            <v>348557.39426363684</v>
          </cell>
          <cell r="AC68">
            <v>379461.29620847962</v>
          </cell>
          <cell r="AD68">
            <v>490311.71912731125</v>
          </cell>
          <cell r="AE68">
            <v>574953.38167580939</v>
          </cell>
          <cell r="AF68">
            <v>685298.51339877478</v>
          </cell>
        </row>
        <row r="71">
          <cell r="G71">
            <v>39670.29996559782</v>
          </cell>
          <cell r="H71">
            <v>37656.38338633901</v>
          </cell>
          <cell r="I71">
            <v>41770.327835024887</v>
          </cell>
          <cell r="J71">
            <v>41833.975250037794</v>
          </cell>
          <cell r="K71">
            <v>41810.091372023955</v>
          </cell>
          <cell r="L71">
            <v>41645.145544513252</v>
          </cell>
          <cell r="M71">
            <v>42799.509732629442</v>
          </cell>
          <cell r="N71">
            <v>42708.76471921453</v>
          </cell>
          <cell r="O71">
            <v>41116.309768000385</v>
          </cell>
          <cell r="P71">
            <v>43565.728071919184</v>
          </cell>
          <cell r="Q71">
            <v>43490.335385892016</v>
          </cell>
          <cell r="R71">
            <v>41933.0060593015</v>
          </cell>
          <cell r="S71">
            <v>499999.87709049374</v>
          </cell>
          <cell r="T71">
            <v>170105.37928511307</v>
          </cell>
        </row>
        <row r="72">
          <cell r="G72">
            <v>709406.85182383005</v>
          </cell>
          <cell r="H72">
            <v>671476.89686755487</v>
          </cell>
          <cell r="I72">
            <v>749455.94230335439</v>
          </cell>
          <cell r="J72">
            <v>750636.99937211617</v>
          </cell>
          <cell r="K72">
            <v>750478.01166872459</v>
          </cell>
          <cell r="L72">
            <v>748141.53061074147</v>
          </cell>
          <cell r="M72">
            <v>775756.57068754709</v>
          </cell>
          <cell r="N72">
            <v>774502.93067854433</v>
          </cell>
          <cell r="O72">
            <v>744439.10998751165</v>
          </cell>
          <cell r="P72">
            <v>790015.55908893293</v>
          </cell>
          <cell r="Q72">
            <v>789095.04991640872</v>
          </cell>
          <cell r="R72">
            <v>770377.21380474255</v>
          </cell>
          <cell r="S72">
            <v>9023782.6668100096</v>
          </cell>
          <cell r="T72">
            <v>3093926.9327975959</v>
          </cell>
        </row>
        <row r="73">
          <cell r="G73">
            <v>277692.09975918476</v>
          </cell>
          <cell r="H73">
            <v>263594.68370437308</v>
          </cell>
          <cell r="I73">
            <v>292392.29484517418</v>
          </cell>
          <cell r="J73">
            <v>292837.82675026462</v>
          </cell>
          <cell r="K73">
            <v>292670.63960416772</v>
          </cell>
          <cell r="L73">
            <v>291516.01881159277</v>
          </cell>
          <cell r="M73">
            <v>299596.56812840613</v>
          </cell>
          <cell r="N73">
            <v>298961.35303450166</v>
          </cell>
          <cell r="O73">
            <v>287814.16837600269</v>
          </cell>
          <cell r="P73">
            <v>304960.0965034343</v>
          </cell>
          <cell r="Q73">
            <v>304432.34770124411</v>
          </cell>
          <cell r="R73">
            <v>293531.04241511051</v>
          </cell>
          <cell r="S73">
            <v>3499999.1396334567</v>
          </cell>
          <cell r="T73">
            <v>1190737.6549957916</v>
          </cell>
        </row>
        <row r="74">
          <cell r="G74">
            <v>27000</v>
          </cell>
          <cell r="H74">
            <v>27000</v>
          </cell>
          <cell r="I74">
            <v>27000</v>
          </cell>
          <cell r="J74">
            <v>27000</v>
          </cell>
          <cell r="K74">
            <v>27000</v>
          </cell>
          <cell r="L74">
            <v>27000</v>
          </cell>
          <cell r="M74">
            <v>27000</v>
          </cell>
          <cell r="N74">
            <v>27000</v>
          </cell>
          <cell r="O74">
            <v>27000</v>
          </cell>
          <cell r="P74">
            <v>27000</v>
          </cell>
          <cell r="Q74">
            <v>27000</v>
          </cell>
          <cell r="R74">
            <v>27000</v>
          </cell>
          <cell r="S74">
            <v>324000</v>
          </cell>
          <cell r="T74">
            <v>108000</v>
          </cell>
        </row>
        <row r="75">
          <cell r="G75">
            <v>37374.29</v>
          </cell>
          <cell r="H75">
            <v>37374.29</v>
          </cell>
          <cell r="I75">
            <v>37607.31</v>
          </cell>
          <cell r="J75">
            <v>37607.31</v>
          </cell>
          <cell r="K75">
            <v>37607.31</v>
          </cell>
          <cell r="L75">
            <v>37607.31</v>
          </cell>
          <cell r="M75">
            <v>37607.31</v>
          </cell>
          <cell r="N75">
            <v>37607.31</v>
          </cell>
          <cell r="O75">
            <v>37607.31</v>
          </cell>
          <cell r="P75">
            <v>37607.31</v>
          </cell>
          <cell r="Q75">
            <v>37607.31</v>
          </cell>
          <cell r="R75">
            <v>37607.31</v>
          </cell>
          <cell r="S75">
            <v>450821.68</v>
          </cell>
          <cell r="T75">
            <v>150429.24</v>
          </cell>
        </row>
        <row r="76">
          <cell r="G76">
            <v>357185.86744444445</v>
          </cell>
          <cell r="H76">
            <v>276968.16966666665</v>
          </cell>
          <cell r="I76">
            <v>287293.72966666671</v>
          </cell>
          <cell r="J76">
            <v>256005.72966666671</v>
          </cell>
          <cell r="K76">
            <v>326989.72966666671</v>
          </cell>
          <cell r="L76">
            <v>280293.72966666671</v>
          </cell>
          <cell r="M76">
            <v>304613.72966666671</v>
          </cell>
          <cell r="N76">
            <v>266293.72966666671</v>
          </cell>
          <cell r="O76">
            <v>311113.72966666671</v>
          </cell>
          <cell r="P76">
            <v>259597.72966666671</v>
          </cell>
          <cell r="Q76">
            <v>285413.72966666671</v>
          </cell>
          <cell r="R76">
            <v>251893.72966666671</v>
          </cell>
          <cell r="S76">
            <v>3463663.3337777774</v>
          </cell>
          <cell r="T76">
            <v>1108018.9186666668</v>
          </cell>
        </row>
        <row r="77">
          <cell r="G77">
            <v>50000</v>
          </cell>
          <cell r="H77">
            <v>50000</v>
          </cell>
          <cell r="I77">
            <v>50000</v>
          </cell>
          <cell r="J77">
            <v>50000</v>
          </cell>
          <cell r="K77">
            <v>50000</v>
          </cell>
          <cell r="L77">
            <v>50000</v>
          </cell>
          <cell r="M77">
            <v>50000</v>
          </cell>
          <cell r="N77">
            <v>50000</v>
          </cell>
          <cell r="O77">
            <v>50000</v>
          </cell>
          <cell r="P77">
            <v>50000</v>
          </cell>
          <cell r="Q77">
            <v>50000</v>
          </cell>
          <cell r="R77">
            <v>50000</v>
          </cell>
          <cell r="S77">
            <v>600000</v>
          </cell>
          <cell r="T77">
            <v>200000</v>
          </cell>
        </row>
        <row r="78">
          <cell r="S78">
            <v>0</v>
          </cell>
          <cell r="T78">
            <v>0</v>
          </cell>
        </row>
        <row r="79">
          <cell r="G79">
            <v>749252.25720362924</v>
          </cell>
          <cell r="H79">
            <v>654937.14337103977</v>
          </cell>
          <cell r="I79">
            <v>694293.33451184095</v>
          </cell>
          <cell r="J79">
            <v>663450.86641693139</v>
          </cell>
          <cell r="K79">
            <v>734267.67927083443</v>
          </cell>
          <cell r="L79">
            <v>686417.05847825948</v>
          </cell>
          <cell r="M79">
            <v>718817.60779507284</v>
          </cell>
          <cell r="N79">
            <v>679862.39270116831</v>
          </cell>
          <cell r="O79">
            <v>713535.20804266934</v>
          </cell>
          <cell r="P79">
            <v>679165.136170101</v>
          </cell>
          <cell r="Q79">
            <v>704453.38736791082</v>
          </cell>
          <cell r="R79">
            <v>660032.08208177728</v>
          </cell>
          <cell r="S79">
            <v>8338484.1534112347</v>
          </cell>
          <cell r="T79">
            <v>2757185.8136624582</v>
          </cell>
        </row>
        <row r="80">
          <cell r="G80">
            <v>-39845.405379799195</v>
          </cell>
          <cell r="H80">
            <v>16539.753496515099</v>
          </cell>
          <cell r="I80">
            <v>55162.607791513437</v>
          </cell>
          <cell r="J80">
            <v>87186.132955184788</v>
          </cell>
          <cell r="K80">
            <v>16210.332397890161</v>
          </cell>
          <cell r="L80">
            <v>61724.472132481984</v>
          </cell>
          <cell r="M80">
            <v>56938.962892474257</v>
          </cell>
          <cell r="N80">
            <v>94640.537977376021</v>
          </cell>
          <cell r="O80">
            <v>30903.901944842306</v>
          </cell>
          <cell r="P80">
            <v>110850.42291883193</v>
          </cell>
          <cell r="Q80">
            <v>84641.662548497901</v>
          </cell>
          <cell r="R80">
            <v>110345.13172296528</v>
          </cell>
          <cell r="S80">
            <v>685298.51339877397</v>
          </cell>
          <cell r="T80">
            <v>336741.11913513741</v>
          </cell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U5"/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U6"/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U7"/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/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>
            <v>0</v>
          </cell>
          <cell r="U9"/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/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/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U12"/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G13">
            <v>9859.7553407028245</v>
          </cell>
          <cell r="H13">
            <v>8773.1544311774724</v>
          </cell>
          <cell r="I13">
            <v>10355.137027505783</v>
          </cell>
          <cell r="J13">
            <v>10863.361164706679</v>
          </cell>
          <cell r="K13">
            <v>10809.035882592707</v>
          </cell>
          <cell r="L13">
            <v>10640.559098179559</v>
          </cell>
          <cell r="M13">
            <v>12004.659668437012</v>
          </cell>
          <cell r="N13">
            <v>11885.30135375616</v>
          </cell>
          <cell r="O13">
            <v>11321.063847794539</v>
          </cell>
          <cell r="P13">
            <v>13075.643242034368</v>
          </cell>
          <cell r="Q13">
            <v>12959.425726877136</v>
          </cell>
          <cell r="R13">
            <v>13017.869549930658</v>
          </cell>
          <cell r="S13">
            <v>135564.9663336949</v>
          </cell>
          <cell r="U13"/>
          <cell r="V13">
            <v>18632.909771880295</v>
          </cell>
          <cell r="W13">
            <v>28988.04679938608</v>
          </cell>
          <cell r="X13">
            <v>39851.407964092759</v>
          </cell>
          <cell r="Y13">
            <v>50660.443846685463</v>
          </cell>
          <cell r="Z13">
            <v>61301.002944865024</v>
          </cell>
          <cell r="AA13">
            <v>73305.662613302033</v>
          </cell>
          <cell r="AB13">
            <v>85190.963967058196</v>
          </cell>
        </row>
        <row r="14">
          <cell r="G14">
            <v>15859.755340702824</v>
          </cell>
          <cell r="H14">
            <v>14773.154431177472</v>
          </cell>
          <cell r="I14">
            <v>16355.137027505783</v>
          </cell>
          <cell r="J14">
            <v>16863.361164706679</v>
          </cell>
          <cell r="K14">
            <v>16809.035882592707</v>
          </cell>
          <cell r="L14">
            <v>16640.559098179561</v>
          </cell>
          <cell r="M14">
            <v>17004.659668437012</v>
          </cell>
          <cell r="N14">
            <v>16885.30135375616</v>
          </cell>
          <cell r="O14">
            <v>16321.063847794539</v>
          </cell>
          <cell r="P14">
            <v>18075.64324203437</v>
          </cell>
          <cell r="Q14">
            <v>17959.425726877136</v>
          </cell>
          <cell r="R14">
            <v>16423.869549930656</v>
          </cell>
          <cell r="S14">
            <v>199970.9663336949</v>
          </cell>
          <cell r="U14"/>
          <cell r="V14">
            <v>30632.909771880295</v>
          </cell>
          <cell r="W14">
            <v>46988.04679938608</v>
          </cell>
          <cell r="X14">
            <v>63851.407964092759</v>
          </cell>
          <cell r="Y14">
            <v>80660.443846685463</v>
          </cell>
          <cell r="Z14">
            <v>97301.002944865031</v>
          </cell>
          <cell r="AA14">
            <v>114305.66261330205</v>
          </cell>
          <cell r="AB14">
            <v>131190.9639670582</v>
          </cell>
        </row>
        <row r="15">
          <cell r="G15">
            <v>15000</v>
          </cell>
          <cell r="H15">
            <v>15000</v>
          </cell>
          <cell r="I15">
            <v>16000</v>
          </cell>
          <cell r="J15">
            <v>15000</v>
          </cell>
          <cell r="K15">
            <v>15000</v>
          </cell>
          <cell r="L15">
            <v>15000</v>
          </cell>
          <cell r="M15">
            <v>15000</v>
          </cell>
          <cell r="N15">
            <v>15000</v>
          </cell>
          <cell r="O15">
            <v>15000</v>
          </cell>
          <cell r="P15">
            <v>14000</v>
          </cell>
          <cell r="Q15">
            <v>14000</v>
          </cell>
          <cell r="R15">
            <v>14000</v>
          </cell>
          <cell r="S15">
            <v>178000</v>
          </cell>
          <cell r="U15"/>
          <cell r="V15">
            <v>30000</v>
          </cell>
          <cell r="W15">
            <v>46000</v>
          </cell>
          <cell r="X15">
            <v>61000</v>
          </cell>
          <cell r="Y15">
            <v>76000</v>
          </cell>
          <cell r="Z15">
            <v>91000</v>
          </cell>
          <cell r="AA15">
            <v>106000</v>
          </cell>
          <cell r="AB15">
            <v>121000</v>
          </cell>
        </row>
        <row r="16">
          <cell r="G16">
            <v>6812.6046248949951</v>
          </cell>
          <cell r="H16">
            <v>6081.2689551615358</v>
          </cell>
          <cell r="I16">
            <v>7221.2811300997464</v>
          </cell>
          <cell r="J16">
            <v>7595.3882788795063</v>
          </cell>
          <cell r="K16">
            <v>7628.3458120118939</v>
          </cell>
          <cell r="L16">
            <v>7701.3606398820802</v>
          </cell>
          <cell r="M16">
            <v>8394.9661932246891</v>
          </cell>
          <cell r="N16">
            <v>8423.0762686841754</v>
          </cell>
          <cell r="O16">
            <v>8048.1039847219763</v>
          </cell>
          <cell r="P16">
            <v>9123.4138621428792</v>
          </cell>
          <cell r="Q16">
            <v>9164.2386912729435</v>
          </cell>
          <cell r="R16">
            <v>9136.4268319514886</v>
          </cell>
          <cell r="S16">
            <v>95330.475272927899</v>
          </cell>
          <cell r="U16"/>
          <cell r="V16">
            <v>12893.87358005653</v>
          </cell>
          <cell r="W16">
            <v>20115.154710156276</v>
          </cell>
          <cell r="X16">
            <v>27710.542989035781</v>
          </cell>
          <cell r="Y16">
            <v>35338.888801047673</v>
          </cell>
          <cell r="Z16">
            <v>43040.249440929751</v>
          </cell>
          <cell r="AA16">
            <v>51435.21563415444</v>
          </cell>
          <cell r="AB16">
            <v>59858.291902838617</v>
          </cell>
        </row>
        <row r="17">
          <cell r="G17">
            <v>1997.9400000000005</v>
          </cell>
          <cell r="H17">
            <v>1801.96</v>
          </cell>
          <cell r="I17">
            <v>2193.9096774193549</v>
          </cell>
          <cell r="J17">
            <v>2375.2258064516132</v>
          </cell>
          <cell r="K17">
            <v>2372.7096774193556</v>
          </cell>
          <cell r="L17">
            <v>2303.2258064516132</v>
          </cell>
          <cell r="M17">
            <v>2399.883870967742</v>
          </cell>
          <cell r="N17">
            <v>2400.3870967741937</v>
          </cell>
          <cell r="O17">
            <v>1747.1419354838713</v>
          </cell>
          <cell r="P17">
            <v>2366.6709677419362</v>
          </cell>
          <cell r="Q17">
            <v>2366.6709677419362</v>
          </cell>
          <cell r="R17">
            <v>2372.7096774193556</v>
          </cell>
          <cell r="S17">
            <v>26698.435483870973</v>
          </cell>
          <cell r="U17"/>
          <cell r="V17">
            <v>3799.9000000000005</v>
          </cell>
          <cell r="W17">
            <v>5993.8096774193555</v>
          </cell>
          <cell r="X17">
            <v>8369.0354838709682</v>
          </cell>
          <cell r="Y17">
            <v>10741.745161290324</v>
          </cell>
          <cell r="Z17">
            <v>13044.970967741938</v>
          </cell>
          <cell r="AA17">
            <v>15444.85483870968</v>
          </cell>
          <cell r="AB17">
            <v>17845.241935483875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/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/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/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/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G22">
            <v>8810.5446248949956</v>
          </cell>
          <cell r="H22">
            <v>7883.2289551615359</v>
          </cell>
          <cell r="I22">
            <v>9415.1908075191022</v>
          </cell>
          <cell r="J22">
            <v>9970.614085331119</v>
          </cell>
          <cell r="K22">
            <v>10001.05548943125</v>
          </cell>
          <cell r="L22">
            <v>10004.586446333693</v>
          </cell>
          <cell r="M22">
            <v>10794.850064192431</v>
          </cell>
          <cell r="N22">
            <v>10823.463365458369</v>
          </cell>
          <cell r="O22">
            <v>9795.2459202058471</v>
          </cell>
          <cell r="P22">
            <v>11490.084829884816</v>
          </cell>
          <cell r="Q22">
            <v>11530.90965901488</v>
          </cell>
          <cell r="R22">
            <v>11509.136509370845</v>
          </cell>
          <cell r="S22">
            <v>122028.91075679887</v>
          </cell>
          <cell r="U22"/>
          <cell r="V22">
            <v>16693.773580056532</v>
          </cell>
          <cell r="W22">
            <v>26108.964387575634</v>
          </cell>
          <cell r="X22">
            <v>36079.578472906753</v>
          </cell>
          <cell r="Y22">
            <v>46080.633962338004</v>
          </cell>
          <cell r="Z22">
            <v>56085.220408671696</v>
          </cell>
          <cell r="AA22">
            <v>66880.070472864129</v>
          </cell>
          <cell r="AB22">
            <v>77703.533838322503</v>
          </cell>
        </row>
        <row r="23">
          <cell r="G23">
            <v>23810.544624894996</v>
          </cell>
          <cell r="H23">
            <v>22883.228955161536</v>
          </cell>
          <cell r="I23">
            <v>25415.190807519102</v>
          </cell>
          <cell r="J23">
            <v>24970.614085331119</v>
          </cell>
          <cell r="K23">
            <v>25001.055489431252</v>
          </cell>
          <cell r="L23">
            <v>25004.586446333691</v>
          </cell>
          <cell r="M23">
            <v>25794.850064192433</v>
          </cell>
          <cell r="N23">
            <v>25823.463365458367</v>
          </cell>
          <cell r="O23">
            <v>24795.245920205845</v>
          </cell>
          <cell r="P23">
            <v>25490.084829884814</v>
          </cell>
          <cell r="Q23">
            <v>25530.90965901488</v>
          </cell>
          <cell r="R23">
            <v>25509.136509370845</v>
          </cell>
          <cell r="S23">
            <v>300028.91075679887</v>
          </cell>
          <cell r="U23"/>
          <cell r="V23">
            <v>46693.773580056528</v>
          </cell>
          <cell r="W23">
            <v>72108.96438757563</v>
          </cell>
          <cell r="X23">
            <v>97079.578472906753</v>
          </cell>
          <cell r="Y23">
            <v>122080.633962338</v>
          </cell>
          <cell r="Z23">
            <v>147085.22040867171</v>
          </cell>
          <cell r="AA23">
            <v>172880.07047286414</v>
          </cell>
          <cell r="AB23">
            <v>198703.5338383225</v>
          </cell>
        </row>
        <row r="24">
          <cell r="G24">
            <v>21000</v>
          </cell>
          <cell r="H24">
            <v>21000</v>
          </cell>
          <cell r="I24">
            <v>22000</v>
          </cell>
          <cell r="J24">
            <v>21000</v>
          </cell>
          <cell r="K24">
            <v>21000</v>
          </cell>
          <cell r="L24">
            <v>21000</v>
          </cell>
          <cell r="M24">
            <v>20000</v>
          </cell>
          <cell r="N24">
            <v>20000</v>
          </cell>
          <cell r="O24">
            <v>20000</v>
          </cell>
          <cell r="P24">
            <v>19000</v>
          </cell>
          <cell r="Q24">
            <v>19000</v>
          </cell>
          <cell r="R24">
            <v>17406</v>
          </cell>
          <cell r="S24">
            <v>242406</v>
          </cell>
          <cell r="U24"/>
          <cell r="V24">
            <v>42000</v>
          </cell>
          <cell r="W24">
            <v>64000</v>
          </cell>
          <cell r="X24">
            <v>85000</v>
          </cell>
          <cell r="Y24">
            <v>106000</v>
          </cell>
          <cell r="Z24">
            <v>127000</v>
          </cell>
          <cell r="AA24">
            <v>147000</v>
          </cell>
          <cell r="AB24">
            <v>167000</v>
          </cell>
        </row>
        <row r="25">
          <cell r="G25">
            <v>16672.359965597818</v>
          </cell>
          <cell r="H25">
            <v>14854.423386339007</v>
          </cell>
          <cell r="I25">
            <v>17576.418157605531</v>
          </cell>
          <cell r="J25">
            <v>18458.749443586184</v>
          </cell>
          <cell r="K25">
            <v>18437.381694604599</v>
          </cell>
          <cell r="L25">
            <v>18341.919738061639</v>
          </cell>
          <cell r="M25">
            <v>20399.625861661701</v>
          </cell>
          <cell r="N25">
            <v>20308.377622440334</v>
          </cell>
          <cell r="O25">
            <v>19369.167832516516</v>
          </cell>
          <cell r="P25">
            <v>22199.057104177249</v>
          </cell>
          <cell r="Q25">
            <v>22123.664418150081</v>
          </cell>
          <cell r="R25">
            <v>22154.296381882144</v>
          </cell>
          <cell r="S25">
            <v>230895.44160662283</v>
          </cell>
          <cell r="U25"/>
          <cell r="V25">
            <v>31526.783351936825</v>
          </cell>
          <cell r="W25">
            <v>49103.201509542356</v>
          </cell>
          <cell r="X25">
            <v>67561.950953128544</v>
          </cell>
          <cell r="Y25">
            <v>85999.332647733143</v>
          </cell>
          <cell r="Z25">
            <v>104341.25238579478</v>
          </cell>
          <cell r="AA25">
            <v>124740.87824745648</v>
          </cell>
          <cell r="AB25">
            <v>145049.25586989682</v>
          </cell>
        </row>
        <row r="26">
          <cell r="G26">
            <v>1997.9400000000005</v>
          </cell>
          <cell r="H26">
            <v>1801.96</v>
          </cell>
          <cell r="I26">
            <v>2193.9096774193549</v>
          </cell>
          <cell r="J26">
            <v>2375.2258064516132</v>
          </cell>
          <cell r="K26">
            <v>2372.7096774193556</v>
          </cell>
          <cell r="L26">
            <v>2303.2258064516132</v>
          </cell>
          <cell r="M26">
            <v>2399.883870967742</v>
          </cell>
          <cell r="N26">
            <v>2400.3870967741937</v>
          </cell>
          <cell r="O26">
            <v>1747.1419354838713</v>
          </cell>
          <cell r="P26">
            <v>2366.6709677419362</v>
          </cell>
          <cell r="Q26">
            <v>2366.6709677419362</v>
          </cell>
          <cell r="R26">
            <v>2372.7096774193556</v>
          </cell>
          <cell r="S26">
            <v>26698.435483870973</v>
          </cell>
          <cell r="U26"/>
          <cell r="V26">
            <v>3799.9000000000005</v>
          </cell>
          <cell r="W26">
            <v>5993.8096774193555</v>
          </cell>
          <cell r="X26">
            <v>8369.0354838709682</v>
          </cell>
          <cell r="Y26">
            <v>10741.745161290324</v>
          </cell>
          <cell r="Z26">
            <v>13044.970967741938</v>
          </cell>
          <cell r="AA26">
            <v>15444.85483870968</v>
          </cell>
          <cell r="AB26">
            <v>17845.241935483875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/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/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U30"/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G31">
            <v>18670.29996559782</v>
          </cell>
          <cell r="H31">
            <v>16656.383386339006</v>
          </cell>
          <cell r="I31">
            <v>19770.327835024887</v>
          </cell>
          <cell r="J31">
            <v>20833.975250037798</v>
          </cell>
          <cell r="K31">
            <v>20810.091372023955</v>
          </cell>
          <cell r="L31">
            <v>20645.145544513252</v>
          </cell>
          <cell r="M31">
            <v>22799.509732629442</v>
          </cell>
          <cell r="N31">
            <v>22708.764719214527</v>
          </cell>
          <cell r="O31">
            <v>21116.309768000388</v>
          </cell>
          <cell r="P31">
            <v>24565.728071919184</v>
          </cell>
          <cell r="Q31">
            <v>24490.335385892016</v>
          </cell>
          <cell r="R31">
            <v>24527.0060593015</v>
          </cell>
          <cell r="S31">
            <v>257593.8770904938</v>
          </cell>
          <cell r="U31"/>
          <cell r="V31">
            <v>35326.683351936823</v>
          </cell>
          <cell r="W31">
            <v>55097.01118696171</v>
          </cell>
          <cell r="X31">
            <v>75930.986436999505</v>
          </cell>
          <cell r="Y31">
            <v>96741.077809023467</v>
          </cell>
          <cell r="Z31">
            <v>117386.22335353671</v>
          </cell>
          <cell r="AA31">
            <v>140185.73308616615</v>
          </cell>
          <cell r="AB31">
            <v>162894.49780538067</v>
          </cell>
        </row>
        <row r="32">
          <cell r="G32">
            <v>39670.29996559782</v>
          </cell>
          <cell r="H32">
            <v>37656.383386339003</v>
          </cell>
          <cell r="I32">
            <v>41770.327835024887</v>
          </cell>
          <cell r="J32">
            <v>41833.975250037794</v>
          </cell>
          <cell r="K32">
            <v>41810.091372023955</v>
          </cell>
          <cell r="L32">
            <v>41645.145544513252</v>
          </cell>
          <cell r="M32">
            <v>42799.509732629442</v>
          </cell>
          <cell r="N32">
            <v>42708.764719214523</v>
          </cell>
          <cell r="O32">
            <v>41116.309768000385</v>
          </cell>
          <cell r="P32">
            <v>43565.728071919184</v>
          </cell>
          <cell r="Q32">
            <v>43490.335385892016</v>
          </cell>
          <cell r="R32">
            <v>41933.0060593015</v>
          </cell>
          <cell r="S32">
            <v>499999.8770904938</v>
          </cell>
          <cell r="U32"/>
          <cell r="V32">
            <v>77326.683351936823</v>
          </cell>
          <cell r="W32">
            <v>119097.01118696171</v>
          </cell>
          <cell r="X32">
            <v>160930.98643699952</v>
          </cell>
          <cell r="Y32">
            <v>202741.07780902347</v>
          </cell>
          <cell r="Z32">
            <v>244386.22335353671</v>
          </cell>
          <cell r="AA32">
            <v>287185.73308616615</v>
          </cell>
          <cell r="AB32">
            <v>329894.49780538067</v>
          </cell>
        </row>
        <row r="33">
          <cell r="G33">
            <v>12000</v>
          </cell>
          <cell r="H33">
            <v>12000</v>
          </cell>
          <cell r="I33">
            <v>12000</v>
          </cell>
          <cell r="J33">
            <v>12000</v>
          </cell>
          <cell r="K33">
            <v>12000</v>
          </cell>
          <cell r="L33">
            <v>12000</v>
          </cell>
          <cell r="M33">
            <v>12000</v>
          </cell>
          <cell r="N33">
            <v>12000</v>
          </cell>
          <cell r="O33">
            <v>12000</v>
          </cell>
          <cell r="P33">
            <v>12000</v>
          </cell>
          <cell r="Q33">
            <v>12000</v>
          </cell>
          <cell r="R33">
            <v>12000</v>
          </cell>
          <cell r="S33">
            <v>12000</v>
          </cell>
          <cell r="V33">
            <v>12000</v>
          </cell>
          <cell r="W33">
            <v>12000</v>
          </cell>
          <cell r="X33">
            <v>12000</v>
          </cell>
          <cell r="Y33">
            <v>12000</v>
          </cell>
          <cell r="Z33">
            <v>12000</v>
          </cell>
          <cell r="AA33">
            <v>12000</v>
          </cell>
          <cell r="AB33">
            <v>12000</v>
          </cell>
        </row>
        <row r="34">
          <cell r="G34">
            <v>16000</v>
          </cell>
          <cell r="H34">
            <v>16000</v>
          </cell>
          <cell r="I34">
            <v>16000</v>
          </cell>
          <cell r="J34">
            <v>16000</v>
          </cell>
          <cell r="K34">
            <v>16000</v>
          </cell>
          <cell r="L34">
            <v>16000</v>
          </cell>
          <cell r="M34">
            <v>16000</v>
          </cell>
          <cell r="N34">
            <v>16000</v>
          </cell>
          <cell r="O34">
            <v>16000</v>
          </cell>
          <cell r="P34">
            <v>16000</v>
          </cell>
          <cell r="Q34">
            <v>16000</v>
          </cell>
          <cell r="R34">
            <v>16000</v>
          </cell>
          <cell r="S34">
            <v>16000</v>
          </cell>
          <cell r="V34">
            <v>16000</v>
          </cell>
          <cell r="W34">
            <v>16000</v>
          </cell>
          <cell r="X34">
            <v>16000</v>
          </cell>
          <cell r="Y34">
            <v>16000</v>
          </cell>
          <cell r="Z34">
            <v>16000</v>
          </cell>
          <cell r="AA34">
            <v>16000</v>
          </cell>
          <cell r="AB34">
            <v>16000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V35" t="e">
            <v>#DIV/0!</v>
          </cell>
          <cell r="W35" t="e">
            <v>#DIV/0!</v>
          </cell>
          <cell r="X35" t="e">
            <v>#DIV/0!</v>
          </cell>
          <cell r="Y35" t="e">
            <v>#DIV/0!</v>
          </cell>
          <cell r="Z35" t="e">
            <v>#DIV/0!</v>
          </cell>
          <cell r="AA35" t="e">
            <v>#DIV/0!</v>
          </cell>
          <cell r="AB35" t="e">
            <v>#DIV/0!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V36"/>
          <cell r="W36"/>
          <cell r="X36"/>
          <cell r="Y36"/>
          <cell r="Z36"/>
          <cell r="AA36"/>
          <cell r="AB36"/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V37"/>
          <cell r="W37"/>
          <cell r="X37"/>
          <cell r="Y37"/>
          <cell r="Z37"/>
          <cell r="AA37"/>
          <cell r="AB37"/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V38"/>
          <cell r="W38"/>
          <cell r="X38"/>
          <cell r="Y38"/>
          <cell r="Z38"/>
          <cell r="AA38"/>
          <cell r="AB38"/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V39"/>
          <cell r="W39"/>
          <cell r="X39"/>
          <cell r="Y39"/>
          <cell r="Z39"/>
          <cell r="AA39"/>
          <cell r="AB39"/>
        </row>
        <row r="40">
          <cell r="G40">
            <v>16000</v>
          </cell>
          <cell r="H40">
            <v>16000</v>
          </cell>
          <cell r="I40">
            <v>16000</v>
          </cell>
          <cell r="J40">
            <v>16000</v>
          </cell>
          <cell r="K40">
            <v>16000</v>
          </cell>
          <cell r="L40">
            <v>16000</v>
          </cell>
          <cell r="M40">
            <v>16000</v>
          </cell>
          <cell r="N40">
            <v>16000</v>
          </cell>
          <cell r="O40">
            <v>16000</v>
          </cell>
          <cell r="P40">
            <v>16000</v>
          </cell>
          <cell r="Q40">
            <v>16000</v>
          </cell>
          <cell r="R40">
            <v>16000</v>
          </cell>
          <cell r="S40">
            <v>16000</v>
          </cell>
          <cell r="V40">
            <v>16000</v>
          </cell>
          <cell r="W40">
            <v>16000</v>
          </cell>
          <cell r="X40">
            <v>16000</v>
          </cell>
          <cell r="Y40">
            <v>16000</v>
          </cell>
          <cell r="Z40">
            <v>16000</v>
          </cell>
          <cell r="AA40">
            <v>16000</v>
          </cell>
          <cell r="AB40">
            <v>16000</v>
          </cell>
        </row>
        <row r="41">
          <cell r="G41">
            <v>14486.735798603029</v>
          </cell>
          <cell r="H41">
            <v>14375.431590334556</v>
          </cell>
          <cell r="I41">
            <v>14532.57114510033</v>
          </cell>
          <cell r="J41">
            <v>14576.796181639662</v>
          </cell>
          <cell r="K41">
            <v>14572.196515752923</v>
          </cell>
          <cell r="L41">
            <v>14557.74076709805</v>
          </cell>
          <cell r="M41">
            <v>14823.85179180488</v>
          </cell>
          <cell r="N41">
            <v>14815.53787042415</v>
          </cell>
          <cell r="O41">
            <v>14774.58968444005</v>
          </cell>
          <cell r="P41">
            <v>14893.53868450498</v>
          </cell>
          <cell r="Q41">
            <v>14886.378645723118</v>
          </cell>
          <cell r="R41">
            <v>15170.475632518799</v>
          </cell>
          <cell r="S41">
            <v>14711.692978619214</v>
          </cell>
          <cell r="V41">
            <v>14433.057768346187</v>
          </cell>
          <cell r="W41">
            <v>14467.69540544212</v>
          </cell>
          <cell r="X41">
            <v>14496.509269553049</v>
          </cell>
          <cell r="Y41">
            <v>14512.281928077549</v>
          </cell>
          <cell r="Z41">
            <v>14520.056364870186</v>
          </cell>
          <cell r="AA41">
            <v>14565.250432475817</v>
          </cell>
          <cell r="AB41">
            <v>14597.464379892795</v>
          </cell>
        </row>
        <row r="42">
          <cell r="G42">
            <v>19000</v>
          </cell>
          <cell r="H42">
            <v>19000</v>
          </cell>
          <cell r="I42">
            <v>19000</v>
          </cell>
          <cell r="J42">
            <v>19000</v>
          </cell>
          <cell r="K42">
            <v>19000</v>
          </cell>
          <cell r="L42">
            <v>19000</v>
          </cell>
          <cell r="M42">
            <v>19000</v>
          </cell>
          <cell r="N42">
            <v>19000</v>
          </cell>
          <cell r="O42">
            <v>19000</v>
          </cell>
          <cell r="P42">
            <v>19000</v>
          </cell>
          <cell r="Q42">
            <v>19000</v>
          </cell>
          <cell r="R42">
            <v>19000</v>
          </cell>
          <cell r="S42">
            <v>19000</v>
          </cell>
          <cell r="V42">
            <v>19000</v>
          </cell>
          <cell r="W42">
            <v>19000</v>
          </cell>
          <cell r="X42">
            <v>19000</v>
          </cell>
          <cell r="Y42">
            <v>19000</v>
          </cell>
          <cell r="Z42">
            <v>19000</v>
          </cell>
          <cell r="AA42">
            <v>19000</v>
          </cell>
          <cell r="AB42">
            <v>19000</v>
          </cell>
        </row>
        <row r="43">
          <cell r="G43">
            <v>23000</v>
          </cell>
          <cell r="H43">
            <v>23000</v>
          </cell>
          <cell r="I43">
            <v>23000</v>
          </cell>
          <cell r="J43">
            <v>23000</v>
          </cell>
          <cell r="K43">
            <v>23000</v>
          </cell>
          <cell r="L43">
            <v>23000</v>
          </cell>
          <cell r="M43">
            <v>23000</v>
          </cell>
          <cell r="N43">
            <v>23000</v>
          </cell>
          <cell r="O43">
            <v>23000</v>
          </cell>
          <cell r="P43">
            <v>23000</v>
          </cell>
          <cell r="Q43">
            <v>23000</v>
          </cell>
          <cell r="R43">
            <v>23000</v>
          </cell>
          <cell r="S43">
            <v>23000.000000000004</v>
          </cell>
          <cell r="T43">
            <v>3500</v>
          </cell>
          <cell r="U43">
            <v>26500</v>
          </cell>
          <cell r="V43">
            <v>23000.000000000004</v>
          </cell>
          <cell r="W43">
            <v>23000</v>
          </cell>
          <cell r="X43">
            <v>23000.000000000004</v>
          </cell>
          <cell r="Y43">
            <v>23000.000000000004</v>
          </cell>
          <cell r="Z43">
            <v>23000.000000000007</v>
          </cell>
          <cell r="AA43">
            <v>23000.000000000004</v>
          </cell>
          <cell r="AB43">
            <v>23000.000000000004</v>
          </cell>
        </row>
        <row r="44">
          <cell r="G44">
            <v>19000</v>
          </cell>
          <cell r="H44">
            <v>19000</v>
          </cell>
          <cell r="I44">
            <v>19000</v>
          </cell>
          <cell r="J44">
            <v>19000</v>
          </cell>
          <cell r="K44">
            <v>19000</v>
          </cell>
          <cell r="L44">
            <v>19000</v>
          </cell>
          <cell r="M44">
            <v>19000</v>
          </cell>
          <cell r="N44">
            <v>19000</v>
          </cell>
          <cell r="O44">
            <v>19000</v>
          </cell>
          <cell r="P44">
            <v>19000</v>
          </cell>
          <cell r="Q44">
            <v>19000</v>
          </cell>
          <cell r="R44">
            <v>19000</v>
          </cell>
          <cell r="S44">
            <v>19000</v>
          </cell>
          <cell r="U44">
            <v>19000</v>
          </cell>
          <cell r="V44">
            <v>19000</v>
          </cell>
          <cell r="W44">
            <v>19000</v>
          </cell>
          <cell r="X44">
            <v>19000</v>
          </cell>
          <cell r="Y44">
            <v>19000</v>
          </cell>
          <cell r="Z44">
            <v>19000</v>
          </cell>
          <cell r="AA44">
            <v>18999.999999999996</v>
          </cell>
          <cell r="AB44">
            <v>18999.999999999996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3500</v>
          </cell>
          <cell r="U45">
            <v>3500</v>
          </cell>
          <cell r="V45" t="e">
            <v>#DIV/0!</v>
          </cell>
          <cell r="W45" t="e">
            <v>#DIV/0!</v>
          </cell>
          <cell r="X45" t="e">
            <v>#DIV/0!</v>
          </cell>
          <cell r="Y45" t="e">
            <v>#DIV/0!</v>
          </cell>
          <cell r="Z45" t="e">
            <v>#DIV/0!</v>
          </cell>
          <cell r="AA45" t="e">
            <v>#DIV/0!</v>
          </cell>
          <cell r="AB45" t="e">
            <v>#DIV/0!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8000</v>
          </cell>
          <cell r="U46">
            <v>8000</v>
          </cell>
          <cell r="V46" t="e">
            <v>#DIV/0!</v>
          </cell>
          <cell r="W46" t="e">
            <v>#DIV/0!</v>
          </cell>
          <cell r="X46" t="e">
            <v>#DIV/0!</v>
          </cell>
          <cell r="Y46" t="e">
            <v>#DIV/0!</v>
          </cell>
          <cell r="Z46" t="e">
            <v>#DIV/0!</v>
          </cell>
          <cell r="AA46" t="e">
            <v>#DIV/0!</v>
          </cell>
          <cell r="AB46" t="e">
            <v>#DIV/0!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5000</v>
          </cell>
          <cell r="U47">
            <v>5000</v>
          </cell>
          <cell r="V47" t="e">
            <v>#DIV/0!</v>
          </cell>
          <cell r="W47" t="e">
            <v>#DIV/0!</v>
          </cell>
          <cell r="X47" t="e">
            <v>#DIV/0!</v>
          </cell>
          <cell r="Y47" t="e">
            <v>#DIV/0!</v>
          </cell>
          <cell r="Z47" t="e">
            <v>#DIV/0!</v>
          </cell>
          <cell r="AA47" t="e">
            <v>#DIV/0!</v>
          </cell>
          <cell r="AB47" t="e">
            <v>#DIV/0!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7000</v>
          </cell>
          <cell r="U48">
            <v>7000</v>
          </cell>
          <cell r="V48" t="e">
            <v>#DIV/0!</v>
          </cell>
          <cell r="W48" t="e">
            <v>#DIV/0!</v>
          </cell>
          <cell r="X48" t="e">
            <v>#DIV/0!</v>
          </cell>
          <cell r="Y48" t="e">
            <v>#DIV/0!</v>
          </cell>
          <cell r="Z48" t="e">
            <v>#DIV/0!</v>
          </cell>
          <cell r="AA48" t="e">
            <v>#DIV/0!</v>
          </cell>
          <cell r="AB48" t="e">
            <v>#DIV/0!</v>
          </cell>
        </row>
        <row r="49">
          <cell r="G49">
            <v>22092.932350922034</v>
          </cell>
          <cell r="H49">
            <v>22085.674151924679</v>
          </cell>
          <cell r="I49">
            <v>22067.927683136375</v>
          </cell>
          <cell r="J49">
            <v>22047.109521590624</v>
          </cell>
          <cell r="K49">
            <v>22051.016293259545</v>
          </cell>
          <cell r="L49">
            <v>22079.132028572491</v>
          </cell>
          <cell r="M49">
            <v>22110.73007713988</v>
          </cell>
          <cell r="N49">
            <v>22112.895007550094</v>
          </cell>
          <cell r="O49">
            <v>22286.534733393546</v>
          </cell>
          <cell r="P49">
            <v>22176.099740678535</v>
          </cell>
          <cell r="Q49">
            <v>22179.016734072953</v>
          </cell>
          <cell r="R49">
            <v>22175.3648328048</v>
          </cell>
          <cell r="S49">
            <v>22124.848847103774</v>
          </cell>
          <cell r="V49">
            <v>22089.504842802082</v>
          </cell>
          <cell r="W49">
            <v>22081.72387254523</v>
          </cell>
          <cell r="X49">
            <v>22072.15817500135</v>
          </cell>
          <cell r="Y49">
            <v>22067.569671886926</v>
          </cell>
          <cell r="Z49">
            <v>22069.632186683899</v>
          </cell>
          <cell r="AA49">
            <v>22076.265636114946</v>
          </cell>
          <cell r="AB49">
            <v>22081.367806379851</v>
          </cell>
        </row>
        <row r="50">
          <cell r="G50">
            <v>20144.468508758444</v>
          </cell>
          <cell r="H50">
            <v>20063.008890410958</v>
          </cell>
          <cell r="I50">
            <v>20136.529909972316</v>
          </cell>
          <cell r="J50">
            <v>20216.692269228795</v>
          </cell>
          <cell r="K50">
            <v>20220.483801611757</v>
          </cell>
          <cell r="L50">
            <v>20231.991683831478</v>
          </cell>
          <cell r="M50">
            <v>20301.804999421696</v>
          </cell>
          <cell r="N50">
            <v>20304.716745307054</v>
          </cell>
          <cell r="O50">
            <v>20298.330173553721</v>
          </cell>
          <cell r="P50">
            <v>20431.68042366756</v>
          </cell>
          <cell r="Q50">
            <v>20435.787257668209</v>
          </cell>
          <cell r="R50">
            <v>20432.651682050502</v>
          </cell>
          <cell r="S50">
            <v>20270.950523167445</v>
          </cell>
          <cell r="V50">
            <v>20104.547573817308</v>
          </cell>
          <cell r="W50">
            <v>20115.819919534006</v>
          </cell>
          <cell r="X50">
            <v>20141.766102611138</v>
          </cell>
          <cell r="Y50">
            <v>20157.886804944006</v>
          </cell>
          <cell r="Z50">
            <v>20170.484684221665</v>
          </cell>
          <cell r="AA50">
            <v>20190.078543893876</v>
          </cell>
          <cell r="AB50">
            <v>20204.976896919063</v>
          </cell>
        </row>
        <row r="51">
          <cell r="G51">
            <v>17000</v>
          </cell>
          <cell r="H51">
            <v>17000</v>
          </cell>
          <cell r="I51">
            <v>17090.909090909088</v>
          </cell>
          <cell r="J51">
            <v>17000</v>
          </cell>
          <cell r="K51">
            <v>17000</v>
          </cell>
          <cell r="L51">
            <v>17000</v>
          </cell>
          <cell r="M51">
            <v>17250</v>
          </cell>
          <cell r="N51">
            <v>17250</v>
          </cell>
          <cell r="O51">
            <v>17250</v>
          </cell>
          <cell r="P51">
            <v>17157.894736842107</v>
          </cell>
          <cell r="Q51">
            <v>17157.894736842107</v>
          </cell>
          <cell r="R51">
            <v>17630.242445133863</v>
          </cell>
          <cell r="S51">
            <v>17140.136795293845</v>
          </cell>
          <cell r="V51">
            <v>17000</v>
          </cell>
          <cell r="W51">
            <v>17031.25</v>
          </cell>
          <cell r="X51">
            <v>17023.529411764706</v>
          </cell>
          <cell r="Y51">
            <v>17018.867924528302</v>
          </cell>
          <cell r="Z51">
            <v>17015.748031496063</v>
          </cell>
          <cell r="AA51">
            <v>17047.619047619046</v>
          </cell>
          <cell r="AB51">
            <v>17071.856287425147</v>
          </cell>
        </row>
        <row r="52">
          <cell r="G52">
            <v>18860.316864119184</v>
          </cell>
          <cell r="H52">
            <v>18865.737806105593</v>
          </cell>
          <cell r="I52">
            <v>18875.953875097417</v>
          </cell>
          <cell r="J52">
            <v>18880.353195900312</v>
          </cell>
          <cell r="K52">
            <v>18896.204112306761</v>
          </cell>
          <cell r="L52">
            <v>18939.142971349174</v>
          </cell>
          <cell r="M52">
            <v>18880.678486511519</v>
          </cell>
          <cell r="N52">
            <v>18903.310888588068</v>
          </cell>
          <cell r="O52">
            <v>18908.577610571221</v>
          </cell>
          <cell r="P52">
            <v>18876.874307557089</v>
          </cell>
          <cell r="Q52">
            <v>18899.595185790411</v>
          </cell>
          <cell r="R52">
            <v>18886.79842145486</v>
          </cell>
          <cell r="S52">
            <v>18890.110442489375</v>
          </cell>
          <cell r="V52">
            <v>18862.871040564016</v>
          </cell>
          <cell r="W52">
            <v>18867.554021782689</v>
          </cell>
          <cell r="X52">
            <v>18871.050912337043</v>
          </cell>
          <cell r="Y52">
            <v>18876.44350242355</v>
          </cell>
          <cell r="Z52">
            <v>18887.465304446789</v>
          </cell>
          <cell r="AA52">
            <v>18886.355415302063</v>
          </cell>
          <cell r="AB52">
            <v>18888.729354776584</v>
          </cell>
        </row>
        <row r="53">
          <cell r="G53">
            <v>19000</v>
          </cell>
          <cell r="H53">
            <v>19000</v>
          </cell>
          <cell r="I53">
            <v>19000</v>
          </cell>
          <cell r="J53">
            <v>19000</v>
          </cell>
          <cell r="K53">
            <v>18999.999999999996</v>
          </cell>
          <cell r="L53">
            <v>19000</v>
          </cell>
          <cell r="M53">
            <v>19000</v>
          </cell>
          <cell r="N53">
            <v>19000</v>
          </cell>
          <cell r="O53">
            <v>19000.000000000004</v>
          </cell>
          <cell r="P53">
            <v>19000</v>
          </cell>
          <cell r="Q53">
            <v>19000</v>
          </cell>
          <cell r="R53">
            <v>18999.999999999996</v>
          </cell>
          <cell r="S53">
            <v>19000</v>
          </cell>
          <cell r="V53">
            <v>19000</v>
          </cell>
          <cell r="W53">
            <v>19000</v>
          </cell>
          <cell r="X53">
            <v>19000</v>
          </cell>
          <cell r="Y53">
            <v>19000</v>
          </cell>
          <cell r="Z53">
            <v>19000</v>
          </cell>
          <cell r="AA53">
            <v>18999.999999999996</v>
          </cell>
          <cell r="AB53">
            <v>18999.999999999996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V54" t="e">
            <v>#DIV/0!</v>
          </cell>
          <cell r="W54" t="e">
            <v>#DIV/0!</v>
          </cell>
          <cell r="X54" t="e">
            <v>#DIV/0!</v>
          </cell>
          <cell r="Y54" t="e">
            <v>#DIV/0!</v>
          </cell>
          <cell r="Z54" t="e">
            <v>#DIV/0!</v>
          </cell>
          <cell r="AA54" t="e">
            <v>#DIV/0!</v>
          </cell>
          <cell r="AB54" t="e">
            <v>#DIV/0!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V55" t="e">
            <v>#DIV/0!</v>
          </cell>
          <cell r="W55" t="e">
            <v>#DIV/0!</v>
          </cell>
          <cell r="X55" t="e">
            <v>#DIV/0!</v>
          </cell>
          <cell r="Y55" t="e">
            <v>#DIV/0!</v>
          </cell>
          <cell r="Z55" t="e">
            <v>#DIV/0!</v>
          </cell>
          <cell r="AA55" t="e">
            <v>#DIV/0!</v>
          </cell>
          <cell r="AB55" t="e">
            <v>#DIV/0!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V56" t="e">
            <v>#DIV/0!</v>
          </cell>
          <cell r="W56" t="e">
            <v>#DIV/0!</v>
          </cell>
          <cell r="X56" t="e">
            <v>#DIV/0!</v>
          </cell>
          <cell r="Y56" t="e">
            <v>#DIV/0!</v>
          </cell>
          <cell r="Z56" t="e">
            <v>#DIV/0!</v>
          </cell>
          <cell r="AA56" t="e">
            <v>#DIV/0!</v>
          </cell>
          <cell r="AB56" t="e">
            <v>#DIV/0!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V57" t="e">
            <v>#DIV/0!</v>
          </cell>
          <cell r="W57" t="e">
            <v>#DIV/0!</v>
          </cell>
          <cell r="X57" t="e">
            <v>#DIV/0!</v>
          </cell>
          <cell r="Y57" t="e">
            <v>#DIV/0!</v>
          </cell>
          <cell r="Z57" t="e">
            <v>#DIV/0!</v>
          </cell>
          <cell r="AA57" t="e">
            <v>#DIV/0!</v>
          </cell>
          <cell r="AB57" t="e">
            <v>#DIV/0!</v>
          </cell>
        </row>
        <row r="58">
          <cell r="G58">
            <v>18875.264589919832</v>
          </cell>
          <cell r="H58">
            <v>18880.262874201013</v>
          </cell>
          <cell r="I58">
            <v>18889.719250974897</v>
          </cell>
          <cell r="J58">
            <v>18893.993808090079</v>
          </cell>
          <cell r="K58">
            <v>18908.038635414006</v>
          </cell>
          <cell r="L58">
            <v>18945.932338786199</v>
          </cell>
          <cell r="M58">
            <v>18893.238308149728</v>
          </cell>
          <cell r="N58">
            <v>18913.531228544976</v>
          </cell>
          <cell r="O58">
            <v>18916.14180583867</v>
          </cell>
          <cell r="P58">
            <v>18888.736280499012</v>
          </cell>
          <cell r="Q58">
            <v>18909.297999372469</v>
          </cell>
          <cell r="R58">
            <v>18897.749390369037</v>
          </cell>
          <cell r="S58">
            <v>18901.499996055969</v>
          </cell>
          <cell r="V58">
            <v>18877.621260044561</v>
          </cell>
          <cell r="W58">
            <v>18881.962352994709</v>
          </cell>
          <cell r="X58">
            <v>18885.263548586143</v>
          </cell>
          <cell r="Y58">
            <v>18890.162725322924</v>
          </cell>
          <cell r="Z58">
            <v>18899.971131744205</v>
          </cell>
          <cell r="AA58">
            <v>18898.876119622142</v>
          </cell>
          <cell r="AB58">
            <v>18900.919156219123</v>
          </cell>
        </row>
        <row r="59">
          <cell r="G59">
            <v>17882.568380854929</v>
          </cell>
          <cell r="H59">
            <v>17831.688454477375</v>
          </cell>
          <cell r="I59">
            <v>17942.30452926748</v>
          </cell>
          <cell r="J59">
            <v>17943.238596992716</v>
          </cell>
          <cell r="K59">
            <v>17949.685997837496</v>
          </cell>
          <cell r="L59">
            <v>17964.675614137912</v>
          </cell>
          <cell r="M59">
            <v>18125.361143941485</v>
          </cell>
          <cell r="N59">
            <v>18134.519594993064</v>
          </cell>
          <cell r="O59">
            <v>18105.6888176012</v>
          </cell>
          <cell r="P59">
            <v>18133.877110575526</v>
          </cell>
          <cell r="Q59">
            <v>18144.147266622047</v>
          </cell>
          <cell r="R59">
            <v>18371.619070554541</v>
          </cell>
          <cell r="S59">
            <v>18047.569770055798</v>
          </cell>
          <cell r="V59">
            <v>17857.790982791423</v>
          </cell>
          <cell r="W59">
            <v>17887.432016664756</v>
          </cell>
          <cell r="X59">
            <v>17901.938925196897</v>
          </cell>
          <cell r="Y59">
            <v>17911.785521118276</v>
          </cell>
          <cell r="Z59">
            <v>17920.798368043281</v>
          </cell>
          <cell r="AA59">
            <v>17951.28451519239</v>
          </cell>
          <cell r="AB59">
            <v>17975.00647467815</v>
          </cell>
        </row>
        <row r="60">
          <cell r="G60">
            <v>72000</v>
          </cell>
          <cell r="H60">
            <v>72000</v>
          </cell>
          <cell r="I60">
            <v>72000</v>
          </cell>
          <cell r="J60">
            <v>72000</v>
          </cell>
          <cell r="K60">
            <v>72000</v>
          </cell>
          <cell r="L60">
            <v>72000</v>
          </cell>
          <cell r="M60">
            <v>60000</v>
          </cell>
          <cell r="N60">
            <v>60000</v>
          </cell>
          <cell r="O60">
            <v>60000</v>
          </cell>
          <cell r="P60">
            <v>60000</v>
          </cell>
          <cell r="Q60">
            <v>60000</v>
          </cell>
          <cell r="R60">
            <v>40872</v>
          </cell>
          <cell r="S60">
            <v>772872</v>
          </cell>
          <cell r="V60">
            <v>144000</v>
          </cell>
          <cell r="W60">
            <v>216000</v>
          </cell>
          <cell r="X60">
            <v>288000</v>
          </cell>
          <cell r="Y60">
            <v>360000</v>
          </cell>
          <cell r="Z60">
            <v>432000</v>
          </cell>
          <cell r="AA60">
            <v>492000</v>
          </cell>
          <cell r="AB60">
            <v>552000</v>
          </cell>
        </row>
        <row r="61">
          <cell r="G61">
            <v>157756.08545124519</v>
          </cell>
          <cell r="H61">
            <v>140370.47089883956</v>
          </cell>
          <cell r="I61">
            <v>165682.19244009253</v>
          </cell>
          <cell r="J61">
            <v>173813.77863530687</v>
          </cell>
          <cell r="K61">
            <v>172944.57412148331</v>
          </cell>
          <cell r="L61">
            <v>170248.94557087295</v>
          </cell>
          <cell r="M61">
            <v>192074.5546949922</v>
          </cell>
          <cell r="N61">
            <v>190164.82166009856</v>
          </cell>
          <cell r="O61">
            <v>181137.02156471263</v>
          </cell>
          <cell r="P61">
            <v>209210.29187254989</v>
          </cell>
          <cell r="Q61">
            <v>207350.81163003418</v>
          </cell>
          <cell r="R61">
            <v>208285.91279889052</v>
          </cell>
          <cell r="S61">
            <v>2169039.4613391184</v>
          </cell>
          <cell r="V61">
            <v>298126.55635008472</v>
          </cell>
          <cell r="W61">
            <v>463808.74879017728</v>
          </cell>
          <cell r="X61">
            <v>637622.52742548415</v>
          </cell>
          <cell r="Y61">
            <v>810567.1015469674</v>
          </cell>
          <cell r="Z61">
            <v>980816.04711784038</v>
          </cell>
          <cell r="AA61">
            <v>1172890.6018128325</v>
          </cell>
          <cell r="AB61">
            <v>1363055.4234729311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G67">
            <v>157756.08545124519</v>
          </cell>
          <cell r="H67">
            <v>140370.47089883956</v>
          </cell>
          <cell r="I67">
            <v>165682.19244009253</v>
          </cell>
          <cell r="J67">
            <v>173813.77863530687</v>
          </cell>
          <cell r="K67">
            <v>172944.57412148331</v>
          </cell>
          <cell r="L67">
            <v>170248.94557087295</v>
          </cell>
          <cell r="M67">
            <v>192074.5546949922</v>
          </cell>
          <cell r="N67">
            <v>190164.82166009856</v>
          </cell>
          <cell r="O67">
            <v>181137.02156471263</v>
          </cell>
          <cell r="P67">
            <v>209210.29187254989</v>
          </cell>
          <cell r="Q67">
            <v>207350.81163003418</v>
          </cell>
          <cell r="R67">
            <v>208285.91279889052</v>
          </cell>
          <cell r="S67">
            <v>2169039.4613391184</v>
          </cell>
          <cell r="V67">
            <v>298126.55635008472</v>
          </cell>
          <cell r="W67">
            <v>463808.74879017728</v>
          </cell>
          <cell r="X67">
            <v>637622.52742548415</v>
          </cell>
          <cell r="Y67">
            <v>810567.1015469674</v>
          </cell>
          <cell r="Z67">
            <v>980816.04711784038</v>
          </cell>
          <cell r="AA67">
            <v>1172890.6018128325</v>
          </cell>
          <cell r="AB67">
            <v>1363055.4234729311</v>
          </cell>
        </row>
        <row r="68">
          <cell r="G68">
            <v>229756.08545124519</v>
          </cell>
          <cell r="H68">
            <v>212370.47089883956</v>
          </cell>
          <cell r="I68">
            <v>237682.19244009253</v>
          </cell>
          <cell r="J68">
            <v>245813.77863530687</v>
          </cell>
          <cell r="K68">
            <v>244944.57412148331</v>
          </cell>
          <cell r="L68">
            <v>242248.94557087295</v>
          </cell>
          <cell r="M68">
            <v>252074.5546949922</v>
          </cell>
          <cell r="N68">
            <v>250164.82166009856</v>
          </cell>
          <cell r="O68">
            <v>241137.02156471263</v>
          </cell>
          <cell r="P68">
            <v>269210.29187254992</v>
          </cell>
          <cell r="Q68">
            <v>267350.81163003418</v>
          </cell>
          <cell r="R68">
            <v>249157.91279889052</v>
          </cell>
          <cell r="S68">
            <v>2941911.4613391184</v>
          </cell>
          <cell r="V68">
            <v>442126.55635008472</v>
          </cell>
          <cell r="W68">
            <v>679808.74879017728</v>
          </cell>
          <cell r="X68">
            <v>925622.52742548415</v>
          </cell>
          <cell r="Y68">
            <v>1170567.1015469674</v>
          </cell>
          <cell r="Z68">
            <v>1412816.0471178403</v>
          </cell>
          <cell r="AA68">
            <v>1664890.6018128325</v>
          </cell>
          <cell r="AB68">
            <v>1915055.4234729311</v>
          </cell>
        </row>
        <row r="69">
          <cell r="G69">
            <v>285000</v>
          </cell>
          <cell r="H69">
            <v>285000</v>
          </cell>
          <cell r="I69">
            <v>304000</v>
          </cell>
          <cell r="J69">
            <v>285000</v>
          </cell>
          <cell r="K69">
            <v>285000</v>
          </cell>
          <cell r="L69">
            <v>285000</v>
          </cell>
          <cell r="M69">
            <v>285000</v>
          </cell>
          <cell r="N69">
            <v>285000</v>
          </cell>
          <cell r="O69">
            <v>285000</v>
          </cell>
          <cell r="P69">
            <v>266000</v>
          </cell>
          <cell r="Q69">
            <v>266000</v>
          </cell>
          <cell r="R69">
            <v>266000</v>
          </cell>
          <cell r="S69">
            <v>3382000</v>
          </cell>
          <cell r="V69">
            <v>570000</v>
          </cell>
          <cell r="W69">
            <v>874000</v>
          </cell>
          <cell r="X69">
            <v>1159000</v>
          </cell>
          <cell r="Y69">
            <v>1444000</v>
          </cell>
          <cell r="Z69">
            <v>1729000</v>
          </cell>
          <cell r="AA69">
            <v>2014000</v>
          </cell>
          <cell r="AB69">
            <v>2299000</v>
          </cell>
        </row>
        <row r="70">
          <cell r="G70">
            <v>156689.90637258487</v>
          </cell>
          <cell r="H70">
            <v>139869.18596871532</v>
          </cell>
          <cell r="I70">
            <v>166089.46599229416</v>
          </cell>
          <cell r="J70">
            <v>174693.93041422864</v>
          </cell>
          <cell r="K70">
            <v>175451.95367627355</v>
          </cell>
          <cell r="L70">
            <v>177131.29471728785</v>
          </cell>
          <cell r="M70">
            <v>193084.22244416786</v>
          </cell>
          <cell r="N70">
            <v>193730.75417973605</v>
          </cell>
          <cell r="O70">
            <v>185106.39164860547</v>
          </cell>
          <cell r="P70">
            <v>209838.51882928621</v>
          </cell>
          <cell r="Q70">
            <v>210777.48989927769</v>
          </cell>
          <cell r="R70">
            <v>210137.81713488424</v>
          </cell>
          <cell r="S70">
            <v>2192600.9312773421</v>
          </cell>
          <cell r="V70">
            <v>296559.09234130022</v>
          </cell>
          <cell r="W70">
            <v>462648.55833359435</v>
          </cell>
          <cell r="X70">
            <v>637342.48874782305</v>
          </cell>
          <cell r="Y70">
            <v>812794.44242409663</v>
          </cell>
          <cell r="Z70">
            <v>989925.73714138451</v>
          </cell>
          <cell r="AA70">
            <v>1183009.9595855523</v>
          </cell>
          <cell r="AB70">
            <v>1376740.7137652885</v>
          </cell>
        </row>
        <row r="71">
          <cell r="G71">
            <v>37960.860000000008</v>
          </cell>
          <cell r="H71">
            <v>34237.24</v>
          </cell>
          <cell r="I71">
            <v>41684.283870967745</v>
          </cell>
          <cell r="J71">
            <v>45129.290322580651</v>
          </cell>
          <cell r="K71">
            <v>45081.48387096775</v>
          </cell>
          <cell r="L71">
            <v>43761.290322580651</v>
          </cell>
          <cell r="M71">
            <v>45597.793548387097</v>
          </cell>
          <cell r="N71">
            <v>45607.354838709682</v>
          </cell>
          <cell r="O71">
            <v>33195.696774193559</v>
          </cell>
          <cell r="P71">
            <v>44966.748387096784</v>
          </cell>
          <cell r="Q71">
            <v>44966.748387096784</v>
          </cell>
          <cell r="R71">
            <v>45081.48387096775</v>
          </cell>
          <cell r="S71">
            <v>507270.27419354848</v>
          </cell>
          <cell r="V71">
            <v>72198.100000000006</v>
          </cell>
          <cell r="W71">
            <v>113882.38387096775</v>
          </cell>
          <cell r="X71">
            <v>159011.67419354839</v>
          </cell>
          <cell r="Y71">
            <v>204093.15806451614</v>
          </cell>
          <cell r="Z71">
            <v>247854.44838709681</v>
          </cell>
          <cell r="AA71">
            <v>293452.24193548388</v>
          </cell>
          <cell r="AB71">
            <v>339059.59677419357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</row>
        <row r="76">
          <cell r="G76">
            <v>194650.76637258488</v>
          </cell>
          <cell r="H76">
            <v>174106.42596871531</v>
          </cell>
          <cell r="I76">
            <v>207773.74986326191</v>
          </cell>
          <cell r="J76">
            <v>219823.22073680931</v>
          </cell>
          <cell r="K76">
            <v>220533.43754724131</v>
          </cell>
          <cell r="L76">
            <v>220892.58503986849</v>
          </cell>
          <cell r="M76">
            <v>238682.01599255495</v>
          </cell>
          <cell r="N76">
            <v>239338.10901844571</v>
          </cell>
          <cell r="O76">
            <v>218302.08842279902</v>
          </cell>
          <cell r="P76">
            <v>254805.26721638301</v>
          </cell>
          <cell r="Q76">
            <v>255744.23828637449</v>
          </cell>
          <cell r="R76">
            <v>255219.301005852</v>
          </cell>
          <cell r="S76">
            <v>2699871.2054708907</v>
          </cell>
          <cell r="V76">
            <v>368757.19234130019</v>
          </cell>
          <cell r="W76">
            <v>576530.94220456213</v>
          </cell>
          <cell r="X76">
            <v>796354.16294137144</v>
          </cell>
          <cell r="Y76">
            <v>1016887.6004886128</v>
          </cell>
          <cell r="Z76">
            <v>1237780.1855284814</v>
          </cell>
          <cell r="AA76">
            <v>1476462.2015210362</v>
          </cell>
          <cell r="AB76">
            <v>1715800.3105394819</v>
          </cell>
        </row>
        <row r="77">
          <cell r="G77">
            <v>479650.76637258485</v>
          </cell>
          <cell r="H77">
            <v>459106.42596871534</v>
          </cell>
          <cell r="I77">
            <v>511773.74986326194</v>
          </cell>
          <cell r="J77">
            <v>504823.22073680931</v>
          </cell>
          <cell r="K77">
            <v>505533.43754724134</v>
          </cell>
          <cell r="L77">
            <v>505892.58503986849</v>
          </cell>
          <cell r="M77">
            <v>523682.01599255495</v>
          </cell>
          <cell r="N77">
            <v>524338.10901844571</v>
          </cell>
          <cell r="O77">
            <v>503302.08842279902</v>
          </cell>
          <cell r="P77">
            <v>520805.26721638301</v>
          </cell>
          <cell r="Q77">
            <v>521744.23828637449</v>
          </cell>
          <cell r="R77">
            <v>521219.301005852</v>
          </cell>
          <cell r="S77">
            <v>6081871.2054708907</v>
          </cell>
          <cell r="V77">
            <v>938757.19234130019</v>
          </cell>
          <cell r="W77">
            <v>1450530.942204562</v>
          </cell>
          <cell r="X77">
            <v>1955354.1629413713</v>
          </cell>
          <cell r="Y77">
            <v>2460887.6004886124</v>
          </cell>
          <cell r="Z77">
            <v>2966780.1855284809</v>
          </cell>
          <cell r="AA77">
            <v>3490462.2015210357</v>
          </cell>
          <cell r="AB77">
            <v>4014800.3105394812</v>
          </cell>
        </row>
        <row r="78">
          <cell r="G78">
            <v>357000</v>
          </cell>
          <cell r="H78">
            <v>357000</v>
          </cell>
          <cell r="I78">
            <v>376000</v>
          </cell>
          <cell r="J78">
            <v>357000</v>
          </cell>
          <cell r="K78">
            <v>357000</v>
          </cell>
          <cell r="L78">
            <v>357000</v>
          </cell>
          <cell r="M78">
            <v>345000</v>
          </cell>
          <cell r="N78">
            <v>345000</v>
          </cell>
          <cell r="O78">
            <v>345000</v>
          </cell>
          <cell r="P78">
            <v>326000</v>
          </cell>
          <cell r="Q78">
            <v>326000</v>
          </cell>
          <cell r="R78">
            <v>306872</v>
          </cell>
          <cell r="S78">
            <v>4154872</v>
          </cell>
          <cell r="V78">
            <v>714000</v>
          </cell>
          <cell r="W78">
            <v>1090000</v>
          </cell>
          <cell r="X78">
            <v>1447000</v>
          </cell>
          <cell r="Y78">
            <v>1804000</v>
          </cell>
          <cell r="Z78">
            <v>2161000</v>
          </cell>
          <cell r="AA78">
            <v>2506000</v>
          </cell>
          <cell r="AB78">
            <v>2851000</v>
          </cell>
        </row>
        <row r="79">
          <cell r="G79">
            <v>314445.99182383006</v>
          </cell>
          <cell r="H79">
            <v>280239.65686755488</v>
          </cell>
          <cell r="I79">
            <v>331771.6584323867</v>
          </cell>
          <cell r="J79">
            <v>348507.70904953551</v>
          </cell>
          <cell r="K79">
            <v>348396.52779775683</v>
          </cell>
          <cell r="L79">
            <v>347380.2402881608</v>
          </cell>
          <cell r="M79">
            <v>385158.77713916008</v>
          </cell>
          <cell r="N79">
            <v>383895.57583983464</v>
          </cell>
          <cell r="O79">
            <v>366243.4132133181</v>
          </cell>
          <cell r="P79">
            <v>419048.81070183613</v>
          </cell>
          <cell r="Q79">
            <v>418128.30152931187</v>
          </cell>
          <cell r="R79">
            <v>418423.7299337748</v>
          </cell>
          <cell r="S79">
            <v>4361640.392616461</v>
          </cell>
          <cell r="V79">
            <v>594685.64869138494</v>
          </cell>
          <cell r="W79">
            <v>926457.30712377164</v>
          </cell>
          <cell r="X79">
            <v>1274965.0161733071</v>
          </cell>
          <cell r="Y79">
            <v>1623361.543971064</v>
          </cell>
          <cell r="Z79">
            <v>1970741.7842592248</v>
          </cell>
          <cell r="AA79">
            <v>2355900.5613983851</v>
          </cell>
          <cell r="AB79">
            <v>2739796.1372382198</v>
          </cell>
        </row>
        <row r="80">
          <cell r="G80">
            <v>37960.860000000008</v>
          </cell>
          <cell r="H80">
            <v>34237.24</v>
          </cell>
          <cell r="I80">
            <v>41684.283870967745</v>
          </cell>
          <cell r="J80">
            <v>45129.290322580651</v>
          </cell>
          <cell r="K80">
            <v>45081.48387096775</v>
          </cell>
          <cell r="L80">
            <v>43761.290322580651</v>
          </cell>
          <cell r="M80">
            <v>45597.793548387097</v>
          </cell>
          <cell r="N80">
            <v>45607.354838709682</v>
          </cell>
          <cell r="O80">
            <v>33195.696774193559</v>
          </cell>
          <cell r="P80">
            <v>44966.748387096784</v>
          </cell>
          <cell r="Q80">
            <v>44966.748387096784</v>
          </cell>
          <cell r="R80">
            <v>45081.48387096775</v>
          </cell>
          <cell r="S80">
            <v>507270.27419354848</v>
          </cell>
          <cell r="V80">
            <v>72198.100000000006</v>
          </cell>
          <cell r="W80">
            <v>113882.38387096775</v>
          </cell>
          <cell r="X80">
            <v>159011.67419354839</v>
          </cell>
          <cell r="Y80">
            <v>204093.15806451614</v>
          </cell>
          <cell r="Z80">
            <v>247854.44838709681</v>
          </cell>
          <cell r="AA80">
            <v>293452.24193548388</v>
          </cell>
          <cell r="AB80">
            <v>339059.59677419357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</row>
        <row r="85">
          <cell r="G85">
            <v>352406.85182383005</v>
          </cell>
          <cell r="H85">
            <v>314476.89686755487</v>
          </cell>
          <cell r="I85">
            <v>373455.94230335444</v>
          </cell>
          <cell r="J85">
            <v>393636.99937211617</v>
          </cell>
          <cell r="K85">
            <v>393478.01166872459</v>
          </cell>
          <cell r="L85">
            <v>391141.53061074147</v>
          </cell>
          <cell r="M85">
            <v>430756.57068754721</v>
          </cell>
          <cell r="N85">
            <v>429502.93067854433</v>
          </cell>
          <cell r="O85">
            <v>399439.10998751165</v>
          </cell>
          <cell r="P85">
            <v>464015.55908893293</v>
          </cell>
          <cell r="Q85">
            <v>463095.04991640867</v>
          </cell>
          <cell r="R85">
            <v>463505.21380474255</v>
          </cell>
          <cell r="S85">
            <v>4868910.6668100096</v>
          </cell>
          <cell r="V85">
            <v>666883.74869138491</v>
          </cell>
          <cell r="W85">
            <v>1040339.6909947393</v>
          </cell>
          <cell r="X85">
            <v>1433976.6903668554</v>
          </cell>
          <cell r="Y85">
            <v>1827454.7020355798</v>
          </cell>
          <cell r="Z85">
            <v>2218596.2326463214</v>
          </cell>
          <cell r="AA85">
            <v>2649352.8033338687</v>
          </cell>
          <cell r="AB85">
            <v>3078855.7340124128</v>
          </cell>
        </row>
        <row r="86">
          <cell r="G86">
            <v>709406.85182383005</v>
          </cell>
          <cell r="H86">
            <v>671476.89686755487</v>
          </cell>
          <cell r="I86">
            <v>749455.94230335439</v>
          </cell>
          <cell r="J86">
            <v>750636.99937211617</v>
          </cell>
          <cell r="K86">
            <v>750478.01166872459</v>
          </cell>
          <cell r="L86">
            <v>748141.53061074147</v>
          </cell>
          <cell r="M86">
            <v>775756.57068754721</v>
          </cell>
          <cell r="N86">
            <v>774502.93067854433</v>
          </cell>
          <cell r="O86">
            <v>744439.10998751165</v>
          </cell>
          <cell r="P86">
            <v>790015.55908893293</v>
          </cell>
          <cell r="Q86">
            <v>789095.04991640872</v>
          </cell>
          <cell r="R86">
            <v>770377.21380474255</v>
          </cell>
          <cell r="S86">
            <v>9023782.6668100096</v>
          </cell>
          <cell r="V86">
            <v>1380883.7486913849</v>
          </cell>
          <cell r="W86">
            <v>2130339.6909947395</v>
          </cell>
          <cell r="X86">
            <v>2880976.6903668558</v>
          </cell>
          <cell r="Y86">
            <v>3631454.7020355803</v>
          </cell>
          <cell r="Z86">
            <v>4379596.2326463219</v>
          </cell>
          <cell r="AA86">
            <v>5155352.8033338692</v>
          </cell>
          <cell r="AB86">
            <v>5929855.7340124138</v>
          </cell>
        </row>
        <row r="87">
          <cell r="G87">
            <v>104775.03124906031</v>
          </cell>
          <cell r="H87">
            <v>95295.473954837333</v>
          </cell>
          <cell r="I87">
            <v>91563.084306560297</v>
          </cell>
          <cell r="J87">
            <v>87000.224548306564</v>
          </cell>
          <cell r="K87">
            <v>97212.562428041681</v>
          </cell>
          <cell r="L87">
            <v>90703.546439333411</v>
          </cell>
          <cell r="M87">
            <v>77332.772298527168</v>
          </cell>
          <cell r="N87">
            <v>72936.519837368818</v>
          </cell>
          <cell r="O87">
            <v>79856.211814888607</v>
          </cell>
          <cell r="P87">
            <v>71421.792317589046</v>
          </cell>
          <cell r="Q87">
            <v>74452.947069168877</v>
          </cell>
          <cell r="R87">
            <v>48992.802610919891</v>
          </cell>
          <cell r="S87">
            <v>991542.96887460211</v>
          </cell>
          <cell r="V87">
            <v>200070.50520389766</v>
          </cell>
          <cell r="W87">
            <v>291633.58951045794</v>
          </cell>
          <cell r="X87">
            <v>378633.81405876449</v>
          </cell>
          <cell r="Y87">
            <v>475846.3764868062</v>
          </cell>
          <cell r="Z87">
            <v>566549.92292613955</v>
          </cell>
          <cell r="AA87">
            <v>643882.69522466674</v>
          </cell>
          <cell r="AB87">
            <v>716819.2150620356</v>
          </cell>
        </row>
        <row r="88">
          <cell r="G88">
            <v>172176.02898837128</v>
          </cell>
          <cell r="H88">
            <v>139340.31826633977</v>
          </cell>
          <cell r="I88">
            <v>158024.71410924935</v>
          </cell>
          <cell r="J88">
            <v>157519.14344647239</v>
          </cell>
          <cell r="K88">
            <v>175129.01258724771</v>
          </cell>
          <cell r="L88">
            <v>160856.07438370021</v>
          </cell>
          <cell r="M88">
            <v>185670.72253211043</v>
          </cell>
          <cell r="N88">
            <v>173374.50359226853</v>
          </cell>
          <cell r="O88">
            <v>180811.45451987171</v>
          </cell>
          <cell r="P88">
            <v>186777.17521029309</v>
          </cell>
          <cell r="Q88">
            <v>192973.48753800176</v>
          </cell>
          <cell r="R88">
            <v>187252.47013342843</v>
          </cell>
          <cell r="S88">
            <v>2069905.1053073548</v>
          </cell>
          <cell r="V88">
            <v>311516.34725471109</v>
          </cell>
          <cell r="W88">
            <v>469541.06136396044</v>
          </cell>
          <cell r="X88">
            <v>627060.20481043286</v>
          </cell>
          <cell r="Y88">
            <v>802189.21739768051</v>
          </cell>
          <cell r="Z88">
            <v>963045.29178138077</v>
          </cell>
          <cell r="AA88">
            <v>1148716.0143134913</v>
          </cell>
          <cell r="AB88">
            <v>1322090.5179057599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G94">
            <v>172176.02898837128</v>
          </cell>
          <cell r="H94">
            <v>139340.31826633977</v>
          </cell>
          <cell r="I94">
            <v>158024.71410924935</v>
          </cell>
          <cell r="J94">
            <v>157519.14344647239</v>
          </cell>
          <cell r="K94">
            <v>175129.01258724771</v>
          </cell>
          <cell r="L94">
            <v>160856.07438370021</v>
          </cell>
          <cell r="M94">
            <v>185670.72253211043</v>
          </cell>
          <cell r="N94">
            <v>173374.50359226853</v>
          </cell>
          <cell r="O94">
            <v>180811.45451987171</v>
          </cell>
          <cell r="P94">
            <v>186777.17521029309</v>
          </cell>
          <cell r="Q94">
            <v>192973.48753800176</v>
          </cell>
          <cell r="R94">
            <v>187252.47013342843</v>
          </cell>
          <cell r="S94">
            <v>2069905.1053073548</v>
          </cell>
          <cell r="V94">
            <v>311516.34725471109</v>
          </cell>
          <cell r="W94">
            <v>469541.06136396044</v>
          </cell>
          <cell r="X94">
            <v>627060.20481043286</v>
          </cell>
          <cell r="Y94">
            <v>802189.21739768051</v>
          </cell>
          <cell r="Z94">
            <v>963045.29178138077</v>
          </cell>
          <cell r="AA94">
            <v>1148716.0143134913</v>
          </cell>
          <cell r="AB94">
            <v>1322090.5179057599</v>
          </cell>
        </row>
        <row r="95">
          <cell r="G95">
            <v>276951.06023743161</v>
          </cell>
          <cell r="H95">
            <v>234635.79222117711</v>
          </cell>
          <cell r="I95">
            <v>249587.79841580964</v>
          </cell>
          <cell r="J95">
            <v>244519.36799477896</v>
          </cell>
          <cell r="K95">
            <v>272341.57501528936</v>
          </cell>
          <cell r="L95">
            <v>251559.62082303362</v>
          </cell>
          <cell r="M95">
            <v>263003.49483063759</v>
          </cell>
          <cell r="N95">
            <v>246311.02342963737</v>
          </cell>
          <cell r="O95">
            <v>260667.66633476032</v>
          </cell>
          <cell r="P95">
            <v>258198.96752788214</v>
          </cell>
          <cell r="Q95">
            <v>267426.43460717064</v>
          </cell>
          <cell r="R95">
            <v>236245.27274434833</v>
          </cell>
          <cell r="S95">
            <v>3061448.0741819572</v>
          </cell>
          <cell r="V95">
            <v>511586.85245860869</v>
          </cell>
          <cell r="W95">
            <v>761174.65087441832</v>
          </cell>
          <cell r="X95">
            <v>1005694.0188691972</v>
          </cell>
          <cell r="Y95">
            <v>1278035.5938844867</v>
          </cell>
          <cell r="Z95">
            <v>1529595.2147075203</v>
          </cell>
          <cell r="AA95">
            <v>1792598.709538158</v>
          </cell>
          <cell r="AB95">
            <v>2038909.7329677953</v>
          </cell>
        </row>
        <row r="96">
          <cell r="G96">
            <v>17462.505208176717</v>
          </cell>
          <cell r="H96">
            <v>15882.578992472891</v>
          </cell>
          <cell r="I96">
            <v>15260.514051093382</v>
          </cell>
          <cell r="J96">
            <v>14500.037424717761</v>
          </cell>
          <cell r="K96">
            <v>16202.093738006948</v>
          </cell>
          <cell r="L96">
            <v>15117.257739888903</v>
          </cell>
          <cell r="M96">
            <v>15466.554459705434</v>
          </cell>
          <cell r="N96">
            <v>14587.303967473765</v>
          </cell>
          <cell r="O96">
            <v>15971.242362977722</v>
          </cell>
          <cell r="P96">
            <v>14284.35846351781</v>
          </cell>
          <cell r="Q96">
            <v>14890.589413833775</v>
          </cell>
          <cell r="R96">
            <v>14384.263831743949</v>
          </cell>
          <cell r="S96">
            <v>15309.462820083929</v>
          </cell>
          <cell r="V96">
            <v>33345.08420064961</v>
          </cell>
          <cell r="W96">
            <v>48605.598251742995</v>
          </cell>
          <cell r="X96">
            <v>63105.635676460755</v>
          </cell>
          <cell r="Y96">
            <v>79307.7294144677</v>
          </cell>
          <cell r="Z96">
            <v>94424.987154356597</v>
          </cell>
          <cell r="AA96">
            <v>109891.54161406204</v>
          </cell>
          <cell r="AB96">
            <v>124478.8455815358</v>
          </cell>
        </row>
        <row r="97">
          <cell r="G97">
            <v>261937.5781226508</v>
          </cell>
          <cell r="H97">
            <v>238238.68488709343</v>
          </cell>
          <cell r="I97">
            <v>244168.22481749408</v>
          </cell>
          <cell r="J97">
            <v>217500.56137076643</v>
          </cell>
          <cell r="K97">
            <v>243031.40607010422</v>
          </cell>
          <cell r="L97">
            <v>226758.8660983335</v>
          </cell>
          <cell r="M97">
            <v>231998.31689558155</v>
          </cell>
          <cell r="N97">
            <v>218809.55951210644</v>
          </cell>
          <cell r="O97">
            <v>239568.63544466591</v>
          </cell>
          <cell r="P97">
            <v>199981.01848924937</v>
          </cell>
          <cell r="Q97">
            <v>208468.25179367285</v>
          </cell>
          <cell r="R97">
            <v>201379.69364441533</v>
          </cell>
          <cell r="S97">
            <v>2731840.7971461336</v>
          </cell>
          <cell r="V97">
            <v>500176.26300974423</v>
          </cell>
          <cell r="W97">
            <v>744344.48782723828</v>
          </cell>
          <cell r="X97">
            <v>961845.04919800465</v>
          </cell>
          <cell r="Y97">
            <v>1204876.4552681088</v>
          </cell>
          <cell r="Z97">
            <v>1431635.3213664424</v>
          </cell>
          <cell r="AA97">
            <v>1663633.6382620239</v>
          </cell>
          <cell r="AB97">
            <v>1882443.1977741304</v>
          </cell>
        </row>
        <row r="98">
          <cell r="G98">
            <v>118965.14374347767</v>
          </cell>
          <cell r="H98">
            <v>96586.234554826195</v>
          </cell>
          <cell r="I98">
            <v>110200.46215278267</v>
          </cell>
          <cell r="J98">
            <v>110133.41429901548</v>
          </cell>
          <cell r="K98">
            <v>123595.17391214943</v>
          </cell>
          <cell r="L98">
            <v>116423.45374093312</v>
          </cell>
          <cell r="M98">
            <v>129841.20181489567</v>
          </cell>
          <cell r="N98">
            <v>122869.97387251077</v>
          </cell>
          <cell r="O98">
            <v>128538.21930244147</v>
          </cell>
          <cell r="P98">
            <v>130322.11401787637</v>
          </cell>
          <cell r="Q98">
            <v>136460.91564211479</v>
          </cell>
          <cell r="R98">
            <v>131420.77403021476</v>
          </cell>
          <cell r="S98">
            <v>1455357.0810832381</v>
          </cell>
          <cell r="V98">
            <v>215551.37829830387</v>
          </cell>
          <cell r="W98">
            <v>325751.84045108652</v>
          </cell>
          <cell r="X98">
            <v>435885.254750102</v>
          </cell>
          <cell r="Y98">
            <v>559480.42866225145</v>
          </cell>
          <cell r="Z98">
            <v>675903.88240318454</v>
          </cell>
          <cell r="AA98">
            <v>805745.08421808016</v>
          </cell>
          <cell r="AB98">
            <v>928615.05809059087</v>
          </cell>
        </row>
        <row r="99">
          <cell r="G99">
            <v>34889.037655624605</v>
          </cell>
          <cell r="H99">
            <v>28619.772041276457</v>
          </cell>
          <cell r="I99">
            <v>33480.189459087815</v>
          </cell>
          <cell r="J99">
            <v>34440.863085703822</v>
          </cell>
          <cell r="K99">
            <v>38442.864606624629</v>
          </cell>
          <cell r="L99">
            <v>34818.458149292506</v>
          </cell>
          <cell r="M99">
            <v>37117.934587291275</v>
          </cell>
          <cell r="N99">
            <v>35015.17622024702</v>
          </cell>
          <cell r="O99">
            <v>27904.027294134903</v>
          </cell>
          <cell r="P99">
            <v>33806.376468426424</v>
          </cell>
          <cell r="Q99">
            <v>35241.125658285811</v>
          </cell>
          <cell r="R99">
            <v>34129.681996132087</v>
          </cell>
          <cell r="S99">
            <v>407905.50722212734</v>
          </cell>
          <cell r="V99">
            <v>63508.809696901066</v>
          </cell>
          <cell r="W99">
            <v>96988.999155988888</v>
          </cell>
          <cell r="X99">
            <v>131429.86224169272</v>
          </cell>
          <cell r="Y99">
            <v>169872.72684831737</v>
          </cell>
          <cell r="Z99">
            <v>204691.18499760987</v>
          </cell>
          <cell r="AA99">
            <v>241809.11958490114</v>
          </cell>
          <cell r="AB99">
            <v>276824.29580514814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</row>
        <row r="104">
          <cell r="G104">
            <v>153854.18139910226</v>
          </cell>
          <cell r="H104">
            <v>125206.00659610266</v>
          </cell>
          <cell r="I104">
            <v>143680.65161187047</v>
          </cell>
          <cell r="J104">
            <v>144574.27738471929</v>
          </cell>
          <cell r="K104">
            <v>162038.03851877406</v>
          </cell>
          <cell r="L104">
            <v>151241.91189022563</v>
          </cell>
          <cell r="M104">
            <v>166959.13640218694</v>
          </cell>
          <cell r="N104">
            <v>157885.1500927578</v>
          </cell>
          <cell r="O104">
            <v>156442.24659657638</v>
          </cell>
          <cell r="P104">
            <v>164128.49048630279</v>
          </cell>
          <cell r="Q104">
            <v>171702.0413004006</v>
          </cell>
          <cell r="R104">
            <v>165550.45602634683</v>
          </cell>
          <cell r="S104">
            <v>1863262.5883053655</v>
          </cell>
          <cell r="V104">
            <v>279060.18799520493</v>
          </cell>
          <cell r="W104">
            <v>422740.83960707544</v>
          </cell>
          <cell r="X104">
            <v>567315.11699179467</v>
          </cell>
          <cell r="Y104">
            <v>729353.15551056876</v>
          </cell>
          <cell r="Z104">
            <v>880595.06740079436</v>
          </cell>
          <cell r="AA104">
            <v>1047554.2038029813</v>
          </cell>
          <cell r="AB104">
            <v>1205439.3538957392</v>
          </cell>
        </row>
        <row r="105">
          <cell r="G105">
            <v>415791.75952175306</v>
          </cell>
          <cell r="H105">
            <v>363444.6914831961</v>
          </cell>
          <cell r="I105">
            <v>387848.87642936455</v>
          </cell>
          <cell r="J105">
            <v>362074.83875548572</v>
          </cell>
          <cell r="K105">
            <v>405069.44458887831</v>
          </cell>
          <cell r="L105">
            <v>378000.7779885591</v>
          </cell>
          <cell r="M105">
            <v>398957.45329776849</v>
          </cell>
          <cell r="N105">
            <v>376694.70960486424</v>
          </cell>
          <cell r="O105">
            <v>396010.88204124232</v>
          </cell>
          <cell r="P105">
            <v>364109.50897555216</v>
          </cell>
          <cell r="Q105">
            <v>380170.29309407342</v>
          </cell>
          <cell r="R105">
            <v>366930.14967076213</v>
          </cell>
          <cell r="S105">
            <v>4595103.3854514994</v>
          </cell>
          <cell r="V105">
            <v>779236.45100494917</v>
          </cell>
          <cell r="W105">
            <v>1167085.3274343137</v>
          </cell>
          <cell r="X105">
            <v>1529160.1661897996</v>
          </cell>
          <cell r="Y105">
            <v>1934229.6107786777</v>
          </cell>
          <cell r="Z105">
            <v>2312230.3887672368</v>
          </cell>
          <cell r="AA105">
            <v>2711187.8420650056</v>
          </cell>
          <cell r="AB105">
            <v>3087882.5516698696</v>
          </cell>
        </row>
        <row r="106">
          <cell r="G106">
            <v>17462.505208176721</v>
          </cell>
          <cell r="H106">
            <v>15882.578992472894</v>
          </cell>
          <cell r="I106">
            <v>15260.51405109338</v>
          </cell>
          <cell r="J106">
            <v>14500.037424717762</v>
          </cell>
          <cell r="K106">
            <v>16202.093738006948</v>
          </cell>
          <cell r="L106">
            <v>15117.257739888901</v>
          </cell>
          <cell r="M106">
            <v>15466.554459705436</v>
          </cell>
          <cell r="N106">
            <v>14587.303967473763</v>
          </cell>
          <cell r="O106">
            <v>15971.242362977728</v>
          </cell>
          <cell r="P106">
            <v>14284.358463517812</v>
          </cell>
          <cell r="Q106">
            <v>14890.589413833775</v>
          </cell>
          <cell r="R106">
            <v>14384.263831743951</v>
          </cell>
          <cell r="S106">
            <v>15315.535339113552</v>
          </cell>
          <cell r="V106">
            <v>33345.084200649617</v>
          </cell>
          <cell r="W106">
            <v>48605.598251742995</v>
          </cell>
          <cell r="X106">
            <v>63105.635676460755</v>
          </cell>
          <cell r="Y106">
            <v>79307.7294144677</v>
          </cell>
          <cell r="Z106">
            <v>94424.987154356597</v>
          </cell>
          <cell r="AA106">
            <v>109891.54161406204</v>
          </cell>
          <cell r="AB106">
            <v>124478.8455815358</v>
          </cell>
        </row>
        <row r="107">
          <cell r="G107">
            <v>366712.60937171109</v>
          </cell>
          <cell r="H107">
            <v>333534.1588419308</v>
          </cell>
          <cell r="I107">
            <v>335731.30912405439</v>
          </cell>
          <cell r="J107">
            <v>304500.78591907298</v>
          </cell>
          <cell r="K107">
            <v>340243.96849814593</v>
          </cell>
          <cell r="L107">
            <v>317462.41253766691</v>
          </cell>
          <cell r="M107">
            <v>309331.08919410873</v>
          </cell>
          <cell r="N107">
            <v>291746.07934947527</v>
          </cell>
          <cell r="O107">
            <v>319424.84725955455</v>
          </cell>
          <cell r="P107">
            <v>271402.81080683845</v>
          </cell>
          <cell r="Q107">
            <v>282921.1988628417</v>
          </cell>
          <cell r="R107">
            <v>250372.49625533522</v>
          </cell>
          <cell r="S107">
            <v>3723383.7660207367</v>
          </cell>
          <cell r="V107">
            <v>700246.76821364183</v>
          </cell>
          <cell r="W107">
            <v>1035978.0773376962</v>
          </cell>
          <cell r="X107">
            <v>1340478.8632567693</v>
          </cell>
          <cell r="Y107">
            <v>1680722.8317549152</v>
          </cell>
          <cell r="Z107">
            <v>1998185.2442925822</v>
          </cell>
          <cell r="AA107">
            <v>2307516.3334866911</v>
          </cell>
          <cell r="AB107">
            <v>2599262.4128361666</v>
          </cell>
        </row>
        <row r="108">
          <cell r="G108">
            <v>291141.17273184896</v>
          </cell>
          <cell r="H108">
            <v>235926.55282116597</v>
          </cell>
          <cell r="I108">
            <v>268225.17626203201</v>
          </cell>
          <cell r="J108">
            <v>267652.55774548789</v>
          </cell>
          <cell r="K108">
            <v>298724.18649939715</v>
          </cell>
          <cell r="L108">
            <v>277279.52812463336</v>
          </cell>
          <cell r="M108">
            <v>315511.92434700613</v>
          </cell>
          <cell r="N108">
            <v>296244.47746477928</v>
          </cell>
          <cell r="O108">
            <v>309349.6738223132</v>
          </cell>
          <cell r="P108">
            <v>317099.28922816948</v>
          </cell>
          <cell r="Q108">
            <v>329434.40318011655</v>
          </cell>
          <cell r="R108">
            <v>318673.24416364322</v>
          </cell>
          <cell r="S108">
            <v>3525262.1863905932</v>
          </cell>
          <cell r="V108">
            <v>527067.7255530149</v>
          </cell>
          <cell r="W108">
            <v>795292.90181504691</v>
          </cell>
          <cell r="X108">
            <v>1062945.4595605349</v>
          </cell>
          <cell r="Y108">
            <v>1361669.6460599322</v>
          </cell>
          <cell r="Z108">
            <v>1638949.1741845654</v>
          </cell>
          <cell r="AA108">
            <v>1954461.0985315717</v>
          </cell>
          <cell r="AB108">
            <v>2250705.575996351</v>
          </cell>
        </row>
        <row r="109">
          <cell r="G109">
            <v>34889.037655624605</v>
          </cell>
          <cell r="H109">
            <v>28619.772041276457</v>
          </cell>
          <cell r="I109">
            <v>33480.189459087815</v>
          </cell>
          <cell r="J109">
            <v>34440.863085703822</v>
          </cell>
          <cell r="K109">
            <v>38442.864606624629</v>
          </cell>
          <cell r="L109">
            <v>34818.458149292506</v>
          </cell>
          <cell r="M109">
            <v>37117.934587291275</v>
          </cell>
          <cell r="N109">
            <v>35015.17622024702</v>
          </cell>
          <cell r="O109">
            <v>27904.027294134903</v>
          </cell>
          <cell r="P109">
            <v>33806.376468426424</v>
          </cell>
          <cell r="Q109">
            <v>35241.125658285811</v>
          </cell>
          <cell r="R109">
            <v>34129.681996132087</v>
          </cell>
          <cell r="S109">
            <v>407905.50722212734</v>
          </cell>
          <cell r="V109">
            <v>63508.809696901066</v>
          </cell>
          <cell r="W109">
            <v>96988.999155988888</v>
          </cell>
          <cell r="X109">
            <v>131429.86224169272</v>
          </cell>
          <cell r="Y109">
            <v>169872.72684831737</v>
          </cell>
          <cell r="Z109">
            <v>204691.18499760987</v>
          </cell>
          <cell r="AA109">
            <v>241809.11958490114</v>
          </cell>
          <cell r="AB109">
            <v>276824.29580514814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</row>
        <row r="114">
          <cell r="G114">
            <v>326030.21038747358</v>
          </cell>
          <cell r="H114">
            <v>264546.32486244245</v>
          </cell>
          <cell r="I114">
            <v>301705.3657211198</v>
          </cell>
          <cell r="J114">
            <v>302093.4208311917</v>
          </cell>
          <cell r="K114">
            <v>337167.0511060218</v>
          </cell>
          <cell r="L114">
            <v>312097.98627392587</v>
          </cell>
          <cell r="M114">
            <v>352629.8589342974</v>
          </cell>
          <cell r="N114">
            <v>331259.65368502628</v>
          </cell>
          <cell r="O114">
            <v>337253.70111644809</v>
          </cell>
          <cell r="P114">
            <v>350905.66569659591</v>
          </cell>
          <cell r="Q114">
            <v>364675.52883840236</v>
          </cell>
          <cell r="R114">
            <v>352802.92615977529</v>
          </cell>
          <cell r="S114">
            <v>3933167.6936127204</v>
          </cell>
          <cell r="V114">
            <v>590576.53524991602</v>
          </cell>
          <cell r="W114">
            <v>892281.90097103582</v>
          </cell>
          <cell r="X114">
            <v>1194375.3218022275</v>
          </cell>
          <cell r="Y114">
            <v>1531542.3729082493</v>
          </cell>
          <cell r="Z114">
            <v>1843640.3591821752</v>
          </cell>
          <cell r="AA114">
            <v>2196270.2181164725</v>
          </cell>
          <cell r="AB114">
            <v>2527529.8718014988</v>
          </cell>
        </row>
        <row r="115">
          <cell r="G115">
            <v>692742.81975918473</v>
          </cell>
          <cell r="H115">
            <v>598080.48370437324</v>
          </cell>
          <cell r="I115">
            <v>637436.67484517419</v>
          </cell>
          <cell r="J115">
            <v>606594.20675026462</v>
          </cell>
          <cell r="K115">
            <v>677411.01960416767</v>
          </cell>
          <cell r="L115">
            <v>629560.39881159272</v>
          </cell>
          <cell r="M115">
            <v>661960.94812840619</v>
          </cell>
          <cell r="N115">
            <v>623005.73303450155</v>
          </cell>
          <cell r="O115">
            <v>656678.54837600258</v>
          </cell>
          <cell r="P115">
            <v>622308.47650343436</v>
          </cell>
          <cell r="Q115">
            <v>647596.72770124406</v>
          </cell>
          <cell r="R115">
            <v>603175.42241511052</v>
          </cell>
          <cell r="S115">
            <v>7656551.4596334565</v>
          </cell>
          <cell r="V115">
            <v>1290823.303463558</v>
          </cell>
          <cell r="W115">
            <v>1928259.9783087322</v>
          </cell>
          <cell r="X115">
            <v>2534854.185058997</v>
          </cell>
          <cell r="Y115">
            <v>3212265.2046631649</v>
          </cell>
          <cell r="Z115">
            <v>3841825.6034747576</v>
          </cell>
          <cell r="AA115">
            <v>4503786.5516031636</v>
          </cell>
          <cell r="AB115">
            <v>5126792.2846376654</v>
          </cell>
        </row>
        <row r="116">
          <cell r="G116">
            <v>17462.505208176721</v>
          </cell>
          <cell r="H116">
            <v>15882.578992472898</v>
          </cell>
          <cell r="I116">
            <v>15260.51405109338</v>
          </cell>
          <cell r="J116">
            <v>14500.037424717762</v>
          </cell>
          <cell r="K116">
            <v>16202.093738006948</v>
          </cell>
          <cell r="L116">
            <v>15117.257739888901</v>
          </cell>
          <cell r="M116">
            <v>15466.554459705438</v>
          </cell>
          <cell r="N116">
            <v>14587.303967473763</v>
          </cell>
          <cell r="O116">
            <v>15971.242362977724</v>
          </cell>
          <cell r="P116">
            <v>14284.358463517814</v>
          </cell>
          <cell r="Q116">
            <v>14890.589413833775</v>
          </cell>
          <cell r="R116">
            <v>14384.263831743951</v>
          </cell>
          <cell r="S116">
            <v>15313.106683519674</v>
          </cell>
          <cell r="V116">
            <v>33345.084200649617</v>
          </cell>
          <cell r="W116">
            <v>48605.598251742995</v>
          </cell>
          <cell r="X116">
            <v>63105.635676460755</v>
          </cell>
          <cell r="Y116">
            <v>79307.7294144677</v>
          </cell>
          <cell r="Z116">
            <v>94424.987154356597</v>
          </cell>
          <cell r="AA116">
            <v>109891.54161406204</v>
          </cell>
          <cell r="AB116">
            <v>124478.8455815358</v>
          </cell>
        </row>
        <row r="117">
          <cell r="G117">
            <v>-32775.03124906031</v>
          </cell>
          <cell r="H117">
            <v>-23295.473954837333</v>
          </cell>
          <cell r="I117">
            <v>-19563.084306560297</v>
          </cell>
          <cell r="J117">
            <v>-15000.224548306564</v>
          </cell>
          <cell r="K117">
            <v>-25212.562428041681</v>
          </cell>
          <cell r="L117">
            <v>-18703.546439333411</v>
          </cell>
          <cell r="M117">
            <v>-17332.772298527168</v>
          </cell>
          <cell r="N117">
            <v>-12936.519837368818</v>
          </cell>
          <cell r="O117">
            <v>-19856.211814888607</v>
          </cell>
          <cell r="P117">
            <v>-11421.792317589046</v>
          </cell>
          <cell r="Q117">
            <v>-14452.947069168877</v>
          </cell>
          <cell r="R117">
            <v>-8120.8026109198909</v>
          </cell>
          <cell r="S117">
            <v>-218670.96887460203</v>
          </cell>
          <cell r="V117">
            <v>-56070.505203897643</v>
          </cell>
          <cell r="W117">
            <v>-75633.589510457939</v>
          </cell>
          <cell r="X117">
            <v>-90633.814058764503</v>
          </cell>
          <cell r="Y117">
            <v>-115846.37648680618</v>
          </cell>
          <cell r="Z117">
            <v>-134549.92292613961</v>
          </cell>
          <cell r="AA117">
            <v>-151882.69522466679</v>
          </cell>
          <cell r="AB117">
            <v>-164819.2150620356</v>
          </cell>
        </row>
        <row r="118">
          <cell r="G118">
            <v>-14419.943537126092</v>
          </cell>
          <cell r="H118">
            <v>1030.1526324997831</v>
          </cell>
          <cell r="I118">
            <v>7657.4783308431797</v>
          </cell>
          <cell r="J118">
            <v>16294.63518883448</v>
          </cell>
          <cell r="K118">
            <v>-2184.4384657643968</v>
          </cell>
          <cell r="L118">
            <v>9392.8711871727428</v>
          </cell>
          <cell r="M118">
            <v>6403.8321628817648</v>
          </cell>
          <cell r="N118">
            <v>16790.318067830027</v>
          </cell>
          <cell r="O118">
            <v>325.56704484092188</v>
          </cell>
          <cell r="P118">
            <v>22433.116662256798</v>
          </cell>
          <cell r="Q118">
            <v>14377.324092032417</v>
          </cell>
          <cell r="R118">
            <v>21033.442665462091</v>
          </cell>
          <cell r="S118">
            <v>99134.356031763717</v>
          </cell>
          <cell r="V118">
            <v>-13389.790904626308</v>
          </cell>
          <cell r="W118">
            <v>-5732.3125737831288</v>
          </cell>
          <cell r="X118">
            <v>10562.322615051351</v>
          </cell>
          <cell r="Y118">
            <v>8377.8841492869542</v>
          </cell>
          <cell r="Z118">
            <v>17770.755336459697</v>
          </cell>
          <cell r="AA118">
            <v>24174.587499341462</v>
          </cell>
          <cell r="AB118">
            <v>40964.905567171489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</row>
        <row r="124">
          <cell r="G124">
            <v>-14419.943537126092</v>
          </cell>
          <cell r="H124">
            <v>1030.1526324997831</v>
          </cell>
          <cell r="I124">
            <v>7657.4783308431797</v>
          </cell>
          <cell r="J124">
            <v>16294.63518883448</v>
          </cell>
          <cell r="K124">
            <v>-2184.4384657643968</v>
          </cell>
          <cell r="L124">
            <v>9392.8711871727428</v>
          </cell>
          <cell r="M124">
            <v>6403.8321628817648</v>
          </cell>
          <cell r="N124">
            <v>16790.318067830027</v>
          </cell>
          <cell r="O124">
            <v>325.56704484092188</v>
          </cell>
          <cell r="P124">
            <v>22433.116662256798</v>
          </cell>
          <cell r="Q124">
            <v>14377.324092032417</v>
          </cell>
          <cell r="R124">
            <v>21033.442665462091</v>
          </cell>
          <cell r="S124">
            <v>99134.356031763717</v>
          </cell>
          <cell r="V124">
            <v>-13389.790904626308</v>
          </cell>
          <cell r="W124">
            <v>-5732.3125737831288</v>
          </cell>
          <cell r="X124">
            <v>10562.322615051351</v>
          </cell>
          <cell r="Y124">
            <v>8377.8841492869542</v>
          </cell>
          <cell r="Z124">
            <v>17770.755336459697</v>
          </cell>
          <cell r="AA124">
            <v>24174.587499341462</v>
          </cell>
          <cell r="AB124">
            <v>40964.905567171489</v>
          </cell>
        </row>
        <row r="125">
          <cell r="G125">
            <v>-47194.974786186402</v>
          </cell>
          <cell r="H125">
            <v>-22265.32132233755</v>
          </cell>
          <cell r="I125">
            <v>-11905.605975717117</v>
          </cell>
          <cell r="J125">
            <v>1294.4106405279163</v>
          </cell>
          <cell r="K125">
            <v>-27397.000893806078</v>
          </cell>
          <cell r="L125">
            <v>-9310.6752521606686</v>
          </cell>
          <cell r="M125">
            <v>-10928.940135645404</v>
          </cell>
          <cell r="N125">
            <v>3853.7982304612087</v>
          </cell>
          <cell r="O125">
            <v>-19530.644770047686</v>
          </cell>
          <cell r="P125">
            <v>11011.324344667752</v>
          </cell>
          <cell r="Q125">
            <v>-75.622977136459667</v>
          </cell>
          <cell r="R125">
            <v>12912.6400545422</v>
          </cell>
          <cell r="S125">
            <v>-119536.61284283831</v>
          </cell>
          <cell r="V125">
            <v>-69460.296108523951</v>
          </cell>
          <cell r="W125">
            <v>-81365.902084241068</v>
          </cell>
          <cell r="X125">
            <v>-80071.491443713152</v>
          </cell>
          <cell r="Y125">
            <v>-107468.49233751923</v>
          </cell>
          <cell r="Z125">
            <v>-116779.1675896799</v>
          </cell>
          <cell r="AA125">
            <v>-127708.1077253253</v>
          </cell>
          <cell r="AB125">
            <v>-123854.30949486409</v>
          </cell>
        </row>
        <row r="126">
          <cell r="G126">
            <v>23062.421877349203</v>
          </cell>
          <cell r="H126">
            <v>46761.315112906566</v>
          </cell>
          <cell r="I126">
            <v>59831.775182505924</v>
          </cell>
          <cell r="J126">
            <v>67499.438629233569</v>
          </cell>
          <cell r="K126">
            <v>41968.593929895782</v>
          </cell>
          <cell r="L126">
            <v>58241.133901666501</v>
          </cell>
          <cell r="M126">
            <v>53001.683104418451</v>
          </cell>
          <cell r="N126">
            <v>66190.44048789356</v>
          </cell>
          <cell r="O126">
            <v>45431.36455533409</v>
          </cell>
          <cell r="P126">
            <v>66018.981510750629</v>
          </cell>
          <cell r="Q126">
            <v>57531.748206327145</v>
          </cell>
          <cell r="R126">
            <v>64620.306355584675</v>
          </cell>
          <cell r="S126">
            <v>650159.20285386592</v>
          </cell>
          <cell r="V126">
            <v>69823.736990255769</v>
          </cell>
          <cell r="W126">
            <v>129655.51217276169</v>
          </cell>
          <cell r="X126">
            <v>197154.95080199526</v>
          </cell>
          <cell r="Y126">
            <v>239123.54473189104</v>
          </cell>
          <cell r="Z126">
            <v>297364.67863355752</v>
          </cell>
          <cell r="AA126">
            <v>350366.36173797597</v>
          </cell>
          <cell r="AB126">
            <v>416556.8022258695</v>
          </cell>
        </row>
        <row r="127">
          <cell r="G127">
            <v>37724.762629107194</v>
          </cell>
          <cell r="H127">
            <v>43282.951413889125</v>
          </cell>
          <cell r="I127">
            <v>55889.003839511497</v>
          </cell>
          <cell r="J127">
            <v>64560.516115213162</v>
          </cell>
          <cell r="K127">
            <v>51856.77976412412</v>
          </cell>
          <cell r="L127">
            <v>60707.840976354724</v>
          </cell>
          <cell r="M127">
            <v>63243.020629272185</v>
          </cell>
          <cell r="N127">
            <v>70860.780307225272</v>
          </cell>
          <cell r="O127">
            <v>56568.172346163992</v>
          </cell>
          <cell r="P127">
            <v>79516.40481140984</v>
          </cell>
          <cell r="Q127">
            <v>74316.574257162894</v>
          </cell>
          <cell r="R127">
            <v>78717.043104669487</v>
          </cell>
          <cell r="S127">
            <v>737243.85019410355</v>
          </cell>
          <cell r="V127">
            <v>81007.714042996318</v>
          </cell>
          <cell r="W127">
            <v>136896.71788250783</v>
          </cell>
          <cell r="X127">
            <v>201457.23399772099</v>
          </cell>
          <cell r="Y127">
            <v>253314.01376184513</v>
          </cell>
          <cell r="Z127">
            <v>314021.85473819985</v>
          </cell>
          <cell r="AA127">
            <v>377264.87536747206</v>
          </cell>
          <cell r="AB127">
            <v>448125.65567469737</v>
          </cell>
        </row>
        <row r="128">
          <cell r="G128">
            <v>3071.8223443754032</v>
          </cell>
          <cell r="H128">
            <v>5617.4679587235405</v>
          </cell>
          <cell r="I128">
            <v>8204.0944118799307</v>
          </cell>
          <cell r="J128">
            <v>10688.427236876829</v>
          </cell>
          <cell r="K128">
            <v>6638.6192643431204</v>
          </cell>
          <cell r="L128">
            <v>8942.832173288145</v>
          </cell>
          <cell r="M128">
            <v>8479.8589610958225</v>
          </cell>
          <cell r="N128">
            <v>10592.178618462662</v>
          </cell>
          <cell r="O128">
            <v>5291.6694800586556</v>
          </cell>
          <cell r="P128">
            <v>11160.37191867036</v>
          </cell>
          <cell r="Q128">
            <v>9725.6227288109731</v>
          </cell>
          <cell r="R128">
            <v>10951.801874835663</v>
          </cell>
          <cell r="S128">
            <v>99364.766971421079</v>
          </cell>
          <cell r="V128">
            <v>8689.2903030989437</v>
          </cell>
          <cell r="W128">
            <v>16893.384714978874</v>
          </cell>
          <cell r="X128">
            <v>27581.811951855703</v>
          </cell>
          <cell r="Y128">
            <v>34220.43121619882</v>
          </cell>
          <cell r="Z128">
            <v>43163.263389486965</v>
          </cell>
          <cell r="AA128">
            <v>51643.122350582787</v>
          </cell>
          <cell r="AB128">
            <v>62235.300969045449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</row>
        <row r="133">
          <cell r="G133">
            <v>40796.584973482597</v>
          </cell>
          <cell r="H133">
            <v>48900.419372612669</v>
          </cell>
          <cell r="I133">
            <v>64093.098251391428</v>
          </cell>
          <cell r="J133">
            <v>75248.943352089991</v>
          </cell>
          <cell r="K133">
            <v>58495.39902846724</v>
          </cell>
          <cell r="L133">
            <v>69650.673149642869</v>
          </cell>
          <cell r="M133">
            <v>71722.879590368015</v>
          </cell>
          <cell r="N133">
            <v>81452.958925687941</v>
          </cell>
          <cell r="O133">
            <v>61859.841826222648</v>
          </cell>
          <cell r="P133">
            <v>90676.776730080193</v>
          </cell>
          <cell r="Q133">
            <v>84042.19698597386</v>
          </cell>
          <cell r="R133">
            <v>89668.844979505142</v>
          </cell>
          <cell r="S133">
            <v>836608.61716552463</v>
          </cell>
          <cell r="V133">
            <v>89697.004346095258</v>
          </cell>
          <cell r="W133">
            <v>153790.10259748669</v>
          </cell>
          <cell r="X133">
            <v>229039.04594957668</v>
          </cell>
          <cell r="Y133">
            <v>287534.4449780439</v>
          </cell>
          <cell r="Z133">
            <v>357185.11812768679</v>
          </cell>
          <cell r="AA133">
            <v>428907.9977180548</v>
          </cell>
          <cell r="AB133">
            <v>510360.95664374274</v>
          </cell>
        </row>
        <row r="134">
          <cell r="G134">
            <v>63859.0068508318</v>
          </cell>
          <cell r="H134">
            <v>95661.734485519235</v>
          </cell>
          <cell r="I134">
            <v>123924.87343389736</v>
          </cell>
          <cell r="J134">
            <v>142748.38198132356</v>
          </cell>
          <cell r="K134">
            <v>100463.99295836303</v>
          </cell>
          <cell r="L134">
            <v>127891.80705130937</v>
          </cell>
          <cell r="M134">
            <v>124724.56269478647</v>
          </cell>
          <cell r="N134">
            <v>147643.3994135815</v>
          </cell>
          <cell r="O134">
            <v>107291.20638155674</v>
          </cell>
          <cell r="P134">
            <v>156695.75824083082</v>
          </cell>
          <cell r="Q134">
            <v>141573.94519230101</v>
          </cell>
          <cell r="R134">
            <v>154289.15133508982</v>
          </cell>
          <cell r="S134">
            <v>1486767.8200193904</v>
          </cell>
          <cell r="V134">
            <v>159520.74133635103</v>
          </cell>
          <cell r="W134">
            <v>283445.61477024842</v>
          </cell>
          <cell r="X134">
            <v>426193.99675157201</v>
          </cell>
          <cell r="Y134">
            <v>526657.98970993503</v>
          </cell>
          <cell r="Z134">
            <v>654549.79676124442</v>
          </cell>
          <cell r="AA134">
            <v>779274.35945603088</v>
          </cell>
          <cell r="AB134">
            <v>926917.75886961236</v>
          </cell>
        </row>
        <row r="135">
          <cell r="G135">
            <v>-9712.6093717111071</v>
          </cell>
          <cell r="H135">
            <v>23465.841158069234</v>
          </cell>
          <cell r="I135">
            <v>40268.690875945627</v>
          </cell>
          <cell r="J135">
            <v>52499.214080927006</v>
          </cell>
          <cell r="K135">
            <v>16756.0315018541</v>
          </cell>
          <cell r="L135">
            <v>39537.587462333089</v>
          </cell>
          <cell r="M135">
            <v>35668.910805891283</v>
          </cell>
          <cell r="N135">
            <v>53253.920650524742</v>
          </cell>
          <cell r="O135">
            <v>25575.152740445483</v>
          </cell>
          <cell r="P135">
            <v>54597.189193161583</v>
          </cell>
          <cell r="Q135">
            <v>43078.801137158269</v>
          </cell>
          <cell r="R135">
            <v>56499.503744664784</v>
          </cell>
          <cell r="S135">
            <v>431488.2339792641</v>
          </cell>
          <cell r="V135">
            <v>13753.231786358127</v>
          </cell>
          <cell r="W135">
            <v>54021.922662303754</v>
          </cell>
          <cell r="X135">
            <v>106521.13674323076</v>
          </cell>
          <cell r="Y135">
            <v>123277.16824508486</v>
          </cell>
          <cell r="Z135">
            <v>162814.75570741796</v>
          </cell>
          <cell r="AA135">
            <v>198483.66651330923</v>
          </cell>
          <cell r="AB135">
            <v>251737.58716383396</v>
          </cell>
        </row>
        <row r="136">
          <cell r="G136">
            <v>23304.819091981102</v>
          </cell>
          <cell r="H136">
            <v>44313.104046388908</v>
          </cell>
          <cell r="I136">
            <v>63546.482170354677</v>
          </cell>
          <cell r="J136">
            <v>80855.151304047642</v>
          </cell>
          <cell r="K136">
            <v>49672.341298359723</v>
          </cell>
          <cell r="L136">
            <v>70100.712163527467</v>
          </cell>
          <cell r="M136">
            <v>69646.85279215395</v>
          </cell>
          <cell r="N136">
            <v>87651.098375055299</v>
          </cell>
          <cell r="O136">
            <v>56893.739391004914</v>
          </cell>
          <cell r="P136">
            <v>101949.52147366664</v>
          </cell>
          <cell r="Q136">
            <v>88693.898349195311</v>
          </cell>
          <cell r="R136">
            <v>99750.485770131578</v>
          </cell>
          <cell r="S136">
            <v>836378.20622586727</v>
          </cell>
          <cell r="V136">
            <v>67617.92313837001</v>
          </cell>
          <cell r="W136">
            <v>131164.40530872467</v>
          </cell>
          <cell r="X136">
            <v>212019.55661277231</v>
          </cell>
          <cell r="Y136">
            <v>261691.89791113202</v>
          </cell>
          <cell r="Z136">
            <v>331792.61007465946</v>
          </cell>
          <cell r="AA136">
            <v>401439.46286681341</v>
          </cell>
          <cell r="AB136">
            <v>489090.56124186871</v>
          </cell>
        </row>
        <row r="137">
          <cell r="G137">
            <v>3071.8223443754032</v>
          </cell>
          <cell r="H137">
            <v>5617.4679587235405</v>
          </cell>
          <cell r="I137">
            <v>8204.0944118799307</v>
          </cell>
          <cell r="J137">
            <v>10688.427236876829</v>
          </cell>
          <cell r="K137">
            <v>6638.6192643431204</v>
          </cell>
          <cell r="L137">
            <v>8942.832173288145</v>
          </cell>
          <cell r="M137">
            <v>8479.8589610958225</v>
          </cell>
          <cell r="N137">
            <v>10592.178618462662</v>
          </cell>
          <cell r="O137">
            <v>5291.6694800586556</v>
          </cell>
          <cell r="P137">
            <v>11160.37191867036</v>
          </cell>
          <cell r="Q137">
            <v>9725.6227288109731</v>
          </cell>
          <cell r="R137">
            <v>10951.801874835663</v>
          </cell>
          <cell r="S137">
            <v>99364.766971421079</v>
          </cell>
          <cell r="V137">
            <v>8689.2903030989437</v>
          </cell>
          <cell r="W137">
            <v>16893.384714978874</v>
          </cell>
          <cell r="X137">
            <v>27581.811951855703</v>
          </cell>
          <cell r="Y137">
            <v>34220.43121619882</v>
          </cell>
          <cell r="Z137">
            <v>43163.263389486965</v>
          </cell>
          <cell r="AA137">
            <v>51643.122350582787</v>
          </cell>
          <cell r="AB137">
            <v>62235.300969045449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G142">
            <v>26376.641436356505</v>
          </cell>
          <cell r="H142">
            <v>49930.572005112452</v>
          </cell>
          <cell r="I142">
            <v>71750.576582234615</v>
          </cell>
          <cell r="J142">
            <v>91543.578540924471</v>
          </cell>
          <cell r="K142">
            <v>56310.960562702843</v>
          </cell>
          <cell r="L142">
            <v>79043.544336815612</v>
          </cell>
          <cell r="M142">
            <v>78126.71175324978</v>
          </cell>
          <cell r="N142">
            <v>98243.276993517968</v>
          </cell>
          <cell r="O142">
            <v>62185.40887106357</v>
          </cell>
          <cell r="P142">
            <v>113109.89339233699</v>
          </cell>
          <cell r="Q142">
            <v>98419.521078006277</v>
          </cell>
          <cell r="R142">
            <v>110702.28764496723</v>
          </cell>
          <cell r="S142">
            <v>935742.97319728835</v>
          </cell>
          <cell r="V142">
            <v>76307.21344146895</v>
          </cell>
          <cell r="W142">
            <v>148057.79002370356</v>
          </cell>
          <cell r="X142">
            <v>239601.36856462804</v>
          </cell>
          <cell r="Y142">
            <v>295912.32912733086</v>
          </cell>
          <cell r="Z142">
            <v>374955.87346414645</v>
          </cell>
          <cell r="AA142">
            <v>453082.58521739626</v>
          </cell>
          <cell r="AB142">
            <v>551325.86221091426</v>
          </cell>
        </row>
        <row r="143">
          <cell r="G143">
            <v>16664.032064645398</v>
          </cell>
          <cell r="H143">
            <v>73396.413163181685</v>
          </cell>
          <cell r="I143">
            <v>112019.26745818024</v>
          </cell>
          <cell r="J143">
            <v>144042.79262185149</v>
          </cell>
          <cell r="K143">
            <v>73066.992064556951</v>
          </cell>
          <cell r="L143">
            <v>118581.1317991487</v>
          </cell>
          <cell r="M143">
            <v>113795.62255914106</v>
          </cell>
          <cell r="N143">
            <v>151497.19764404272</v>
          </cell>
          <cell r="O143">
            <v>87760.561611509052</v>
          </cell>
          <cell r="P143">
            <v>167707.08258549857</v>
          </cell>
          <cell r="Q143">
            <v>141498.32221516455</v>
          </cell>
          <cell r="R143">
            <v>167201.79138963201</v>
          </cell>
          <cell r="S143">
            <v>1367231.2071765524</v>
          </cell>
          <cell r="V143">
            <v>90060.445227827091</v>
          </cell>
          <cell r="W143">
            <v>202079.71268600732</v>
          </cell>
          <cell r="X143">
            <v>346122.50530785881</v>
          </cell>
          <cell r="Y143">
            <v>419189.49737241573</v>
          </cell>
          <cell r="Z143">
            <v>537770.62917156448</v>
          </cell>
          <cell r="AA143">
            <v>651566.25173070549</v>
          </cell>
          <cell r="AB143">
            <v>803063.44937474816</v>
          </cell>
        </row>
        <row r="144">
          <cell r="G144">
            <v>-32775.03124906031</v>
          </cell>
          <cell r="H144">
            <v>-23295.473954837333</v>
          </cell>
          <cell r="I144">
            <v>-19563.084306560297</v>
          </cell>
          <cell r="J144">
            <v>-15000.224548306564</v>
          </cell>
          <cell r="K144">
            <v>-25212.562428041681</v>
          </cell>
          <cell r="L144">
            <v>-18703.546439333411</v>
          </cell>
          <cell r="M144">
            <v>-17332.772298527168</v>
          </cell>
          <cell r="N144">
            <v>-12936.519837368818</v>
          </cell>
          <cell r="O144">
            <v>-19856.211814888607</v>
          </cell>
          <cell r="P144">
            <v>-11421.792317589046</v>
          </cell>
          <cell r="Q144">
            <v>-14452.947069168877</v>
          </cell>
          <cell r="R144">
            <v>-8120.8026109198909</v>
          </cell>
          <cell r="S144">
            <v>-218670.96887460203</v>
          </cell>
          <cell r="V144">
            <v>-56070.505203897643</v>
          </cell>
          <cell r="W144">
            <v>-75633.589510457939</v>
          </cell>
          <cell r="X144">
            <v>-90633.814058764503</v>
          </cell>
          <cell r="Y144">
            <v>-115846.37648680618</v>
          </cell>
          <cell r="Z144">
            <v>-134549.92292613961</v>
          </cell>
          <cell r="AA144">
            <v>-151882.69522466679</v>
          </cell>
          <cell r="AB144">
            <v>-164819.2150620356</v>
          </cell>
        </row>
        <row r="145">
          <cell r="G145">
            <v>-14419.943537126092</v>
          </cell>
          <cell r="H145">
            <v>1030.1526324997831</v>
          </cell>
          <cell r="I145">
            <v>7657.4783308431797</v>
          </cell>
          <cell r="J145">
            <v>16294.63518883448</v>
          </cell>
          <cell r="K145">
            <v>-2184.4384657643968</v>
          </cell>
          <cell r="L145">
            <v>9392.8711871727428</v>
          </cell>
          <cell r="M145">
            <v>6403.8321628817648</v>
          </cell>
          <cell r="N145">
            <v>16790.318067830027</v>
          </cell>
          <cell r="O145">
            <v>325.56704484092188</v>
          </cell>
          <cell r="P145">
            <v>22433.116662256798</v>
          </cell>
          <cell r="Q145">
            <v>14377.324092032417</v>
          </cell>
          <cell r="R145">
            <v>21033.442665462091</v>
          </cell>
          <cell r="S145">
            <v>99134.356031763717</v>
          </cell>
          <cell r="V145">
            <v>-13389.790904626308</v>
          </cell>
          <cell r="W145">
            <v>-5732.3125737831288</v>
          </cell>
          <cell r="X145">
            <v>10562.322615051351</v>
          </cell>
          <cell r="Y145">
            <v>8377.8841492869542</v>
          </cell>
          <cell r="Z145">
            <v>17770.755336459697</v>
          </cell>
          <cell r="AA145">
            <v>24174.587499341462</v>
          </cell>
          <cell r="AB145">
            <v>40964.905567171489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</row>
        <row r="148"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</row>
        <row r="149"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</row>
        <row r="151">
          <cell r="G151">
            <v>-14419.943537126092</v>
          </cell>
          <cell r="H151">
            <v>1030.1526324997831</v>
          </cell>
          <cell r="I151">
            <v>7657.4783308431797</v>
          </cell>
          <cell r="J151">
            <v>16294.63518883448</v>
          </cell>
          <cell r="K151">
            <v>-2184.4384657643968</v>
          </cell>
          <cell r="L151">
            <v>9392.8711871727428</v>
          </cell>
          <cell r="M151">
            <v>6403.8321628817648</v>
          </cell>
          <cell r="N151">
            <v>16790.318067830027</v>
          </cell>
          <cell r="O151">
            <v>325.56704484092188</v>
          </cell>
          <cell r="P151">
            <v>22433.116662256798</v>
          </cell>
          <cell r="Q151">
            <v>14377.324092032417</v>
          </cell>
          <cell r="R151">
            <v>21033.442665462091</v>
          </cell>
          <cell r="S151">
            <v>99134.356031763717</v>
          </cell>
          <cell r="V151">
            <v>-13389.790904626308</v>
          </cell>
          <cell r="W151">
            <v>-5732.3125737831288</v>
          </cell>
          <cell r="X151">
            <v>10562.322615051351</v>
          </cell>
          <cell r="Y151">
            <v>8377.8841492869542</v>
          </cell>
          <cell r="Z151">
            <v>17770.755336459697</v>
          </cell>
          <cell r="AA151">
            <v>24174.587499341462</v>
          </cell>
          <cell r="AB151">
            <v>40964.905567171489</v>
          </cell>
        </row>
        <row r="152">
          <cell r="G152">
            <v>-47194.974786186402</v>
          </cell>
          <cell r="H152">
            <v>-22265.32132233755</v>
          </cell>
          <cell r="I152">
            <v>-11905.605975717117</v>
          </cell>
          <cell r="J152">
            <v>1294.4106405279163</v>
          </cell>
          <cell r="K152">
            <v>-27397.000893806078</v>
          </cell>
          <cell r="L152">
            <v>-9310.6752521606686</v>
          </cell>
          <cell r="M152">
            <v>-10928.940135645404</v>
          </cell>
          <cell r="N152">
            <v>3853.7982304612087</v>
          </cell>
          <cell r="O152">
            <v>-19530.644770047686</v>
          </cell>
          <cell r="P152">
            <v>11011.324344667752</v>
          </cell>
          <cell r="Q152">
            <v>-75.622977136459667</v>
          </cell>
          <cell r="R152">
            <v>12912.6400545422</v>
          </cell>
          <cell r="S152">
            <v>-119536.61284283831</v>
          </cell>
          <cell r="V152">
            <v>-69460.296108523951</v>
          </cell>
          <cell r="W152">
            <v>-81365.902084241068</v>
          </cell>
          <cell r="X152">
            <v>-80071.491443713152</v>
          </cell>
          <cell r="Y152">
            <v>-107468.49233751923</v>
          </cell>
          <cell r="Z152">
            <v>-116779.1675896799</v>
          </cell>
          <cell r="AA152">
            <v>-127708.1077253253</v>
          </cell>
          <cell r="AB152">
            <v>-123854.30949486409</v>
          </cell>
        </row>
        <row r="153">
          <cell r="G153">
            <v>23062.421877349203</v>
          </cell>
          <cell r="H153">
            <v>46761.315112906566</v>
          </cell>
          <cell r="I153">
            <v>59831.775182505924</v>
          </cell>
          <cell r="J153">
            <v>67499.438629233569</v>
          </cell>
          <cell r="K153">
            <v>41968.593929895782</v>
          </cell>
          <cell r="L153">
            <v>58241.133901666501</v>
          </cell>
          <cell r="M153">
            <v>53001.683104418451</v>
          </cell>
          <cell r="N153">
            <v>66190.44048789356</v>
          </cell>
          <cell r="O153">
            <v>45431.36455533409</v>
          </cell>
          <cell r="P153">
            <v>66018.981510750629</v>
          </cell>
          <cell r="Q153">
            <v>57531.748206327145</v>
          </cell>
          <cell r="R153">
            <v>64620.306355584675</v>
          </cell>
          <cell r="S153">
            <v>650159.20285386592</v>
          </cell>
          <cell r="V153">
            <v>69823.736990255769</v>
          </cell>
          <cell r="W153">
            <v>129655.51217276169</v>
          </cell>
          <cell r="X153">
            <v>197154.95080199526</v>
          </cell>
          <cell r="Y153">
            <v>239123.54473189104</v>
          </cell>
          <cell r="Z153">
            <v>297364.67863355752</v>
          </cell>
          <cell r="AA153">
            <v>350366.36173797597</v>
          </cell>
          <cell r="AB153">
            <v>416556.8022258695</v>
          </cell>
        </row>
        <row r="154">
          <cell r="G154">
            <v>37724.762629107194</v>
          </cell>
          <cell r="H154">
            <v>43282.951413889125</v>
          </cell>
          <cell r="I154">
            <v>55889.003839511497</v>
          </cell>
          <cell r="J154">
            <v>64560.516115213162</v>
          </cell>
          <cell r="K154">
            <v>51856.77976412412</v>
          </cell>
          <cell r="L154">
            <v>60707.840976354724</v>
          </cell>
          <cell r="M154">
            <v>63243.020629272185</v>
          </cell>
          <cell r="N154">
            <v>70860.780307225272</v>
          </cell>
          <cell r="O154">
            <v>56568.172346163992</v>
          </cell>
          <cell r="P154">
            <v>79516.40481140984</v>
          </cell>
          <cell r="Q154">
            <v>74316.574257162894</v>
          </cell>
          <cell r="R154">
            <v>78717.043104669487</v>
          </cell>
          <cell r="S154">
            <v>737243.85019410355</v>
          </cell>
          <cell r="V154">
            <v>81007.714042996318</v>
          </cell>
          <cell r="W154">
            <v>136896.71788250783</v>
          </cell>
          <cell r="X154">
            <v>201457.23399772099</v>
          </cell>
          <cell r="Y154">
            <v>253314.01376184513</v>
          </cell>
          <cell r="Z154">
            <v>314021.85473819985</v>
          </cell>
          <cell r="AA154">
            <v>377264.87536747206</v>
          </cell>
          <cell r="AB154">
            <v>448125.65567469737</v>
          </cell>
        </row>
        <row r="155">
          <cell r="G155">
            <v>3071.8223443754032</v>
          </cell>
          <cell r="H155">
            <v>5617.4679587235405</v>
          </cell>
          <cell r="I155">
            <v>8204.0944118799307</v>
          </cell>
          <cell r="J155">
            <v>10688.427236876829</v>
          </cell>
          <cell r="K155">
            <v>6638.6192643431204</v>
          </cell>
          <cell r="L155">
            <v>8942.832173288145</v>
          </cell>
          <cell r="M155">
            <v>8479.8589610958225</v>
          </cell>
          <cell r="N155">
            <v>10592.178618462662</v>
          </cell>
          <cell r="O155">
            <v>5291.6694800586556</v>
          </cell>
          <cell r="P155">
            <v>11160.37191867036</v>
          </cell>
          <cell r="Q155">
            <v>9725.6227288109731</v>
          </cell>
          <cell r="R155">
            <v>10951.801874835663</v>
          </cell>
          <cell r="S155">
            <v>99364.766971421079</v>
          </cell>
          <cell r="V155">
            <v>8689.2903030989437</v>
          </cell>
          <cell r="W155">
            <v>16893.384714978874</v>
          </cell>
          <cell r="X155">
            <v>27581.811951855703</v>
          </cell>
          <cell r="Y155">
            <v>34220.43121619882</v>
          </cell>
          <cell r="Z155">
            <v>43163.263389486965</v>
          </cell>
          <cell r="AA155">
            <v>51643.122350582787</v>
          </cell>
          <cell r="AB155">
            <v>62235.300969045449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</row>
        <row r="160">
          <cell r="G160">
            <v>40796.584973482597</v>
          </cell>
          <cell r="H160">
            <v>48900.419372612669</v>
          </cell>
          <cell r="I160">
            <v>64093.098251391428</v>
          </cell>
          <cell r="J160">
            <v>75248.943352089991</v>
          </cell>
          <cell r="K160">
            <v>58495.39902846724</v>
          </cell>
          <cell r="L160">
            <v>69650.673149642869</v>
          </cell>
          <cell r="M160">
            <v>71722.879590368015</v>
          </cell>
          <cell r="N160">
            <v>81452.958925687941</v>
          </cell>
          <cell r="O160">
            <v>61859.841826222648</v>
          </cell>
          <cell r="P160">
            <v>90676.776730080193</v>
          </cell>
          <cell r="Q160">
            <v>84042.19698597386</v>
          </cell>
          <cell r="R160">
            <v>89668.844979505142</v>
          </cell>
          <cell r="S160">
            <v>836608.61716552463</v>
          </cell>
          <cell r="V160">
            <v>89697.004346095258</v>
          </cell>
          <cell r="W160">
            <v>153790.10259748669</v>
          </cell>
          <cell r="X160">
            <v>229039.04594957668</v>
          </cell>
          <cell r="Y160">
            <v>287534.4449780439</v>
          </cell>
          <cell r="Z160">
            <v>357185.11812768679</v>
          </cell>
          <cell r="AA160">
            <v>428907.9977180548</v>
          </cell>
          <cell r="AB160">
            <v>510360.95664374274</v>
          </cell>
        </row>
        <row r="161">
          <cell r="G161">
            <v>63859.0068508318</v>
          </cell>
          <cell r="H161">
            <v>95661.734485519235</v>
          </cell>
          <cell r="I161">
            <v>123924.87343389736</v>
          </cell>
          <cell r="J161">
            <v>142748.38198132356</v>
          </cell>
          <cell r="K161">
            <v>100463.99295836303</v>
          </cell>
          <cell r="L161">
            <v>127891.80705130937</v>
          </cell>
          <cell r="M161">
            <v>124724.56269478647</v>
          </cell>
          <cell r="N161">
            <v>147643.3994135815</v>
          </cell>
          <cell r="O161">
            <v>107291.20638155674</v>
          </cell>
          <cell r="P161">
            <v>156695.75824083082</v>
          </cell>
          <cell r="Q161">
            <v>141573.94519230101</v>
          </cell>
          <cell r="R161">
            <v>154289.15133508982</v>
          </cell>
          <cell r="S161">
            <v>1486767.8200193904</v>
          </cell>
          <cell r="V161">
            <v>159520.74133635103</v>
          </cell>
          <cell r="W161">
            <v>283445.61477024842</v>
          </cell>
          <cell r="X161">
            <v>426193.99675157201</v>
          </cell>
          <cell r="Y161">
            <v>526657.98970993503</v>
          </cell>
          <cell r="Z161">
            <v>654549.79676124442</v>
          </cell>
          <cell r="AA161">
            <v>779274.35945603088</v>
          </cell>
          <cell r="AB161">
            <v>926917.75886961236</v>
          </cell>
        </row>
        <row r="162">
          <cell r="G162">
            <v>-9712.6093717111071</v>
          </cell>
          <cell r="H162">
            <v>23465.841158069234</v>
          </cell>
          <cell r="I162">
            <v>40268.690875945627</v>
          </cell>
          <cell r="J162">
            <v>52499.214080927006</v>
          </cell>
          <cell r="K162">
            <v>16756.0315018541</v>
          </cell>
          <cell r="L162">
            <v>39537.587462333089</v>
          </cell>
          <cell r="M162">
            <v>35668.910805891283</v>
          </cell>
          <cell r="N162">
            <v>53253.920650524742</v>
          </cell>
          <cell r="O162">
            <v>25575.152740445483</v>
          </cell>
          <cell r="P162">
            <v>54597.189193161583</v>
          </cell>
          <cell r="Q162">
            <v>43078.801137158269</v>
          </cell>
          <cell r="R162">
            <v>56499.503744664784</v>
          </cell>
          <cell r="S162">
            <v>431488.2339792641</v>
          </cell>
          <cell r="V162">
            <v>13753.231786358127</v>
          </cell>
          <cell r="W162">
            <v>54021.922662303754</v>
          </cell>
          <cell r="X162">
            <v>106521.13674323076</v>
          </cell>
          <cell r="Y162">
            <v>123277.16824508486</v>
          </cell>
          <cell r="Z162">
            <v>162814.75570741796</v>
          </cell>
          <cell r="AA162">
            <v>198483.66651330923</v>
          </cell>
          <cell r="AB162">
            <v>251737.58716383396</v>
          </cell>
        </row>
        <row r="163">
          <cell r="G163">
            <v>23304.819091981102</v>
          </cell>
          <cell r="H163">
            <v>44313.104046388908</v>
          </cell>
          <cell r="I163">
            <v>63546.482170354677</v>
          </cell>
          <cell r="J163">
            <v>80855.151304047642</v>
          </cell>
          <cell r="K163">
            <v>49672.341298359723</v>
          </cell>
          <cell r="L163">
            <v>70100.712163527467</v>
          </cell>
          <cell r="M163">
            <v>69646.85279215395</v>
          </cell>
          <cell r="N163">
            <v>87651.098375055299</v>
          </cell>
          <cell r="O163">
            <v>56893.739391004914</v>
          </cell>
          <cell r="P163">
            <v>101949.52147366664</v>
          </cell>
          <cell r="Q163">
            <v>88693.898349195311</v>
          </cell>
          <cell r="R163">
            <v>99750.485770131578</v>
          </cell>
          <cell r="S163">
            <v>836378.20622586727</v>
          </cell>
          <cell r="V163">
            <v>67617.92313837001</v>
          </cell>
          <cell r="W163">
            <v>131164.40530872467</v>
          </cell>
          <cell r="X163">
            <v>212019.55661277231</v>
          </cell>
          <cell r="Y163">
            <v>261691.89791113202</v>
          </cell>
          <cell r="Z163">
            <v>331792.61007465946</v>
          </cell>
          <cell r="AA163">
            <v>401439.46286681341</v>
          </cell>
          <cell r="AB163">
            <v>489090.56124186871</v>
          </cell>
        </row>
        <row r="164">
          <cell r="G164">
            <v>3071.8223443754032</v>
          </cell>
          <cell r="H164">
            <v>5617.4679587235405</v>
          </cell>
          <cell r="I164">
            <v>8204.0944118799307</v>
          </cell>
          <cell r="J164">
            <v>10688.427236876829</v>
          </cell>
          <cell r="K164">
            <v>6638.6192643431204</v>
          </cell>
          <cell r="L164">
            <v>8942.832173288145</v>
          </cell>
          <cell r="M164">
            <v>8479.8589610958225</v>
          </cell>
          <cell r="N164">
            <v>10592.178618462662</v>
          </cell>
          <cell r="O164">
            <v>5291.6694800586556</v>
          </cell>
          <cell r="P164">
            <v>11160.37191867036</v>
          </cell>
          <cell r="Q164">
            <v>9725.6227288109731</v>
          </cell>
          <cell r="R164">
            <v>10951.801874835663</v>
          </cell>
          <cell r="S164">
            <v>99364.766971421079</v>
          </cell>
          <cell r="V164">
            <v>8689.2903030989437</v>
          </cell>
          <cell r="W164">
            <v>16893.384714978874</v>
          </cell>
          <cell r="X164">
            <v>27581.811951855703</v>
          </cell>
          <cell r="Y164">
            <v>34220.43121619882</v>
          </cell>
          <cell r="Z164">
            <v>43163.263389486965</v>
          </cell>
          <cell r="AA164">
            <v>51643.122350582787</v>
          </cell>
          <cell r="AB164">
            <v>62235.300969045449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</row>
        <row r="169">
          <cell r="G169">
            <v>26376.641436356505</v>
          </cell>
          <cell r="H169">
            <v>49930.572005112452</v>
          </cell>
          <cell r="I169">
            <v>71750.576582234615</v>
          </cell>
          <cell r="J169">
            <v>91543.578540924471</v>
          </cell>
          <cell r="K169">
            <v>56310.960562702843</v>
          </cell>
          <cell r="L169">
            <v>79043.544336815612</v>
          </cell>
          <cell r="M169">
            <v>78126.71175324978</v>
          </cell>
          <cell r="N169">
            <v>98243.276993517968</v>
          </cell>
          <cell r="O169">
            <v>62185.40887106357</v>
          </cell>
          <cell r="P169">
            <v>113109.89339233699</v>
          </cell>
          <cell r="Q169">
            <v>98419.521078006277</v>
          </cell>
          <cell r="R169">
            <v>110702.28764496723</v>
          </cell>
          <cell r="S169">
            <v>935742.97319728835</v>
          </cell>
          <cell r="V169">
            <v>76307.21344146895</v>
          </cell>
          <cell r="W169">
            <v>148057.79002370356</v>
          </cell>
          <cell r="X169">
            <v>239601.36856462804</v>
          </cell>
          <cell r="Y169">
            <v>295912.32912733086</v>
          </cell>
          <cell r="Z169">
            <v>374955.87346414645</v>
          </cell>
          <cell r="AA169">
            <v>453082.58521739626</v>
          </cell>
          <cell r="AB169">
            <v>551325.86221091426</v>
          </cell>
        </row>
        <row r="170">
          <cell r="G170">
            <v>16664.032064645398</v>
          </cell>
          <cell r="H170">
            <v>73396.413163181685</v>
          </cell>
          <cell r="I170">
            <v>112019.26745818024</v>
          </cell>
          <cell r="J170">
            <v>144042.79262185149</v>
          </cell>
          <cell r="K170">
            <v>73066.992064556951</v>
          </cell>
          <cell r="L170">
            <v>118581.1317991487</v>
          </cell>
          <cell r="M170">
            <v>113795.62255914106</v>
          </cell>
          <cell r="N170">
            <v>151497.19764404272</v>
          </cell>
          <cell r="O170">
            <v>87760.561611509052</v>
          </cell>
          <cell r="P170">
            <v>167707.08258549857</v>
          </cell>
          <cell r="Q170">
            <v>141498.32221516455</v>
          </cell>
          <cell r="R170">
            <v>167201.79138963201</v>
          </cell>
          <cell r="S170">
            <v>1367231.2071765524</v>
          </cell>
          <cell r="V170">
            <v>90060.445227827091</v>
          </cell>
          <cell r="W170">
            <v>202079.71268600732</v>
          </cell>
          <cell r="X170">
            <v>346122.50530785881</v>
          </cell>
          <cell r="Y170">
            <v>419189.49737241573</v>
          </cell>
          <cell r="Z170">
            <v>537770.62917156448</v>
          </cell>
          <cell r="AA170">
            <v>651566.25173070549</v>
          </cell>
          <cell r="AB170">
            <v>803063.44937474816</v>
          </cell>
        </row>
        <row r="171">
          <cell r="G171">
            <v>8546.8631434775489</v>
          </cell>
          <cell r="H171">
            <v>9059.2862968289937</v>
          </cell>
          <cell r="I171">
            <v>8167.0404730209075</v>
          </cell>
          <cell r="J171">
            <v>8154.6149023858734</v>
          </cell>
          <cell r="K171">
            <v>8159.2731994904007</v>
          </cell>
          <cell r="L171">
            <v>8191.5900050190912</v>
          </cell>
          <cell r="M171">
            <v>6642.2092241071095</v>
          </cell>
          <cell r="N171">
            <v>6656.3221905932414</v>
          </cell>
          <cell r="O171">
            <v>6914.1248311778872</v>
          </cell>
          <cell r="P171">
            <v>6525.3884398312539</v>
          </cell>
          <cell r="Q171">
            <v>6536.7005292296044</v>
          </cell>
          <cell r="R171">
            <v>4618.1707686494565</v>
          </cell>
          <cell r="S171">
            <v>88171.584003811382</v>
          </cell>
          <cell r="V171">
            <v>17606.149440306544</v>
          </cell>
          <cell r="W171">
            <v>25773.189913327453</v>
          </cell>
          <cell r="X171">
            <v>33927.804815713323</v>
          </cell>
          <cell r="Y171">
            <v>42087.078015203726</v>
          </cell>
          <cell r="Z171">
            <v>50278.668020222816</v>
          </cell>
          <cell r="AA171">
            <v>56920.877244329924</v>
          </cell>
          <cell r="AB171">
            <v>63577.199434923168</v>
          </cell>
        </row>
        <row r="172">
          <cell r="G172">
            <v>14044.996587526482</v>
          </cell>
          <cell r="H172">
            <v>13246.419619721775</v>
          </cell>
          <cell r="I172">
            <v>14095.137201219524</v>
          </cell>
          <cell r="J172">
            <v>14764.421140619508</v>
          </cell>
          <cell r="K172">
            <v>14698.979464861459</v>
          </cell>
          <cell r="L172">
            <v>14527.182926077105</v>
          </cell>
          <cell r="M172">
            <v>15947.492236391785</v>
          </cell>
          <cell r="N172">
            <v>15822.479028579004</v>
          </cell>
          <cell r="O172">
            <v>15655.049733077301</v>
          </cell>
          <cell r="P172">
            <v>17064.730250985744</v>
          </cell>
          <cell r="Q172">
            <v>16942.377001477907</v>
          </cell>
          <cell r="R172">
            <v>17650.83518073447</v>
          </cell>
          <cell r="S172">
            <v>184460.10037127204</v>
          </cell>
          <cell r="V172">
            <v>27291.416207248258</v>
          </cell>
          <cell r="W172">
            <v>41386.553408467778</v>
          </cell>
          <cell r="X172">
            <v>56150.974549087288</v>
          </cell>
          <cell r="Y172">
            <v>70849.954013948751</v>
          </cell>
          <cell r="Z172">
            <v>85377.136940025855</v>
          </cell>
          <cell r="AA172">
            <v>101324.62917641764</v>
          </cell>
          <cell r="AB172">
            <v>117147.10820499665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</row>
        <row r="178">
          <cell r="G178">
            <v>14044.996587526482</v>
          </cell>
          <cell r="H178">
            <v>13246.419619721775</v>
          </cell>
          <cell r="I178">
            <v>14095.137201219524</v>
          </cell>
          <cell r="J178">
            <v>14764.421140619508</v>
          </cell>
          <cell r="K178">
            <v>14698.979464861459</v>
          </cell>
          <cell r="L178">
            <v>14527.182926077105</v>
          </cell>
          <cell r="M178">
            <v>15947.492236391785</v>
          </cell>
          <cell r="N178">
            <v>15822.479028579004</v>
          </cell>
          <cell r="O178">
            <v>15655.049733077301</v>
          </cell>
          <cell r="P178">
            <v>17064.730250985744</v>
          </cell>
          <cell r="Q178">
            <v>16942.377001477907</v>
          </cell>
          <cell r="R178">
            <v>17650.83518073447</v>
          </cell>
          <cell r="S178">
            <v>184460.10037127204</v>
          </cell>
          <cell r="V178">
            <v>27291.416207248258</v>
          </cell>
          <cell r="W178">
            <v>41386.553408467778</v>
          </cell>
          <cell r="X178">
            <v>56150.974549087288</v>
          </cell>
          <cell r="Y178">
            <v>70849.954013948751</v>
          </cell>
          <cell r="Z178">
            <v>85377.136940025855</v>
          </cell>
          <cell r="AA178">
            <v>101324.62917641764</v>
          </cell>
          <cell r="AB178">
            <v>117147.10820499665</v>
          </cell>
        </row>
        <row r="179">
          <cell r="G179">
            <v>22591.859731004031</v>
          </cell>
          <cell r="H179">
            <v>22305.705916550767</v>
          </cell>
          <cell r="I179">
            <v>22262.177674240433</v>
          </cell>
          <cell r="J179">
            <v>22919.036043005381</v>
          </cell>
          <cell r="K179">
            <v>22858.252664351858</v>
          </cell>
          <cell r="L179">
            <v>22718.772931096195</v>
          </cell>
          <cell r="M179">
            <v>22589.701460498894</v>
          </cell>
          <cell r="N179">
            <v>22478.801219172245</v>
          </cell>
          <cell r="O179">
            <v>22569.17456425519</v>
          </cell>
          <cell r="P179">
            <v>23590.118690816998</v>
          </cell>
          <cell r="Q179">
            <v>23479.077530707513</v>
          </cell>
          <cell r="R179">
            <v>22269.005949383925</v>
          </cell>
          <cell r="S179">
            <v>272631.68437508342</v>
          </cell>
          <cell r="V179">
            <v>44897.565647554802</v>
          </cell>
          <cell r="W179">
            <v>67159.743321795235</v>
          </cell>
          <cell r="X179">
            <v>90078.779364800619</v>
          </cell>
          <cell r="Y179">
            <v>112937.03202915247</v>
          </cell>
          <cell r="Z179">
            <v>135655.80496024867</v>
          </cell>
          <cell r="AA179">
            <v>158245.50642074755</v>
          </cell>
          <cell r="AB179">
            <v>180724.3076399198</v>
          </cell>
        </row>
        <row r="180">
          <cell r="G180">
            <v>1424.4771905795915</v>
          </cell>
          <cell r="H180">
            <v>1509.8810494714992</v>
          </cell>
          <cell r="I180">
            <v>1361.1734121701513</v>
          </cell>
          <cell r="J180">
            <v>1359.102483730979</v>
          </cell>
          <cell r="K180">
            <v>1359.8788665817335</v>
          </cell>
          <cell r="L180">
            <v>1365.2650008365151</v>
          </cell>
          <cell r="M180">
            <v>1328.4418448214219</v>
          </cell>
          <cell r="N180">
            <v>1331.2644381186483</v>
          </cell>
          <cell r="O180">
            <v>1382.8249662355774</v>
          </cell>
          <cell r="P180">
            <v>1305.0776879662508</v>
          </cell>
          <cell r="Q180">
            <v>1307.340105845921</v>
          </cell>
          <cell r="R180">
            <v>1355.892768247051</v>
          </cell>
          <cell r="S180">
            <v>1363.3563380402852</v>
          </cell>
          <cell r="V180">
            <v>2934.3582400510904</v>
          </cell>
          <cell r="W180">
            <v>4295.5316522212415</v>
          </cell>
          <cell r="X180">
            <v>5654.6341359522203</v>
          </cell>
          <cell r="Y180">
            <v>7014.513002533954</v>
          </cell>
          <cell r="Z180">
            <v>8379.7780033704694</v>
          </cell>
          <cell r="AA180">
            <v>9708.2198481918913</v>
          </cell>
          <cell r="AB180">
            <v>11039.48428631054</v>
          </cell>
        </row>
        <row r="181">
          <cell r="G181">
            <v>21367.157858693874</v>
          </cell>
          <cell r="H181">
            <v>22648.215742072494</v>
          </cell>
          <cell r="I181">
            <v>21778.774594722421</v>
          </cell>
          <cell r="J181">
            <v>20386.537255964686</v>
          </cell>
          <cell r="K181">
            <v>20398.182998726003</v>
          </cell>
          <cell r="L181">
            <v>20478.975012547729</v>
          </cell>
          <cell r="M181">
            <v>19926.62767232133</v>
          </cell>
          <cell r="N181">
            <v>19968.966571779729</v>
          </cell>
          <cell r="O181">
            <v>20742.374493533662</v>
          </cell>
          <cell r="P181">
            <v>18271.087631527509</v>
          </cell>
          <cell r="Q181">
            <v>18302.761481842896</v>
          </cell>
          <cell r="R181">
            <v>18982.498755458717</v>
          </cell>
          <cell r="S181">
            <v>243252.16006919101</v>
          </cell>
          <cell r="V181">
            <v>44015.373600766368</v>
          </cell>
          <cell r="W181">
            <v>65794.148195488786</v>
          </cell>
          <cell r="X181">
            <v>86180.685451453464</v>
          </cell>
          <cell r="Y181">
            <v>106578.86845017946</v>
          </cell>
          <cell r="Z181">
            <v>127057.84346272719</v>
          </cell>
          <cell r="AA181">
            <v>146984.47113504852</v>
          </cell>
          <cell r="AB181">
            <v>166953.43770682823</v>
          </cell>
        </row>
        <row r="182">
          <cell r="G182">
            <v>9704.3998965999563</v>
          </cell>
          <cell r="H182">
            <v>9181.9927521377485</v>
          </cell>
          <cell r="I182">
            <v>9829.4158760977989</v>
          </cell>
          <cell r="J182">
            <v>10322.911074726302</v>
          </cell>
          <cell r="K182">
            <v>10373.626256732248</v>
          </cell>
          <cell r="L182">
            <v>10514.398140450914</v>
          </cell>
          <cell r="M182">
            <v>11152.224376940878</v>
          </cell>
          <cell r="N182">
            <v>11213.341896060361</v>
          </cell>
          <cell r="O182">
            <v>11129.119120933585</v>
          </cell>
          <cell r="P182">
            <v>11906.763869564671</v>
          </cell>
          <cell r="Q182">
            <v>11980.776780646054</v>
          </cell>
          <cell r="R182">
            <v>12388.015069061341</v>
          </cell>
          <cell r="S182">
            <v>129696.98510995184</v>
          </cell>
          <cell r="V182">
            <v>18886.392648737703</v>
          </cell>
          <cell r="W182">
            <v>28715.808524835502</v>
          </cell>
          <cell r="X182">
            <v>39038.719599561802</v>
          </cell>
          <cell r="Y182">
            <v>49412.34585629405</v>
          </cell>
          <cell r="Z182">
            <v>59926.743996744961</v>
          </cell>
          <cell r="AA182">
            <v>71078.968373685842</v>
          </cell>
          <cell r="AB182">
            <v>82292.310269746202</v>
          </cell>
        </row>
        <row r="183">
          <cell r="G183">
            <v>2846.0199581465904</v>
          </cell>
          <cell r="H183">
            <v>2720.7452559056633</v>
          </cell>
          <cell r="I183">
            <v>2986.2915216060192</v>
          </cell>
          <cell r="J183">
            <v>3228.1752929703048</v>
          </cell>
          <cell r="K183">
            <v>3226.5977468565438</v>
          </cell>
          <cell r="L183">
            <v>3144.5135825718448</v>
          </cell>
          <cell r="M183">
            <v>3188.1061569055632</v>
          </cell>
          <cell r="N183">
            <v>3195.5499796543509</v>
          </cell>
          <cell r="O183">
            <v>2415.9914879442463</v>
          </cell>
          <cell r="P183">
            <v>3088.6894747574952</v>
          </cell>
          <cell r="Q183">
            <v>3094.0438734702116</v>
          </cell>
          <cell r="R183">
            <v>3217.1398927626979</v>
          </cell>
          <cell r="S183">
            <v>36351.864223551529</v>
          </cell>
          <cell r="V183">
            <v>5566.7652140522532</v>
          </cell>
          <cell r="W183">
            <v>8553.0567356582724</v>
          </cell>
          <cell r="X183">
            <v>11781.232028628578</v>
          </cell>
          <cell r="Y183">
            <v>15007.829775485121</v>
          </cell>
          <cell r="Z183">
            <v>18152.343358056965</v>
          </cell>
          <cell r="AA183">
            <v>21340.449514962529</v>
          </cell>
          <cell r="AB183">
            <v>24535.999494616881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</row>
        <row r="188">
          <cell r="G188">
            <v>12550.419854746546</v>
          </cell>
          <cell r="H188">
            <v>11902.738008043412</v>
          </cell>
          <cell r="I188">
            <v>12815.707397703818</v>
          </cell>
          <cell r="J188">
            <v>13551.086367696607</v>
          </cell>
          <cell r="K188">
            <v>13600.224003588792</v>
          </cell>
          <cell r="L188">
            <v>13658.911723022758</v>
          </cell>
          <cell r="M188">
            <v>14340.330533846442</v>
          </cell>
          <cell r="N188">
            <v>14408.891875714711</v>
          </cell>
          <cell r="O188">
            <v>13545.110608877831</v>
          </cell>
          <cell r="P188">
            <v>14995.453344322166</v>
          </cell>
          <cell r="Q188">
            <v>15074.820654116265</v>
          </cell>
          <cell r="R188">
            <v>15605.154961824039</v>
          </cell>
          <cell r="S188">
            <v>166048.84933350337</v>
          </cell>
          <cell r="V188">
            <v>24453.157862789958</v>
          </cell>
          <cell r="W188">
            <v>37268.865260493774</v>
          </cell>
          <cell r="X188">
            <v>50819.951628190378</v>
          </cell>
          <cell r="Y188">
            <v>64420.175631779173</v>
          </cell>
          <cell r="Z188">
            <v>78079.08735480193</v>
          </cell>
          <cell r="AA188">
            <v>92419.417888648371</v>
          </cell>
          <cell r="AB188">
            <v>106828.30976436308</v>
          </cell>
        </row>
        <row r="189">
          <cell r="G189">
            <v>33917.57771344042</v>
          </cell>
          <cell r="H189">
            <v>34550.953750115907</v>
          </cell>
          <cell r="I189">
            <v>34594.481992426241</v>
          </cell>
          <cell r="J189">
            <v>33937.623623661289</v>
          </cell>
          <cell r="K189">
            <v>33998.407002314794</v>
          </cell>
          <cell r="L189">
            <v>34137.886735570486</v>
          </cell>
          <cell r="M189">
            <v>34266.958206167772</v>
          </cell>
          <cell r="N189">
            <v>34377.858447494436</v>
          </cell>
          <cell r="O189">
            <v>34287.485102411491</v>
          </cell>
          <cell r="P189">
            <v>33266.540975849675</v>
          </cell>
          <cell r="Q189">
            <v>33377.582135959165</v>
          </cell>
          <cell r="R189">
            <v>34587.653717282752</v>
          </cell>
          <cell r="S189">
            <v>409301.00940269441</v>
          </cell>
          <cell r="V189">
            <v>68468.531463556326</v>
          </cell>
          <cell r="W189">
            <v>103063.01345598257</v>
          </cell>
          <cell r="X189">
            <v>137000.63707964384</v>
          </cell>
          <cell r="Y189">
            <v>170999.04408195865</v>
          </cell>
          <cell r="Z189">
            <v>205136.93081752915</v>
          </cell>
          <cell r="AA189">
            <v>239403.88902369692</v>
          </cell>
          <cell r="AB189">
            <v>273781.74747119134</v>
          </cell>
        </row>
        <row r="190">
          <cell r="G190">
            <v>1424.4771905795917</v>
          </cell>
          <cell r="H190">
            <v>1509.8810494714994</v>
          </cell>
          <cell r="I190">
            <v>1361.1734121701513</v>
          </cell>
          <cell r="J190">
            <v>1359.102483730979</v>
          </cell>
          <cell r="K190">
            <v>1359.8788665817335</v>
          </cell>
          <cell r="L190">
            <v>1365.2650008365151</v>
          </cell>
          <cell r="M190">
            <v>1328.4418448214221</v>
          </cell>
          <cell r="N190">
            <v>1331.2644381186485</v>
          </cell>
          <cell r="O190">
            <v>1382.8249662355777</v>
          </cell>
          <cell r="P190">
            <v>1305.0776879662508</v>
          </cell>
          <cell r="Q190">
            <v>1307.340105845921</v>
          </cell>
          <cell r="R190">
            <v>1355.8927682470512</v>
          </cell>
          <cell r="S190">
            <v>1364.2052306568237</v>
          </cell>
          <cell r="V190">
            <v>2934.3582400510913</v>
          </cell>
          <cell r="W190">
            <v>4295.5316522212424</v>
          </cell>
          <cell r="X190">
            <v>5654.6341359522212</v>
          </cell>
          <cell r="Y190">
            <v>7014.5130025339549</v>
          </cell>
          <cell r="Z190">
            <v>8379.7780033704694</v>
          </cell>
          <cell r="AA190">
            <v>9708.2198481918913</v>
          </cell>
          <cell r="AB190">
            <v>11039.48428631054</v>
          </cell>
        </row>
        <row r="191">
          <cell r="G191">
            <v>29914.021002171423</v>
          </cell>
          <cell r="H191">
            <v>31707.50203890149</v>
          </cell>
          <cell r="I191">
            <v>29945.81506774333</v>
          </cell>
          <cell r="J191">
            <v>28541.15215835056</v>
          </cell>
          <cell r="K191">
            <v>28557.456198216401</v>
          </cell>
          <cell r="L191">
            <v>28670.56501756682</v>
          </cell>
          <cell r="M191">
            <v>26568.836896428438</v>
          </cell>
          <cell r="N191">
            <v>26625.288762372969</v>
          </cell>
          <cell r="O191">
            <v>27656.499324711549</v>
          </cell>
          <cell r="P191">
            <v>24796.476071358764</v>
          </cell>
          <cell r="Q191">
            <v>24839.462011072501</v>
          </cell>
          <cell r="R191">
            <v>23600.669524108172</v>
          </cell>
          <cell r="S191">
            <v>331423.74407300242</v>
          </cell>
          <cell r="V191">
            <v>61621.523041072913</v>
          </cell>
          <cell r="W191">
            <v>91567.338108816242</v>
          </cell>
          <cell r="X191">
            <v>120108.49026716681</v>
          </cell>
          <cell r="Y191">
            <v>148665.94646538323</v>
          </cell>
          <cell r="Z191">
            <v>177336.51148295004</v>
          </cell>
          <cell r="AA191">
            <v>203905.34837937847</v>
          </cell>
          <cell r="AB191">
            <v>230530.63714175145</v>
          </cell>
        </row>
        <row r="192">
          <cell r="G192">
            <v>23749.396484126439</v>
          </cell>
          <cell r="H192">
            <v>22428.412371859522</v>
          </cell>
          <cell r="I192">
            <v>23924.553077317323</v>
          </cell>
          <cell r="J192">
            <v>25087.33221534581</v>
          </cell>
          <cell r="K192">
            <v>25072.605721593707</v>
          </cell>
          <cell r="L192">
            <v>25041.581066528019</v>
          </cell>
          <cell r="M192">
            <v>27099.716613332661</v>
          </cell>
          <cell r="N192">
            <v>27035.820924639367</v>
          </cell>
          <cell r="O192">
            <v>26784.168854010888</v>
          </cell>
          <cell r="P192">
            <v>28971.494120550415</v>
          </cell>
          <cell r="Q192">
            <v>28923.153782123962</v>
          </cell>
          <cell r="R192">
            <v>30038.850249795811</v>
          </cell>
          <cell r="S192">
            <v>314157.08548122388</v>
          </cell>
          <cell r="V192">
            <v>46177.808855985961</v>
          </cell>
          <cell r="W192">
            <v>70102.361933303284</v>
          </cell>
          <cell r="X192">
            <v>95189.694148649098</v>
          </cell>
          <cell r="Y192">
            <v>120262.2998702428</v>
          </cell>
          <cell r="Z192">
            <v>145303.88093677082</v>
          </cell>
          <cell r="AA192">
            <v>172403.59755010347</v>
          </cell>
          <cell r="AB192">
            <v>199439.41847474285</v>
          </cell>
        </row>
        <row r="193">
          <cell r="G193">
            <v>2846.0199581465904</v>
          </cell>
          <cell r="H193">
            <v>2720.7452559056633</v>
          </cell>
          <cell r="I193">
            <v>2986.2915216060192</v>
          </cell>
          <cell r="J193">
            <v>3228.1752929703048</v>
          </cell>
          <cell r="K193">
            <v>3226.5977468565438</v>
          </cell>
          <cell r="L193">
            <v>3144.5135825718448</v>
          </cell>
          <cell r="M193">
            <v>3188.1061569055632</v>
          </cell>
          <cell r="N193">
            <v>3195.5499796543509</v>
          </cell>
          <cell r="O193">
            <v>2415.9914879442463</v>
          </cell>
          <cell r="P193">
            <v>3088.6894747574952</v>
          </cell>
          <cell r="Q193">
            <v>3094.0438734702116</v>
          </cell>
          <cell r="R193">
            <v>3217.1398927626979</v>
          </cell>
          <cell r="S193">
            <v>36351.864223551529</v>
          </cell>
          <cell r="V193">
            <v>5566.7652140522532</v>
          </cell>
          <cell r="W193">
            <v>8553.0567356582724</v>
          </cell>
          <cell r="X193">
            <v>11781.232028628578</v>
          </cell>
          <cell r="Y193">
            <v>15007.829775485121</v>
          </cell>
          <cell r="Z193">
            <v>18152.343358056965</v>
          </cell>
          <cell r="AA193">
            <v>21340.449514962529</v>
          </cell>
          <cell r="AB193">
            <v>24535.999494616881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</row>
        <row r="198">
          <cell r="G198">
            <v>26595.416442273028</v>
          </cell>
          <cell r="H198">
            <v>25149.157627765184</v>
          </cell>
          <cell r="I198">
            <v>26910.844598923344</v>
          </cell>
          <cell r="J198">
            <v>28315.507508316114</v>
          </cell>
          <cell r="K198">
            <v>28299.203468450251</v>
          </cell>
          <cell r="L198">
            <v>28186.094649099865</v>
          </cell>
          <cell r="M198">
            <v>30287.822770238225</v>
          </cell>
          <cell r="N198">
            <v>30231.370904293719</v>
          </cell>
          <cell r="O198">
            <v>29200.160341955136</v>
          </cell>
          <cell r="P198">
            <v>32060.18359530791</v>
          </cell>
          <cell r="Q198">
            <v>32017.197655594173</v>
          </cell>
          <cell r="R198">
            <v>33255.990142558512</v>
          </cell>
          <cell r="S198">
            <v>350508.94970477541</v>
          </cell>
          <cell r="V198">
            <v>51744.574070038216</v>
          </cell>
          <cell r="W198">
            <v>78655.41866896156</v>
          </cell>
          <cell r="X198">
            <v>106970.92617727767</v>
          </cell>
          <cell r="Y198">
            <v>135270.12964572792</v>
          </cell>
          <cell r="Z198">
            <v>163456.22429482779</v>
          </cell>
          <cell r="AA198">
            <v>193744.047065066</v>
          </cell>
          <cell r="AB198">
            <v>223975.41796935973</v>
          </cell>
        </row>
        <row r="199">
          <cell r="G199">
            <v>56509.437444444455</v>
          </cell>
          <cell r="H199">
            <v>56856.659666666674</v>
          </cell>
          <cell r="I199">
            <v>56856.659666666674</v>
          </cell>
          <cell r="J199">
            <v>56856.659666666674</v>
          </cell>
          <cell r="K199">
            <v>56856.659666666652</v>
          </cell>
          <cell r="L199">
            <v>56856.659666666688</v>
          </cell>
          <cell r="M199">
            <v>56856.659666666659</v>
          </cell>
          <cell r="N199">
            <v>56856.659666666688</v>
          </cell>
          <cell r="O199">
            <v>56856.659666666688</v>
          </cell>
          <cell r="P199">
            <v>56856.659666666674</v>
          </cell>
          <cell r="Q199">
            <v>56856.659666666674</v>
          </cell>
          <cell r="R199">
            <v>56856.659666666688</v>
          </cell>
          <cell r="S199">
            <v>681932.69377777784</v>
          </cell>
          <cell r="V199">
            <v>113366.09711111113</v>
          </cell>
          <cell r="W199">
            <v>170222.7567777778</v>
          </cell>
          <cell r="X199">
            <v>227079.41644444448</v>
          </cell>
          <cell r="Y199">
            <v>283936.07611111115</v>
          </cell>
          <cell r="Z199">
            <v>340792.73577777785</v>
          </cell>
          <cell r="AA199">
            <v>397649.3954444445</v>
          </cell>
          <cell r="AB199">
            <v>454506.0551111112</v>
          </cell>
        </row>
        <row r="200">
          <cell r="G200">
            <v>1424.4771905795917</v>
          </cell>
          <cell r="H200">
            <v>1509.8810494714996</v>
          </cell>
          <cell r="I200">
            <v>1361.1734121701513</v>
          </cell>
          <cell r="J200">
            <v>1359.102483730979</v>
          </cell>
          <cell r="K200">
            <v>1359.8788665817335</v>
          </cell>
          <cell r="L200">
            <v>1365.2650008365154</v>
          </cell>
          <cell r="M200">
            <v>1328.4418448214219</v>
          </cell>
          <cell r="N200">
            <v>1331.2644381186487</v>
          </cell>
          <cell r="O200">
            <v>1382.8249662355779</v>
          </cell>
          <cell r="P200">
            <v>1305.0776879662508</v>
          </cell>
          <cell r="Q200">
            <v>1307.340105845921</v>
          </cell>
          <cell r="R200">
            <v>1355.8927682470514</v>
          </cell>
          <cell r="S200">
            <v>1363.8657228196807</v>
          </cell>
          <cell r="V200">
            <v>2934.3582400510913</v>
          </cell>
          <cell r="W200">
            <v>4295.5316522212424</v>
          </cell>
          <cell r="X200">
            <v>5654.6341359522212</v>
          </cell>
          <cell r="Y200">
            <v>7014.5130025339549</v>
          </cell>
          <cell r="Z200">
            <v>8379.7780033704694</v>
          </cell>
          <cell r="AA200">
            <v>9708.2198481918913</v>
          </cell>
          <cell r="AB200">
            <v>11039.48428631054</v>
          </cell>
        </row>
        <row r="201">
          <cell r="G201">
            <v>-41321.894392537855</v>
          </cell>
          <cell r="H201">
            <v>-32354.760251666325</v>
          </cell>
          <cell r="I201">
            <v>-27730.124779581205</v>
          </cell>
          <cell r="J201">
            <v>-23154.839450692438</v>
          </cell>
          <cell r="K201">
            <v>-33371.835627532084</v>
          </cell>
          <cell r="L201">
            <v>-26895.136444352502</v>
          </cell>
          <cell r="M201">
            <v>-23974.981522634276</v>
          </cell>
          <cell r="N201">
            <v>-19592.842027962059</v>
          </cell>
          <cell r="O201">
            <v>-26770.336646066495</v>
          </cell>
          <cell r="P201">
            <v>-17947.180757420301</v>
          </cell>
          <cell r="Q201">
            <v>-20989.647598398482</v>
          </cell>
          <cell r="R201">
            <v>-12738.973379569346</v>
          </cell>
          <cell r="S201">
            <v>-306842.55287841341</v>
          </cell>
          <cell r="T201">
            <v>-306842.55287841341</v>
          </cell>
          <cell r="V201">
            <v>-73676.654644204187</v>
          </cell>
          <cell r="W201">
            <v>-101406.7794237854</v>
          </cell>
          <cell r="X201">
            <v>-124561.61887447783</v>
          </cell>
          <cell r="Y201">
            <v>-157933.4545020099</v>
          </cell>
          <cell r="Z201">
            <v>-184828.59094636241</v>
          </cell>
          <cell r="AA201">
            <v>-208803.57246899669</v>
          </cell>
          <cell r="AB201">
            <v>-228396.41449695875</v>
          </cell>
        </row>
        <row r="202">
          <cell r="G202">
            <v>-28464.940124652574</v>
          </cell>
          <cell r="H202">
            <v>-12216.266987221992</v>
          </cell>
          <cell r="I202">
            <v>-6437.6588703763446</v>
          </cell>
          <cell r="J202">
            <v>1530.2140482149716</v>
          </cell>
          <cell r="K202">
            <v>-16883.417930625856</v>
          </cell>
          <cell r="L202">
            <v>-5134.3117389043618</v>
          </cell>
          <cell r="M202">
            <v>-9543.6600735100201</v>
          </cell>
          <cell r="N202">
            <v>967.83903925102277</v>
          </cell>
          <cell r="O202">
            <v>-15329.48268823638</v>
          </cell>
          <cell r="P202">
            <v>5368.3864112710544</v>
          </cell>
          <cell r="Q202">
            <v>-2565.0529094454905</v>
          </cell>
          <cell r="R202">
            <v>3382.6074847276213</v>
          </cell>
          <cell r="S202">
            <v>-85325.744339508368</v>
          </cell>
          <cell r="T202">
            <v>-85325.744339508325</v>
          </cell>
          <cell r="V202">
            <v>-40681.207111874566</v>
          </cell>
          <cell r="W202">
            <v>-47118.865982250907</v>
          </cell>
          <cell r="X202">
            <v>-45588.651934035937</v>
          </cell>
          <cell r="Y202">
            <v>-62472.069864661797</v>
          </cell>
          <cell r="Z202">
            <v>-67606.381603566158</v>
          </cell>
          <cell r="AA202">
            <v>-77150.04167707618</v>
          </cell>
          <cell r="AB202">
            <v>-76182.202637825161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</row>
        <row r="205"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</row>
        <row r="208">
          <cell r="G208">
            <v>-28464.940124652574</v>
          </cell>
          <cell r="H208">
            <v>-12216.266987221992</v>
          </cell>
          <cell r="I208">
            <v>-6437.6588703763446</v>
          </cell>
          <cell r="J208">
            <v>1530.2140482149716</v>
          </cell>
          <cell r="K208">
            <v>-16883.417930625856</v>
          </cell>
          <cell r="L208">
            <v>-5134.3117389043618</v>
          </cell>
          <cell r="M208">
            <v>-9543.6600735100201</v>
          </cell>
          <cell r="N208">
            <v>967.83903925102277</v>
          </cell>
          <cell r="O208">
            <v>-15329.48268823638</v>
          </cell>
          <cell r="P208">
            <v>5368.3864112710544</v>
          </cell>
          <cell r="Q208">
            <v>-2565.0529094454905</v>
          </cell>
          <cell r="R208">
            <v>3382.6074847276213</v>
          </cell>
          <cell r="S208">
            <v>-85325.744339508368</v>
          </cell>
          <cell r="T208">
            <v>-85325.744339508325</v>
          </cell>
          <cell r="V208">
            <v>-40681.207111874566</v>
          </cell>
          <cell r="W208">
            <v>-47118.865982250907</v>
          </cell>
          <cell r="X208">
            <v>-45588.651934035937</v>
          </cell>
          <cell r="Y208">
            <v>-62472.069864661797</v>
          </cell>
          <cell r="Z208">
            <v>-67606.381603566158</v>
          </cell>
          <cell r="AA208">
            <v>-77150.04167707618</v>
          </cell>
          <cell r="AB208">
            <v>-76182.202637825161</v>
          </cell>
        </row>
        <row r="209">
          <cell r="G209">
            <v>-69786.834517190437</v>
          </cell>
          <cell r="H209">
            <v>-44571.027238888317</v>
          </cell>
          <cell r="I209">
            <v>-34167.78364995755</v>
          </cell>
          <cell r="J209">
            <v>-21624.625402477468</v>
          </cell>
          <cell r="K209">
            <v>-50255.253558157943</v>
          </cell>
          <cell r="L209">
            <v>-32029.448183256864</v>
          </cell>
          <cell r="M209">
            <v>-33518.641596144298</v>
          </cell>
          <cell r="N209">
            <v>-18625.002988711036</v>
          </cell>
          <cell r="O209">
            <v>-42099.819334302876</v>
          </cell>
          <cell r="P209">
            <v>-12578.794346149247</v>
          </cell>
          <cell r="Q209">
            <v>-23554.700507843972</v>
          </cell>
          <cell r="R209">
            <v>-9356.3658948417251</v>
          </cell>
          <cell r="S209">
            <v>-392168.29721792176</v>
          </cell>
          <cell r="T209">
            <v>-392168.2972179217</v>
          </cell>
          <cell r="V209">
            <v>-114357.86175607875</v>
          </cell>
          <cell r="W209">
            <v>-148525.64540603629</v>
          </cell>
          <cell r="X209">
            <v>-170150.27080851374</v>
          </cell>
          <cell r="Y209">
            <v>-220405.52436667169</v>
          </cell>
          <cell r="Z209">
            <v>-252434.97254992856</v>
          </cell>
          <cell r="AA209">
            <v>-285953.61414607288</v>
          </cell>
          <cell r="AB209">
            <v>-304578.61713478394</v>
          </cell>
        </row>
        <row r="210">
          <cell r="G210">
            <v>1695.264018655329</v>
          </cell>
          <cell r="H210">
            <v>24113.099370834072</v>
          </cell>
          <cell r="I210">
            <v>38053.000587783506</v>
          </cell>
          <cell r="J210">
            <v>47112.901373268884</v>
          </cell>
          <cell r="K210">
            <v>21570.410931169779</v>
          </cell>
          <cell r="L210">
            <v>37762.158889118771</v>
          </cell>
          <cell r="M210">
            <v>33075.055432097121</v>
          </cell>
          <cell r="N210">
            <v>46221.473916113828</v>
          </cell>
          <cell r="O210">
            <v>24688.990061800429</v>
          </cell>
          <cell r="P210">
            <v>47747.89387922312</v>
          </cell>
          <cell r="Q210">
            <v>39228.986724484246</v>
          </cell>
          <cell r="R210">
            <v>45637.807600125961</v>
          </cell>
          <cell r="S210">
            <v>406907.04278467508</v>
          </cell>
          <cell r="T210">
            <v>406907.04278467491</v>
          </cell>
          <cell r="V210">
            <v>25808.363389489401</v>
          </cell>
          <cell r="W210">
            <v>63861.363977272908</v>
          </cell>
          <cell r="X210">
            <v>110974.2653505418</v>
          </cell>
          <cell r="Y210">
            <v>132544.67628171158</v>
          </cell>
          <cell r="Z210">
            <v>170306.83517083037</v>
          </cell>
          <cell r="AA210">
            <v>203381.89060292748</v>
          </cell>
          <cell r="AB210">
            <v>249603.36451904132</v>
          </cell>
        </row>
        <row r="211">
          <cell r="G211">
            <v>28020.362732507238</v>
          </cell>
          <cell r="H211">
            <v>34100.958661751378</v>
          </cell>
          <cell r="I211">
            <v>46059.587963413695</v>
          </cell>
          <cell r="J211">
            <v>54237.605040486858</v>
          </cell>
          <cell r="K211">
            <v>41483.153507391871</v>
          </cell>
          <cell r="L211">
            <v>50193.442835903814</v>
          </cell>
          <cell r="M211">
            <v>52090.796252331304</v>
          </cell>
          <cell r="N211">
            <v>59647.438411164912</v>
          </cell>
          <cell r="O211">
            <v>45439.053225230411</v>
          </cell>
          <cell r="P211">
            <v>67609.640941845166</v>
          </cell>
          <cell r="Q211">
            <v>62335.79747651684</v>
          </cell>
          <cell r="R211">
            <v>66329.028035608149</v>
          </cell>
          <cell r="S211">
            <v>607546.86508415162</v>
          </cell>
          <cell r="T211">
            <v>607546.86508415174</v>
          </cell>
          <cell r="V211">
            <v>62121.321394258615</v>
          </cell>
          <cell r="W211">
            <v>108180.90935767231</v>
          </cell>
          <cell r="X211">
            <v>162418.51439815917</v>
          </cell>
          <cell r="Y211">
            <v>203901.66790555103</v>
          </cell>
          <cell r="Z211">
            <v>254095.11074145485</v>
          </cell>
          <cell r="AA211">
            <v>306185.90699378616</v>
          </cell>
          <cell r="AB211">
            <v>365833.34540495108</v>
          </cell>
        </row>
        <row r="212">
          <cell r="G212">
            <v>225.80238622881279</v>
          </cell>
          <cell r="H212">
            <v>2896.7227028178772</v>
          </cell>
          <cell r="I212">
            <v>5217.8028902739115</v>
          </cell>
          <cell r="J212">
            <v>7460.2519439065236</v>
          </cell>
          <cell r="K212">
            <v>3412.0215174865766</v>
          </cell>
          <cell r="L212">
            <v>5798.3185907163006</v>
          </cell>
          <cell r="M212">
            <v>5291.7528041902588</v>
          </cell>
          <cell r="N212">
            <v>7396.6286388083108</v>
          </cell>
          <cell r="O212">
            <v>2875.6779921144093</v>
          </cell>
          <cell r="P212">
            <v>8071.682443912865</v>
          </cell>
          <cell r="Q212">
            <v>6631.5788553407619</v>
          </cell>
          <cell r="R212">
            <v>7734.6619820729647</v>
          </cell>
          <cell r="S212">
            <v>63012.902747869579</v>
          </cell>
          <cell r="T212">
            <v>63012.90274786955</v>
          </cell>
          <cell r="V212">
            <v>3122.52508904669</v>
          </cell>
          <cell r="W212">
            <v>8340.327979320602</v>
          </cell>
          <cell r="X212">
            <v>15800.579923227126</v>
          </cell>
          <cell r="Y212">
            <v>19212.601440713701</v>
          </cell>
          <cell r="Z212">
            <v>25010.920031430003</v>
          </cell>
          <cell r="AA212">
            <v>30302.672835620262</v>
          </cell>
          <cell r="AB212">
            <v>37699.301474428576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</row>
        <row r="214"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</row>
        <row r="215"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</row>
        <row r="216"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</row>
        <row r="217">
          <cell r="G217">
            <v>28246.165118736051</v>
          </cell>
          <cell r="H217">
            <v>36997.681364569253</v>
          </cell>
          <cell r="I217">
            <v>51277.390853687604</v>
          </cell>
          <cell r="J217">
            <v>61697.85698439338</v>
          </cell>
          <cell r="K217">
            <v>44895.175024878445</v>
          </cell>
          <cell r="L217">
            <v>55991.761426620113</v>
          </cell>
          <cell r="M217">
            <v>57382.549056521559</v>
          </cell>
          <cell r="N217">
            <v>67044.067049973222</v>
          </cell>
          <cell r="O217">
            <v>48314.731217344823</v>
          </cell>
          <cell r="P217">
            <v>75681.323385758034</v>
          </cell>
          <cell r="Q217">
            <v>68967.376331857609</v>
          </cell>
          <cell r="R217">
            <v>74063.690017681118</v>
          </cell>
          <cell r="S217">
            <v>670559.76783202123</v>
          </cell>
          <cell r="T217">
            <v>670559.76783202123</v>
          </cell>
          <cell r="V217">
            <v>65243.8464833053</v>
          </cell>
          <cell r="W217">
            <v>116521.2373369929</v>
          </cell>
          <cell r="X217">
            <v>178219.09432138628</v>
          </cell>
          <cell r="Y217">
            <v>223114.26934626471</v>
          </cell>
          <cell r="Z217">
            <v>279106.03077288484</v>
          </cell>
          <cell r="AA217">
            <v>336488.5798294064</v>
          </cell>
          <cell r="AB217">
            <v>403532.64687937964</v>
          </cell>
        </row>
        <row r="218">
          <cell r="G218">
            <v>29941.42913739138</v>
          </cell>
          <cell r="H218">
            <v>61110.780735403328</v>
          </cell>
          <cell r="I218">
            <v>89330.391441471118</v>
          </cell>
          <cell r="J218">
            <v>108810.75835766227</v>
          </cell>
          <cell r="K218">
            <v>66465.58595604822</v>
          </cell>
          <cell r="L218">
            <v>93753.920315738884</v>
          </cell>
          <cell r="M218">
            <v>90457.604488618672</v>
          </cell>
          <cell r="N218">
            <v>113265.54096608705</v>
          </cell>
          <cell r="O218">
            <v>73003.721279145248</v>
          </cell>
          <cell r="P218">
            <v>123429.21726498115</v>
          </cell>
          <cell r="Q218">
            <v>108196.36305634186</v>
          </cell>
          <cell r="R218">
            <v>119701.49761780708</v>
          </cell>
          <cell r="S218">
            <v>1077466.8106166963</v>
          </cell>
          <cell r="T218">
            <v>1077466.810616696</v>
          </cell>
          <cell r="V218">
            <v>91052.209872794716</v>
          </cell>
          <cell r="W218">
            <v>180382.60131426583</v>
          </cell>
          <cell r="X218">
            <v>289193.3596719281</v>
          </cell>
          <cell r="Y218">
            <v>355658.94562797633</v>
          </cell>
          <cell r="Z218">
            <v>449412.86594371521</v>
          </cell>
          <cell r="AA218">
            <v>539870.47043233388</v>
          </cell>
          <cell r="AB218">
            <v>653136.0113984209</v>
          </cell>
        </row>
        <row r="219">
          <cell r="G219">
            <v>-39626.630373882523</v>
          </cell>
          <cell r="H219">
            <v>-8241.6608808322526</v>
          </cell>
          <cell r="I219">
            <v>10322.875808202301</v>
          </cell>
          <cell r="J219">
            <v>23958.061922576446</v>
          </cell>
          <cell r="K219">
            <v>-11801.424696362305</v>
          </cell>
          <cell r="L219">
            <v>10867.022444766269</v>
          </cell>
          <cell r="M219">
            <v>9100.0739094628443</v>
          </cell>
          <cell r="N219">
            <v>26628.631888151769</v>
          </cell>
          <cell r="O219">
            <v>-2081.3465842660662</v>
          </cell>
          <cell r="P219">
            <v>29800.713121802819</v>
          </cell>
          <cell r="Q219">
            <v>18239.339126085764</v>
          </cell>
          <cell r="R219">
            <v>32898.834220556615</v>
          </cell>
          <cell r="S219">
            <v>100064.48990626168</v>
          </cell>
          <cell r="T219">
            <v>100064.48990626168</v>
          </cell>
          <cell r="V219">
            <v>-47868.291254714772</v>
          </cell>
          <cell r="W219">
            <v>-37545.415446512474</v>
          </cell>
          <cell r="X219">
            <v>-13587.353523936028</v>
          </cell>
          <cell r="Y219">
            <v>-25388.778220298333</v>
          </cell>
          <cell r="Z219">
            <v>-14521.755775532063</v>
          </cell>
          <cell r="AA219">
            <v>-5421.6818660692188</v>
          </cell>
          <cell r="AB219">
            <v>21206.95002208255</v>
          </cell>
        </row>
        <row r="220">
          <cell r="G220">
            <v>-444.57739214533649</v>
          </cell>
          <cell r="H220">
            <v>21884.691674529386</v>
          </cell>
          <cell r="I220">
            <v>39621.929093037354</v>
          </cell>
          <cell r="J220">
            <v>55767.819088701828</v>
          </cell>
          <cell r="K220">
            <v>24599.735576766016</v>
          </cell>
          <cell r="L220">
            <v>45059.131096999452</v>
          </cell>
          <cell r="M220">
            <v>42547.136178821282</v>
          </cell>
          <cell r="N220">
            <v>60615.277450415932</v>
          </cell>
          <cell r="O220">
            <v>30109.570536994033</v>
          </cell>
          <cell r="P220">
            <v>72978.027353116224</v>
          </cell>
          <cell r="Q220">
            <v>59770.74456707135</v>
          </cell>
          <cell r="R220">
            <v>69711.635520335767</v>
          </cell>
          <cell r="S220">
            <v>522221.12074464327</v>
          </cell>
          <cell r="T220">
            <v>522221.12074464338</v>
          </cell>
          <cell r="U220">
            <v>0.89232870916863949</v>
          </cell>
          <cell r="V220">
            <v>21440.114282384049</v>
          </cell>
          <cell r="W220">
            <v>61062.043375421403</v>
          </cell>
          <cell r="X220">
            <v>116829.86246412323</v>
          </cell>
          <cell r="Y220">
            <v>141429.59804088925</v>
          </cell>
          <cell r="Z220">
            <v>186488.7291378887</v>
          </cell>
          <cell r="AA220">
            <v>229035.86531670997</v>
          </cell>
          <cell r="AB220">
            <v>289651.14276712592</v>
          </cell>
        </row>
        <row r="221">
          <cell r="G221">
            <v>225.80238622881279</v>
          </cell>
          <cell r="H221">
            <v>2896.7227028178772</v>
          </cell>
          <cell r="I221">
            <v>5217.8028902739115</v>
          </cell>
          <cell r="J221">
            <v>7460.2519439065236</v>
          </cell>
          <cell r="K221">
            <v>3412.0215174865766</v>
          </cell>
          <cell r="L221">
            <v>5798.3185907163006</v>
          </cell>
          <cell r="M221">
            <v>5291.7528041902588</v>
          </cell>
          <cell r="N221">
            <v>7396.6286388083108</v>
          </cell>
          <cell r="O221">
            <v>2875.6779921144093</v>
          </cell>
          <cell r="P221">
            <v>8071.682443912865</v>
          </cell>
          <cell r="Q221">
            <v>6631.5788553407619</v>
          </cell>
          <cell r="R221">
            <v>7734.6619820729647</v>
          </cell>
          <cell r="S221">
            <v>63012.902747869579</v>
          </cell>
          <cell r="T221">
            <v>63012.90274786955</v>
          </cell>
          <cell r="U221">
            <v>0.10767129083136044</v>
          </cell>
          <cell r="V221">
            <v>3122.52508904669</v>
          </cell>
          <cell r="W221">
            <v>8340.327979320602</v>
          </cell>
          <cell r="X221">
            <v>15800.579923227126</v>
          </cell>
          <cell r="Y221">
            <v>19212.601440713701</v>
          </cell>
          <cell r="Z221">
            <v>25010.920031430003</v>
          </cell>
          <cell r="AA221">
            <v>30302.672835620262</v>
          </cell>
          <cell r="AB221">
            <v>37699.301474428576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</row>
        <row r="224"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</row>
        <row r="225"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</row>
        <row r="226">
          <cell r="G226">
            <v>-218.7750059165237</v>
          </cell>
          <cell r="H226">
            <v>24781.414377347264</v>
          </cell>
          <cell r="I226">
            <v>44839.731983311263</v>
          </cell>
          <cell r="J226">
            <v>63228.07103260835</v>
          </cell>
          <cell r="K226">
            <v>28011.757094252593</v>
          </cell>
          <cell r="L226">
            <v>50857.449687715751</v>
          </cell>
          <cell r="M226">
            <v>47838.888983011537</v>
          </cell>
          <cell r="N226">
            <v>68011.906089224241</v>
          </cell>
          <cell r="O226">
            <v>32985.248529108445</v>
          </cell>
          <cell r="P226">
            <v>81049.709797029092</v>
          </cell>
          <cell r="Q226">
            <v>66402.323422412112</v>
          </cell>
          <cell r="R226">
            <v>77446.297502408735</v>
          </cell>
          <cell r="S226">
            <v>585234.02349251288</v>
          </cell>
          <cell r="T226">
            <v>585234.02349251299</v>
          </cell>
          <cell r="V226">
            <v>24562.639371430741</v>
          </cell>
          <cell r="W226">
            <v>69402.371354742005</v>
          </cell>
          <cell r="X226">
            <v>132630.44238735037</v>
          </cell>
          <cell r="Y226">
            <v>160642.19948160296</v>
          </cell>
          <cell r="Z226">
            <v>211499.64916931873</v>
          </cell>
          <cell r="AA226">
            <v>259338.53815233026</v>
          </cell>
          <cell r="AB226">
            <v>327350.44424155448</v>
          </cell>
        </row>
        <row r="227">
          <cell r="G227">
            <v>-39845.405379799049</v>
          </cell>
          <cell r="H227">
            <v>16539.753496515012</v>
          </cell>
          <cell r="I227">
            <v>55162.607791513568</v>
          </cell>
          <cell r="J227">
            <v>87186.132955184788</v>
          </cell>
          <cell r="K227">
            <v>16210.332397890288</v>
          </cell>
          <cell r="L227">
            <v>61724.47213248202</v>
          </cell>
          <cell r="M227">
            <v>56938.962892474381</v>
          </cell>
          <cell r="N227">
            <v>94640.537977376007</v>
          </cell>
          <cell r="O227">
            <v>30903.901944842379</v>
          </cell>
          <cell r="P227">
            <v>110850.42291883192</v>
          </cell>
          <cell r="Q227">
            <v>84641.662548497872</v>
          </cell>
          <cell r="R227">
            <v>110345.13172296535</v>
          </cell>
          <cell r="S227">
            <v>685298.51339877455</v>
          </cell>
          <cell r="T227">
            <v>685298.51339877455</v>
          </cell>
          <cell r="V227">
            <v>-23305.651883284037</v>
          </cell>
          <cell r="W227">
            <v>31856.955908229531</v>
          </cell>
          <cell r="X227">
            <v>119043.08886341432</v>
          </cell>
          <cell r="Y227">
            <v>135253.42126130461</v>
          </cell>
          <cell r="Z227">
            <v>196977.89339378662</v>
          </cell>
          <cell r="AA227">
            <v>253916.856286261</v>
          </cell>
          <cell r="AB227">
            <v>348557.39426363702</v>
          </cell>
        </row>
        <row r="228">
          <cell r="G228">
            <v>0</v>
          </cell>
          <cell r="H228">
            <v>0</v>
          </cell>
          <cell r="I228">
            <v>0</v>
          </cell>
          <cell r="J228"/>
          <cell r="K228"/>
          <cell r="L228"/>
          <cell r="M228"/>
          <cell r="N228"/>
          <cell r="O228"/>
          <cell r="P228"/>
          <cell r="Q228"/>
          <cell r="R228"/>
          <cell r="S228">
            <v>0</v>
          </cell>
        </row>
        <row r="229">
          <cell r="G229">
            <v>0</v>
          </cell>
          <cell r="H229">
            <v>0</v>
          </cell>
          <cell r="I229">
            <v>0</v>
          </cell>
          <cell r="J229"/>
          <cell r="K229"/>
          <cell r="L229"/>
          <cell r="M229"/>
          <cell r="N229"/>
          <cell r="O229"/>
          <cell r="P229"/>
          <cell r="Q229"/>
          <cell r="R229"/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3">
          <cell r="G233">
            <v>39670.29996559782</v>
          </cell>
        </row>
        <row r="234">
          <cell r="G234">
            <v>709406.85182383005</v>
          </cell>
        </row>
        <row r="235">
          <cell r="G235">
            <v>277692.09975918476</v>
          </cell>
        </row>
        <row r="236">
          <cell r="G236">
            <v>27000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계획"/>
      <sheetName val="판매계획"/>
      <sheetName val="이송계획"/>
      <sheetName val="원가계획"/>
      <sheetName val="제조4"/>
      <sheetName val="제조6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/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8000</v>
          </cell>
          <cell r="H6">
            <v>6500</v>
          </cell>
          <cell r="I6">
            <v>6000</v>
          </cell>
          <cell r="J6">
            <v>6500</v>
          </cell>
          <cell r="K6">
            <v>9500</v>
          </cell>
          <cell r="L6">
            <v>9500</v>
          </cell>
          <cell r="M6">
            <v>9500</v>
          </cell>
          <cell r="N6">
            <v>9500</v>
          </cell>
          <cell r="O6">
            <v>9500</v>
          </cell>
          <cell r="P6">
            <v>9500</v>
          </cell>
          <cell r="Q6">
            <v>9500</v>
          </cell>
          <cell r="R6">
            <v>8133</v>
          </cell>
          <cell r="S6">
            <v>101633</v>
          </cell>
          <cell r="T6">
            <v>0.33877646783553828</v>
          </cell>
          <cell r="V6">
            <v>14500</v>
          </cell>
          <cell r="W6">
            <v>20500</v>
          </cell>
          <cell r="X6">
            <v>27000</v>
          </cell>
          <cell r="Y6">
            <v>36500</v>
          </cell>
          <cell r="Z6">
            <v>46000</v>
          </cell>
          <cell r="AA6">
            <v>55500</v>
          </cell>
          <cell r="AB6">
            <v>65000</v>
          </cell>
          <cell r="AC6">
            <v>74500</v>
          </cell>
          <cell r="AD6">
            <v>84000</v>
          </cell>
          <cell r="AE6">
            <v>93500</v>
          </cell>
          <cell r="AF6">
            <v>101633</v>
          </cell>
        </row>
        <row r="7">
          <cell r="G7">
            <v>16586.870682990953</v>
          </cell>
          <cell r="H7">
            <v>11567.897800162975</v>
          </cell>
          <cell r="I7">
            <v>8876.6974313291757</v>
          </cell>
          <cell r="J7">
            <v>10696.307872616711</v>
          </cell>
          <cell r="K7">
            <v>18519.294299382029</v>
          </cell>
          <cell r="L7">
            <v>18065.379730358123</v>
          </cell>
          <cell r="M7">
            <v>18249.090710905504</v>
          </cell>
          <cell r="N7">
            <v>18371.513700188385</v>
          </cell>
          <cell r="O7">
            <v>17011.795321480207</v>
          </cell>
          <cell r="P7">
            <v>19754.222470020948</v>
          </cell>
          <cell r="Q7">
            <v>20268.648431551352</v>
          </cell>
          <cell r="R7">
            <v>20399.457621864596</v>
          </cell>
          <cell r="S7">
            <v>198367.17607285097</v>
          </cell>
          <cell r="T7">
            <v>0.66122353216446184</v>
          </cell>
          <cell r="V7">
            <v>28154.76848315393</v>
          </cell>
          <cell r="W7">
            <v>37031.465914483109</v>
          </cell>
          <cell r="X7">
            <v>47727.773787099824</v>
          </cell>
          <cell r="Y7">
            <v>66247.068086481857</v>
          </cell>
          <cell r="Z7">
            <v>84312.44781683998</v>
          </cell>
          <cell r="AA7">
            <v>102561.53852774549</v>
          </cell>
          <cell r="AB7">
            <v>120933.05222793388</v>
          </cell>
          <cell r="AC7">
            <v>137944.84754941409</v>
          </cell>
          <cell r="AD7">
            <v>157699.07001943502</v>
          </cell>
          <cell r="AE7">
            <v>177967.71845098637</v>
          </cell>
          <cell r="AF7">
            <v>198367.17607285097</v>
          </cell>
        </row>
        <row r="8">
          <cell r="G8">
            <v>24586.870682990953</v>
          </cell>
          <cell r="H8">
            <v>18067.897800162973</v>
          </cell>
          <cell r="I8">
            <v>14876.697431329176</v>
          </cell>
          <cell r="J8">
            <v>17196.307872616711</v>
          </cell>
          <cell r="K8">
            <v>28019.294299382029</v>
          </cell>
          <cell r="L8">
            <v>27565.379730358123</v>
          </cell>
          <cell r="M8">
            <v>27749.090710905504</v>
          </cell>
          <cell r="N8">
            <v>27871.513700188385</v>
          </cell>
          <cell r="O8">
            <v>26511.795321480207</v>
          </cell>
          <cell r="P8">
            <v>29254.222470020948</v>
          </cell>
          <cell r="Q8">
            <v>29768.648431551352</v>
          </cell>
          <cell r="R8">
            <v>28532.457621864596</v>
          </cell>
          <cell r="S8">
            <v>300000.17607285094</v>
          </cell>
          <cell r="V8">
            <v>42654.76848315393</v>
          </cell>
          <cell r="W8">
            <v>57531.465914483109</v>
          </cell>
          <cell r="X8">
            <v>74727.773787099824</v>
          </cell>
          <cell r="Y8">
            <v>102747.06808648186</v>
          </cell>
          <cell r="Z8">
            <v>130312.44781683998</v>
          </cell>
          <cell r="AA8">
            <v>158061.53852774549</v>
          </cell>
          <cell r="AB8">
            <v>185933.05222793389</v>
          </cell>
          <cell r="AC8">
            <v>212444.84754941409</v>
          </cell>
          <cell r="AD8">
            <v>241699.07001943502</v>
          </cell>
          <cell r="AE8">
            <v>271467.71845098637</v>
          </cell>
          <cell r="AF8">
            <v>300000.17607285094</v>
          </cell>
        </row>
        <row r="9">
          <cell r="G9">
            <v>228000</v>
          </cell>
          <cell r="H9">
            <v>204750</v>
          </cell>
          <cell r="I9">
            <v>210000</v>
          </cell>
          <cell r="J9">
            <v>204750</v>
          </cell>
          <cell r="K9">
            <v>270750</v>
          </cell>
          <cell r="L9">
            <v>270750</v>
          </cell>
          <cell r="M9">
            <v>270750</v>
          </cell>
          <cell r="N9">
            <v>270750</v>
          </cell>
          <cell r="O9">
            <v>270750</v>
          </cell>
          <cell r="P9">
            <v>270750</v>
          </cell>
          <cell r="Q9">
            <v>270750</v>
          </cell>
          <cell r="R9">
            <v>231790.5</v>
          </cell>
          <cell r="S9">
            <v>2974540.5</v>
          </cell>
          <cell r="V9">
            <v>432750</v>
          </cell>
          <cell r="W9">
            <v>642750</v>
          </cell>
          <cell r="X9">
            <v>847500</v>
          </cell>
          <cell r="Y9">
            <v>1118250</v>
          </cell>
          <cell r="Z9">
            <v>1389000</v>
          </cell>
          <cell r="AA9">
            <v>1659750</v>
          </cell>
          <cell r="AB9">
            <v>1930500</v>
          </cell>
          <cell r="AC9">
            <v>2201250</v>
          </cell>
          <cell r="AD9">
            <v>2472000</v>
          </cell>
          <cell r="AE9">
            <v>2742750</v>
          </cell>
          <cell r="AF9">
            <v>2974540.5</v>
          </cell>
        </row>
        <row r="10">
          <cell r="G10">
            <v>469843.14324381144</v>
          </cell>
          <cell r="H10">
            <v>352682.64248418884</v>
          </cell>
          <cell r="I10">
            <v>312361.52710826986</v>
          </cell>
          <cell r="J10">
            <v>334339.11138622963</v>
          </cell>
          <cell r="K10">
            <v>524932.27333394904</v>
          </cell>
          <cell r="L10">
            <v>512513.75310459413</v>
          </cell>
          <cell r="M10">
            <v>518755.53940989065</v>
          </cell>
          <cell r="N10">
            <v>522185.17484875274</v>
          </cell>
          <cell r="O10">
            <v>483452.99506738409</v>
          </cell>
          <cell r="P10">
            <v>561413.80631466</v>
          </cell>
          <cell r="Q10">
            <v>575611.77016930934</v>
          </cell>
          <cell r="R10">
            <v>579274.17774659046</v>
          </cell>
          <cell r="S10">
            <v>5747365.9142176304</v>
          </cell>
          <cell r="V10">
            <v>822525.78572800034</v>
          </cell>
          <cell r="W10">
            <v>1134887.3128362703</v>
          </cell>
          <cell r="X10">
            <v>1469226.4242225001</v>
          </cell>
          <cell r="Y10">
            <v>1994158.6975564491</v>
          </cell>
          <cell r="Z10">
            <v>2506672.4506610432</v>
          </cell>
          <cell r="AA10">
            <v>3025427.9900709339</v>
          </cell>
          <cell r="AB10">
            <v>3547613.1649196865</v>
          </cell>
          <cell r="AC10">
            <v>4031066.1599870706</v>
          </cell>
          <cell r="AD10">
            <v>4592479.9663017308</v>
          </cell>
          <cell r="AE10">
            <v>5168091.7364710402</v>
          </cell>
          <cell r="AF10">
            <v>5747365.9142176304</v>
          </cell>
        </row>
        <row r="11">
          <cell r="G11">
            <v>697843.14324381144</v>
          </cell>
          <cell r="H11">
            <v>557432.64248418878</v>
          </cell>
          <cell r="I11">
            <v>522361.52710826986</v>
          </cell>
          <cell r="J11">
            <v>539089.11138622963</v>
          </cell>
          <cell r="K11">
            <v>795682.27333394904</v>
          </cell>
          <cell r="L11">
            <v>783263.75310459407</v>
          </cell>
          <cell r="M11">
            <v>789505.53940989065</v>
          </cell>
          <cell r="N11">
            <v>792935.17484875279</v>
          </cell>
          <cell r="O11">
            <v>754202.99506738409</v>
          </cell>
          <cell r="P11">
            <v>832163.80631466</v>
          </cell>
          <cell r="Q11">
            <v>846361.77016930934</v>
          </cell>
          <cell r="R11">
            <v>811064.67774659046</v>
          </cell>
          <cell r="S11">
            <v>8721906.4142176304</v>
          </cell>
          <cell r="V11">
            <v>1255275.7857280003</v>
          </cell>
          <cell r="W11">
            <v>1777637.3128362703</v>
          </cell>
          <cell r="X11">
            <v>2316726.4242225001</v>
          </cell>
          <cell r="Y11">
            <v>3112408.6975564491</v>
          </cell>
          <cell r="Z11">
            <v>3895672.4506610432</v>
          </cell>
          <cell r="AA11">
            <v>4685177.9900709335</v>
          </cell>
          <cell r="AB11">
            <v>5478113.1649196865</v>
          </cell>
          <cell r="AC11">
            <v>6232316.1599870706</v>
          </cell>
          <cell r="AD11">
            <v>7064479.9663017308</v>
          </cell>
          <cell r="AE11">
            <v>7910841.7364710402</v>
          </cell>
          <cell r="AF11">
            <v>8721906.4142176304</v>
          </cell>
        </row>
        <row r="12">
          <cell r="G12">
            <v>205262.36220748385</v>
          </cell>
          <cell r="H12">
            <v>172843.41339529093</v>
          </cell>
          <cell r="I12">
            <v>181503.72331811627</v>
          </cell>
          <cell r="J12">
            <v>173522.01818313726</v>
          </cell>
          <cell r="K12">
            <v>233249.11289745287</v>
          </cell>
          <cell r="L12">
            <v>258348.42218489441</v>
          </cell>
          <cell r="M12">
            <v>236824.74846569018</v>
          </cell>
          <cell r="N12">
            <v>235931.21786972354</v>
          </cell>
          <cell r="O12">
            <v>233442.04475049299</v>
          </cell>
          <cell r="P12">
            <v>234993.66120758065</v>
          </cell>
          <cell r="Q12">
            <v>232918.67769363636</v>
          </cell>
          <cell r="R12">
            <v>199734.18620191864</v>
          </cell>
          <cell r="S12">
            <v>2598573.5883754175</v>
          </cell>
          <cell r="V12">
            <v>378105.77560277481</v>
          </cell>
          <cell r="W12">
            <v>559609.49892089108</v>
          </cell>
          <cell r="X12">
            <v>733131.51710402837</v>
          </cell>
          <cell r="Y12">
            <v>966380.63000148127</v>
          </cell>
          <cell r="Z12">
            <v>1224729.0521863757</v>
          </cell>
          <cell r="AA12">
            <v>1461553.8006520658</v>
          </cell>
          <cell r="AB12">
            <v>1697485.0185217892</v>
          </cell>
          <cell r="AC12">
            <v>1930927.0632722822</v>
          </cell>
          <cell r="AD12">
            <v>2165920.724479863</v>
          </cell>
          <cell r="AE12">
            <v>2398839.4021734991</v>
          </cell>
          <cell r="AF12">
            <v>2598573.5883754175</v>
          </cell>
        </row>
        <row r="13">
          <cell r="G13">
            <v>425582.53225259803</v>
          </cell>
          <cell r="H13">
            <v>300627.05191836326</v>
          </cell>
          <cell r="I13">
            <v>268525.60575910064</v>
          </cell>
          <cell r="J13">
            <v>282750.89297740336</v>
          </cell>
          <cell r="K13">
            <v>454695.68071765418</v>
          </cell>
          <cell r="L13">
            <v>491280.24731673626</v>
          </cell>
          <cell r="M13">
            <v>454930.13866713253</v>
          </cell>
          <cell r="N13">
            <v>456254.06330481649</v>
          </cell>
          <cell r="O13">
            <v>418028.24049717997</v>
          </cell>
          <cell r="P13">
            <v>488643.90131992422</v>
          </cell>
          <cell r="Q13">
            <v>496941.76750675129</v>
          </cell>
          <cell r="R13">
            <v>500979.84348501806</v>
          </cell>
          <cell r="S13">
            <v>5039239.9657226782</v>
          </cell>
          <cell r="V13">
            <v>726209.58417096129</v>
          </cell>
          <cell r="W13">
            <v>994735.18993006193</v>
          </cell>
          <cell r="X13">
            <v>1277486.0829074653</v>
          </cell>
          <cell r="Y13">
            <v>1732181.7636251193</v>
          </cell>
          <cell r="Z13">
            <v>2223462.0109418556</v>
          </cell>
          <cell r="AA13">
            <v>2678392.1496089883</v>
          </cell>
          <cell r="AB13">
            <v>3134646.2129138047</v>
          </cell>
          <cell r="AC13">
            <v>3552674.4534109845</v>
          </cell>
          <cell r="AD13">
            <v>4041318.3547309088</v>
          </cell>
          <cell r="AE13">
            <v>4538260.12223766</v>
          </cell>
          <cell r="AF13">
            <v>5039239.9657226782</v>
          </cell>
        </row>
        <row r="14">
          <cell r="G14">
            <v>630844.89446008182</v>
          </cell>
          <cell r="H14">
            <v>473470.46531365416</v>
          </cell>
          <cell r="I14">
            <v>450029.32907721691</v>
          </cell>
          <cell r="J14">
            <v>456272.91116054065</v>
          </cell>
          <cell r="K14">
            <v>687944.79361510708</v>
          </cell>
          <cell r="L14">
            <v>749628.66950163071</v>
          </cell>
          <cell r="M14">
            <v>691754.88713282277</v>
          </cell>
          <cell r="N14">
            <v>692185.28117454005</v>
          </cell>
          <cell r="O14">
            <v>651470.28524767293</v>
          </cell>
          <cell r="P14">
            <v>723637.56252750487</v>
          </cell>
          <cell r="Q14">
            <v>729860.44520038762</v>
          </cell>
          <cell r="R14">
            <v>700714.02968693664</v>
          </cell>
          <cell r="S14">
            <v>7637813.5540980957</v>
          </cell>
          <cell r="V14">
            <v>1104315.359773736</v>
          </cell>
          <cell r="W14">
            <v>1554344.688850953</v>
          </cell>
          <cell r="X14">
            <v>2010617.6000114935</v>
          </cell>
          <cell r="Y14">
            <v>2698562.3936266005</v>
          </cell>
          <cell r="Z14">
            <v>3448191.0631282311</v>
          </cell>
          <cell r="AA14">
            <v>4139945.9502610541</v>
          </cell>
          <cell r="AB14">
            <v>4832131.2314355941</v>
          </cell>
          <cell r="AC14">
            <v>5483601.5166832665</v>
          </cell>
          <cell r="AD14">
            <v>6207239.0792107712</v>
          </cell>
          <cell r="AE14">
            <v>6937099.5244111586</v>
          </cell>
          <cell r="AF14">
            <v>7637813.5540980957</v>
          </cell>
        </row>
        <row r="15">
          <cell r="G15">
            <v>22737.637792516151</v>
          </cell>
          <cell r="H15">
            <v>31906.586604709068</v>
          </cell>
          <cell r="I15">
            <v>28496.276681883726</v>
          </cell>
          <cell r="J15">
            <v>31227.981816862739</v>
          </cell>
          <cell r="K15">
            <v>37500.887102547131</v>
          </cell>
          <cell r="L15">
            <v>12401.577815105586</v>
          </cell>
          <cell r="M15">
            <v>33925.25153430982</v>
          </cell>
          <cell r="N15">
            <v>34818.782130276464</v>
          </cell>
          <cell r="O15">
            <v>37307.955249507009</v>
          </cell>
          <cell r="P15">
            <v>35756.338792419352</v>
          </cell>
          <cell r="Q15">
            <v>37831.32230636364</v>
          </cell>
          <cell r="R15">
            <v>32056.313798081363</v>
          </cell>
          <cell r="S15">
            <v>375966.91162458202</v>
          </cell>
          <cell r="V15">
            <v>54644.224397225189</v>
          </cell>
          <cell r="W15">
            <v>83140.501079108915</v>
          </cell>
          <cell r="X15">
            <v>114368.48289597163</v>
          </cell>
          <cell r="Y15">
            <v>151869.36999851873</v>
          </cell>
          <cell r="Z15">
            <v>164270.94781362428</v>
          </cell>
          <cell r="AA15">
            <v>198196.19934793422</v>
          </cell>
          <cell r="AB15">
            <v>233014.98147821077</v>
          </cell>
          <cell r="AC15">
            <v>270322.93672771775</v>
          </cell>
          <cell r="AD15">
            <v>306079.27552013705</v>
          </cell>
          <cell r="AE15">
            <v>343910.59782650089</v>
          </cell>
          <cell r="AF15">
            <v>375966.91162458248</v>
          </cell>
        </row>
        <row r="16">
          <cell r="G16">
            <v>44260.610991213412</v>
          </cell>
          <cell r="H16">
            <v>52055.59056582558</v>
          </cell>
          <cell r="I16">
            <v>43835.921349169221</v>
          </cell>
          <cell r="J16">
            <v>51588.218408826273</v>
          </cell>
          <cell r="K16">
            <v>70236.59261629486</v>
          </cell>
          <cell r="L16">
            <v>21233.505787857866</v>
          </cell>
          <cell r="M16">
            <v>63825.400742758124</v>
          </cell>
          <cell r="N16">
            <v>65931.111543936247</v>
          </cell>
          <cell r="O16">
            <v>65424.754570204124</v>
          </cell>
          <cell r="P16">
            <v>72769.904994735785</v>
          </cell>
          <cell r="Q16">
            <v>78670.00266255805</v>
          </cell>
          <cell r="R16">
            <v>78294.334261572396</v>
          </cell>
          <cell r="S16">
            <v>708125.94849495194</v>
          </cell>
          <cell r="V16">
            <v>96316.20155703905</v>
          </cell>
          <cell r="W16">
            <v>140152.12290620839</v>
          </cell>
          <cell r="X16">
            <v>191740.34131503478</v>
          </cell>
          <cell r="Y16">
            <v>261976.93393132975</v>
          </cell>
          <cell r="Z16">
            <v>283210.43971918756</v>
          </cell>
          <cell r="AA16">
            <v>347035.84046194563</v>
          </cell>
          <cell r="AB16">
            <v>412966.95200588182</v>
          </cell>
          <cell r="AC16">
            <v>478391.70657608612</v>
          </cell>
          <cell r="AD16">
            <v>551161.61157082208</v>
          </cell>
          <cell r="AE16">
            <v>629831.61423338018</v>
          </cell>
          <cell r="AF16">
            <v>708125.94849495217</v>
          </cell>
        </row>
        <row r="17">
          <cell r="G17">
            <v>66998.248783729563</v>
          </cell>
          <cell r="H17">
            <v>83962.177170534647</v>
          </cell>
          <cell r="I17">
            <v>72332.198031052947</v>
          </cell>
          <cell r="J17">
            <v>82816.200225689012</v>
          </cell>
          <cell r="K17">
            <v>107737.47971884199</v>
          </cell>
          <cell r="L17">
            <v>33635.083602963452</v>
          </cell>
          <cell r="M17">
            <v>97750.652277067944</v>
          </cell>
          <cell r="N17">
            <v>100749.89367421271</v>
          </cell>
          <cell r="O17">
            <v>102732.70981971113</v>
          </cell>
          <cell r="P17">
            <v>108526.24378715514</v>
          </cell>
          <cell r="Q17">
            <v>116501.32496892169</v>
          </cell>
          <cell r="R17">
            <v>110350.64805965376</v>
          </cell>
          <cell r="S17">
            <v>1084092.8601195342</v>
          </cell>
          <cell r="V17">
            <v>150960.42595426424</v>
          </cell>
          <cell r="W17">
            <v>223292.6239853173</v>
          </cell>
          <cell r="X17">
            <v>306108.8242110064</v>
          </cell>
          <cell r="Y17">
            <v>413846.30392984848</v>
          </cell>
          <cell r="Z17">
            <v>447481.38753281184</v>
          </cell>
          <cell r="AA17">
            <v>545232.03980987985</v>
          </cell>
          <cell r="AB17">
            <v>645981.93348409259</v>
          </cell>
          <cell r="AC17">
            <v>748714.64330380387</v>
          </cell>
          <cell r="AD17">
            <v>857240.88709095912</v>
          </cell>
          <cell r="AE17">
            <v>973742.21205988107</v>
          </cell>
          <cell r="AF17">
            <v>1084092.8601195347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G20">
            <v>370.4</v>
          </cell>
          <cell r="H20">
            <v>370.4</v>
          </cell>
          <cell r="I20">
            <v>370.4</v>
          </cell>
          <cell r="J20">
            <v>370.4</v>
          </cell>
          <cell r="K20">
            <v>370.4</v>
          </cell>
          <cell r="L20">
            <v>370.4</v>
          </cell>
          <cell r="M20">
            <v>370.4</v>
          </cell>
          <cell r="N20">
            <v>370.4</v>
          </cell>
          <cell r="O20">
            <v>370.4</v>
          </cell>
          <cell r="P20">
            <v>370.4</v>
          </cell>
          <cell r="Q20">
            <v>370.4</v>
          </cell>
          <cell r="R20">
            <v>370.4</v>
          </cell>
          <cell r="S20">
            <v>4444.8</v>
          </cell>
          <cell r="V20">
            <v>740.8</v>
          </cell>
          <cell r="W20">
            <v>1111.1999999999998</v>
          </cell>
          <cell r="X20">
            <v>1481.6</v>
          </cell>
          <cell r="Y20">
            <v>1852</v>
          </cell>
          <cell r="Z20">
            <v>2222.4</v>
          </cell>
          <cell r="AA20">
            <v>2592.8000000000002</v>
          </cell>
          <cell r="AB20">
            <v>2963.2000000000003</v>
          </cell>
          <cell r="AC20">
            <v>3333.6000000000004</v>
          </cell>
          <cell r="AD20">
            <v>3704.0000000000005</v>
          </cell>
          <cell r="AE20">
            <v>4074.4000000000005</v>
          </cell>
          <cell r="AF20">
            <v>4444.8</v>
          </cell>
        </row>
        <row r="21">
          <cell r="G21">
            <v>370.4</v>
          </cell>
          <cell r="H21">
            <v>370.4</v>
          </cell>
          <cell r="I21">
            <v>370.4</v>
          </cell>
          <cell r="J21">
            <v>370.4</v>
          </cell>
          <cell r="K21">
            <v>370.4</v>
          </cell>
          <cell r="L21">
            <v>370.4</v>
          </cell>
          <cell r="M21">
            <v>370.4</v>
          </cell>
          <cell r="N21">
            <v>370.4</v>
          </cell>
          <cell r="O21">
            <v>370.4</v>
          </cell>
          <cell r="P21">
            <v>370.4</v>
          </cell>
          <cell r="Q21">
            <v>370.4</v>
          </cell>
          <cell r="R21">
            <v>370.4</v>
          </cell>
          <cell r="S21">
            <v>4444.8</v>
          </cell>
          <cell r="V21">
            <v>740.8</v>
          </cell>
          <cell r="W21">
            <v>1111.1999999999998</v>
          </cell>
          <cell r="X21">
            <v>1481.6</v>
          </cell>
          <cell r="Y21">
            <v>1852</v>
          </cell>
          <cell r="Z21">
            <v>2222.4</v>
          </cell>
          <cell r="AA21">
            <v>2592.8000000000002</v>
          </cell>
          <cell r="AB21">
            <v>2963.2000000000003</v>
          </cell>
          <cell r="AC21">
            <v>3333.6000000000004</v>
          </cell>
          <cell r="AD21">
            <v>3704.0000000000005</v>
          </cell>
          <cell r="AE21">
            <v>4074.4000000000005</v>
          </cell>
          <cell r="AF21">
            <v>4444.8</v>
          </cell>
        </row>
        <row r="22">
          <cell r="G22">
            <v>11189.509211935736</v>
          </cell>
          <cell r="H22">
            <v>12371.718778372971</v>
          </cell>
          <cell r="I22">
            <v>13571.285580370557</v>
          </cell>
          <cell r="J22">
            <v>13130.021666103545</v>
          </cell>
          <cell r="K22">
            <v>11777.516203125402</v>
          </cell>
          <cell r="L22">
            <v>11596.739324401755</v>
          </cell>
          <cell r="M22">
            <v>11892.198416484352</v>
          </cell>
          <cell r="N22">
            <v>11839.963059088555</v>
          </cell>
          <cell r="O22">
            <v>12057.596222165741</v>
          </cell>
          <cell r="P22">
            <v>11280.343989633808</v>
          </cell>
          <cell r="Q22">
            <v>11085.410658461449</v>
          </cell>
          <cell r="R22">
            <v>9591.5293637943923</v>
          </cell>
          <cell r="S22">
            <v>141383.83247393827</v>
          </cell>
          <cell r="V22">
            <v>23561.227990308707</v>
          </cell>
          <cell r="W22">
            <v>37132.513570679264</v>
          </cell>
          <cell r="X22">
            <v>50262.535236782809</v>
          </cell>
          <cell r="Y22">
            <v>62040.051439908209</v>
          </cell>
          <cell r="Z22">
            <v>73636.790764309961</v>
          </cell>
          <cell r="AA22">
            <v>85528.989180794306</v>
          </cell>
          <cell r="AB22">
            <v>97368.952239882856</v>
          </cell>
          <cell r="AC22">
            <v>109426.54846204859</v>
          </cell>
          <cell r="AD22">
            <v>120706.8924516824</v>
          </cell>
          <cell r="AE22">
            <v>131792.30311014387</v>
          </cell>
          <cell r="AF22">
            <v>141383.83247393827</v>
          </cell>
        </row>
        <row r="23">
          <cell r="G23">
            <v>23199.867788064257</v>
          </cell>
          <cell r="H23">
            <v>22017.658221627025</v>
          </cell>
          <cell r="I23">
            <v>20078.032641851667</v>
          </cell>
          <cell r="J23">
            <v>21606.577556118667</v>
          </cell>
          <cell r="K23">
            <v>22959.083019096815</v>
          </cell>
          <cell r="L23">
            <v>22052.578897820465</v>
          </cell>
          <cell r="M23">
            <v>22844.400805737867</v>
          </cell>
          <cell r="N23">
            <v>22896.636163133662</v>
          </cell>
          <cell r="O23">
            <v>21591.722000056481</v>
          </cell>
          <cell r="P23">
            <v>23456.255232588413</v>
          </cell>
          <cell r="Q23">
            <v>23651.18856376077</v>
          </cell>
          <cell r="R23">
            <v>24057.788858427833</v>
          </cell>
          <cell r="S23">
            <v>270411.78974828392</v>
          </cell>
          <cell r="V23">
            <v>45217.526009691283</v>
          </cell>
          <cell r="W23">
            <v>65295.558651542946</v>
          </cell>
          <cell r="X23">
            <v>86902.136207661621</v>
          </cell>
          <cell r="Y23">
            <v>109861.21922675843</v>
          </cell>
          <cell r="Z23">
            <v>131913.7981245789</v>
          </cell>
          <cell r="AA23">
            <v>154758.19893031678</v>
          </cell>
          <cell r="AB23">
            <v>177654.83509345044</v>
          </cell>
          <cell r="AC23">
            <v>199246.55709350691</v>
          </cell>
          <cell r="AD23">
            <v>222702.81232609533</v>
          </cell>
          <cell r="AE23">
            <v>246354.00088985611</v>
          </cell>
          <cell r="AF23">
            <v>270411.78974828392</v>
          </cell>
        </row>
        <row r="24">
          <cell r="G24">
            <v>34389.376999999993</v>
          </cell>
          <cell r="H24">
            <v>34389.376999999993</v>
          </cell>
          <cell r="I24">
            <v>33649.318222222224</v>
          </cell>
          <cell r="J24">
            <v>34736.599222222212</v>
          </cell>
          <cell r="K24">
            <v>34736.599222222219</v>
          </cell>
          <cell r="L24">
            <v>33649.318222222224</v>
          </cell>
          <cell r="M24">
            <v>34736.599222222219</v>
          </cell>
          <cell r="N24">
            <v>34736.599222222219</v>
          </cell>
          <cell r="O24">
            <v>33649.318222222224</v>
          </cell>
          <cell r="P24">
            <v>34736.599222222219</v>
          </cell>
          <cell r="Q24">
            <v>34736.599222222219</v>
          </cell>
          <cell r="R24">
            <v>33649.318222222224</v>
          </cell>
          <cell r="S24">
            <v>411795.62222222221</v>
          </cell>
          <cell r="V24">
            <v>68778.753999999986</v>
          </cell>
          <cell r="W24">
            <v>102428.07222222221</v>
          </cell>
          <cell r="X24">
            <v>137164.67144444442</v>
          </cell>
          <cell r="Y24">
            <v>171901.27066666665</v>
          </cell>
          <cell r="Z24">
            <v>205550.58888888886</v>
          </cell>
          <cell r="AA24">
            <v>240287.18811111109</v>
          </cell>
          <cell r="AB24">
            <v>275023.78733333328</v>
          </cell>
          <cell r="AC24">
            <v>308673.10555555549</v>
          </cell>
          <cell r="AD24">
            <v>343409.70477777772</v>
          </cell>
          <cell r="AE24">
            <v>378146.304</v>
          </cell>
          <cell r="AF24">
            <v>411795.62222222215</v>
          </cell>
        </row>
        <row r="25">
          <cell r="G25">
            <v>5037.0741885949456</v>
          </cell>
          <cell r="H25">
            <v>5536.7594477289567</v>
          </cell>
          <cell r="I25">
            <v>5748.4770227147965</v>
          </cell>
          <cell r="J25">
            <v>5569.8032338634766</v>
          </cell>
          <cell r="K25">
            <v>4393.4152583566647</v>
          </cell>
          <cell r="L25">
            <v>4382.8458837007811</v>
          </cell>
          <cell r="M25">
            <v>4300.5959314413903</v>
          </cell>
          <cell r="N25">
            <v>4296.7515776720438</v>
          </cell>
          <cell r="O25">
            <v>5008.7896984100726</v>
          </cell>
          <cell r="P25">
            <v>4192.4977669534819</v>
          </cell>
          <cell r="Q25">
            <v>4146.8064678910696</v>
          </cell>
          <cell r="R25">
            <v>3817.9200798205279</v>
          </cell>
          <cell r="S25">
            <v>56431.736557148215</v>
          </cell>
          <cell r="V25">
            <v>10573.833636323903</v>
          </cell>
          <cell r="W25">
            <v>16322.3106590387</v>
          </cell>
          <cell r="X25">
            <v>21892.113892902176</v>
          </cell>
          <cell r="Y25">
            <v>26285.529151258841</v>
          </cell>
          <cell r="Z25">
            <v>30668.375034959623</v>
          </cell>
          <cell r="AA25">
            <v>34968.970966401015</v>
          </cell>
          <cell r="AB25">
            <v>39265.722544073062</v>
          </cell>
          <cell r="AC25">
            <v>44274.512242483135</v>
          </cell>
          <cell r="AD25">
            <v>48467.010009436621</v>
          </cell>
          <cell r="AE25">
            <v>52613.816477327688</v>
          </cell>
          <cell r="AF25">
            <v>56431.736557148215</v>
          </cell>
        </row>
        <row r="26">
          <cell r="G26">
            <v>10379.977059305791</v>
          </cell>
          <cell r="H26">
            <v>9537.08890268301</v>
          </cell>
          <cell r="I26">
            <v>8550.4907683904494</v>
          </cell>
          <cell r="J26">
            <v>9095.0088586376696</v>
          </cell>
          <cell r="K26">
            <v>8517.9887692307402</v>
          </cell>
          <cell r="L26">
            <v>8296.4683033592191</v>
          </cell>
          <cell r="M26">
            <v>8239.9186046125924</v>
          </cell>
          <cell r="N26">
            <v>8286.9805129024207</v>
          </cell>
          <cell r="O26">
            <v>8943.7280936620828</v>
          </cell>
          <cell r="P26">
            <v>8693.3559716013533</v>
          </cell>
          <cell r="Q26">
            <v>8816.0687406549205</v>
          </cell>
          <cell r="R26">
            <v>9541.4717813725474</v>
          </cell>
          <cell r="S26">
            <v>106898.5463664128</v>
          </cell>
          <cell r="V26">
            <v>19917.065961988803</v>
          </cell>
          <cell r="W26">
            <v>28467.556730379252</v>
          </cell>
          <cell r="X26">
            <v>37562.565589016922</v>
          </cell>
          <cell r="Y26">
            <v>46080.55435824766</v>
          </cell>
          <cell r="Z26">
            <v>54377.022661606883</v>
          </cell>
          <cell r="AA26">
            <v>62616.941266219474</v>
          </cell>
          <cell r="AB26">
            <v>70903.921779121898</v>
          </cell>
          <cell r="AC26">
            <v>79847.649872783979</v>
          </cell>
          <cell r="AD26">
            <v>88541.005844385334</v>
          </cell>
          <cell r="AE26">
            <v>97357.07458504026</v>
          </cell>
          <cell r="AF26">
            <v>106898.5463664128</v>
          </cell>
        </row>
        <row r="27">
          <cell r="G27">
            <v>15417.051247900738</v>
          </cell>
          <cell r="H27">
            <v>15073.848350411967</v>
          </cell>
          <cell r="I27">
            <v>14298.967791105246</v>
          </cell>
          <cell r="J27">
            <v>14664.812092501146</v>
          </cell>
          <cell r="K27">
            <v>12911.404027587405</v>
          </cell>
          <cell r="L27">
            <v>12679.314187060001</v>
          </cell>
          <cell r="M27">
            <v>12540.514536053983</v>
          </cell>
          <cell r="N27">
            <v>12583.732090574464</v>
          </cell>
          <cell r="O27">
            <v>13952.517792072154</v>
          </cell>
          <cell r="P27">
            <v>12885.853738554835</v>
          </cell>
          <cell r="Q27">
            <v>12962.875208545989</v>
          </cell>
          <cell r="R27">
            <v>13359.391861193075</v>
          </cell>
          <cell r="S27">
            <v>163330.28292356103</v>
          </cell>
          <cell r="V27">
            <v>30490.899598312706</v>
          </cell>
          <cell r="W27">
            <v>44789.867389417952</v>
          </cell>
          <cell r="X27">
            <v>59454.679481919098</v>
          </cell>
          <cell r="Y27">
            <v>72366.083509506498</v>
          </cell>
          <cell r="Z27">
            <v>85045.397696566506</v>
          </cell>
          <cell r="AA27">
            <v>97585.912232620496</v>
          </cell>
          <cell r="AB27">
            <v>110169.64432319495</v>
          </cell>
          <cell r="AC27">
            <v>124122.16211526711</v>
          </cell>
          <cell r="AD27">
            <v>137008.01585382194</v>
          </cell>
          <cell r="AE27">
            <v>149970.89106236794</v>
          </cell>
          <cell r="AF27">
            <v>163330.28292356103</v>
          </cell>
        </row>
        <row r="28">
          <cell r="G28">
            <v>6140.6543919854676</v>
          </cell>
          <cell r="H28">
            <v>13627.708378607138</v>
          </cell>
          <cell r="I28">
            <v>8806.1140787983713</v>
          </cell>
          <cell r="J28">
            <v>12157.756916895716</v>
          </cell>
          <cell r="K28">
            <v>20959.555641065064</v>
          </cell>
          <cell r="L28">
            <v>-3948.40739299695</v>
          </cell>
          <cell r="M28">
            <v>17362.057186384074</v>
          </cell>
          <cell r="N28">
            <v>18311.667493515863</v>
          </cell>
          <cell r="O28">
            <v>19871.169328931195</v>
          </cell>
          <cell r="P28">
            <v>19913.097035832059</v>
          </cell>
          <cell r="Q28">
            <v>22228.705180011119</v>
          </cell>
          <cell r="R28">
            <v>18276.464354466443</v>
          </cell>
          <cell r="S28">
            <v>173706.54259349554</v>
          </cell>
          <cell r="V28">
            <v>19768.362770592576</v>
          </cell>
          <cell r="W28">
            <v>28574.476849390954</v>
          </cell>
          <cell r="X28">
            <v>40732.233766286634</v>
          </cell>
          <cell r="Y28">
            <v>61691.789407351665</v>
          </cell>
          <cell r="Z28">
            <v>57743.382014354705</v>
          </cell>
          <cell r="AA28">
            <v>75105.439200738911</v>
          </cell>
          <cell r="AB28">
            <v>93417.10669425485</v>
          </cell>
          <cell r="AC28">
            <v>113288.27602318606</v>
          </cell>
          <cell r="AD28">
            <v>133201.37305901799</v>
          </cell>
          <cell r="AE28">
            <v>155430.0782390293</v>
          </cell>
          <cell r="AF28">
            <v>173706.54259349601</v>
          </cell>
        </row>
        <row r="29">
          <cell r="G29">
            <v>10680.766143843364</v>
          </cell>
          <cell r="H29">
            <v>20500.843441515543</v>
          </cell>
          <cell r="I29">
            <v>15207.397938927104</v>
          </cell>
          <cell r="J29">
            <v>20886.631994069936</v>
          </cell>
          <cell r="K29">
            <v>38759.52082796731</v>
          </cell>
          <cell r="L29">
            <v>-9115.5414133218183</v>
          </cell>
          <cell r="M29">
            <v>32741.081332407666</v>
          </cell>
          <cell r="N29">
            <v>34747.494867900168</v>
          </cell>
          <cell r="O29">
            <v>34889.304476485559</v>
          </cell>
          <cell r="P29">
            <v>40620.293790546013</v>
          </cell>
          <cell r="Q29">
            <v>46202.745358142362</v>
          </cell>
          <cell r="R29">
            <v>44695.073621772011</v>
          </cell>
          <cell r="S29">
            <v>330815.61238025525</v>
          </cell>
          <cell r="T29">
            <v>223917.06601384244</v>
          </cell>
          <cell r="V29">
            <v>31181.609585358965</v>
          </cell>
          <cell r="W29">
            <v>46389.007524286193</v>
          </cell>
          <cell r="X29">
            <v>67275.639518356242</v>
          </cell>
          <cell r="Y29">
            <v>106035.16034632365</v>
          </cell>
          <cell r="Z29">
            <v>96919.618933001781</v>
          </cell>
          <cell r="AA29">
            <v>129660.70026540937</v>
          </cell>
          <cell r="AB29">
            <v>164408.19513330946</v>
          </cell>
          <cell r="AC29">
            <v>199297.49960979522</v>
          </cell>
          <cell r="AD29">
            <v>239917.79340034144</v>
          </cell>
          <cell r="AE29">
            <v>286120.53875848377</v>
          </cell>
          <cell r="AF29">
            <v>330815.61238025548</v>
          </cell>
        </row>
        <row r="30">
          <cell r="G30">
            <v>16821.420535828831</v>
          </cell>
          <cell r="H30">
            <v>34128.551820122681</v>
          </cell>
          <cell r="I30">
            <v>24013.512017725476</v>
          </cell>
          <cell r="J30">
            <v>33044.388910965652</v>
          </cell>
          <cell r="K30">
            <v>59719.07646903237</v>
          </cell>
          <cell r="L30">
            <v>-13063.948806318767</v>
          </cell>
          <cell r="M30">
            <v>50103.13851879174</v>
          </cell>
          <cell r="N30">
            <v>53059.162361416034</v>
          </cell>
          <cell r="O30">
            <v>54760.473805416754</v>
          </cell>
          <cell r="P30">
            <v>60533.390826378076</v>
          </cell>
          <cell r="Q30">
            <v>68431.450538153484</v>
          </cell>
          <cell r="R30">
            <v>62971.537976238455</v>
          </cell>
          <cell r="S30">
            <v>504522.15497375076</v>
          </cell>
          <cell r="V30">
            <v>50949.972355951541</v>
          </cell>
          <cell r="W30">
            <v>74963.484373677144</v>
          </cell>
          <cell r="X30">
            <v>108007.87328464288</v>
          </cell>
          <cell r="Y30">
            <v>167726.94975367532</v>
          </cell>
          <cell r="Z30">
            <v>154663.00094735649</v>
          </cell>
          <cell r="AA30">
            <v>204766.13946614828</v>
          </cell>
          <cell r="AB30">
            <v>257825.30182756431</v>
          </cell>
          <cell r="AC30">
            <v>312585.77563298127</v>
          </cell>
          <cell r="AD30">
            <v>373119.16645935946</v>
          </cell>
          <cell r="AE30">
            <v>441550.61699751311</v>
          </cell>
          <cell r="AF30">
            <v>504522.15497375152</v>
          </cell>
        </row>
        <row r="33">
          <cell r="G33">
            <v>24586.870682990953</v>
          </cell>
          <cell r="H33">
            <v>18067.897800162973</v>
          </cell>
          <cell r="I33">
            <v>14876.697431329176</v>
          </cell>
          <cell r="J33">
            <v>17196.307872616711</v>
          </cell>
          <cell r="K33">
            <v>28019.294299382029</v>
          </cell>
          <cell r="L33">
            <v>27565.379730358123</v>
          </cell>
          <cell r="M33">
            <v>27749.090710905504</v>
          </cell>
          <cell r="N33">
            <v>27871.513700188385</v>
          </cell>
          <cell r="O33">
            <v>26511.795321480207</v>
          </cell>
          <cell r="P33">
            <v>29254.222470020948</v>
          </cell>
          <cell r="Q33">
            <v>29768.648431551352</v>
          </cell>
          <cell r="R33">
            <v>28532.457621864596</v>
          </cell>
          <cell r="S33">
            <v>300000.17607285094</v>
          </cell>
          <cell r="T33">
            <v>114067.12384491711</v>
          </cell>
        </row>
        <row r="34">
          <cell r="G34">
            <v>697843.14324381144</v>
          </cell>
          <cell r="H34">
            <v>557432.64248418878</v>
          </cell>
          <cell r="I34">
            <v>522361.52710826986</v>
          </cell>
          <cell r="J34">
            <v>539089.11138622963</v>
          </cell>
          <cell r="K34">
            <v>795682.27333394904</v>
          </cell>
          <cell r="L34">
            <v>783263.75310459407</v>
          </cell>
          <cell r="M34">
            <v>789505.53940989065</v>
          </cell>
          <cell r="N34">
            <v>792935.17484875279</v>
          </cell>
          <cell r="O34">
            <v>754202.99506738409</v>
          </cell>
          <cell r="P34">
            <v>832163.80631466</v>
          </cell>
          <cell r="Q34">
            <v>846361.77016930934</v>
          </cell>
          <cell r="R34">
            <v>811064.67774659046</v>
          </cell>
          <cell r="S34">
            <v>8721906.4142176304</v>
          </cell>
          <cell r="T34">
            <v>3243793.2492979439</v>
          </cell>
        </row>
        <row r="35">
          <cell r="G35">
            <v>592543.58346008195</v>
          </cell>
          <cell r="H35">
            <v>460980.22931365413</v>
          </cell>
          <cell r="I35">
            <v>416547.52807721694</v>
          </cell>
          <cell r="J35">
            <v>442589.89316054073</v>
          </cell>
          <cell r="K35">
            <v>675264.99261510698</v>
          </cell>
          <cell r="L35">
            <v>664325.65150163078</v>
          </cell>
          <cell r="M35">
            <v>668753.08613282267</v>
          </cell>
          <cell r="N35">
            <v>671703.48017454008</v>
          </cell>
          <cell r="O35">
            <v>638934.26724767301</v>
          </cell>
          <cell r="P35">
            <v>705026.76152750477</v>
          </cell>
          <cell r="Q35">
            <v>717424.42720038758</v>
          </cell>
          <cell r="R35">
            <v>687632.22868693678</v>
          </cell>
          <cell r="S35">
            <v>7341726.1290980969</v>
          </cell>
          <cell r="T35">
            <v>2749017.6846625023</v>
          </cell>
        </row>
        <row r="36">
          <cell r="S36">
            <v>0</v>
          </cell>
          <cell r="T36">
            <v>0</v>
          </cell>
        </row>
        <row r="37">
          <cell r="G37">
            <v>5518.3099999999995</v>
          </cell>
          <cell r="H37">
            <v>5518.3099999999995</v>
          </cell>
          <cell r="I37">
            <v>5518.3099999999995</v>
          </cell>
          <cell r="J37">
            <v>5518.3099999999995</v>
          </cell>
          <cell r="K37">
            <v>5518.3099999999995</v>
          </cell>
          <cell r="L37">
            <v>5518.3099999999995</v>
          </cell>
          <cell r="M37">
            <v>5518.3099999999995</v>
          </cell>
          <cell r="N37">
            <v>5518.3099999999995</v>
          </cell>
          <cell r="O37">
            <v>5518.3099999999995</v>
          </cell>
          <cell r="P37">
            <v>5518.3099999999995</v>
          </cell>
          <cell r="Q37">
            <v>5518.3099999999995</v>
          </cell>
          <cell r="R37">
            <v>5518.3099999999995</v>
          </cell>
          <cell r="S37">
            <v>66219.719999999987</v>
          </cell>
          <cell r="T37">
            <v>22073.239999999998</v>
          </cell>
        </row>
        <row r="38">
          <cell r="G38">
            <v>67542.777999999991</v>
          </cell>
          <cell r="H38">
            <v>41731.702999999994</v>
          </cell>
          <cell r="I38">
            <v>61983.209222222227</v>
          </cell>
          <cell r="J38">
            <v>43271.70722222222</v>
          </cell>
          <cell r="K38">
            <v>42268.490222222215</v>
          </cell>
          <cell r="L38">
            <v>113804.42622222223</v>
          </cell>
          <cell r="M38">
            <v>52590.490222222223</v>
          </cell>
          <cell r="N38">
            <v>50070.490222222215</v>
          </cell>
          <cell r="O38">
            <v>41037.426222222224</v>
          </cell>
          <cell r="P38">
            <v>48199.490222222215</v>
          </cell>
          <cell r="Q38">
            <v>42024.70722222222</v>
          </cell>
          <cell r="R38">
            <v>41583.209222222227</v>
          </cell>
          <cell r="S38">
            <v>646108.12722222216</v>
          </cell>
          <cell r="T38">
            <v>172844.83288888889</v>
          </cell>
        </row>
        <row r="39">
          <cell r="S39">
            <v>0</v>
          </cell>
          <cell r="T39">
            <v>0</v>
          </cell>
        </row>
        <row r="40">
          <cell r="S40">
            <v>0</v>
          </cell>
          <cell r="T40">
            <v>0</v>
          </cell>
        </row>
        <row r="41">
          <cell r="G41">
            <v>665604.67146008206</v>
          </cell>
          <cell r="H41">
            <v>508230.2423136541</v>
          </cell>
          <cell r="I41">
            <v>484049.04729943915</v>
          </cell>
          <cell r="J41">
            <v>491379.91038276296</v>
          </cell>
          <cell r="K41">
            <v>723051.79283732921</v>
          </cell>
          <cell r="L41">
            <v>783648.38772385311</v>
          </cell>
          <cell r="M41">
            <v>726861.8863550449</v>
          </cell>
          <cell r="N41">
            <v>727292.2803967623</v>
          </cell>
          <cell r="O41">
            <v>685490.00346989534</v>
          </cell>
          <cell r="P41">
            <v>758744.561749727</v>
          </cell>
          <cell r="Q41">
            <v>764967.44442260987</v>
          </cell>
          <cell r="R41">
            <v>734733.74790915905</v>
          </cell>
          <cell r="S41">
            <v>8054053.9763203198</v>
          </cell>
          <cell r="T41">
            <v>2943935.7575513911</v>
          </cell>
        </row>
        <row r="42">
          <cell r="G42">
            <v>32238.471783729387</v>
          </cell>
          <cell r="H42">
            <v>49202.400170534675</v>
          </cell>
          <cell r="I42">
            <v>38312.479808830714</v>
          </cell>
          <cell r="J42">
            <v>47709.201003466675</v>
          </cell>
          <cell r="K42">
            <v>72630.480496619828</v>
          </cell>
          <cell r="L42">
            <v>-384.63461925904267</v>
          </cell>
          <cell r="M42">
            <v>62643.653054845752</v>
          </cell>
          <cell r="N42">
            <v>65642.894451990491</v>
          </cell>
          <cell r="O42">
            <v>68712.991597488755</v>
          </cell>
          <cell r="P42">
            <v>73419.244564933004</v>
          </cell>
          <cell r="Q42">
            <v>81394.325746699469</v>
          </cell>
          <cell r="R42">
            <v>76330.929837431409</v>
          </cell>
          <cell r="S42">
            <v>667852.43789731117</v>
          </cell>
          <cell r="T42">
            <v>299857.49174655264</v>
          </cell>
        </row>
      </sheetData>
      <sheetData sheetId="2"/>
      <sheetData sheetId="3">
        <row r="70">
          <cell r="G70" t="str">
            <v>1월</v>
          </cell>
          <cell r="H70" t="str">
            <v>2월</v>
          </cell>
          <cell r="I70" t="str">
            <v>3월</v>
          </cell>
          <cell r="J70" t="str">
            <v>4월</v>
          </cell>
          <cell r="K70" t="str">
            <v>5월</v>
          </cell>
          <cell r="L70" t="str">
            <v>6월</v>
          </cell>
          <cell r="M70" t="str">
            <v>7월</v>
          </cell>
          <cell r="N70" t="str">
            <v>8월</v>
          </cell>
          <cell r="O70" t="str">
            <v>9월</v>
          </cell>
          <cell r="P70" t="str">
            <v>10월</v>
          </cell>
          <cell r="Q70" t="str">
            <v>11월</v>
          </cell>
          <cell r="R70" t="str">
            <v>12월</v>
          </cell>
          <cell r="S70" t="str">
            <v>계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G85">
            <v>0</v>
          </cell>
          <cell r="H85">
            <v>42507.53758908392</v>
          </cell>
          <cell r="I85">
            <v>146771.17745792025</v>
          </cell>
          <cell r="J85">
            <v>54179.251246369502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243457.96629337367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G88">
            <v>0</v>
          </cell>
          <cell r="H88">
            <v>63923.916083916083</v>
          </cell>
          <cell r="I88">
            <v>143828.81118881117</v>
          </cell>
          <cell r="J88">
            <v>71914.405594405587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279667.13286713284</v>
          </cell>
        </row>
        <row r="89">
          <cell r="G89">
            <v>0</v>
          </cell>
          <cell r="H89">
            <v>17804.895104895102</v>
          </cell>
          <cell r="I89">
            <v>21761.538461538461</v>
          </cell>
          <cell r="J89">
            <v>21761.538461538461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61327.972027972028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G91">
            <v>0</v>
          </cell>
          <cell r="H91">
            <v>124236.34877789511</v>
          </cell>
          <cell r="I91">
            <v>312361.52710826986</v>
          </cell>
          <cell r="J91">
            <v>147855.19530231354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584453.0711884785</v>
          </cell>
        </row>
        <row r="92">
          <cell r="G92">
            <v>116650.23764940587</v>
          </cell>
          <cell r="H92">
            <v>68251.748251748242</v>
          </cell>
          <cell r="I92">
            <v>0</v>
          </cell>
          <cell r="J92">
            <v>85314.68531468531</v>
          </cell>
          <cell r="K92">
            <v>131782.62648080222</v>
          </cell>
          <cell r="L92">
            <v>133223.21114655214</v>
          </cell>
          <cell r="M92">
            <v>144190.1303189816</v>
          </cell>
          <cell r="N92">
            <v>144823.26925434711</v>
          </cell>
          <cell r="O92">
            <v>138731.43213032113</v>
          </cell>
          <cell r="P92">
            <v>157486.81680417043</v>
          </cell>
          <cell r="Q92">
            <v>158007.85758189677</v>
          </cell>
          <cell r="R92">
            <v>158004.81061372336</v>
          </cell>
          <cell r="S92">
            <v>1436466.8255466339</v>
          </cell>
        </row>
        <row r="93">
          <cell r="G93">
            <v>124902.71328671329</v>
          </cell>
          <cell r="H93">
            <v>69048.391608391612</v>
          </cell>
          <cell r="I93">
            <v>0</v>
          </cell>
          <cell r="J93">
            <v>0</v>
          </cell>
          <cell r="K93">
            <v>150609.45454545456</v>
          </cell>
          <cell r="L93">
            <v>146265.73426573427</v>
          </cell>
          <cell r="M93">
            <v>152482.90909090906</v>
          </cell>
          <cell r="N93">
            <v>152523.63636363638</v>
          </cell>
          <cell r="O93">
            <v>111042.90909090909</v>
          </cell>
          <cell r="P93">
            <v>150202.18181818185</v>
          </cell>
          <cell r="Q93">
            <v>150202.18181818185</v>
          </cell>
          <cell r="R93">
            <v>153867.63636363635</v>
          </cell>
          <cell r="S93">
            <v>1361147.7482517483</v>
          </cell>
        </row>
        <row r="94">
          <cell r="G94">
            <v>73076.923076923078</v>
          </cell>
          <cell r="H94">
            <v>40192.307692307688</v>
          </cell>
          <cell r="I94">
            <v>0</v>
          </cell>
          <cell r="J94">
            <v>43846.153846153851</v>
          </cell>
          <cell r="K94">
            <v>87692.307692307702</v>
          </cell>
          <cell r="L94">
            <v>87692.307692307702</v>
          </cell>
          <cell r="M94">
            <v>80384.615384615376</v>
          </cell>
          <cell r="N94">
            <v>87692.307692307702</v>
          </cell>
          <cell r="O94">
            <v>87692.307692307702</v>
          </cell>
          <cell r="P94">
            <v>95000</v>
          </cell>
          <cell r="Q94">
            <v>102307.6923076923</v>
          </cell>
          <cell r="R94">
            <v>102307.6923076923</v>
          </cell>
          <cell r="S94">
            <v>887884.61538461526</v>
          </cell>
        </row>
        <row r="95">
          <cell r="G95">
            <v>114646.15384615384</v>
          </cell>
          <cell r="H95">
            <v>50953.846153846149</v>
          </cell>
          <cell r="I95">
            <v>0</v>
          </cell>
          <cell r="J95">
            <v>57323.076923076922</v>
          </cell>
          <cell r="K95">
            <v>114646.15384615384</v>
          </cell>
          <cell r="L95">
            <v>108276.92307692308</v>
          </cell>
          <cell r="M95">
            <v>108276.92307692308</v>
          </cell>
          <cell r="N95">
            <v>101907.6923076923</v>
          </cell>
          <cell r="O95">
            <v>101907.6923076923</v>
          </cell>
          <cell r="P95">
            <v>114646.15384615384</v>
          </cell>
          <cell r="Q95">
            <v>121015.38461538461</v>
          </cell>
          <cell r="R95">
            <v>121015.38461538461</v>
          </cell>
          <cell r="S95">
            <v>1114615.3846153845</v>
          </cell>
        </row>
        <row r="96">
          <cell r="G96">
            <v>40567.115384615383</v>
          </cell>
          <cell r="H96">
            <v>0</v>
          </cell>
          <cell r="I96">
            <v>0</v>
          </cell>
          <cell r="J96">
            <v>0</v>
          </cell>
          <cell r="K96">
            <v>40201.730769230766</v>
          </cell>
          <cell r="L96">
            <v>37055.576923076922</v>
          </cell>
          <cell r="M96">
            <v>33420.961538461539</v>
          </cell>
          <cell r="N96">
            <v>35238.269230769234</v>
          </cell>
          <cell r="O96">
            <v>44078.653846153851</v>
          </cell>
          <cell r="P96">
            <v>44078.653846153851</v>
          </cell>
          <cell r="Q96">
            <v>44078.653846153851</v>
          </cell>
          <cell r="R96">
            <v>44078.653846153851</v>
          </cell>
          <cell r="S96">
            <v>362798.26923076931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G98">
            <v>469843.14324381144</v>
          </cell>
          <cell r="H98">
            <v>228446.29370629371</v>
          </cell>
          <cell r="I98">
            <v>0</v>
          </cell>
          <cell r="J98">
            <v>186483.91608391609</v>
          </cell>
          <cell r="K98">
            <v>524932.27333394904</v>
          </cell>
          <cell r="L98">
            <v>512513.75310459413</v>
          </cell>
          <cell r="M98">
            <v>518755.53940989065</v>
          </cell>
          <cell r="N98">
            <v>522185.17484875274</v>
          </cell>
          <cell r="O98">
            <v>483452.99506738409</v>
          </cell>
          <cell r="P98">
            <v>561413.80631466</v>
          </cell>
          <cell r="Q98">
            <v>575611.77016930934</v>
          </cell>
          <cell r="R98">
            <v>579274.17774659046</v>
          </cell>
          <cell r="S98">
            <v>5162912.8430291517</v>
          </cell>
        </row>
        <row r="99">
          <cell r="G99">
            <v>469843.14324381144</v>
          </cell>
          <cell r="H99">
            <v>352682.64248418884</v>
          </cell>
          <cell r="I99">
            <v>312361.52710826986</v>
          </cell>
          <cell r="J99">
            <v>334339.11138622963</v>
          </cell>
          <cell r="K99">
            <v>524932.27333394904</v>
          </cell>
          <cell r="L99">
            <v>512513.75310459413</v>
          </cell>
          <cell r="M99">
            <v>518755.53940989065</v>
          </cell>
          <cell r="N99">
            <v>522185.17484875274</v>
          </cell>
          <cell r="O99">
            <v>483452.99506738409</v>
          </cell>
          <cell r="P99">
            <v>561413.80631466</v>
          </cell>
          <cell r="Q99">
            <v>575611.77016930934</v>
          </cell>
          <cell r="R99">
            <v>579274.17774659046</v>
          </cell>
          <cell r="S99">
            <v>5747365.9142176304</v>
          </cell>
        </row>
        <row r="193">
          <cell r="G193" t="str">
            <v>1월</v>
          </cell>
          <cell r="H193" t="str">
            <v>2월</v>
          </cell>
          <cell r="I193" t="str">
            <v>3월</v>
          </cell>
          <cell r="J193" t="str">
            <v>4월</v>
          </cell>
          <cell r="K193" t="str">
            <v>5월</v>
          </cell>
          <cell r="L193" t="str">
            <v>6월</v>
          </cell>
          <cell r="M193" t="str">
            <v>7월</v>
          </cell>
          <cell r="N193" t="str">
            <v>8월</v>
          </cell>
          <cell r="O193" t="str">
            <v>9월</v>
          </cell>
          <cell r="P193" t="str">
            <v>10월</v>
          </cell>
          <cell r="Q193" t="str">
            <v>11월</v>
          </cell>
          <cell r="R193" t="str">
            <v>12월</v>
          </cell>
          <cell r="S193" t="str">
            <v>계</v>
          </cell>
        </row>
        <row r="194">
          <cell r="G194">
            <v>3824.597955718225</v>
          </cell>
          <cell r="H194">
            <v>2237.7622377622379</v>
          </cell>
          <cell r="I194">
            <v>0</v>
          </cell>
          <cell r="J194">
            <v>2797.2027972027972</v>
          </cell>
          <cell r="K194">
            <v>4320.7418518295817</v>
          </cell>
          <cell r="L194">
            <v>4367.9741359525287</v>
          </cell>
          <cell r="M194">
            <v>4727.545256360052</v>
          </cell>
          <cell r="N194">
            <v>4748.3039099785938</v>
          </cell>
          <cell r="O194">
            <v>4548.5715452564309</v>
          </cell>
          <cell r="P194">
            <v>5163.50219030067</v>
          </cell>
          <cell r="Q194">
            <v>5180.5854944884186</v>
          </cell>
          <cell r="R194">
            <v>5180.4855938925693</v>
          </cell>
          <cell r="S194">
            <v>47097.272968742109</v>
          </cell>
        </row>
        <row r="195">
          <cell r="G195">
            <v>4460.8111888111889</v>
          </cell>
          <cell r="H195">
            <v>2466.0139860139861</v>
          </cell>
          <cell r="I195">
            <v>0</v>
          </cell>
          <cell r="J195">
            <v>0</v>
          </cell>
          <cell r="K195">
            <v>5378.9090909090919</v>
          </cell>
          <cell r="L195">
            <v>5223.7762237762236</v>
          </cell>
          <cell r="M195">
            <v>5445.8181818181811</v>
          </cell>
          <cell r="N195">
            <v>5447.2727272727279</v>
          </cell>
          <cell r="O195">
            <v>3965.818181818182</v>
          </cell>
          <cell r="P195">
            <v>5364.3636363636369</v>
          </cell>
          <cell r="Q195">
            <v>5364.3636363636369</v>
          </cell>
          <cell r="R195">
            <v>5495.272727272727</v>
          </cell>
          <cell r="S195">
            <v>48612.419580419584</v>
          </cell>
        </row>
        <row r="196">
          <cell r="G196">
            <v>2657.3426573426573</v>
          </cell>
          <cell r="H196">
            <v>1461.5384615384614</v>
          </cell>
          <cell r="I196">
            <v>0</v>
          </cell>
          <cell r="J196">
            <v>1594.4055944055945</v>
          </cell>
          <cell r="K196">
            <v>3188.8111888111889</v>
          </cell>
          <cell r="L196">
            <v>3188.8111888111889</v>
          </cell>
          <cell r="M196">
            <v>2923.0769230769229</v>
          </cell>
          <cell r="N196">
            <v>3188.8111888111889</v>
          </cell>
          <cell r="O196">
            <v>3188.8111888111889</v>
          </cell>
          <cell r="P196">
            <v>3454.5454545454545</v>
          </cell>
          <cell r="Q196">
            <v>3720.2797202797201</v>
          </cell>
          <cell r="R196">
            <v>3720.2797202797201</v>
          </cell>
          <cell r="S196">
            <v>32286.713286713286</v>
          </cell>
        </row>
        <row r="197">
          <cell r="G197">
            <v>4168.9510489510485</v>
          </cell>
          <cell r="H197">
            <v>1852.8671328671328</v>
          </cell>
          <cell r="I197">
            <v>0</v>
          </cell>
          <cell r="J197">
            <v>2084.4755244755243</v>
          </cell>
          <cell r="K197">
            <v>4168.9510489510485</v>
          </cell>
          <cell r="L197">
            <v>3937.3426573426573</v>
          </cell>
          <cell r="M197">
            <v>3937.3426573426573</v>
          </cell>
          <cell r="N197">
            <v>3705.7342657342656</v>
          </cell>
          <cell r="O197">
            <v>3705.7342657342656</v>
          </cell>
          <cell r="P197">
            <v>4168.9510489510485</v>
          </cell>
          <cell r="Q197">
            <v>4400.5594405594402</v>
          </cell>
          <cell r="R197">
            <v>4400.5594405594402</v>
          </cell>
          <cell r="S197">
            <v>40531.468531468527</v>
          </cell>
        </row>
        <row r="198">
          <cell r="G198">
            <v>1475.1678321678321</v>
          </cell>
          <cell r="H198">
            <v>0</v>
          </cell>
          <cell r="I198">
            <v>0</v>
          </cell>
          <cell r="J198">
            <v>0</v>
          </cell>
          <cell r="K198">
            <v>1461.8811188811187</v>
          </cell>
          <cell r="L198">
            <v>1347.4755244755245</v>
          </cell>
          <cell r="M198">
            <v>1215.3076923076924</v>
          </cell>
          <cell r="N198">
            <v>1281.3916083916083</v>
          </cell>
          <cell r="O198">
            <v>1602.86013986014</v>
          </cell>
          <cell r="P198">
            <v>1602.86013986014</v>
          </cell>
          <cell r="Q198">
            <v>1602.86013986014</v>
          </cell>
          <cell r="R198">
            <v>1602.86013986014</v>
          </cell>
          <cell r="S198">
            <v>13192.664335664336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G200">
            <v>16586.870682990953</v>
          </cell>
          <cell r="H200">
            <v>8018.1818181818171</v>
          </cell>
          <cell r="I200">
            <v>0</v>
          </cell>
          <cell r="J200">
            <v>6476.0839160839159</v>
          </cell>
          <cell r="K200">
            <v>18519.294299382029</v>
          </cell>
          <cell r="L200">
            <v>18065.379730358123</v>
          </cell>
          <cell r="M200">
            <v>18249.090710905504</v>
          </cell>
          <cell r="N200">
            <v>18371.513700188385</v>
          </cell>
          <cell r="O200">
            <v>17011.795321480207</v>
          </cell>
          <cell r="P200">
            <v>19754.222470020948</v>
          </cell>
          <cell r="Q200">
            <v>20268.648431551352</v>
          </cell>
          <cell r="R200">
            <v>20399.457621864596</v>
          </cell>
          <cell r="S200">
            <v>181720.53870300783</v>
          </cell>
        </row>
        <row r="201">
          <cell r="G201">
            <v>0</v>
          </cell>
          <cell r="H201">
            <v>1180.7649330301088</v>
          </cell>
          <cell r="I201">
            <v>4076.9771516088963</v>
          </cell>
          <cell r="J201">
            <v>1504.9792012880418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6762.7212859270467</v>
          </cell>
        </row>
        <row r="202"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G204">
            <v>0</v>
          </cell>
          <cell r="H204">
            <v>1852.8671328671328</v>
          </cell>
          <cell r="I204">
            <v>4168.9510489510485</v>
          </cell>
          <cell r="J204">
            <v>2084.4755244755243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8106.2937062937053</v>
          </cell>
        </row>
        <row r="205">
          <cell r="G205">
            <v>0</v>
          </cell>
          <cell r="H205">
            <v>516.08391608391605</v>
          </cell>
          <cell r="I205">
            <v>630.76923076923072</v>
          </cell>
          <cell r="J205">
            <v>630.76923076923072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1777.6223776223776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G207">
            <v>0</v>
          </cell>
          <cell r="H207">
            <v>3549.7159819811577</v>
          </cell>
          <cell r="I207">
            <v>8876.6974313291757</v>
          </cell>
          <cell r="J207">
            <v>4220.2239565327964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16646.637369843127</v>
          </cell>
        </row>
        <row r="208">
          <cell r="G208">
            <v>3824.597955718225</v>
          </cell>
          <cell r="H208">
            <v>3418.5271707923466</v>
          </cell>
          <cell r="I208">
            <v>4076.9771516088963</v>
          </cell>
          <cell r="J208">
            <v>4302.1819984908389</v>
          </cell>
          <cell r="K208">
            <v>4320.7418518295817</v>
          </cell>
          <cell r="L208">
            <v>4367.9741359525287</v>
          </cell>
          <cell r="M208">
            <v>4727.545256360052</v>
          </cell>
          <cell r="N208">
            <v>4748.3039099785938</v>
          </cell>
          <cell r="O208">
            <v>4548.5715452564309</v>
          </cell>
          <cell r="P208">
            <v>5163.50219030067</v>
          </cell>
          <cell r="Q208">
            <v>5180.5854944884186</v>
          </cell>
          <cell r="R208">
            <v>5180.4855938925693</v>
          </cell>
          <cell r="S208">
            <v>53859.994254669153</v>
          </cell>
        </row>
        <row r="209">
          <cell r="G209">
            <v>4460.8111888111889</v>
          </cell>
          <cell r="H209">
            <v>2466.0139860139861</v>
          </cell>
          <cell r="I209">
            <v>0</v>
          </cell>
          <cell r="J209">
            <v>0</v>
          </cell>
          <cell r="K209">
            <v>5378.9090909090919</v>
          </cell>
          <cell r="L209">
            <v>5223.7762237762236</v>
          </cell>
          <cell r="M209">
            <v>5445.8181818181811</v>
          </cell>
          <cell r="N209">
            <v>5447.2727272727279</v>
          </cell>
          <cell r="O209">
            <v>3965.818181818182</v>
          </cell>
          <cell r="P209">
            <v>5364.3636363636369</v>
          </cell>
          <cell r="Q209">
            <v>5364.3636363636369</v>
          </cell>
          <cell r="R209">
            <v>5495.272727272727</v>
          </cell>
          <cell r="S209">
            <v>48612.419580419584</v>
          </cell>
        </row>
        <row r="210">
          <cell r="G210">
            <v>2657.3426573426573</v>
          </cell>
          <cell r="H210">
            <v>1461.5384615384614</v>
          </cell>
          <cell r="I210">
            <v>0</v>
          </cell>
          <cell r="J210">
            <v>1594.4055944055945</v>
          </cell>
          <cell r="K210">
            <v>3188.8111888111889</v>
          </cell>
          <cell r="L210">
            <v>3188.8111888111889</v>
          </cell>
          <cell r="M210">
            <v>2923.0769230769229</v>
          </cell>
          <cell r="N210">
            <v>3188.8111888111889</v>
          </cell>
          <cell r="O210">
            <v>3188.8111888111889</v>
          </cell>
          <cell r="P210">
            <v>3454.5454545454545</v>
          </cell>
          <cell r="Q210">
            <v>3720.2797202797201</v>
          </cell>
          <cell r="R210">
            <v>3720.2797202797201</v>
          </cell>
          <cell r="S210">
            <v>32286.713286713286</v>
          </cell>
        </row>
        <row r="211">
          <cell r="G211">
            <v>4168.9510489510485</v>
          </cell>
          <cell r="H211">
            <v>3705.7342657342656</v>
          </cell>
          <cell r="I211">
            <v>4168.9510489510485</v>
          </cell>
          <cell r="J211">
            <v>4168.9510489510485</v>
          </cell>
          <cell r="K211">
            <v>4168.9510489510485</v>
          </cell>
          <cell r="L211">
            <v>3937.3426573426573</v>
          </cell>
          <cell r="M211">
            <v>3937.3426573426573</v>
          </cell>
          <cell r="N211">
            <v>3705.7342657342656</v>
          </cell>
          <cell r="O211">
            <v>3705.7342657342656</v>
          </cell>
          <cell r="P211">
            <v>4168.9510489510485</v>
          </cell>
          <cell r="Q211">
            <v>4400.5594405594402</v>
          </cell>
          <cell r="R211">
            <v>4400.5594405594402</v>
          </cell>
          <cell r="S211">
            <v>48637.762237762239</v>
          </cell>
        </row>
        <row r="212">
          <cell r="G212">
            <v>1475.1678321678321</v>
          </cell>
          <cell r="H212">
            <v>516.08391608391605</v>
          </cell>
          <cell r="I212">
            <v>630.76923076923072</v>
          </cell>
          <cell r="J212">
            <v>630.76923076923072</v>
          </cell>
          <cell r="K212">
            <v>1461.8811188811187</v>
          </cell>
          <cell r="L212">
            <v>1347.4755244755245</v>
          </cell>
          <cell r="M212">
            <v>1215.3076923076924</v>
          </cell>
          <cell r="N212">
            <v>1281.3916083916083</v>
          </cell>
          <cell r="O212">
            <v>1602.86013986014</v>
          </cell>
          <cell r="P212">
            <v>1602.86013986014</v>
          </cell>
          <cell r="Q212">
            <v>1602.86013986014</v>
          </cell>
          <cell r="R212">
            <v>1602.86013986014</v>
          </cell>
          <cell r="S212">
            <v>14970.286713286714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G214">
            <v>16586.870682990953</v>
          </cell>
          <cell r="H214">
            <v>11567.897800162977</v>
          </cell>
          <cell r="I214">
            <v>8876.6974313291757</v>
          </cell>
          <cell r="J214">
            <v>10696.307872616711</v>
          </cell>
          <cell r="K214">
            <v>18519.294299382029</v>
          </cell>
          <cell r="L214">
            <v>18065.379730358123</v>
          </cell>
          <cell r="M214">
            <v>18249.090710905504</v>
          </cell>
          <cell r="N214">
            <v>18371.513700188385</v>
          </cell>
          <cell r="O214">
            <v>17011.795321480207</v>
          </cell>
          <cell r="P214">
            <v>19754.222470020948</v>
          </cell>
          <cell r="Q214">
            <v>20268.648431551352</v>
          </cell>
          <cell r="R214">
            <v>20399.457621864596</v>
          </cell>
          <cell r="S214">
            <v>198367.17607285097</v>
          </cell>
        </row>
        <row r="216">
          <cell r="G216">
            <v>1430</v>
          </cell>
          <cell r="H216" t="str">
            <v>KG/㎥</v>
          </cell>
          <cell r="S216" t="str">
            <v>[단위 :KG]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부산(물량)"/>
      <sheetName val="부산(금액)"/>
      <sheetName val="서부산(물량)"/>
      <sheetName val="서부산(금액)"/>
      <sheetName val="부산크라샤(물량)"/>
      <sheetName val="부산크라샤(금액)"/>
      <sheetName val="서부산(손익)"/>
      <sheetName val="PFT상세(서부산)"/>
      <sheetName val="부산크라샤(손익)"/>
      <sheetName val="PFT상세(부산크라샤)"/>
      <sheetName val="PFT상세(부산골재)1월"/>
      <sheetName val="피벗1"/>
      <sheetName val="PFT상세(부산골재)2월"/>
      <sheetName val="피벗2"/>
      <sheetName val="PFT상세(부산골재)3월"/>
      <sheetName val="피벗3"/>
      <sheetName val="PFT상세(부산골재)4월"/>
      <sheetName val="피벗4"/>
      <sheetName val="PFT상세(부산골재)5월"/>
      <sheetName val="피벗5"/>
      <sheetName val="PFT상세(서부산) (2)"/>
      <sheetName val="월별"/>
      <sheetName val="PFT상세(부산골재)5월누계"/>
      <sheetName val="피벗0"/>
      <sheetName val="피벗0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6">
          <cell r="L16" t="str">
            <v>부산</v>
          </cell>
          <cell r="M16" t="str">
            <v>(주)동양건재부문_EJ1_부산레미콘</v>
          </cell>
          <cell r="N16">
            <v>0</v>
          </cell>
          <cell r="O16">
            <v>0</v>
          </cell>
          <cell r="P16">
            <v>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0</v>
          </cell>
          <cell r="O17">
            <v>0</v>
          </cell>
          <cell r="P17">
            <v>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0</v>
          </cell>
          <cell r="P19">
            <v>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0</v>
          </cell>
          <cell r="O22">
            <v>0</v>
          </cell>
          <cell r="P22">
            <v>0</v>
          </cell>
        </row>
      </sheetData>
      <sheetData sheetId="8"/>
      <sheetData sheetId="9">
        <row r="16">
          <cell r="L16" t="str">
            <v>부산</v>
          </cell>
          <cell r="M16" t="str">
            <v>(주)동양건재부문_EJ1_부산레미콘</v>
          </cell>
          <cell r="N16">
            <v>138582500</v>
          </cell>
          <cell r="O16">
            <v>132070000</v>
          </cell>
          <cell r="P16">
            <v>270652500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82944000</v>
          </cell>
          <cell r="O17">
            <v>88416000</v>
          </cell>
          <cell r="P17">
            <v>171360000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7200000</v>
          </cell>
          <cell r="P19">
            <v>7200000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221526500</v>
          </cell>
          <cell r="O22">
            <v>227686000</v>
          </cell>
          <cell r="P22">
            <v>449212500</v>
          </cell>
        </row>
        <row r="23">
          <cell r="M23"/>
        </row>
        <row r="24">
          <cell r="M24"/>
        </row>
        <row r="25">
          <cell r="M25"/>
        </row>
        <row r="26">
          <cell r="M26"/>
        </row>
        <row r="27">
          <cell r="M27"/>
        </row>
        <row r="28">
          <cell r="M28"/>
        </row>
        <row r="29">
          <cell r="M29"/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249977111117893"/>
  </sheetPr>
  <dimension ref="A6:M25"/>
  <sheetViews>
    <sheetView showGridLines="0" view="pageBreakPreview" zoomScaleNormal="100" zoomScaleSheetLayoutView="100" workbookViewId="0"/>
  </sheetViews>
  <sheetFormatPr defaultRowHeight="16.5" x14ac:dyDescent="0.3"/>
  <cols>
    <col min="13" max="13" width="15.75" customWidth="1"/>
  </cols>
  <sheetData>
    <row r="6" spans="1:13" x14ac:dyDescent="0.3">
      <c r="A6" s="804" t="s">
        <v>239</v>
      </c>
      <c r="B6" s="805"/>
      <c r="C6" s="805"/>
      <c r="D6" s="805"/>
      <c r="E6" s="805"/>
      <c r="F6" s="805"/>
      <c r="G6" s="805"/>
      <c r="H6" s="805"/>
      <c r="I6" s="805"/>
      <c r="J6" s="805"/>
      <c r="K6" s="805"/>
      <c r="L6" s="805"/>
      <c r="M6" s="805"/>
    </row>
    <row r="7" spans="1:13" x14ac:dyDescent="0.3">
      <c r="A7" s="805"/>
      <c r="B7" s="805"/>
      <c r="C7" s="805"/>
      <c r="D7" s="805"/>
      <c r="E7" s="805"/>
      <c r="F7" s="805"/>
      <c r="G7" s="805"/>
      <c r="H7" s="805"/>
      <c r="I7" s="805"/>
      <c r="J7" s="805"/>
      <c r="K7" s="805"/>
      <c r="L7" s="805"/>
      <c r="M7" s="805"/>
    </row>
    <row r="8" spans="1:13" x14ac:dyDescent="0.3">
      <c r="A8" s="805"/>
      <c r="B8" s="805"/>
      <c r="C8" s="805"/>
      <c r="D8" s="805"/>
      <c r="E8" s="805"/>
      <c r="F8" s="805"/>
      <c r="G8" s="805"/>
      <c r="H8" s="805"/>
      <c r="I8" s="805"/>
      <c r="J8" s="805"/>
      <c r="K8" s="805"/>
      <c r="L8" s="805"/>
      <c r="M8" s="805"/>
    </row>
    <row r="9" spans="1:13" x14ac:dyDescent="0.3">
      <c r="A9" s="805"/>
      <c r="B9" s="805"/>
      <c r="C9" s="805"/>
      <c r="D9" s="805"/>
      <c r="E9" s="805"/>
      <c r="F9" s="805"/>
      <c r="G9" s="805"/>
      <c r="H9" s="805"/>
      <c r="I9" s="805"/>
      <c r="J9" s="805"/>
      <c r="K9" s="805"/>
      <c r="L9" s="805"/>
      <c r="M9" s="805"/>
    </row>
    <row r="10" spans="1:13" x14ac:dyDescent="0.3">
      <c r="A10" s="805"/>
      <c r="B10" s="805"/>
      <c r="C10" s="805"/>
      <c r="D10" s="805"/>
      <c r="E10" s="805"/>
      <c r="F10" s="805"/>
      <c r="G10" s="805"/>
      <c r="H10" s="805"/>
      <c r="I10" s="805"/>
      <c r="J10" s="805"/>
      <c r="K10" s="805"/>
      <c r="L10" s="805"/>
      <c r="M10" s="805"/>
    </row>
    <row r="11" spans="1:13" x14ac:dyDescent="0.3">
      <c r="A11" s="805"/>
      <c r="B11" s="805"/>
      <c r="C11" s="805"/>
      <c r="D11" s="805"/>
      <c r="E11" s="805"/>
      <c r="F11" s="805"/>
      <c r="G11" s="805"/>
      <c r="H11" s="805"/>
      <c r="I11" s="805"/>
      <c r="J11" s="805"/>
      <c r="K11" s="805"/>
      <c r="L11" s="805"/>
      <c r="M11" s="805"/>
    </row>
    <row r="12" spans="1:13" x14ac:dyDescent="0.3">
      <c r="A12" s="805"/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5"/>
    </row>
    <row r="13" spans="1:13" x14ac:dyDescent="0.3">
      <c r="A13" s="805"/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5"/>
    </row>
    <row r="14" spans="1:13" x14ac:dyDescent="0.3">
      <c r="A14" s="805"/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5"/>
    </row>
    <row r="24" spans="1:13" x14ac:dyDescent="0.3">
      <c r="A24" s="806" t="s">
        <v>120</v>
      </c>
      <c r="B24" s="806"/>
      <c r="C24" s="806"/>
      <c r="D24" s="806"/>
      <c r="E24" s="806"/>
      <c r="F24" s="806"/>
      <c r="G24" s="806"/>
      <c r="H24" s="806"/>
      <c r="I24" s="806"/>
      <c r="J24" s="806"/>
      <c r="K24" s="806"/>
      <c r="L24" s="806"/>
      <c r="M24" s="806"/>
    </row>
    <row r="25" spans="1:13" x14ac:dyDescent="0.3">
      <c r="A25" s="806"/>
      <c r="B25" s="806"/>
      <c r="C25" s="806"/>
      <c r="D25" s="806"/>
      <c r="E25" s="806"/>
      <c r="F25" s="806"/>
      <c r="G25" s="806"/>
      <c r="H25" s="806"/>
      <c r="I25" s="806"/>
      <c r="J25" s="806"/>
      <c r="K25" s="806"/>
      <c r="L25" s="806"/>
      <c r="M25" s="806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horizontalDpi="300" verticalDpi="300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249977111117893"/>
    <pageSetUpPr fitToPage="1"/>
  </sheetPr>
  <dimension ref="A1:AL42"/>
  <sheetViews>
    <sheetView showGridLines="0" topLeftCell="A10" zoomScale="70" zoomScaleNormal="70" zoomScaleSheetLayoutView="70" workbookViewId="0">
      <selection activeCell="Q25" sqref="Q25"/>
    </sheetView>
  </sheetViews>
  <sheetFormatPr defaultRowHeight="16.5" x14ac:dyDescent="0.3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1:38" ht="20.100000000000001" customHeight="1" x14ac:dyDescent="0.3"/>
    <row r="2" spans="1:38" ht="20.100000000000001" customHeight="1" x14ac:dyDescent="0.3"/>
    <row r="3" spans="1:38" ht="20.100000000000001" customHeight="1" x14ac:dyDescent="0.3">
      <c r="C3" s="4" t="s">
        <v>240</v>
      </c>
      <c r="Z3" s="672" t="s">
        <v>244</v>
      </c>
    </row>
    <row r="4" spans="1:38" ht="20.100000000000001" customHeight="1" x14ac:dyDescent="0.3">
      <c r="H4" s="597"/>
      <c r="X4" s="5" t="s">
        <v>142</v>
      </c>
      <c r="AK4" s="5" t="s">
        <v>208</v>
      </c>
    </row>
    <row r="5" spans="1:38" ht="27" customHeight="1" thickBot="1" x14ac:dyDescent="0.35">
      <c r="C5" s="809" t="s">
        <v>78</v>
      </c>
      <c r="D5" s="810"/>
      <c r="E5" s="132" t="s">
        <v>241</v>
      </c>
      <c r="F5" s="133"/>
      <c r="G5" s="133"/>
      <c r="H5" s="133"/>
      <c r="I5" s="134"/>
      <c r="J5" s="133" t="s">
        <v>242</v>
      </c>
      <c r="K5" s="133"/>
      <c r="L5" s="133"/>
      <c r="M5" s="133"/>
      <c r="N5" s="134"/>
      <c r="O5" s="135"/>
      <c r="P5" s="809" t="s">
        <v>243</v>
      </c>
      <c r="Q5" s="810"/>
      <c r="R5" s="810"/>
      <c r="S5" s="810"/>
      <c r="T5" s="810"/>
      <c r="U5" s="810"/>
      <c r="V5" s="810"/>
      <c r="W5" s="810"/>
      <c r="X5" s="813"/>
      <c r="Z5" s="825" t="s">
        <v>203</v>
      </c>
      <c r="AA5" s="822"/>
      <c r="AB5" s="822" t="str">
        <f>+E5</f>
        <v>10월</v>
      </c>
      <c r="AC5" s="823"/>
      <c r="AD5" s="822"/>
      <c r="AE5" s="822"/>
      <c r="AF5" s="824"/>
      <c r="AG5" s="825" t="str">
        <f>+J5</f>
        <v>10월 누계</v>
      </c>
      <c r="AH5" s="823"/>
      <c r="AI5" s="822"/>
      <c r="AJ5" s="822"/>
      <c r="AK5" s="826"/>
    </row>
    <row r="6" spans="1:38" ht="27" customHeight="1" thickTop="1" thickBot="1" x14ac:dyDescent="0.35">
      <c r="C6" s="811"/>
      <c r="D6" s="812"/>
      <c r="E6" s="208" t="s">
        <v>79</v>
      </c>
      <c r="F6" s="327" t="s">
        <v>80</v>
      </c>
      <c r="G6" s="324" t="s">
        <v>81</v>
      </c>
      <c r="H6" s="136" t="s">
        <v>82</v>
      </c>
      <c r="I6" s="137" t="s">
        <v>83</v>
      </c>
      <c r="J6" s="208" t="s">
        <v>79</v>
      </c>
      <c r="K6" s="327" t="s">
        <v>80</v>
      </c>
      <c r="L6" s="324" t="s">
        <v>81</v>
      </c>
      <c r="M6" s="136" t="s">
        <v>82</v>
      </c>
      <c r="N6" s="137" t="s">
        <v>83</v>
      </c>
      <c r="O6" s="135"/>
      <c r="P6" s="811"/>
      <c r="Q6" s="812"/>
      <c r="R6" s="812"/>
      <c r="S6" s="812"/>
      <c r="T6" s="812"/>
      <c r="U6" s="812"/>
      <c r="V6" s="812"/>
      <c r="W6" s="812"/>
      <c r="X6" s="814"/>
      <c r="Z6" s="828"/>
      <c r="AA6" s="829"/>
      <c r="AB6" s="688" t="str">
        <f>+E6</f>
        <v>계획</v>
      </c>
      <c r="AC6" s="689" t="str">
        <f>+F6</f>
        <v>실적</v>
      </c>
      <c r="AD6" s="690" t="str">
        <f>+G6</f>
        <v>계획대비</v>
      </c>
      <c r="AE6" s="691" t="str">
        <f t="shared" ref="AE6:AK7" si="0">+H6</f>
        <v>전년</v>
      </c>
      <c r="AF6" s="692" t="str">
        <f t="shared" si="0"/>
        <v>전년대비</v>
      </c>
      <c r="AG6" s="693" t="str">
        <f t="shared" si="0"/>
        <v>계획</v>
      </c>
      <c r="AH6" s="689" t="str">
        <f t="shared" si="0"/>
        <v>실적</v>
      </c>
      <c r="AI6" s="690" t="str">
        <f t="shared" si="0"/>
        <v>계획대비</v>
      </c>
      <c r="AJ6" s="691" t="str">
        <f t="shared" si="0"/>
        <v>전년</v>
      </c>
      <c r="AK6" s="688" t="str">
        <f t="shared" si="0"/>
        <v>전년대비</v>
      </c>
    </row>
    <row r="7" spans="1:38" ht="21.75" customHeight="1" x14ac:dyDescent="0.3">
      <c r="A7" s="597">
        <f>+F7/E7</f>
        <v>0.92385358255451722</v>
      </c>
      <c r="B7" s="597">
        <f>+K7/J7</f>
        <v>0.98355805047867695</v>
      </c>
      <c r="C7" s="100" t="s">
        <v>0</v>
      </c>
      <c r="D7" s="101" t="s">
        <v>53</v>
      </c>
      <c r="E7" s="769">
        <f>+'[1]10월'!$Z$7/1000</f>
        <v>321</v>
      </c>
      <c r="F7" s="770">
        <f>+'[2]10월'!$Z$7/1000</f>
        <v>296.55700000000002</v>
      </c>
      <c r="G7" s="745">
        <f>+F7-E7</f>
        <v>-24.442999999999984</v>
      </c>
      <c r="H7" s="746">
        <f>+'[3]10월'!$Z$7/1000</f>
        <v>350.51400000000001</v>
      </c>
      <c r="I7" s="747">
        <f>+F7-H7</f>
        <v>-53.956999999999994</v>
      </c>
      <c r="J7" s="769">
        <f>+[4]손익총괄!J7+E7</f>
        <v>2872.5</v>
      </c>
      <c r="K7" s="770">
        <f>+[4]손익총괄!K7+F7</f>
        <v>2825.2704999999996</v>
      </c>
      <c r="L7" s="745">
        <f t="shared" ref="L7:L36" si="1">+K7-J7</f>
        <v>-47.229500000000371</v>
      </c>
      <c r="M7" s="746">
        <f>+[4]손익총괄!M7+H7</f>
        <v>3200.5190000000002</v>
      </c>
      <c r="N7" s="747">
        <f t="shared" ref="N7:N36" si="2">+K7-M7</f>
        <v>-375.2485000000006</v>
      </c>
      <c r="O7" s="99"/>
      <c r="P7" s="102"/>
      <c r="Q7" s="103" t="s">
        <v>105</v>
      </c>
      <c r="R7" s="103"/>
      <c r="S7" s="99"/>
      <c r="T7" s="99"/>
      <c r="U7" s="99"/>
      <c r="V7" s="99"/>
      <c r="W7" s="99"/>
      <c r="X7" s="104"/>
      <c r="Y7" s="597"/>
      <c r="Z7" s="821" t="s">
        <v>204</v>
      </c>
      <c r="AA7" s="731" t="str">
        <f>+D7</f>
        <v>레미콘</v>
      </c>
      <c r="AB7" s="732">
        <f>+E7</f>
        <v>321</v>
      </c>
      <c r="AC7" s="733">
        <f t="shared" ref="AC7" si="3">+F7</f>
        <v>296.55700000000002</v>
      </c>
      <c r="AD7" s="734">
        <f>+AC7-AB7</f>
        <v>-24.442999999999984</v>
      </c>
      <c r="AE7" s="735">
        <f t="shared" si="0"/>
        <v>350.51400000000001</v>
      </c>
      <c r="AF7" s="736">
        <f>+AC7-AE7</f>
        <v>-53.956999999999994</v>
      </c>
      <c r="AG7" s="737">
        <f t="shared" ref="AG7" si="4">+J7</f>
        <v>2872.5</v>
      </c>
      <c r="AH7" s="733">
        <f t="shared" ref="AH7" si="5">+K7</f>
        <v>2825.2704999999996</v>
      </c>
      <c r="AI7" s="734">
        <f>+AH7-AG7</f>
        <v>-47.229500000000371</v>
      </c>
      <c r="AJ7" s="735">
        <f t="shared" ref="AJ7" si="6">+M7</f>
        <v>3200.5190000000002</v>
      </c>
      <c r="AK7" s="732">
        <f>+AH7-AJ7</f>
        <v>-375.2485000000006</v>
      </c>
    </row>
    <row r="8" spans="1:38" ht="21.75" customHeight="1" x14ac:dyDescent="0.3">
      <c r="B8" s="597"/>
      <c r="C8" s="100"/>
      <c r="D8" s="105" t="s">
        <v>86</v>
      </c>
      <c r="E8" s="771">
        <f>+'[1]10월'!$AA$7</f>
        <v>8900</v>
      </c>
      <c r="F8" s="772">
        <f>+'[2]10월'!$AO$7</f>
        <v>8972.0079999999998</v>
      </c>
      <c r="G8" s="748">
        <f>+F8-E8</f>
        <v>72.007999999999811</v>
      </c>
      <c r="H8" s="749">
        <f>+'[3]10월'!$AO$7</f>
        <v>9070.0450000000001</v>
      </c>
      <c r="I8" s="750">
        <f>+F8-H8</f>
        <v>-98.037000000000262</v>
      </c>
      <c r="J8" s="771">
        <f>+[4]손익총괄!J8+E8</f>
        <v>72200</v>
      </c>
      <c r="K8" s="772">
        <f>+[4]손익총괄!K8+F8</f>
        <v>86939.351999999999</v>
      </c>
      <c r="L8" s="748">
        <f t="shared" si="1"/>
        <v>14739.351999999999</v>
      </c>
      <c r="M8" s="749">
        <f>+[4]손익총괄!M8+H8</f>
        <v>78625.76400000001</v>
      </c>
      <c r="N8" s="750">
        <f t="shared" si="2"/>
        <v>8313.5879999999888</v>
      </c>
      <c r="O8" s="99"/>
      <c r="P8" s="102"/>
      <c r="Q8" s="338" t="s">
        <v>70</v>
      </c>
      <c r="R8" s="339"/>
      <c r="S8" s="340" t="s">
        <v>15</v>
      </c>
      <c r="T8" s="341" t="s">
        <v>84</v>
      </c>
      <c r="U8" s="342" t="s">
        <v>71</v>
      </c>
      <c r="V8" s="341" t="s">
        <v>52</v>
      </c>
      <c r="W8" s="343" t="s">
        <v>72</v>
      </c>
      <c r="X8" s="104"/>
      <c r="Y8" s="597"/>
      <c r="Z8" s="821"/>
      <c r="AA8" s="666" t="str">
        <f t="shared" ref="AA8:AA9" si="7">+D8</f>
        <v>철강재</v>
      </c>
      <c r="AB8" s="725">
        <f>+E8/1000</f>
        <v>8.9</v>
      </c>
      <c r="AC8" s="726">
        <f>+F8/1000</f>
        <v>8.9720080000000006</v>
      </c>
      <c r="AD8" s="727">
        <f t="shared" ref="AD8:AD18" si="8">+AC8-AB8</f>
        <v>7.2008000000000294E-2</v>
      </c>
      <c r="AE8" s="728">
        <f>+H8/1000</f>
        <v>9.0700450000000004</v>
      </c>
      <c r="AF8" s="729">
        <f t="shared" ref="AF8:AF21" si="9">+AC8-AE8</f>
        <v>-9.8036999999999708E-2</v>
      </c>
      <c r="AG8" s="730">
        <f>+J8/1000</f>
        <v>72.2</v>
      </c>
      <c r="AH8" s="726">
        <f>+K8/1000</f>
        <v>86.939352</v>
      </c>
      <c r="AI8" s="727">
        <f t="shared" ref="AI8:AI22" si="10">+AH8-AG8</f>
        <v>14.739351999999997</v>
      </c>
      <c r="AJ8" s="728">
        <f>+M8/1000</f>
        <v>78.625764000000004</v>
      </c>
      <c r="AK8" s="725">
        <f t="shared" ref="AK8:AK22" si="11">+AH8-AJ8</f>
        <v>8.3135879999999958</v>
      </c>
    </row>
    <row r="9" spans="1:38" ht="21.75" customHeight="1" x14ac:dyDescent="0.3">
      <c r="B9" s="597"/>
      <c r="C9" s="100"/>
      <c r="D9" s="105" t="s">
        <v>1</v>
      </c>
      <c r="E9" s="771">
        <f>+'[1]10월'!$AE$7/1000</f>
        <v>124.17291387527347</v>
      </c>
      <c r="F9" s="772">
        <f>+'[2]10월'!$AN$7/1000</f>
        <v>60.09</v>
      </c>
      <c r="G9" s="748">
        <f t="shared" ref="G9:G36" si="12">+F9-E9</f>
        <v>-64.082913875273462</v>
      </c>
      <c r="H9" s="749">
        <f>+'[3]10월'!$AN$7/1000</f>
        <v>98.510999999999996</v>
      </c>
      <c r="I9" s="750">
        <f t="shared" ref="I9:I36" si="13">+F9-H9</f>
        <v>-38.420999999999992</v>
      </c>
      <c r="J9" s="771">
        <f>+[4]손익총괄!J9+E9</f>
        <v>980.45966254473535</v>
      </c>
      <c r="K9" s="772">
        <f>+[4]손익총괄!K9+F9</f>
        <v>714.30500000000006</v>
      </c>
      <c r="L9" s="748">
        <f t="shared" si="1"/>
        <v>-266.15466254473529</v>
      </c>
      <c r="M9" s="749">
        <f>+[4]손익총괄!M9+H9</f>
        <v>672.39300000000003</v>
      </c>
      <c r="N9" s="750">
        <f t="shared" si="2"/>
        <v>41.912000000000035</v>
      </c>
      <c r="O9" s="99"/>
      <c r="P9" s="102"/>
      <c r="Q9" s="106" t="s">
        <v>66</v>
      </c>
      <c r="R9" s="301" t="s">
        <v>19</v>
      </c>
      <c r="S9" s="314">
        <f>+[5]수도권!$T$5/1000</f>
        <v>121.5</v>
      </c>
      <c r="T9" s="107">
        <f>+[5]수도권!$U$5/1000</f>
        <v>103.91</v>
      </c>
      <c r="U9" s="745">
        <f>+T9-S9</f>
        <v>-17.590000000000003</v>
      </c>
      <c r="V9" s="746">
        <f>+[6]수도권!$T$5/1000</f>
        <v>136.035</v>
      </c>
      <c r="W9" s="747">
        <f>+T9-V9</f>
        <v>-32.125</v>
      </c>
      <c r="X9" s="104"/>
      <c r="Y9" s="597"/>
      <c r="Z9" s="827"/>
      <c r="AA9" s="668" t="str">
        <f t="shared" si="7"/>
        <v>골재</v>
      </c>
      <c r="AB9" s="674">
        <f t="shared" ref="AB9" si="14">+E9</f>
        <v>124.17291387527347</v>
      </c>
      <c r="AC9" s="680">
        <f t="shared" ref="AC9" si="15">+F9</f>
        <v>60.09</v>
      </c>
      <c r="AD9" s="677">
        <f t="shared" si="8"/>
        <v>-64.082913875273462</v>
      </c>
      <c r="AE9" s="670">
        <f t="shared" ref="AE9" si="16">+H9</f>
        <v>98.510999999999996</v>
      </c>
      <c r="AF9" s="686">
        <f t="shared" si="9"/>
        <v>-38.420999999999992</v>
      </c>
      <c r="AG9" s="683">
        <f t="shared" ref="AG9" si="17">+J9</f>
        <v>980.45966254473535</v>
      </c>
      <c r="AH9" s="680">
        <f t="shared" ref="AH9" si="18">+K9</f>
        <v>714.30500000000006</v>
      </c>
      <c r="AI9" s="677">
        <f t="shared" si="10"/>
        <v>-266.15466254473529</v>
      </c>
      <c r="AJ9" s="670">
        <f t="shared" ref="AJ9" si="19">+M9</f>
        <v>672.39300000000003</v>
      </c>
      <c r="AK9" s="674">
        <f t="shared" si="11"/>
        <v>41.912000000000035</v>
      </c>
    </row>
    <row r="10" spans="1:38" ht="21.75" customHeight="1" x14ac:dyDescent="0.3">
      <c r="B10" s="597"/>
      <c r="C10" s="108" t="s">
        <v>2</v>
      </c>
      <c r="D10" s="109" t="s">
        <v>53</v>
      </c>
      <c r="E10" s="773">
        <f>+'[1]10월'!$Z$8/1000</f>
        <v>33004.953813543987</v>
      </c>
      <c r="F10" s="774">
        <f>+'[2]10월'!$Z$8/1000</f>
        <v>28528.551527</v>
      </c>
      <c r="G10" s="775">
        <f t="shared" si="12"/>
        <v>-4476.4022865439874</v>
      </c>
      <c r="H10" s="776">
        <f>+'[3]10월'!$Z$8/1000</f>
        <v>34276.780525000009</v>
      </c>
      <c r="I10" s="777">
        <f t="shared" si="13"/>
        <v>-5748.2289980000096</v>
      </c>
      <c r="J10" s="773">
        <f>+[4]손익총괄!J10+E10</f>
        <v>292780.24763246049</v>
      </c>
      <c r="K10" s="774">
        <f>+[4]손익총괄!K10+F10</f>
        <v>284322.860713</v>
      </c>
      <c r="L10" s="775">
        <f t="shared" si="1"/>
        <v>-8457.3869194604922</v>
      </c>
      <c r="M10" s="776">
        <f>+[4]손익총괄!M10+H10</f>
        <v>309316.194778</v>
      </c>
      <c r="N10" s="777">
        <f t="shared" si="2"/>
        <v>-24993.334065000003</v>
      </c>
      <c r="O10" s="99"/>
      <c r="P10" s="102"/>
      <c r="Q10" s="110"/>
      <c r="R10" s="302" t="s">
        <v>20</v>
      </c>
      <c r="S10" s="315">
        <f>+[5]영남권!$T$5/1000</f>
        <v>138.5</v>
      </c>
      <c r="T10" s="111">
        <f>+[5]영남권!$U$5/1000</f>
        <v>130.221</v>
      </c>
      <c r="U10" s="748">
        <f t="shared" ref="U10:U20" si="20">+T10-S10</f>
        <v>-8.2789999999999964</v>
      </c>
      <c r="V10" s="749">
        <f>+[6]영남권!$T$5/1000</f>
        <v>149.6455</v>
      </c>
      <c r="W10" s="750">
        <f t="shared" ref="W10:W20" si="21">+T10-V10</f>
        <v>-19.424499999999995</v>
      </c>
      <c r="X10" s="104"/>
      <c r="Y10" s="597"/>
      <c r="Z10" s="821" t="s">
        <v>205</v>
      </c>
      <c r="AA10" s="731" t="str">
        <f>+D10</f>
        <v>레미콘</v>
      </c>
      <c r="AB10" s="732">
        <f>+E10/100</f>
        <v>330.04953813543989</v>
      </c>
      <c r="AC10" s="733">
        <f t="shared" ref="AC10:AC13" si="22">+F10/100</f>
        <v>285.28551527000002</v>
      </c>
      <c r="AD10" s="734">
        <f t="shared" si="8"/>
        <v>-44.76402286543987</v>
      </c>
      <c r="AE10" s="735">
        <f t="shared" ref="AE10:AE13" si="23">+H10/100</f>
        <v>342.76780525000009</v>
      </c>
      <c r="AF10" s="736">
        <f t="shared" si="9"/>
        <v>-57.482289980000076</v>
      </c>
      <c r="AG10" s="737">
        <f t="shared" ref="AG10:AG13" si="24">+J10/100</f>
        <v>2927.8024763246049</v>
      </c>
      <c r="AH10" s="733">
        <f t="shared" ref="AH10:AH13" si="25">+K10/100</f>
        <v>2843.22860713</v>
      </c>
      <c r="AI10" s="734">
        <f t="shared" si="10"/>
        <v>-84.573869194604868</v>
      </c>
      <c r="AJ10" s="735">
        <f t="shared" ref="AJ10:AJ13" si="26">+M10/100</f>
        <v>3093.16194778</v>
      </c>
      <c r="AK10" s="732">
        <f t="shared" si="11"/>
        <v>-249.93334064999999</v>
      </c>
    </row>
    <row r="11" spans="1:38" ht="21.75" customHeight="1" x14ac:dyDescent="0.3">
      <c r="B11" s="597"/>
      <c r="C11" s="100"/>
      <c r="D11" s="105" t="s">
        <v>3</v>
      </c>
      <c r="E11" s="771">
        <f>+'[1]10월'!$AA$8/1000</f>
        <v>10873.416842105264</v>
      </c>
      <c r="F11" s="772">
        <f>+'[2]10월'!$AO$8/1000</f>
        <v>8678.6852690000014</v>
      </c>
      <c r="G11" s="748">
        <f>+F11-E11</f>
        <v>-2194.7315731052622</v>
      </c>
      <c r="H11" s="749">
        <f>+'[3]10월'!$AO$8/1000</f>
        <v>11314.060175999999</v>
      </c>
      <c r="I11" s="750">
        <f>+F11-H11</f>
        <v>-2635.3749069999976</v>
      </c>
      <c r="J11" s="771">
        <f>+[4]손익총괄!J11+E11</f>
        <v>88286.96</v>
      </c>
      <c r="K11" s="772">
        <f>+[4]손익총괄!K11+F11</f>
        <v>86611.076326000009</v>
      </c>
      <c r="L11" s="748">
        <f t="shared" si="1"/>
        <v>-1675.883673999997</v>
      </c>
      <c r="M11" s="749">
        <f>+[4]손익총괄!M11+H11</f>
        <v>96340.743948999996</v>
      </c>
      <c r="N11" s="750">
        <f t="shared" si="2"/>
        <v>-9729.6676229999866</v>
      </c>
      <c r="O11" s="99"/>
      <c r="P11" s="102"/>
      <c r="Q11" s="110"/>
      <c r="R11" s="303" t="s">
        <v>170</v>
      </c>
      <c r="S11" s="316">
        <f>+[5]중부권!$T$5/1000</f>
        <v>61</v>
      </c>
      <c r="T11" s="112">
        <f>+[5]중부권!$U$5/1000</f>
        <v>62.426000000000002</v>
      </c>
      <c r="U11" s="751">
        <f t="shared" si="20"/>
        <v>1.4260000000000019</v>
      </c>
      <c r="V11" s="752">
        <f>+[6]중부권!$T$5/1000</f>
        <v>64.833500000000001</v>
      </c>
      <c r="W11" s="753">
        <f t="shared" si="21"/>
        <v>-2.4074999999999989</v>
      </c>
      <c r="X11" s="104"/>
      <c r="Y11" s="597"/>
      <c r="Z11" s="821"/>
      <c r="AA11" s="666" t="str">
        <f t="shared" ref="AA11:AA13" si="27">+D11</f>
        <v>건자재</v>
      </c>
      <c r="AB11" s="673">
        <f t="shared" ref="AB11:AB13" si="28">+E11/100</f>
        <v>108.73416842105263</v>
      </c>
      <c r="AC11" s="679">
        <f t="shared" si="22"/>
        <v>86.786852690000018</v>
      </c>
      <c r="AD11" s="676">
        <f t="shared" si="8"/>
        <v>-21.947315731052612</v>
      </c>
      <c r="AE11" s="669">
        <f t="shared" si="23"/>
        <v>113.14060176</v>
      </c>
      <c r="AF11" s="685">
        <f t="shared" si="9"/>
        <v>-26.353749069999978</v>
      </c>
      <c r="AG11" s="682">
        <f t="shared" si="24"/>
        <v>882.8696000000001</v>
      </c>
      <c r="AH11" s="679">
        <f t="shared" si="25"/>
        <v>866.11076326000011</v>
      </c>
      <c r="AI11" s="676">
        <f t="shared" si="10"/>
        <v>-16.758836739999992</v>
      </c>
      <c r="AJ11" s="669">
        <f t="shared" si="26"/>
        <v>963.40743949</v>
      </c>
      <c r="AK11" s="673">
        <f t="shared" si="11"/>
        <v>-97.296676229999889</v>
      </c>
    </row>
    <row r="12" spans="1:38" ht="21.75" customHeight="1" x14ac:dyDescent="0.3">
      <c r="B12" s="597"/>
      <c r="C12" s="100"/>
      <c r="D12" s="105" t="s">
        <v>1</v>
      </c>
      <c r="E12" s="771">
        <f>+'[1]10월'!$AE$8/1000</f>
        <v>2259.7288154035928</v>
      </c>
      <c r="F12" s="772">
        <f>+'[2]10월'!$AN$8/1000</f>
        <v>1245.8185000000001</v>
      </c>
      <c r="G12" s="748">
        <f t="shared" si="12"/>
        <v>-1013.9103154035927</v>
      </c>
      <c r="H12" s="749">
        <f>+'[3]10월'!$AN$8/1000</f>
        <v>1852.2929999999999</v>
      </c>
      <c r="I12" s="750">
        <f t="shared" si="13"/>
        <v>-606.47449999999981</v>
      </c>
      <c r="J12" s="771">
        <f>+[4]손익총괄!J12+E12</f>
        <v>18602.494889257254</v>
      </c>
      <c r="K12" s="772">
        <f>+[4]손익총괄!K12+F12</f>
        <v>14375.604079999999</v>
      </c>
      <c r="L12" s="748">
        <f t="shared" si="1"/>
        <v>-4226.8908092572547</v>
      </c>
      <c r="M12" s="749">
        <f>+[4]손익총괄!M12+H12</f>
        <v>12858.222900000001</v>
      </c>
      <c r="N12" s="750">
        <f t="shared" si="2"/>
        <v>1517.3811799999985</v>
      </c>
      <c r="O12" s="99"/>
      <c r="P12" s="102"/>
      <c r="Q12" s="113" t="s">
        <v>73</v>
      </c>
      <c r="R12" s="304"/>
      <c r="S12" s="317">
        <f>SUM(S9:S11)</f>
        <v>321</v>
      </c>
      <c r="T12" s="114">
        <f>SUM(T9:T11)</f>
        <v>296.55700000000002</v>
      </c>
      <c r="U12" s="754">
        <f t="shared" si="20"/>
        <v>-24.442999999999984</v>
      </c>
      <c r="V12" s="755">
        <f>SUM(V9:V11)</f>
        <v>350.51400000000001</v>
      </c>
      <c r="W12" s="756">
        <f t="shared" si="21"/>
        <v>-53.956999999999994</v>
      </c>
      <c r="X12" s="104"/>
      <c r="Z12" s="821"/>
      <c r="AA12" s="666" t="str">
        <f t="shared" si="27"/>
        <v>골재</v>
      </c>
      <c r="AB12" s="673">
        <f t="shared" si="28"/>
        <v>22.597288154035926</v>
      </c>
      <c r="AC12" s="679">
        <f t="shared" si="22"/>
        <v>12.458185</v>
      </c>
      <c r="AD12" s="676">
        <f t="shared" si="8"/>
        <v>-10.139103154035926</v>
      </c>
      <c r="AE12" s="669">
        <f t="shared" si="23"/>
        <v>18.522929999999999</v>
      </c>
      <c r="AF12" s="685">
        <f t="shared" si="9"/>
        <v>-6.0647449999999985</v>
      </c>
      <c r="AG12" s="682">
        <f t="shared" si="24"/>
        <v>186.02494889257252</v>
      </c>
      <c r="AH12" s="679">
        <f t="shared" si="25"/>
        <v>143.75604079999999</v>
      </c>
      <c r="AI12" s="676">
        <f t="shared" si="10"/>
        <v>-42.268908092572531</v>
      </c>
      <c r="AJ12" s="669">
        <f t="shared" si="26"/>
        <v>128.58222900000001</v>
      </c>
      <c r="AK12" s="673">
        <f t="shared" si="11"/>
        <v>15.173811799999982</v>
      </c>
    </row>
    <row r="13" spans="1:38" ht="21.75" customHeight="1" x14ac:dyDescent="0.3">
      <c r="B13" s="597"/>
      <c r="C13" s="100"/>
      <c r="D13" s="115" t="s">
        <v>4</v>
      </c>
      <c r="E13" s="778">
        <f>+'[1]10월'!$E$8/1000-E10-E11-E12</f>
        <v>164.90750033333779</v>
      </c>
      <c r="F13" s="779">
        <f>+'[2]10월'!$F$8/1000-F10-F11-F12</f>
        <v>166.49562099999935</v>
      </c>
      <c r="G13" s="751">
        <f t="shared" si="12"/>
        <v>1.5881206666615526</v>
      </c>
      <c r="H13" s="752">
        <f>+'[3]10월'!$F$8/1000-H10-H11-H12</f>
        <v>185.7906169999967</v>
      </c>
      <c r="I13" s="753">
        <f t="shared" si="13"/>
        <v>-19.294995999997354</v>
      </c>
      <c r="J13" s="778">
        <f>+[4]손익총괄!J13+E13</f>
        <v>1649.6750033333201</v>
      </c>
      <c r="K13" s="779">
        <f>+[4]손익총괄!K13+F13</f>
        <v>1656.3709619999934</v>
      </c>
      <c r="L13" s="751">
        <f t="shared" si="1"/>
        <v>6.6959586666732775</v>
      </c>
      <c r="M13" s="752">
        <f>+[4]손익총괄!M13+H13</f>
        <v>1955.500232000014</v>
      </c>
      <c r="N13" s="753">
        <f t="shared" si="2"/>
        <v>-299.1292700000206</v>
      </c>
      <c r="O13" s="99"/>
      <c r="P13" s="102"/>
      <c r="Q13" s="106" t="s">
        <v>74</v>
      </c>
      <c r="R13" s="301" t="s">
        <v>19</v>
      </c>
      <c r="S13" s="314">
        <f>+[5]수도권!$T$61</f>
        <v>101656.46615674063</v>
      </c>
      <c r="T13" s="107">
        <f>+[5]수도권!$U$61</f>
        <v>93480.665857137355</v>
      </c>
      <c r="U13" s="745">
        <f t="shared" si="20"/>
        <v>-8175.8002996032737</v>
      </c>
      <c r="V13" s="746">
        <f>+[6]수도권!$Q$85</f>
        <v>96457.329512639408</v>
      </c>
      <c r="W13" s="747">
        <f t="shared" si="21"/>
        <v>-2976.6636555020523</v>
      </c>
      <c r="X13" s="104"/>
      <c r="Z13" s="821"/>
      <c r="AA13" s="666" t="str">
        <f t="shared" si="27"/>
        <v>기타</v>
      </c>
      <c r="AB13" s="673">
        <f t="shared" si="28"/>
        <v>1.6490750033333779</v>
      </c>
      <c r="AC13" s="679">
        <f t="shared" si="22"/>
        <v>1.6649562099999935</v>
      </c>
      <c r="AD13" s="676">
        <f t="shared" si="8"/>
        <v>1.5881206666615633E-2</v>
      </c>
      <c r="AE13" s="669">
        <f t="shared" si="23"/>
        <v>1.857906169999967</v>
      </c>
      <c r="AF13" s="685">
        <f t="shared" si="9"/>
        <v>-0.19294995999997355</v>
      </c>
      <c r="AG13" s="682">
        <f t="shared" si="24"/>
        <v>16.4967500333332</v>
      </c>
      <c r="AH13" s="679">
        <f t="shared" si="25"/>
        <v>16.563709619999933</v>
      </c>
      <c r="AI13" s="676">
        <f t="shared" si="10"/>
        <v>6.6959586666733628E-2</v>
      </c>
      <c r="AJ13" s="669">
        <f t="shared" si="26"/>
        <v>19.555002320000138</v>
      </c>
      <c r="AK13" s="673">
        <f t="shared" si="11"/>
        <v>-2.991292700000205</v>
      </c>
    </row>
    <row r="14" spans="1:38" ht="21.75" customHeight="1" x14ac:dyDescent="0.3">
      <c r="A14" s="597">
        <f>+F14/E14</f>
        <v>0.83406140212158753</v>
      </c>
      <c r="B14" s="597">
        <f>+K14/J14</f>
        <v>0.96423430751694739</v>
      </c>
      <c r="C14" s="116" t="s">
        <v>8</v>
      </c>
      <c r="D14" s="117"/>
      <c r="E14" s="778">
        <f>SUM(E10:E13)</f>
        <v>46303.006971386181</v>
      </c>
      <c r="F14" s="779">
        <f>SUM(F10:F13)</f>
        <v>38619.550917</v>
      </c>
      <c r="G14" s="751">
        <f t="shared" si="12"/>
        <v>-7683.4560543861808</v>
      </c>
      <c r="H14" s="752">
        <f>SUM(H10:H13)</f>
        <v>47628.924318000005</v>
      </c>
      <c r="I14" s="753">
        <f t="shared" si="13"/>
        <v>-9009.3734010000044</v>
      </c>
      <c r="J14" s="778">
        <f>SUM(J10:J13)</f>
        <v>401319.37752505107</v>
      </c>
      <c r="K14" s="779">
        <f>SUM(K10:K13)</f>
        <v>386965.91208099999</v>
      </c>
      <c r="L14" s="751">
        <f t="shared" si="1"/>
        <v>-14353.465444051079</v>
      </c>
      <c r="M14" s="752">
        <f>SUM(M10:M13)</f>
        <v>420470.66185900004</v>
      </c>
      <c r="N14" s="753">
        <f t="shared" si="2"/>
        <v>-33504.749778000056</v>
      </c>
      <c r="O14" s="99"/>
      <c r="P14" s="102"/>
      <c r="Q14" s="110"/>
      <c r="R14" s="302" t="s">
        <v>20</v>
      </c>
      <c r="S14" s="315">
        <f>+[5]영남권!$T$61</f>
        <v>102592.96179422383</v>
      </c>
      <c r="T14" s="111">
        <f>+[5]영남권!$U$61</f>
        <v>96016.648996705597</v>
      </c>
      <c r="U14" s="748">
        <f t="shared" si="20"/>
        <v>-6576.3127975182288</v>
      </c>
      <c r="V14" s="749">
        <f>+[6]영남권!$Q$85</f>
        <v>97820.439303297506</v>
      </c>
      <c r="W14" s="750">
        <f t="shared" si="21"/>
        <v>-1803.790306591909</v>
      </c>
      <c r="X14" s="104"/>
      <c r="Y14" s="597"/>
      <c r="Z14" s="694"/>
      <c r="AA14" s="704" t="s">
        <v>207</v>
      </c>
      <c r="AB14" s="705">
        <f>SUM(AB10:AB13)</f>
        <v>463.03006971386185</v>
      </c>
      <c r="AC14" s="722">
        <f t="shared" ref="AC14:AJ14" si="29">SUM(AC10:AC13)</f>
        <v>386.19550917000009</v>
      </c>
      <c r="AD14" s="706">
        <f t="shared" si="8"/>
        <v>-76.834560543861755</v>
      </c>
      <c r="AE14" s="707">
        <f t="shared" si="29"/>
        <v>476.28924318000003</v>
      </c>
      <c r="AF14" s="708">
        <f t="shared" si="9"/>
        <v>-90.093734009999935</v>
      </c>
      <c r="AG14" s="709">
        <f t="shared" si="29"/>
        <v>4013.1937752505105</v>
      </c>
      <c r="AH14" s="722">
        <f t="shared" si="29"/>
        <v>3869.6591208099999</v>
      </c>
      <c r="AI14" s="706">
        <f t="shared" si="10"/>
        <v>-143.53465444051062</v>
      </c>
      <c r="AJ14" s="707">
        <f t="shared" si="29"/>
        <v>4204.7066185900003</v>
      </c>
      <c r="AK14" s="705">
        <f t="shared" si="11"/>
        <v>-335.04749778000041</v>
      </c>
    </row>
    <row r="15" spans="1:38" ht="21.75" customHeight="1" x14ac:dyDescent="0.3">
      <c r="C15" s="100" t="s">
        <v>5</v>
      </c>
      <c r="D15" s="109" t="s">
        <v>53</v>
      </c>
      <c r="E15" s="773">
        <f>+('[1]10월'!$Z$10+'[1]10월'!$Z$19)/1000</f>
        <v>27044.707032610568</v>
      </c>
      <c r="F15" s="774">
        <f>+('[2]10월'!$Z$10+'[2]10월'!$Z$19)/1000</f>
        <v>25663.485181000004</v>
      </c>
      <c r="G15" s="775">
        <f t="shared" si="12"/>
        <v>-1381.221851610564</v>
      </c>
      <c r="H15" s="776">
        <f>+('[3]10월'!$Z$10+'[3]10월'!$Z$19)/1000</f>
        <v>27775.361805</v>
      </c>
      <c r="I15" s="777">
        <f t="shared" si="13"/>
        <v>-2111.8766239999968</v>
      </c>
      <c r="J15" s="773">
        <f>+[4]손익총괄!J15+E15</f>
        <v>244089.85999308314</v>
      </c>
      <c r="K15" s="774">
        <f>+[4]손익총괄!K15+F15</f>
        <v>247168.48245799003</v>
      </c>
      <c r="L15" s="775">
        <f t="shared" si="1"/>
        <v>3078.6224649068899</v>
      </c>
      <c r="M15" s="776">
        <f>+[4]손익총괄!M15+H15</f>
        <v>254793.37004300999</v>
      </c>
      <c r="N15" s="777">
        <f t="shared" si="2"/>
        <v>-7624.8875850199547</v>
      </c>
      <c r="O15" s="99"/>
      <c r="P15" s="102"/>
      <c r="Q15" s="110"/>
      <c r="R15" s="303" t="s">
        <v>169</v>
      </c>
      <c r="S15" s="316">
        <f>+[5]중부권!$T$61</f>
        <v>105648.6551967213</v>
      </c>
      <c r="T15" s="112">
        <f>+[5]중부권!$U$61</f>
        <v>101095.65574191067</v>
      </c>
      <c r="U15" s="751">
        <f t="shared" si="20"/>
        <v>-4552.9994548106333</v>
      </c>
      <c r="V15" s="752">
        <f>+[6]중부권!$Q$85</f>
        <v>100356.66923977152</v>
      </c>
      <c r="W15" s="753">
        <f t="shared" si="21"/>
        <v>738.98650213914516</v>
      </c>
      <c r="X15" s="104"/>
      <c r="Z15" s="789" t="s">
        <v>206</v>
      </c>
      <c r="AA15" s="738" t="str">
        <f>+D30</f>
        <v>레미콘</v>
      </c>
      <c r="AB15" s="739">
        <f>+E30/100</f>
        <v>53.114516209334198</v>
      </c>
      <c r="AC15" s="740">
        <f t="shared" ref="AC15:AC18" si="30">+F30/100</f>
        <v>21.412714339999962</v>
      </c>
      <c r="AD15" s="741">
        <f t="shared" si="8"/>
        <v>-31.701801869334236</v>
      </c>
      <c r="AE15" s="742">
        <f t="shared" ref="AE15:AE18" si="31">+H30/100</f>
        <v>58.413245080000088</v>
      </c>
      <c r="AF15" s="743">
        <f t="shared" si="9"/>
        <v>-37.00053074000013</v>
      </c>
      <c r="AG15" s="744">
        <f t="shared" ref="AG15:AH15" si="32">+J30/100</f>
        <v>420.66225227377356</v>
      </c>
      <c r="AH15" s="740">
        <f t="shared" si="32"/>
        <v>302.73136736009968</v>
      </c>
      <c r="AI15" s="741">
        <f t="shared" si="10"/>
        <v>-117.93088491367388</v>
      </c>
      <c r="AJ15" s="742">
        <f t="shared" ref="AJ15:AJ18" si="33">+M30/100</f>
        <v>478.00389131990022</v>
      </c>
      <c r="AK15" s="739">
        <f t="shared" si="11"/>
        <v>-175.27252395980054</v>
      </c>
    </row>
    <row r="16" spans="1:38" ht="21.75" customHeight="1" x14ac:dyDescent="0.3">
      <c r="C16" s="100"/>
      <c r="D16" s="105" t="s">
        <v>3</v>
      </c>
      <c r="E16" s="771">
        <f>+('[1]10월'!$AA$10+'[1]10월'!$AA$19)/1000</f>
        <v>10595.361504336843</v>
      </c>
      <c r="F16" s="772">
        <f>+('[2]10월'!$AO$10+'[2]10월'!$AO$19)/1000</f>
        <v>8468.1694929999994</v>
      </c>
      <c r="G16" s="748">
        <f>+F16-E16</f>
        <v>-2127.1920113368433</v>
      </c>
      <c r="H16" s="749">
        <f>+('[3]10월'!$AO$10+'[3]10월'!$AO$19)/1000</f>
        <v>11109.065919999999</v>
      </c>
      <c r="I16" s="750">
        <f>+F16-H16</f>
        <v>-2640.8964269999997</v>
      </c>
      <c r="J16" s="771">
        <f>+[4]손익총괄!J16+E16</f>
        <v>86028.465731199991</v>
      </c>
      <c r="K16" s="772">
        <f>+[4]손익총괄!K16+F16</f>
        <v>84700.153649</v>
      </c>
      <c r="L16" s="748">
        <f t="shared" si="1"/>
        <v>-1328.312082199991</v>
      </c>
      <c r="M16" s="749">
        <f>+[4]손익총괄!M16+H16</f>
        <v>94369.979130999986</v>
      </c>
      <c r="N16" s="750">
        <f t="shared" si="2"/>
        <v>-9669.8254819999856</v>
      </c>
      <c r="O16" s="99"/>
      <c r="P16" s="102"/>
      <c r="Q16" s="113" t="s">
        <v>73</v>
      </c>
      <c r="R16" s="304"/>
      <c r="S16" s="317">
        <f>+[5]합계!$T$61</f>
        <v>102819.17075870401</v>
      </c>
      <c r="T16" s="114">
        <f>+[5]합계!$U$61</f>
        <v>96197.561428846195</v>
      </c>
      <c r="U16" s="754">
        <f>+T16-S16</f>
        <v>-6621.6093298578198</v>
      </c>
      <c r="V16" s="755">
        <f>+[6]합계!$Q$85</f>
        <v>97761.738206654467</v>
      </c>
      <c r="W16" s="756">
        <f>+T16-V16</f>
        <v>-1564.1767778082722</v>
      </c>
      <c r="X16" s="104"/>
      <c r="Z16" s="790"/>
      <c r="AA16" s="696" t="str">
        <f t="shared" ref="AA16" si="34">+D31</f>
        <v>%</v>
      </c>
      <c r="AB16" s="697">
        <f>+E31</f>
        <v>0.16092892148674362</v>
      </c>
      <c r="AC16" s="698">
        <f>+F31</f>
        <v>7.5057138178692792E-2</v>
      </c>
      <c r="AD16" s="699">
        <f t="shared" si="8"/>
        <v>-8.5871783308050828E-2</v>
      </c>
      <c r="AE16" s="700">
        <f>+H31</f>
        <v>0.17041636987288225</v>
      </c>
      <c r="AF16" s="701">
        <f t="shared" si="9"/>
        <v>-9.5359231694189459E-2</v>
      </c>
      <c r="AG16" s="702">
        <f>+J31</f>
        <v>0.14367849459634613</v>
      </c>
      <c r="AH16" s="698">
        <f>+K31</f>
        <v>0.10647450810002981</v>
      </c>
      <c r="AI16" s="699">
        <f t="shared" si="10"/>
        <v>-3.7203986496316316E-2</v>
      </c>
      <c r="AJ16" s="700">
        <f>+M31</f>
        <v>0.15453568205924989</v>
      </c>
      <c r="AK16" s="697">
        <f t="shared" si="11"/>
        <v>-4.8061173959220077E-2</v>
      </c>
      <c r="AL16" s="703"/>
    </row>
    <row r="17" spans="2:37" ht="21.75" customHeight="1" x14ac:dyDescent="0.3">
      <c r="C17" s="100"/>
      <c r="D17" s="105" t="s">
        <v>1</v>
      </c>
      <c r="E17" s="771">
        <f>+('[1]10월'!$AE$10+'[1]10월'!$AE$19)/1000</f>
        <v>1891.2156871420505</v>
      </c>
      <c r="F17" s="772">
        <f>+('[2]10월'!$AN$10+'[2]10월'!$AN$19)/1000</f>
        <v>1321.9499900000003</v>
      </c>
      <c r="G17" s="748">
        <f t="shared" si="12"/>
        <v>-569.26569714205016</v>
      </c>
      <c r="H17" s="749">
        <f>+('[3]10월'!$AN$10+'[3]10월'!$AN$19)/1000</f>
        <v>1700.4394890000001</v>
      </c>
      <c r="I17" s="750">
        <f t="shared" si="13"/>
        <v>-378.4894989999998</v>
      </c>
      <c r="J17" s="771">
        <f>+[4]손익총괄!J17+E17</f>
        <v>16508.136922110094</v>
      </c>
      <c r="K17" s="772">
        <f>+[4]손익총괄!K17+F17</f>
        <v>13776.632887</v>
      </c>
      <c r="L17" s="748">
        <f t="shared" si="1"/>
        <v>-2731.5040351100943</v>
      </c>
      <c r="M17" s="749">
        <f>+[4]손익총괄!M17+H17</f>
        <v>11802.978014969998</v>
      </c>
      <c r="N17" s="750">
        <f t="shared" si="2"/>
        <v>1973.6548720300016</v>
      </c>
      <c r="O17" s="99"/>
      <c r="P17" s="102"/>
      <c r="Q17" s="296" t="s">
        <v>75</v>
      </c>
      <c r="R17" s="305" t="s">
        <v>19</v>
      </c>
      <c r="S17" s="318">
        <f>+[5]수도권!$Q$90</f>
        <v>23514.083598186684</v>
      </c>
      <c r="T17" s="118">
        <f>+[5]수도권!$R$90</f>
        <v>12984.216425509934</v>
      </c>
      <c r="U17" s="757">
        <f t="shared" si="20"/>
        <v>-10529.86717267675</v>
      </c>
      <c r="V17" s="758">
        <f>+[6]수도권!$Q$90</f>
        <v>20930.541931965097</v>
      </c>
      <c r="W17" s="759">
        <f t="shared" si="21"/>
        <v>-7946.3255064551631</v>
      </c>
      <c r="X17" s="104"/>
      <c r="Z17" s="790"/>
      <c r="AA17" s="667" t="str">
        <f t="shared" ref="AA17" si="35">+D32</f>
        <v>건자재</v>
      </c>
      <c r="AB17" s="675">
        <f t="shared" ref="AB17:AB18" si="36">+E32/100</f>
        <v>1.5578427776842096</v>
      </c>
      <c r="AC17" s="681">
        <f t="shared" si="30"/>
        <v>0.4400532900000198</v>
      </c>
      <c r="AD17" s="678">
        <f t="shared" si="8"/>
        <v>-1.1177894876841898</v>
      </c>
      <c r="AE17" s="671">
        <f t="shared" si="31"/>
        <v>0.85321436999999933</v>
      </c>
      <c r="AF17" s="687">
        <f t="shared" si="9"/>
        <v>-0.41316107999997953</v>
      </c>
      <c r="AG17" s="684">
        <f t="shared" ref="AG17:AH17" si="37">+J32/100</f>
        <v>9.9565509880001528</v>
      </c>
      <c r="AH17" s="681">
        <f t="shared" si="37"/>
        <v>4.8350369900000967</v>
      </c>
      <c r="AI17" s="678">
        <f t="shared" si="10"/>
        <v>-5.1215139980000561</v>
      </c>
      <c r="AJ17" s="671">
        <f t="shared" si="33"/>
        <v>7.7009028300001043</v>
      </c>
      <c r="AK17" s="675">
        <f t="shared" si="11"/>
        <v>-2.8658658400000077</v>
      </c>
    </row>
    <row r="18" spans="2:37" ht="21.75" customHeight="1" x14ac:dyDescent="0.3">
      <c r="C18" s="100"/>
      <c r="D18" s="115" t="s">
        <v>4</v>
      </c>
      <c r="E18" s="778">
        <f>+('[1]10월'!$E$10+'[1]10월'!$E$19)/1000-E15-E16-E17</f>
        <v>65.348897999996325</v>
      </c>
      <c r="F18" s="779">
        <f>+('[2]10월'!$F$10+'[2]10월'!$F$19)/1000-F15-F16-F17</f>
        <v>-220.72586899999919</v>
      </c>
      <c r="G18" s="751">
        <f t="shared" si="12"/>
        <v>-286.07476699999552</v>
      </c>
      <c r="H18" s="752">
        <f>+('[3]10월'!$F$10+'[3]10월'!$F$19)/1000-H15-H16-H17</f>
        <v>28.523641999998517</v>
      </c>
      <c r="I18" s="753">
        <f t="shared" si="13"/>
        <v>-249.24951099999771</v>
      </c>
      <c r="J18" s="778">
        <f>+[4]손익총괄!J18+E18</f>
        <v>-735.2252140000171</v>
      </c>
      <c r="K18" s="779">
        <f>+[4]손익총괄!K18+F18</f>
        <v>-329.81755800000246</v>
      </c>
      <c r="L18" s="751">
        <f t="shared" si="1"/>
        <v>405.40765600001464</v>
      </c>
      <c r="M18" s="752">
        <f>+[4]손익총괄!M18+H18</f>
        <v>556.75547600001619</v>
      </c>
      <c r="N18" s="753">
        <f t="shared" si="2"/>
        <v>-886.57303400001865</v>
      </c>
      <c r="O18" s="99"/>
      <c r="P18" s="102"/>
      <c r="Q18" s="297"/>
      <c r="R18" s="306" t="s">
        <v>20</v>
      </c>
      <c r="S18" s="319">
        <f>+[5]영남권!$Q$90</f>
        <v>26796.446769168208</v>
      </c>
      <c r="T18" s="119">
        <f>+[5]영남권!$R$90</f>
        <v>17824.890686245082</v>
      </c>
      <c r="U18" s="760">
        <f t="shared" si="20"/>
        <v>-8971.5560829231254</v>
      </c>
      <c r="V18" s="761">
        <f>+[6]영남권!$Q$90</f>
        <v>27529.225388110761</v>
      </c>
      <c r="W18" s="762">
        <f t="shared" si="21"/>
        <v>-9704.3347018656787</v>
      </c>
      <c r="X18" s="104"/>
      <c r="Z18" s="790"/>
      <c r="AA18" s="667" t="str">
        <f t="shared" ref="AA18" si="38">+D33</f>
        <v>골재</v>
      </c>
      <c r="AB18" s="675">
        <f t="shared" si="36"/>
        <v>3.3315137826154229</v>
      </c>
      <c r="AC18" s="681">
        <f t="shared" si="30"/>
        <v>-1.4995785109640016</v>
      </c>
      <c r="AD18" s="678">
        <f t="shared" si="8"/>
        <v>-4.8310922935794247</v>
      </c>
      <c r="AE18" s="671">
        <f t="shared" si="31"/>
        <v>1.417920559999998</v>
      </c>
      <c r="AF18" s="687">
        <f t="shared" si="9"/>
        <v>-2.9174990709639994</v>
      </c>
      <c r="AG18" s="684">
        <f t="shared" ref="AG18:AH18" si="39">+J33/100</f>
        <v>15.470667820360486</v>
      </c>
      <c r="AH18" s="681">
        <f t="shared" si="39"/>
        <v>-3.9952527373532123E-2</v>
      </c>
      <c r="AI18" s="678">
        <f t="shared" si="10"/>
        <v>-15.510620347734019</v>
      </c>
      <c r="AJ18" s="671">
        <f t="shared" si="33"/>
        <v>7.6356613903000259</v>
      </c>
      <c r="AK18" s="675">
        <f t="shared" si="11"/>
        <v>-7.6756139176735578</v>
      </c>
    </row>
    <row r="19" spans="2:37" ht="21.75" customHeight="1" x14ac:dyDescent="0.3">
      <c r="C19" s="100" t="s">
        <v>8</v>
      </c>
      <c r="D19" s="120"/>
      <c r="E19" s="771">
        <f>SUM(E15:E18)</f>
        <v>39596.633122089457</v>
      </c>
      <c r="F19" s="772">
        <f>SUM(F15:F18)</f>
        <v>35232.878795000004</v>
      </c>
      <c r="G19" s="748">
        <f t="shared" si="12"/>
        <v>-4363.754327089453</v>
      </c>
      <c r="H19" s="749">
        <f>SUM(H15:H18)</f>
        <v>40613.390855999998</v>
      </c>
      <c r="I19" s="750">
        <f t="shared" si="13"/>
        <v>-5380.512060999994</v>
      </c>
      <c r="J19" s="771">
        <f>SUM(J15:J18)</f>
        <v>345891.23743239319</v>
      </c>
      <c r="K19" s="772">
        <f>SUM(K15:K18)</f>
        <v>345315.45143599005</v>
      </c>
      <c r="L19" s="748">
        <f t="shared" si="1"/>
        <v>-575.78599640313769</v>
      </c>
      <c r="M19" s="749">
        <f>SUM(M15:M18)</f>
        <v>361523.08266498003</v>
      </c>
      <c r="N19" s="750">
        <f t="shared" si="2"/>
        <v>-16207.63122898998</v>
      </c>
      <c r="O19" s="99"/>
      <c r="P19" s="102"/>
      <c r="Q19" s="297"/>
      <c r="R19" s="307" t="s">
        <v>169</v>
      </c>
      <c r="S19" s="320">
        <f>+[5]중부권!$Q$90</f>
        <v>28848.731816097046</v>
      </c>
      <c r="T19" s="121">
        <f>+[5]중부권!$R$90</f>
        <v>25702.17889665447</v>
      </c>
      <c r="U19" s="763">
        <f t="shared" si="20"/>
        <v>-3146.5529194425762</v>
      </c>
      <c r="V19" s="764">
        <f>+[6]중부권!$Q$90</f>
        <v>28182.867998401824</v>
      </c>
      <c r="W19" s="765">
        <f t="shared" si="21"/>
        <v>-2480.6891017473536</v>
      </c>
      <c r="X19" s="104"/>
      <c r="AA19" s="667" t="s">
        <v>226</v>
      </c>
      <c r="AB19" s="675">
        <f>+'사업장별(당월)'!T35/100</f>
        <v>-12.393304821245668</v>
      </c>
      <c r="AC19" s="681">
        <f>+'사업장별(당월)'!U35/100</f>
        <v>-11.965785099009242</v>
      </c>
      <c r="AD19" s="678">
        <f>+AC19-AB19</f>
        <v>0.42751972223642554</v>
      </c>
      <c r="AE19" s="671">
        <f>+'사업장별(당월)'!W35/100</f>
        <v>-12.145176319999997</v>
      </c>
      <c r="AF19" s="687">
        <f t="shared" si="9"/>
        <v>0.17939122099075533</v>
      </c>
      <c r="AG19" s="684">
        <f>+'사업장별(누계)'!T35/100</f>
        <v>-137.97862885331293</v>
      </c>
      <c r="AH19" s="681">
        <f>+'사업장별(누계)'!U35/100</f>
        <v>-140.8841716325841</v>
      </c>
      <c r="AI19" s="678">
        <f t="shared" si="10"/>
        <v>-2.9055427792711725</v>
      </c>
      <c r="AJ19" s="671">
        <f>+'사업장별(누계)'!W35/100</f>
        <v>-117.27202179999999</v>
      </c>
      <c r="AK19" s="675">
        <f t="shared" si="11"/>
        <v>-23.612149832584109</v>
      </c>
    </row>
    <row r="20" spans="2:37" ht="21.75" customHeight="1" x14ac:dyDescent="0.3">
      <c r="C20" s="108" t="s">
        <v>18</v>
      </c>
      <c r="D20" s="109" t="s">
        <v>53</v>
      </c>
      <c r="E20" s="773">
        <f t="shared" ref="E20:F23" si="40">+E10-E15</f>
        <v>5960.2467809334194</v>
      </c>
      <c r="F20" s="774">
        <f t="shared" si="40"/>
        <v>2865.066345999996</v>
      </c>
      <c r="G20" s="775">
        <f t="shared" si="12"/>
        <v>-3095.1804349334234</v>
      </c>
      <c r="H20" s="776">
        <f t="shared" ref="H20" si="41">+H10-H15</f>
        <v>6501.4187200000088</v>
      </c>
      <c r="I20" s="777">
        <f t="shared" si="13"/>
        <v>-3636.3523740000128</v>
      </c>
      <c r="J20" s="773">
        <f t="shared" ref="J20:K20" si="42">+J10-J15</f>
        <v>48690.387639377353</v>
      </c>
      <c r="K20" s="774">
        <f t="shared" si="42"/>
        <v>37154.378255009971</v>
      </c>
      <c r="L20" s="775">
        <f t="shared" si="1"/>
        <v>-11536.009384367382</v>
      </c>
      <c r="M20" s="776">
        <f t="shared" ref="M20" si="43">+M10-M15</f>
        <v>54522.824734990019</v>
      </c>
      <c r="N20" s="777">
        <f t="shared" si="2"/>
        <v>-17368.446479980048</v>
      </c>
      <c r="O20" s="99"/>
      <c r="P20" s="102"/>
      <c r="Q20" s="298" t="s">
        <v>73</v>
      </c>
      <c r="R20" s="308"/>
      <c r="S20" s="321">
        <f>+[5]합계!$Q$90</f>
        <v>25944.055063836131</v>
      </c>
      <c r="T20" s="122">
        <f>+[5]합계!$R$90</f>
        <v>17786.110748025996</v>
      </c>
      <c r="U20" s="766">
        <f t="shared" si="20"/>
        <v>-8157.9443158101349</v>
      </c>
      <c r="V20" s="767">
        <f>+[6]합계!$Q$90</f>
        <v>25091.997298025482</v>
      </c>
      <c r="W20" s="768">
        <f t="shared" si="21"/>
        <v>-7305.8865499994863</v>
      </c>
      <c r="X20" s="104"/>
      <c r="AA20" s="667" t="str">
        <f>+'사업장별(누계)'!I34</f>
        <v>임대</v>
      </c>
      <c r="AB20" s="675">
        <f>+('사업장별(당월)'!T33+'사업장별(당월)'!T34)/100</f>
        <v>1.3419643233333334</v>
      </c>
      <c r="AC20" s="681">
        <f>+('사업장별(당월)'!U33+'사업장별(당월)'!U34)/100</f>
        <v>1.34873625</v>
      </c>
      <c r="AD20" s="678">
        <f t="shared" ref="AD20:AD21" si="44">+AC20-AB20</f>
        <v>6.7719266666665945E-3</v>
      </c>
      <c r="AE20" s="671">
        <f>+('사업장별(당월)'!W33+'사업장별(당월)'!W34)/100</f>
        <v>1.2817784500000002</v>
      </c>
      <c r="AF20" s="687">
        <f t="shared" si="9"/>
        <v>6.6957799999999734E-2</v>
      </c>
      <c r="AG20" s="684">
        <f>+('사업장별(누계)'!T33+'사업장별(누계)'!T34)/100</f>
        <v>13.287628573333334</v>
      </c>
      <c r="AH20" s="681">
        <f>+('사업장별(누계)'!U33+'사업장별(누계)'!U34)/100</f>
        <v>12.950631759999998</v>
      </c>
      <c r="AI20" s="678">
        <f t="shared" si="10"/>
        <v>-0.33699681333333587</v>
      </c>
      <c r="AJ20" s="671">
        <f>+('사업장별(누계)'!W33+'사업장별(누계)'!W34)/100</f>
        <v>11.906785939999999</v>
      </c>
      <c r="AK20" s="675">
        <f t="shared" si="11"/>
        <v>1.0438458199999996</v>
      </c>
    </row>
    <row r="21" spans="2:37" ht="21.75" customHeight="1" x14ac:dyDescent="0.3">
      <c r="C21" s="100"/>
      <c r="D21" s="105" t="s">
        <v>3</v>
      </c>
      <c r="E21" s="771">
        <f t="shared" si="40"/>
        <v>278.05533776842094</v>
      </c>
      <c r="F21" s="772">
        <f t="shared" si="40"/>
        <v>210.51577600000201</v>
      </c>
      <c r="G21" s="748">
        <f>+F21-E21</f>
        <v>-67.539561768418935</v>
      </c>
      <c r="H21" s="749">
        <f t="shared" ref="H21" si="45">+H11-H16</f>
        <v>204.99425599999995</v>
      </c>
      <c r="I21" s="750">
        <f>+F21-H21</f>
        <v>5.5215200000020559</v>
      </c>
      <c r="J21" s="771">
        <f t="shared" ref="J21:K21" si="46">+J11-J16</f>
        <v>2258.4942688000156</v>
      </c>
      <c r="K21" s="772">
        <f t="shared" si="46"/>
        <v>1910.9226770000096</v>
      </c>
      <c r="L21" s="748">
        <f t="shared" si="1"/>
        <v>-347.57159180000599</v>
      </c>
      <c r="M21" s="749">
        <f t="shared" ref="M21" si="47">+M11-M16</f>
        <v>1970.7648180000106</v>
      </c>
      <c r="N21" s="750">
        <f t="shared" si="2"/>
        <v>-59.842141000000993</v>
      </c>
      <c r="O21" s="99"/>
      <c r="P21" s="102"/>
      <c r="Q21" s="156" t="s">
        <v>106</v>
      </c>
      <c r="R21" s="157"/>
      <c r="S21" s="158"/>
      <c r="T21" s="164"/>
      <c r="U21" s="158"/>
      <c r="X21" s="104"/>
      <c r="AA21" s="667" t="str">
        <f>+'사업장별(누계)'!I37</f>
        <v>대손</v>
      </c>
      <c r="AB21" s="675">
        <f>+'사업장별(당월)'!T37/100</f>
        <v>0</v>
      </c>
      <c r="AC21" s="681">
        <f>+'사업장별(당월)'!U37/100</f>
        <v>0</v>
      </c>
      <c r="AD21" s="678">
        <f t="shared" si="44"/>
        <v>0</v>
      </c>
      <c r="AE21" s="671">
        <f>+'사업장별(당월)'!W37/100</f>
        <v>0.49</v>
      </c>
      <c r="AF21" s="687">
        <f t="shared" si="9"/>
        <v>-0.49</v>
      </c>
      <c r="AG21" s="684">
        <f>+'사업장별(누계)'!T37/100</f>
        <v>0</v>
      </c>
      <c r="AH21" s="681">
        <f>+'사업장별(누계)'!U37/100</f>
        <v>-5.7385933299999996</v>
      </c>
      <c r="AI21" s="678">
        <f t="shared" si="10"/>
        <v>-5.7385933299999996</v>
      </c>
      <c r="AJ21" s="671">
        <f>+'사업장별(누계)'!W37/100</f>
        <v>-19.742219769999998</v>
      </c>
      <c r="AK21" s="675">
        <f t="shared" si="11"/>
        <v>14.003626439999998</v>
      </c>
    </row>
    <row r="22" spans="2:37" ht="21.75" customHeight="1" x14ac:dyDescent="0.3">
      <c r="C22" s="100"/>
      <c r="D22" s="105" t="s">
        <v>1</v>
      </c>
      <c r="E22" s="771">
        <f t="shared" si="40"/>
        <v>368.51312826154231</v>
      </c>
      <c r="F22" s="772">
        <f t="shared" si="40"/>
        <v>-76.131490000000213</v>
      </c>
      <c r="G22" s="748">
        <f t="shared" si="12"/>
        <v>-444.64461826154252</v>
      </c>
      <c r="H22" s="749">
        <f t="shared" ref="H22" si="48">+H12-H17</f>
        <v>151.8535109999998</v>
      </c>
      <c r="I22" s="750">
        <f t="shared" si="13"/>
        <v>-227.98500100000001</v>
      </c>
      <c r="J22" s="771">
        <f t="shared" ref="J22:K22" si="49">+J12-J17</f>
        <v>2094.3579671471598</v>
      </c>
      <c r="K22" s="772">
        <f t="shared" si="49"/>
        <v>598.9711929999994</v>
      </c>
      <c r="L22" s="748">
        <f t="shared" si="1"/>
        <v>-1495.3867741471604</v>
      </c>
      <c r="M22" s="749">
        <f t="shared" ref="M22" si="50">+M12-M17</f>
        <v>1055.2448850300025</v>
      </c>
      <c r="N22" s="750">
        <f t="shared" si="2"/>
        <v>-456.27369203000308</v>
      </c>
      <c r="O22" s="99"/>
      <c r="P22" s="102"/>
      <c r="Q22" s="344" t="s">
        <v>11</v>
      </c>
      <c r="R22" s="345"/>
      <c r="S22" s="346" t="s">
        <v>15</v>
      </c>
      <c r="T22" s="347" t="s">
        <v>16</v>
      </c>
      <c r="U22" s="348" t="s">
        <v>113</v>
      </c>
      <c r="V22" s="347" t="s">
        <v>17</v>
      </c>
      <c r="W22" s="349" t="s">
        <v>114</v>
      </c>
      <c r="X22" s="104"/>
      <c r="Z22" s="790"/>
      <c r="AA22" s="667" t="str">
        <f>+D34</f>
        <v>기타</v>
      </c>
      <c r="AB22" s="675">
        <f>+AB26-AB19-AB20-AB21</f>
        <v>-1.1504929244445714</v>
      </c>
      <c r="AC22" s="681">
        <f>+AC26-AC19-AC20-AC21</f>
        <v>2.0062159300000157</v>
      </c>
      <c r="AD22" s="678">
        <f>+AC22-AB22</f>
        <v>3.1567088544445872</v>
      </c>
      <c r="AE22" s="671">
        <f>+AE26-AE19-AE20-AE21</f>
        <v>-0.25065101999993811</v>
      </c>
      <c r="AF22" s="687">
        <f>+AC22-AE22</f>
        <v>2.2568669499999539</v>
      </c>
      <c r="AG22" s="684">
        <f>+AG26-AG19-AG20-AG21</f>
        <v>3.8964986755540014</v>
      </c>
      <c r="AH22" s="681">
        <f>+AH26-AH19-AH20-AH21</f>
        <v>1.6166890900000306</v>
      </c>
      <c r="AI22" s="678">
        <f t="shared" si="10"/>
        <v>-2.2798095855539708</v>
      </c>
      <c r="AJ22" s="671">
        <f>+AJ26-AJ19-AJ20-AJ21</f>
        <v>-3.5140389699998451</v>
      </c>
      <c r="AK22" s="675">
        <f t="shared" si="11"/>
        <v>5.1307280599998757</v>
      </c>
    </row>
    <row r="23" spans="2:37" ht="21.75" customHeight="1" x14ac:dyDescent="0.3">
      <c r="C23" s="100"/>
      <c r="D23" s="115" t="s">
        <v>4</v>
      </c>
      <c r="E23" s="778">
        <f t="shared" si="40"/>
        <v>99.558602333341469</v>
      </c>
      <c r="F23" s="779">
        <f t="shared" si="40"/>
        <v>387.22148999999854</v>
      </c>
      <c r="G23" s="751">
        <f t="shared" si="12"/>
        <v>287.66288766665707</v>
      </c>
      <c r="H23" s="752">
        <f t="shared" ref="H23" si="51">+H13-H18</f>
        <v>157.26697499999818</v>
      </c>
      <c r="I23" s="753">
        <f t="shared" si="13"/>
        <v>229.95451500000036</v>
      </c>
      <c r="J23" s="778">
        <f t="shared" ref="J23:K23" si="52">+J13-J18</f>
        <v>2384.9002173333374</v>
      </c>
      <c r="K23" s="779">
        <f t="shared" si="52"/>
        <v>1986.1885199999958</v>
      </c>
      <c r="L23" s="751">
        <f t="shared" si="1"/>
        <v>-398.71169733334159</v>
      </c>
      <c r="M23" s="752">
        <f t="shared" ref="M23" si="53">+M13-M18</f>
        <v>1398.7447559999978</v>
      </c>
      <c r="N23" s="753">
        <f t="shared" si="2"/>
        <v>587.44376399999805</v>
      </c>
      <c r="O23" s="99"/>
      <c r="P23" s="102"/>
      <c r="Q23" s="159" t="s">
        <v>107</v>
      </c>
      <c r="R23" s="160"/>
      <c r="S23" s="330">
        <f>+'[7]10월'!$F$10</f>
        <v>976966.29213483143</v>
      </c>
      <c r="T23" s="336">
        <f>+'[7]10월'!$G$10</f>
        <v>818946.47731031897</v>
      </c>
      <c r="U23" s="333">
        <f>+T23-S23</f>
        <v>-158019.81482451246</v>
      </c>
      <c r="V23" s="312">
        <f>+'[8]10월'!$G$10</f>
        <v>964243.14311560732</v>
      </c>
      <c r="W23" s="309">
        <f>+T23-V23</f>
        <v>-145296.66580528836</v>
      </c>
      <c r="X23" s="104"/>
      <c r="Z23" s="790"/>
      <c r="AA23" s="710" t="s">
        <v>207</v>
      </c>
      <c r="AB23" s="711">
        <f>SUM(AB15,AB17:AB22)</f>
        <v>45.802039347276931</v>
      </c>
      <c r="AC23" s="723">
        <f>SUM(AC15,AC17:AC22)</f>
        <v>11.742356200026752</v>
      </c>
      <c r="AD23" s="712">
        <f>+AC23-AB23</f>
        <v>-34.059683147250183</v>
      </c>
      <c r="AE23" s="713">
        <f>SUM(AE15,AE17:AE22)</f>
        <v>50.06033112000015</v>
      </c>
      <c r="AF23" s="714">
        <f>+AC23-AE23</f>
        <v>-38.317974919973395</v>
      </c>
      <c r="AG23" s="715">
        <f>SUM(AG15,AG17:AG22)</f>
        <v>325.29496947770866</v>
      </c>
      <c r="AH23" s="723">
        <f>SUM(AH15,AH17:AH22)</f>
        <v>175.47100771014217</v>
      </c>
      <c r="AI23" s="712">
        <f>+AH23-AG23</f>
        <v>-149.82396176756649</v>
      </c>
      <c r="AJ23" s="713">
        <f>SUM(AJ15,AJ17:AJ22)</f>
        <v>364.71896094020053</v>
      </c>
      <c r="AK23" s="711">
        <f>+AH23-AJ23</f>
        <v>-189.24795323005836</v>
      </c>
    </row>
    <row r="24" spans="2:37" ht="21.75" customHeight="1" thickBot="1" x14ac:dyDescent="0.35">
      <c r="C24" s="116" t="s">
        <v>8</v>
      </c>
      <c r="D24" s="117"/>
      <c r="E24" s="778">
        <f>SUM(E20:E23)</f>
        <v>6706.3738492967241</v>
      </c>
      <c r="F24" s="779">
        <f>SUM(F20:F23)</f>
        <v>3386.6721219999963</v>
      </c>
      <c r="G24" s="751">
        <f t="shared" si="12"/>
        <v>-3319.7017272967278</v>
      </c>
      <c r="H24" s="752">
        <f>SUM(H20:H23)</f>
        <v>7015.5334620000067</v>
      </c>
      <c r="I24" s="753">
        <f t="shared" si="13"/>
        <v>-3628.8613400000104</v>
      </c>
      <c r="J24" s="778">
        <f>SUM(J20:J23)</f>
        <v>55428.140092657864</v>
      </c>
      <c r="K24" s="779">
        <f>SUM(K20:K23)</f>
        <v>41650.460645009975</v>
      </c>
      <c r="L24" s="751">
        <f t="shared" si="1"/>
        <v>-13777.67944764789</v>
      </c>
      <c r="M24" s="752">
        <f>SUM(M20:M23)</f>
        <v>58947.579194020029</v>
      </c>
      <c r="N24" s="753">
        <f t="shared" si="2"/>
        <v>-17297.118549010054</v>
      </c>
      <c r="O24" s="99"/>
      <c r="P24" s="102"/>
      <c r="Q24" s="161" t="s">
        <v>108</v>
      </c>
      <c r="R24" s="162"/>
      <c r="S24" s="331">
        <f>+'[7]10월'!$F$15</f>
        <v>2.3265094882116158E-2</v>
      </c>
      <c r="T24" s="337">
        <f>+'[7]10월'!$G$15</f>
        <v>2.3542137855523892E-2</v>
      </c>
      <c r="U24" s="334">
        <f>+T24-S24</f>
        <v>2.7704297340773454E-4</v>
      </c>
      <c r="V24" s="313">
        <f>+'[8]10월'!$G$15</f>
        <v>1.555583218760895E-2</v>
      </c>
      <c r="W24" s="310">
        <f>+T24-V24</f>
        <v>7.9863056679149429E-3</v>
      </c>
      <c r="X24" s="104"/>
      <c r="Z24" s="695"/>
      <c r="AA24" s="716" t="str">
        <f t="shared" ref="AA24:AK24" si="54">+D36</f>
        <v>%</v>
      </c>
      <c r="AB24" s="717">
        <f t="shared" si="54"/>
        <v>9.8918066758777054E-2</v>
      </c>
      <c r="AC24" s="724">
        <f t="shared" si="54"/>
        <v>3.0405211664068923E-2</v>
      </c>
      <c r="AD24" s="718">
        <f t="shared" si="54"/>
        <v>-6.8512855094708128E-2</v>
      </c>
      <c r="AE24" s="719">
        <f t="shared" si="54"/>
        <v>0.10510489547436867</v>
      </c>
      <c r="AF24" s="720">
        <f t="shared" si="54"/>
        <v>-7.4699683810299747E-2</v>
      </c>
      <c r="AG24" s="721">
        <f t="shared" si="54"/>
        <v>8.1056382446273278E-2</v>
      </c>
      <c r="AH24" s="724">
        <f t="shared" si="54"/>
        <v>4.5345339791431655E-2</v>
      </c>
      <c r="AI24" s="718">
        <f t="shared" si="54"/>
        <v>-3.5711042654841624E-2</v>
      </c>
      <c r="AJ24" s="719">
        <f t="shared" si="54"/>
        <v>8.6740644240835191E-2</v>
      </c>
      <c r="AK24" s="717">
        <f t="shared" si="54"/>
        <v>-4.1395304449403536E-2</v>
      </c>
    </row>
    <row r="25" spans="2:37" ht="21.75" customHeight="1" x14ac:dyDescent="0.3">
      <c r="C25" s="108" t="s">
        <v>6</v>
      </c>
      <c r="D25" s="109" t="s">
        <v>53</v>
      </c>
      <c r="E25" s="773">
        <f>+('[1]10월'!$Z$13+'[1]10월'!$Z$20)/1000</f>
        <v>648.79516000000001</v>
      </c>
      <c r="F25" s="774">
        <f>+('[2]10월'!$Z$13+'[2]10월'!$Z$20)/1000</f>
        <v>723.79491199999984</v>
      </c>
      <c r="G25" s="775">
        <f t="shared" si="12"/>
        <v>74.99975199999983</v>
      </c>
      <c r="H25" s="776">
        <f>+('[3]10월'!$Z$13+'[3]10월'!$Z$20)/1000</f>
        <v>660.09421199999986</v>
      </c>
      <c r="I25" s="777">
        <f t="shared" si="13"/>
        <v>63.700699999999983</v>
      </c>
      <c r="J25" s="773">
        <f>+[4]손익총괄!J25+E25</f>
        <v>6624.1624120000006</v>
      </c>
      <c r="K25" s="774">
        <f>+[4]손익총괄!K25+F25</f>
        <v>6881.2415190000011</v>
      </c>
      <c r="L25" s="775">
        <f t="shared" si="1"/>
        <v>257.07910700000048</v>
      </c>
      <c r="M25" s="776">
        <f>+[4]손익총괄!M25+H25</f>
        <v>6722.4356030000008</v>
      </c>
      <c r="N25" s="777">
        <f t="shared" si="2"/>
        <v>158.80591600000025</v>
      </c>
      <c r="O25" s="99"/>
      <c r="P25" s="102"/>
      <c r="Q25" s="156" t="s">
        <v>109</v>
      </c>
      <c r="R25" s="163"/>
      <c r="S25" s="75"/>
      <c r="T25" s="164"/>
      <c r="U25" s="75"/>
      <c r="X25" s="104"/>
    </row>
    <row r="26" spans="2:37" ht="21.75" customHeight="1" x14ac:dyDescent="0.3">
      <c r="C26" s="100"/>
      <c r="D26" s="105" t="s">
        <v>85</v>
      </c>
      <c r="E26" s="771">
        <f>+('[1]10월'!$AA$13+'[1]10월'!$AA$20)/1000</f>
        <v>122.27105999999999</v>
      </c>
      <c r="F26" s="772">
        <f>+('[2]10월'!$AO$13+'[2]10월'!$AO$20)/1000</f>
        <v>166.51044700000003</v>
      </c>
      <c r="G26" s="748">
        <f>+F26-E26</f>
        <v>44.239387000000036</v>
      </c>
      <c r="H26" s="749">
        <f>+('[3]10월'!$AO$13+'[3]10월'!$AO$20)/1000</f>
        <v>119.67281900000002</v>
      </c>
      <c r="I26" s="750">
        <f>+F26-H26</f>
        <v>46.837628000000009</v>
      </c>
      <c r="J26" s="771">
        <f>+[4]손익총괄!J26+E26</f>
        <v>1262.8391700000002</v>
      </c>
      <c r="K26" s="772">
        <f>+[4]손익총괄!K26+F26</f>
        <v>1427.4189779999999</v>
      </c>
      <c r="L26" s="748">
        <f t="shared" si="1"/>
        <v>164.57980799999973</v>
      </c>
      <c r="M26" s="749">
        <f>+[4]손익총괄!M26+H26</f>
        <v>1200.6745350000001</v>
      </c>
      <c r="N26" s="750">
        <f t="shared" si="2"/>
        <v>226.74444299999982</v>
      </c>
      <c r="O26" s="99"/>
      <c r="P26" s="102"/>
      <c r="Q26" s="344" t="s">
        <v>11</v>
      </c>
      <c r="R26" s="345"/>
      <c r="S26" s="346" t="s">
        <v>15</v>
      </c>
      <c r="T26" s="347" t="s">
        <v>16</v>
      </c>
      <c r="U26" s="348" t="s">
        <v>113</v>
      </c>
      <c r="V26" s="347" t="s">
        <v>17</v>
      </c>
      <c r="W26" s="349" t="s">
        <v>114</v>
      </c>
      <c r="X26" s="104"/>
      <c r="AB26" s="659">
        <f>+'사업장별(당월)'!T41/100</f>
        <v>-12.201833422356906</v>
      </c>
      <c r="AC26" s="659">
        <f>+'사업장별(당월)'!U41/100</f>
        <v>-8.6108329190092263</v>
      </c>
      <c r="AD26" s="659">
        <f>+AC26-AB26</f>
        <v>3.5910005033476793</v>
      </c>
      <c r="AE26" s="659">
        <f>+'사업장별(당월)'!W41/100</f>
        <v>-10.624048889999935</v>
      </c>
      <c r="AF26" s="659">
        <f>+AE26-AD26</f>
        <v>-14.215049393347615</v>
      </c>
      <c r="AG26">
        <f>+'사업장별(누계)'!T41/100</f>
        <v>-120.79450160442559</v>
      </c>
      <c r="AH26">
        <f>+'사업장별(누계)'!U41/100</f>
        <v>-132.05544411258407</v>
      </c>
      <c r="AJ26">
        <f>+'사업장별(누계)'!W41/100</f>
        <v>-128.62149459999983</v>
      </c>
    </row>
    <row r="27" spans="2:37" ht="21.75" customHeight="1" x14ac:dyDescent="0.3">
      <c r="C27" s="100"/>
      <c r="D27" s="105" t="s">
        <v>1</v>
      </c>
      <c r="E27" s="771">
        <f>+('[1]10월'!$AE$13+'[1]10월'!$AE$20+'[1]10월'!$AE$22)/1000</f>
        <v>35.361750000000001</v>
      </c>
      <c r="F27" s="772">
        <f>+('[2]10월'!$AN$13+'[2]10월'!$AN$20+'[2]10월'!$AN$22)/1000</f>
        <v>73.82636109639995</v>
      </c>
      <c r="G27" s="748">
        <f t="shared" si="12"/>
        <v>38.464611096399949</v>
      </c>
      <c r="H27" s="749">
        <f>+('[3]10월'!$AN$13+'[3]10월'!$AN$20+'[3]10월'!$AN$22)/1000</f>
        <v>10.061455</v>
      </c>
      <c r="I27" s="750">
        <f t="shared" si="13"/>
        <v>63.764906096399947</v>
      </c>
      <c r="J27" s="771">
        <f>+[4]손익총괄!J27+E27</f>
        <v>547.29118511111119</v>
      </c>
      <c r="K27" s="772">
        <f>+[4]손익총괄!K27+F27</f>
        <v>602.96644573735261</v>
      </c>
      <c r="L27" s="748">
        <f t="shared" si="1"/>
        <v>55.675260626241425</v>
      </c>
      <c r="M27" s="749">
        <f>+[4]손익총괄!M27+H27</f>
        <v>291.67874599999993</v>
      </c>
      <c r="N27" s="750">
        <f t="shared" si="2"/>
        <v>311.28769973735268</v>
      </c>
      <c r="O27" s="99"/>
      <c r="P27" s="102"/>
      <c r="Q27" s="1" t="s">
        <v>110</v>
      </c>
      <c r="R27" s="299" t="s">
        <v>111</v>
      </c>
      <c r="S27" s="330">
        <f>(+'[9]서부산크라샤(당월)'!$N$66+'[9]부산모래장(당월)'!$Q$48+'[9]부산크라샤(당월)'!$N$66)/1000</f>
        <v>63.372913875273468</v>
      </c>
      <c r="T27" s="336">
        <f>(+'[9]서부산크라샤(당월)'!$O$66+'[9]부산모래장(당월)'!$R$48+'[9]부산크라샤(당월)'!$O$66)/1000</f>
        <v>38.555</v>
      </c>
      <c r="U27" s="333">
        <f>+T27-S27</f>
        <v>-24.817913875273469</v>
      </c>
      <c r="V27" s="312">
        <f>('[10]부산골재(당월)'!$R$48+'[10]서부산골재(당월)'!$O$66+'[10]부산크라샤(당월)'!$O$66)/1000</f>
        <v>62.023000000000003</v>
      </c>
      <c r="W27" s="309">
        <f>+T27-V27</f>
        <v>-23.468000000000004</v>
      </c>
      <c r="X27" s="104"/>
    </row>
    <row r="28" spans="2:37" ht="21.75" customHeight="1" x14ac:dyDescent="0.3">
      <c r="B28" s="97"/>
      <c r="C28" s="100"/>
      <c r="D28" s="115" t="s">
        <v>4</v>
      </c>
      <c r="E28" s="778">
        <f>+('[1]10월'!$E$13+'[1]10월'!$E$20)/1000-E25-E26-E27+('[1]10월'!$E$22/1000)</f>
        <v>1319.7419445690264</v>
      </c>
      <c r="F28" s="779">
        <f>+('[2]10월'!$F$13+'[2]10월'!$F$20)/1000-F25-F26-F27+'[2]10월'!$F$22/1000</f>
        <v>1248.3047819009244</v>
      </c>
      <c r="G28" s="751">
        <f t="shared" si="12"/>
        <v>-71.437162668102019</v>
      </c>
      <c r="H28" s="752">
        <f>+('[3]10월'!$F$13+'[3]10월'!$F$20)/1000-H25-H26-H27+'[3]10월'!$F$22/1000</f>
        <v>1219.6718639999999</v>
      </c>
      <c r="I28" s="753">
        <f t="shared" si="13"/>
        <v>28.63291790092444</v>
      </c>
      <c r="J28" s="778">
        <f>+[4]손익총괄!J28+E28</f>
        <v>14464.350377775891</v>
      </c>
      <c r="K28" s="779">
        <f>+[4]손익총괄!K28+F28</f>
        <v>15191.732931258408</v>
      </c>
      <c r="L28" s="751">
        <f t="shared" si="1"/>
        <v>727.38255348251732</v>
      </c>
      <c r="M28" s="752">
        <f>+[4]손익총괄!M28+H28</f>
        <v>14260.894215999999</v>
      </c>
      <c r="N28" s="753">
        <f t="shared" si="2"/>
        <v>930.83871525840914</v>
      </c>
      <c r="O28" s="99"/>
      <c r="P28" s="102"/>
      <c r="Q28" s="2"/>
      <c r="R28" s="300" t="s">
        <v>112</v>
      </c>
      <c r="S28" s="332">
        <f>(+'[9]서부산크라샤(당월)'!$N$59+'[9]부산모래장(당월)'!$Q$47+'[9]부산크라샤(당월)'!$N$59)/1000</f>
        <v>60.8</v>
      </c>
      <c r="T28" s="153">
        <f>(+'[9]서부산크라샤(당월)'!$O$59+'[9]부산모래장(당월)'!$R$47+'[9]부산크라샤(당월)'!$O$59)/1000</f>
        <v>21.535</v>
      </c>
      <c r="U28" s="335">
        <f>+T28-S28</f>
        <v>-39.265000000000001</v>
      </c>
      <c r="V28" s="73">
        <f>+('[10]부산골재(당월)'!$R$47+'[10]서부산골재(당월)'!$O$59+'[10]부산크라샤(당월)'!$O$59)/1000</f>
        <v>36.488</v>
      </c>
      <c r="W28" s="311">
        <f>+T28-V28</f>
        <v>-14.952999999999999</v>
      </c>
      <c r="X28" s="104"/>
    </row>
    <row r="29" spans="2:37" ht="21.75" customHeight="1" x14ac:dyDescent="0.3">
      <c r="C29" s="116" t="s">
        <v>8</v>
      </c>
      <c r="D29" s="117"/>
      <c r="E29" s="778">
        <f>SUM(E25:E28)</f>
        <v>2126.1699145690263</v>
      </c>
      <c r="F29" s="779">
        <f>SUM(F25:F28)</f>
        <v>2212.4365019973243</v>
      </c>
      <c r="G29" s="751">
        <f t="shared" si="12"/>
        <v>86.266587428297953</v>
      </c>
      <c r="H29" s="752">
        <f>SUM(H25:H28)</f>
        <v>2009.5003499999998</v>
      </c>
      <c r="I29" s="753">
        <f t="shared" si="13"/>
        <v>202.93615199732449</v>
      </c>
      <c r="J29" s="778">
        <f>SUM(J25:J28)</f>
        <v>22898.643144887003</v>
      </c>
      <c r="K29" s="779">
        <f>SUM(K25:K28)</f>
        <v>24103.35987399576</v>
      </c>
      <c r="L29" s="751">
        <f t="shared" si="1"/>
        <v>1204.7167291087571</v>
      </c>
      <c r="M29" s="752">
        <f>SUM(M25:M28)</f>
        <v>22475.683100000002</v>
      </c>
      <c r="N29" s="753">
        <f t="shared" si="2"/>
        <v>1627.6767739957577</v>
      </c>
      <c r="O29" s="99"/>
      <c r="P29" s="102"/>
      <c r="Q29" s="815" t="s">
        <v>141</v>
      </c>
      <c r="R29" s="816"/>
      <c r="S29" s="332">
        <f>SUM(S27:S28)</f>
        <v>124.17291387527347</v>
      </c>
      <c r="T29" s="153">
        <f>SUM(T27:T28)</f>
        <v>60.09</v>
      </c>
      <c r="U29" s="335">
        <f>+T29-S29</f>
        <v>-64.082913875273462</v>
      </c>
      <c r="V29" s="73">
        <f>SUM(V27:V28)</f>
        <v>98.510999999999996</v>
      </c>
      <c r="W29" s="311">
        <f>+T29-V29</f>
        <v>-38.420999999999992</v>
      </c>
      <c r="X29" s="104"/>
    </row>
    <row r="30" spans="2:37" ht="21.75" customHeight="1" x14ac:dyDescent="0.3">
      <c r="B30" s="597"/>
      <c r="C30" s="100" t="s">
        <v>7</v>
      </c>
      <c r="D30" s="109" t="s">
        <v>53</v>
      </c>
      <c r="E30" s="773">
        <f>+E20-E25</f>
        <v>5311.4516209334197</v>
      </c>
      <c r="F30" s="780">
        <f>+F20-F25</f>
        <v>2141.2714339999961</v>
      </c>
      <c r="G30" s="775">
        <f t="shared" si="12"/>
        <v>-3170.1801869334236</v>
      </c>
      <c r="H30" s="776">
        <f>+H20-H25</f>
        <v>5841.3245080000088</v>
      </c>
      <c r="I30" s="777">
        <f t="shared" si="13"/>
        <v>-3700.0530740000127</v>
      </c>
      <c r="J30" s="773">
        <f>+J20-J25</f>
        <v>42066.225227377356</v>
      </c>
      <c r="K30" s="780">
        <f>+K20-K25</f>
        <v>30273.136736009968</v>
      </c>
      <c r="L30" s="775">
        <f t="shared" si="1"/>
        <v>-11793.088491367387</v>
      </c>
      <c r="M30" s="776">
        <f>+M20-M25</f>
        <v>47800.389131990021</v>
      </c>
      <c r="N30" s="777">
        <f t="shared" si="2"/>
        <v>-17527.252395980053</v>
      </c>
      <c r="O30" s="99"/>
      <c r="P30" s="102"/>
      <c r="Q30" s="156" t="s">
        <v>183</v>
      </c>
      <c r="X30" s="104"/>
      <c r="Z30" s="597"/>
      <c r="AA30" s="597"/>
    </row>
    <row r="31" spans="2:37" ht="21.75" customHeight="1" x14ac:dyDescent="0.3">
      <c r="B31" s="597"/>
      <c r="C31" s="100"/>
      <c r="D31" s="123" t="s">
        <v>10</v>
      </c>
      <c r="E31" s="322">
        <f>+E30/E10</f>
        <v>0.16092892148674362</v>
      </c>
      <c r="F31" s="328">
        <f>+F30/F10</f>
        <v>7.5057138178692792E-2</v>
      </c>
      <c r="G31" s="325">
        <f t="shared" si="12"/>
        <v>-8.5871783308050828E-2</v>
      </c>
      <c r="H31" s="124">
        <f>+H30/H10</f>
        <v>0.17041636987288225</v>
      </c>
      <c r="I31" s="125">
        <f t="shared" si="13"/>
        <v>-9.5359231694189459E-2</v>
      </c>
      <c r="J31" s="322">
        <f>+J30/J10</f>
        <v>0.14367849459634613</v>
      </c>
      <c r="K31" s="328">
        <f>+K30/K10</f>
        <v>0.10647450810002981</v>
      </c>
      <c r="L31" s="325">
        <f t="shared" si="1"/>
        <v>-3.7203986496316316E-2</v>
      </c>
      <c r="M31" s="124">
        <f>+M30/M10</f>
        <v>0.15453568205924989</v>
      </c>
      <c r="N31" s="125">
        <f t="shared" si="2"/>
        <v>-4.8061173959220077E-2</v>
      </c>
      <c r="O31" s="99"/>
      <c r="P31" s="102"/>
      <c r="Q31" s="344" t="s">
        <v>11</v>
      </c>
      <c r="R31" s="345"/>
      <c r="S31" s="346" t="s">
        <v>15</v>
      </c>
      <c r="T31" s="347" t="s">
        <v>16</v>
      </c>
      <c r="U31" s="348" t="s">
        <v>113</v>
      </c>
      <c r="V31" s="347" t="s">
        <v>17</v>
      </c>
      <c r="W31" s="349" t="s">
        <v>114</v>
      </c>
      <c r="X31" s="104"/>
    </row>
    <row r="32" spans="2:37" ht="21.75" customHeight="1" x14ac:dyDescent="0.3">
      <c r="B32" s="597"/>
      <c r="C32" s="100"/>
      <c r="D32" s="105" t="s">
        <v>3</v>
      </c>
      <c r="E32" s="771">
        <f t="shared" ref="E32:F34" si="55">+E21-E26</f>
        <v>155.78427776842096</v>
      </c>
      <c r="F32" s="772">
        <f t="shared" si="55"/>
        <v>44.005329000001979</v>
      </c>
      <c r="G32" s="748">
        <f>+F32-E32</f>
        <v>-111.77894876841899</v>
      </c>
      <c r="H32" s="749">
        <f t="shared" ref="H32" si="56">+H21-H26</f>
        <v>85.321436999999932</v>
      </c>
      <c r="I32" s="750">
        <f>+F32-H32</f>
        <v>-41.316107999997953</v>
      </c>
      <c r="J32" s="771">
        <f t="shared" ref="J32:J34" si="57">+J21-J26</f>
        <v>995.65509880001537</v>
      </c>
      <c r="K32" s="772">
        <f t="shared" ref="K32" si="58">+K21-K26</f>
        <v>483.50369900000965</v>
      </c>
      <c r="L32" s="748">
        <f t="shared" si="1"/>
        <v>-512.15139980000572</v>
      </c>
      <c r="M32" s="749">
        <f t="shared" ref="M32" si="59">+M21-M26</f>
        <v>770.09028300001046</v>
      </c>
      <c r="N32" s="750">
        <f t="shared" si="2"/>
        <v>-286.58658400000081</v>
      </c>
      <c r="O32" s="99"/>
      <c r="P32" s="102"/>
      <c r="Q32" s="817" t="s">
        <v>168</v>
      </c>
      <c r="R32" s="818"/>
      <c r="S32" s="602">
        <f>+'사업장별(당월)'!T33</f>
        <v>72.165959000000001</v>
      </c>
      <c r="T32" s="603">
        <f>+'사업장별(당월)'!U33</f>
        <v>71.167959999999994</v>
      </c>
      <c r="U32" s="604">
        <f>+T32-S32</f>
        <v>-0.99799900000000719</v>
      </c>
      <c r="V32" s="605">
        <f>+'사업장별(당월)'!W33</f>
        <v>71.889904000000001</v>
      </c>
      <c r="W32" s="606">
        <f>+T32-V32</f>
        <v>-0.72194400000000769</v>
      </c>
      <c r="X32" s="104"/>
      <c r="Z32" s="597"/>
      <c r="AA32" s="597"/>
    </row>
    <row r="33" spans="2:31" ht="21.75" customHeight="1" x14ac:dyDescent="0.3">
      <c r="B33" s="597"/>
      <c r="C33" s="100"/>
      <c r="D33" s="105" t="s">
        <v>1</v>
      </c>
      <c r="E33" s="771">
        <f t="shared" si="55"/>
        <v>333.15137826154228</v>
      </c>
      <c r="F33" s="772">
        <f t="shared" si="55"/>
        <v>-149.95785109640016</v>
      </c>
      <c r="G33" s="748">
        <f t="shared" si="12"/>
        <v>-483.10922935794247</v>
      </c>
      <c r="H33" s="749">
        <f t="shared" ref="H33" si="60">+H22-H27</f>
        <v>141.7920559999998</v>
      </c>
      <c r="I33" s="750">
        <f t="shared" si="13"/>
        <v>-291.74990709639997</v>
      </c>
      <c r="J33" s="771">
        <f t="shared" si="57"/>
        <v>1547.0667820360486</v>
      </c>
      <c r="K33" s="772">
        <f t="shared" ref="K33" si="61">+K22-K27</f>
        <v>-3.9952527373532121</v>
      </c>
      <c r="L33" s="748">
        <f t="shared" si="1"/>
        <v>-1551.0620347734018</v>
      </c>
      <c r="M33" s="749">
        <f t="shared" ref="M33" si="62">+M22-M27</f>
        <v>763.56613903000255</v>
      </c>
      <c r="N33" s="750">
        <f t="shared" si="2"/>
        <v>-767.56139176735576</v>
      </c>
      <c r="O33" s="99"/>
      <c r="P33" s="102"/>
      <c r="Q33" s="819" t="s">
        <v>59</v>
      </c>
      <c r="R33" s="820"/>
      <c r="S33" s="191">
        <f>+'사업장별(당월)'!T34</f>
        <v>62.030473333333333</v>
      </c>
      <c r="T33" s="612">
        <f>+'사업장별(당월)'!U34</f>
        <v>63.70566500000001</v>
      </c>
      <c r="U33" s="204">
        <f>+T33-S33</f>
        <v>1.6751916666666773</v>
      </c>
      <c r="V33" s="613">
        <f>+'사업장별(당월)'!W34</f>
        <v>56.287941000000011</v>
      </c>
      <c r="W33" s="221">
        <f>+T33-V33</f>
        <v>7.4177239999999998</v>
      </c>
      <c r="X33" s="104"/>
      <c r="Z33" s="597"/>
      <c r="AA33" s="597"/>
    </row>
    <row r="34" spans="2:31" ht="21.75" customHeight="1" x14ac:dyDescent="0.3">
      <c r="B34" s="597"/>
      <c r="C34" s="100"/>
      <c r="D34" s="115" t="s">
        <v>4</v>
      </c>
      <c r="E34" s="778">
        <f t="shared" si="55"/>
        <v>-1220.1833422356849</v>
      </c>
      <c r="F34" s="779">
        <f t="shared" si="55"/>
        <v>-861.08329190092581</v>
      </c>
      <c r="G34" s="751">
        <f t="shared" si="12"/>
        <v>359.10005033475909</v>
      </c>
      <c r="H34" s="752">
        <f t="shared" ref="H34" si="63">+H23-H28</f>
        <v>-1062.4048890000017</v>
      </c>
      <c r="I34" s="753">
        <f t="shared" si="13"/>
        <v>201.32159709907592</v>
      </c>
      <c r="J34" s="778">
        <f t="shared" si="57"/>
        <v>-12079.450160442553</v>
      </c>
      <c r="K34" s="779">
        <f t="shared" ref="K34" si="64">+K23-K28</f>
        <v>-13205.544411258412</v>
      </c>
      <c r="L34" s="751">
        <f t="shared" si="1"/>
        <v>-1126.0942508158587</v>
      </c>
      <c r="M34" s="752">
        <f t="shared" ref="M34" si="65">+M23-M28</f>
        <v>-12862.149460000001</v>
      </c>
      <c r="N34" s="753">
        <f t="shared" si="2"/>
        <v>-343.39495125841131</v>
      </c>
      <c r="O34" s="99"/>
      <c r="P34" s="102"/>
      <c r="Q34" s="624" t="s">
        <v>38</v>
      </c>
      <c r="R34" s="625"/>
      <c r="S34" s="619">
        <f>+'사업장별(당월)'!T35</f>
        <v>-1239.3304821245667</v>
      </c>
      <c r="T34" s="620">
        <f>+'사업장별(당월)'!U35</f>
        <v>-1196.5785099009242</v>
      </c>
      <c r="U34" s="621">
        <f>+T34-S34</f>
        <v>42.751972223642497</v>
      </c>
      <c r="V34" s="622">
        <f>+'사업장별(당월)'!W35</f>
        <v>-1214.5176319999998</v>
      </c>
      <c r="W34" s="623">
        <f>+T34-V34</f>
        <v>17.939122099075576</v>
      </c>
      <c r="X34" s="104"/>
      <c r="Z34" s="597"/>
      <c r="AA34" s="597"/>
    </row>
    <row r="35" spans="2:31" ht="21.75" customHeight="1" x14ac:dyDescent="0.3">
      <c r="B35" s="597"/>
      <c r="C35" s="100" t="s">
        <v>8</v>
      </c>
      <c r="D35" s="120"/>
      <c r="E35" s="771">
        <f>SUM(E30,E32:E34)</f>
        <v>4580.2039347276977</v>
      </c>
      <c r="F35" s="781">
        <f>SUM(F30,F32:F34)</f>
        <v>1174.235620002672</v>
      </c>
      <c r="G35" s="748">
        <f t="shared" si="12"/>
        <v>-3405.9683147250257</v>
      </c>
      <c r="H35" s="749">
        <f>SUM(H30,H32:H34)</f>
        <v>5006.0331120000064</v>
      </c>
      <c r="I35" s="750">
        <f t="shared" si="13"/>
        <v>-3831.7974919973344</v>
      </c>
      <c r="J35" s="771">
        <f>SUM(J30,J32:J34)</f>
        <v>32529.496947770866</v>
      </c>
      <c r="K35" s="781">
        <f>SUM(K30,K32:K34)</f>
        <v>17547.100771014211</v>
      </c>
      <c r="L35" s="748">
        <f t="shared" si="1"/>
        <v>-14982.396176756654</v>
      </c>
      <c r="M35" s="749">
        <f>SUM(M30,M32:M34)</f>
        <v>36471.896094020034</v>
      </c>
      <c r="N35" s="750">
        <f t="shared" si="2"/>
        <v>-18924.795323005823</v>
      </c>
      <c r="O35" s="99"/>
      <c r="P35" s="102"/>
      <c r="Q35" s="626" t="s">
        <v>166</v>
      </c>
      <c r="R35" s="627"/>
      <c r="S35" s="614">
        <f>+S36-S32-S33-S34</f>
        <v>-115.04929244445702</v>
      </c>
      <c r="T35" s="615">
        <f>+T36-T32-T33-T34</f>
        <v>200.62159300000167</v>
      </c>
      <c r="U35" s="616">
        <f>+T35-S35</f>
        <v>315.67088544445869</v>
      </c>
      <c r="V35" s="617">
        <f>+V36-V32-V33-V34</f>
        <v>23.934898000006115</v>
      </c>
      <c r="W35" s="618">
        <f>+T35-V35</f>
        <v>176.68669499999555</v>
      </c>
      <c r="X35" s="104"/>
      <c r="Z35" s="597"/>
      <c r="AA35" s="597"/>
      <c r="AD35" s="98"/>
      <c r="AE35" s="597"/>
    </row>
    <row r="36" spans="2:31" ht="21.75" customHeight="1" thickBot="1" x14ac:dyDescent="0.35">
      <c r="C36" s="126"/>
      <c r="D36" s="127" t="s">
        <v>9</v>
      </c>
      <c r="E36" s="323">
        <f>+E35/E14</f>
        <v>9.8918066758777054E-2</v>
      </c>
      <c r="F36" s="329">
        <f>+F35/F14</f>
        <v>3.0405211664068923E-2</v>
      </c>
      <c r="G36" s="326">
        <f t="shared" si="12"/>
        <v>-6.8512855094708128E-2</v>
      </c>
      <c r="H36" s="128">
        <f>+H35/H14</f>
        <v>0.10510489547436867</v>
      </c>
      <c r="I36" s="129">
        <f t="shared" si="13"/>
        <v>-7.4699683810299747E-2</v>
      </c>
      <c r="J36" s="323">
        <f>+J35/J14</f>
        <v>8.1056382446273278E-2</v>
      </c>
      <c r="K36" s="329">
        <f>+K35/K14</f>
        <v>4.5345339791431655E-2</v>
      </c>
      <c r="L36" s="326">
        <f t="shared" si="1"/>
        <v>-3.5711042654841624E-2</v>
      </c>
      <c r="M36" s="128">
        <f>+M35/M14</f>
        <v>8.6740644240835191E-2</v>
      </c>
      <c r="N36" s="129">
        <f t="shared" si="2"/>
        <v>-4.1395304449403536E-2</v>
      </c>
      <c r="O36" s="99"/>
      <c r="P36" s="130"/>
      <c r="Q36" s="807" t="s">
        <v>165</v>
      </c>
      <c r="R36" s="808"/>
      <c r="S36" s="607">
        <f>+'사업장별(당월)'!T41</f>
        <v>-1220.1833422356906</v>
      </c>
      <c r="T36" s="608">
        <f>+'사업장별(당월)'!U41</f>
        <v>-861.08329190092263</v>
      </c>
      <c r="U36" s="609">
        <f>+T36-S36</f>
        <v>359.10005033476796</v>
      </c>
      <c r="V36" s="610">
        <f>+'사업장별(당월)'!W41</f>
        <v>-1062.4048889999935</v>
      </c>
      <c r="W36" s="611">
        <f>+T36-V36</f>
        <v>201.32159709907091</v>
      </c>
      <c r="X36" s="131"/>
      <c r="AA36" s="597"/>
    </row>
    <row r="37" spans="2:31" ht="20.100000000000001" customHeight="1" thickTop="1" x14ac:dyDescent="0.3">
      <c r="F37" s="597"/>
    </row>
    <row r="38" spans="2:31" x14ac:dyDescent="0.3">
      <c r="E38" s="98">
        <f>+'[1]10월'!$E$26/1000</f>
        <v>4580.2039347276932</v>
      </c>
      <c r="F38" s="350">
        <f>+'[2]10월'!$F$26/1000</f>
        <v>1174.2356200026786</v>
      </c>
      <c r="H38" s="350">
        <f>+'[3]10월'!$F$26/1000</f>
        <v>5006.0331120000055</v>
      </c>
      <c r="J38" s="599">
        <f>+[4]손익총괄!J38+E38</f>
        <v>32529.496947770851</v>
      </c>
      <c r="K38" s="599">
        <f>+[4]손익총괄!K38+F38</f>
        <v>17547.100771014233</v>
      </c>
      <c r="L38" s="600"/>
      <c r="M38" s="599">
        <f>+[4]손익총괄!M38+H38</f>
        <v>36471.896094020012</v>
      </c>
      <c r="N38" s="600"/>
      <c r="O38" s="600"/>
    </row>
    <row r="39" spans="2:31" x14ac:dyDescent="0.3">
      <c r="E39" t="b">
        <f>+E35=E38</f>
        <v>0</v>
      </c>
      <c r="F39" t="b">
        <f>+F35=F38</f>
        <v>0</v>
      </c>
      <c r="H39" t="b">
        <f>+H35=H38</f>
        <v>1</v>
      </c>
      <c r="J39" t="b">
        <f>+J35=J38</f>
        <v>1</v>
      </c>
      <c r="K39" t="b">
        <f>+K35=K38</f>
        <v>1</v>
      </c>
      <c r="M39" t="b">
        <f>+M35=M38</f>
        <v>1</v>
      </c>
    </row>
    <row r="40" spans="2:31" x14ac:dyDescent="0.3">
      <c r="E40" s="601">
        <f>+E35-E38</f>
        <v>0</v>
      </c>
      <c r="F40" s="601">
        <f>+F35-F38</f>
        <v>-6.5938365878537297E-12</v>
      </c>
      <c r="G40" s="598"/>
      <c r="H40" s="601">
        <f>+H35-H38</f>
        <v>0</v>
      </c>
      <c r="I40" s="598"/>
      <c r="J40" s="601">
        <f>+J35-J38</f>
        <v>0</v>
      </c>
      <c r="K40" s="601">
        <f>+K35-K38</f>
        <v>0</v>
      </c>
      <c r="L40" s="598"/>
      <c r="M40" s="601">
        <f>+M35-M38</f>
        <v>0</v>
      </c>
      <c r="N40" s="598"/>
      <c r="O40" s="98"/>
      <c r="P40" s="98"/>
    </row>
    <row r="42" spans="2:31" x14ac:dyDescent="0.3">
      <c r="E42" s="97"/>
      <c r="F42" s="97"/>
      <c r="G42" s="97"/>
    </row>
  </sheetData>
  <mergeCells count="11">
    <mergeCell ref="Z10:Z13"/>
    <mergeCell ref="AB5:AF5"/>
    <mergeCell ref="AG5:AK5"/>
    <mergeCell ref="Z7:Z9"/>
    <mergeCell ref="Z5:AA6"/>
    <mergeCell ref="Q36:R36"/>
    <mergeCell ref="C5:D6"/>
    <mergeCell ref="P5:X6"/>
    <mergeCell ref="Q29:R29"/>
    <mergeCell ref="Q32:R32"/>
    <mergeCell ref="Q33:R3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1" tint="0.249977111117893"/>
    <pageSetUpPr fitToPage="1"/>
  </sheetPr>
  <dimension ref="A1:AL76"/>
  <sheetViews>
    <sheetView showGridLines="0" showZeros="0" tabSelected="1" topLeftCell="E22" zoomScale="85" zoomScaleNormal="85" zoomScaleSheetLayoutView="85" workbookViewId="0">
      <selection activeCell="AA47" sqref="AA47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2:36" ht="18" customHeight="1" x14ac:dyDescent="0.3">
      <c r="H1" s="4"/>
      <c r="K1" s="6"/>
      <c r="L1" s="6"/>
      <c r="P1" s="6"/>
      <c r="Q1" s="6"/>
    </row>
    <row r="2" spans="2:36" ht="18" customHeight="1" x14ac:dyDescent="0.3">
      <c r="H2" s="7"/>
      <c r="AD2" s="5"/>
      <c r="AG2" s="5"/>
    </row>
    <row r="3" spans="2:36" ht="26.25" x14ac:dyDescent="0.3">
      <c r="H3" s="4" t="s">
        <v>245</v>
      </c>
      <c r="AD3" s="5"/>
      <c r="AG3" s="5"/>
    </row>
    <row r="4" spans="2:36" ht="18" customHeight="1" x14ac:dyDescent="0.3">
      <c r="H4" s="7"/>
      <c r="AD4" s="5"/>
      <c r="AG4" s="5" t="s">
        <v>94</v>
      </c>
    </row>
    <row r="5" spans="2:36" s="8" customFormat="1" ht="19.5" customHeight="1" x14ac:dyDescent="0.3">
      <c r="G5" s="792"/>
      <c r="H5" s="830" t="s">
        <v>48</v>
      </c>
      <c r="I5" s="831"/>
      <c r="J5" s="172" t="s">
        <v>66</v>
      </c>
      <c r="K5" s="173"/>
      <c r="L5" s="173"/>
      <c r="M5" s="173"/>
      <c r="N5" s="174"/>
      <c r="O5" s="172" t="s">
        <v>67</v>
      </c>
      <c r="P5" s="173"/>
      <c r="Q5" s="173"/>
      <c r="R5" s="173"/>
      <c r="S5" s="174"/>
      <c r="T5" s="172" t="s">
        <v>119</v>
      </c>
      <c r="U5" s="173"/>
      <c r="V5" s="173"/>
      <c r="W5" s="173"/>
      <c r="X5" s="174"/>
      <c r="Y5" s="172" t="s">
        <v>68</v>
      </c>
      <c r="Z5" s="173"/>
      <c r="AA5" s="174"/>
      <c r="AB5" s="172" t="s">
        <v>44</v>
      </c>
      <c r="AC5" s="173"/>
      <c r="AD5" s="174"/>
      <c r="AE5" s="172" t="s">
        <v>69</v>
      </c>
      <c r="AF5" s="173"/>
      <c r="AG5" s="174"/>
    </row>
    <row r="6" spans="2:36" s="8" customFormat="1" ht="19.5" customHeight="1" x14ac:dyDescent="0.3">
      <c r="G6" s="792"/>
      <c r="H6" s="832"/>
      <c r="I6" s="833"/>
      <c r="J6" s="175" t="s">
        <v>49</v>
      </c>
      <c r="K6" s="176" t="s">
        <v>50</v>
      </c>
      <c r="L6" s="177" t="s">
        <v>51</v>
      </c>
      <c r="M6" s="176" t="s">
        <v>52</v>
      </c>
      <c r="N6" s="178" t="s">
        <v>51</v>
      </c>
      <c r="O6" s="175" t="s">
        <v>15</v>
      </c>
      <c r="P6" s="176" t="s">
        <v>16</v>
      </c>
      <c r="Q6" s="177" t="s">
        <v>36</v>
      </c>
      <c r="R6" s="176" t="s">
        <v>17</v>
      </c>
      <c r="S6" s="178" t="s">
        <v>36</v>
      </c>
      <c r="T6" s="175" t="s">
        <v>15</v>
      </c>
      <c r="U6" s="176" t="s">
        <v>16</v>
      </c>
      <c r="V6" s="177" t="s">
        <v>36</v>
      </c>
      <c r="W6" s="176" t="s">
        <v>17</v>
      </c>
      <c r="X6" s="178" t="s">
        <v>36</v>
      </c>
      <c r="Y6" s="179" t="s">
        <v>15</v>
      </c>
      <c r="Z6" s="180" t="s">
        <v>16</v>
      </c>
      <c r="AA6" s="181" t="s">
        <v>17</v>
      </c>
      <c r="AB6" s="182" t="s">
        <v>15</v>
      </c>
      <c r="AC6" s="180" t="s">
        <v>16</v>
      </c>
      <c r="AD6" s="178" t="s">
        <v>17</v>
      </c>
      <c r="AE6" s="182" t="s">
        <v>15</v>
      </c>
      <c r="AF6" s="180" t="s">
        <v>16</v>
      </c>
      <c r="AG6" s="178" t="s">
        <v>17</v>
      </c>
    </row>
    <row r="7" spans="2:36" s="8" customFormat="1" ht="19.5" customHeight="1" x14ac:dyDescent="0.3">
      <c r="B7" s="8" t="s">
        <v>22</v>
      </c>
      <c r="G7" s="793" t="str">
        <f>+I7</f>
        <v>안양</v>
      </c>
      <c r="H7" s="78" t="s">
        <v>53</v>
      </c>
      <c r="I7" s="79" t="s">
        <v>22</v>
      </c>
      <c r="J7" s="36">
        <f>+IFERROR(HLOOKUP($B7,'[1]10월'!$D$6:$BN$259,2,),)/1000</f>
        <v>43</v>
      </c>
      <c r="K7" s="37">
        <f>+IFERROR(HLOOKUP($B7,'[2]10월'!$F$6:$CP$99,2,),)/1000</f>
        <v>39.055</v>
      </c>
      <c r="L7" s="38">
        <f t="shared" ref="L7:L26" si="0">+K7-J7</f>
        <v>-3.9450000000000003</v>
      </c>
      <c r="M7" s="39">
        <f>+IFERROR(HLOOKUP($B7,'[3]10월'!$F$6:$CC$57,2,),)/1000</f>
        <v>51.43</v>
      </c>
      <c r="N7" s="40">
        <f>+K7-M7</f>
        <v>-12.375</v>
      </c>
      <c r="O7" s="36">
        <f>+IFERROR(HLOOKUP($B7,'[1]10월'!$D$6:$BN$259,3,),)/1000</f>
        <v>4325.9571999999998</v>
      </c>
      <c r="P7" s="37">
        <f>+IFERROR(HLOOKUP($B7,'[2]10월'!$F$6:$CP$99,3,),)/1000</f>
        <v>3682.4273119999998</v>
      </c>
      <c r="Q7" s="38">
        <f>+P7-O7</f>
        <v>-643.52988800000003</v>
      </c>
      <c r="R7" s="39">
        <f>+IFERROR(HLOOKUP($B7,'[3]10월'!$F$6:$CC$57,3,),)/1000</f>
        <v>4899.0203799999999</v>
      </c>
      <c r="S7" s="40">
        <f>+P7-R7</f>
        <v>-1216.5930680000001</v>
      </c>
      <c r="T7" s="36">
        <f>+IFERROR(HLOOKUP($B7,'[1]10월'!$D$6:$BN$259,16,),)/1000</f>
        <v>642.15368659842306</v>
      </c>
      <c r="U7" s="37">
        <f>+IFERROR(HLOOKUP($B7,'[2]10월'!$F$6:$CP$99,16,),)/1000</f>
        <v>151.42127199999979</v>
      </c>
      <c r="V7" s="41">
        <f>+U7-T7</f>
        <v>-490.73241459842325</v>
      </c>
      <c r="W7" s="42">
        <f>+IFERROR(HLOOKUP($B7,'[3]10월'!$F$6:$CC$57,16,),)/1000</f>
        <v>878.60641699999951</v>
      </c>
      <c r="X7" s="40">
        <f>+U7-W7</f>
        <v>-727.18514499999969</v>
      </c>
      <c r="Y7" s="36">
        <f>+[5]안양!$Q$85</f>
        <v>100603.65581395349</v>
      </c>
      <c r="Z7" s="37">
        <f>+[5]안양!$R$85</f>
        <v>94288.242529765717</v>
      </c>
      <c r="AA7" s="43">
        <f>+[6]안양!$Q$85</f>
        <v>95250.157253512909</v>
      </c>
      <c r="AB7" s="44">
        <f>+[5]안양!$Q$89</f>
        <v>78584.856316184305</v>
      </c>
      <c r="AC7" s="37">
        <f>+[5]안양!$R$89</f>
        <v>82720.758054197926</v>
      </c>
      <c r="AD7" s="45">
        <f>+[6]안양!$Q$89</f>
        <v>72593.908270091444</v>
      </c>
      <c r="AE7" s="44">
        <f>+Y7-AB7</f>
        <v>22018.799497769185</v>
      </c>
      <c r="AF7" s="37">
        <f>+Z7-AC7</f>
        <v>11567.484475567791</v>
      </c>
      <c r="AG7" s="45">
        <f>+AA7-AD7</f>
        <v>22656.248983421465</v>
      </c>
      <c r="AH7" s="18"/>
      <c r="AI7" s="19"/>
    </row>
    <row r="8" spans="2:36" s="8" customFormat="1" ht="19.5" customHeight="1" x14ac:dyDescent="0.3">
      <c r="B8" s="8" t="s">
        <v>23</v>
      </c>
      <c r="G8" s="794" t="str">
        <f t="shared" ref="G8:G26" si="1">+I8</f>
        <v>인천</v>
      </c>
      <c r="H8" s="80" t="s">
        <v>54</v>
      </c>
      <c r="I8" s="81" t="s">
        <v>23</v>
      </c>
      <c r="J8" s="46">
        <f>+IFERROR(HLOOKUP($B8,'[1]10월'!$D$6:$BN$259,2,),)/1000</f>
        <v>35</v>
      </c>
      <c r="K8" s="47">
        <f>+IFERROR(HLOOKUP($B8,'[2]10월'!$F$6:$CP$99,2,),)/1000</f>
        <v>26.460999999999999</v>
      </c>
      <c r="L8" s="48">
        <f t="shared" si="0"/>
        <v>-8.5390000000000015</v>
      </c>
      <c r="M8" s="49">
        <f>+IFERROR(HLOOKUP($B8,'[3]10월'!$F$6:$CC$57,2,),)/1000</f>
        <v>36.932000000000002</v>
      </c>
      <c r="N8" s="50">
        <f t="shared" ref="N8:N26" si="2">+K8-M8</f>
        <v>-10.471000000000004</v>
      </c>
      <c r="O8" s="46">
        <f>+IFERROR(HLOOKUP($B8,'[1]10월'!$D$6:$BN$259,3,),)/1000</f>
        <v>3730.1457100000002</v>
      </c>
      <c r="P8" s="47">
        <f>+IFERROR(HLOOKUP($B8,'[2]10월'!$F$6:$CP$99,3,),)/1000</f>
        <v>2558.609062</v>
      </c>
      <c r="Q8" s="48">
        <f t="shared" ref="Q8:Q26" si="3">+P8-O8</f>
        <v>-1171.5366480000002</v>
      </c>
      <c r="R8" s="49">
        <f>+IFERROR(HLOOKUP($B8,'[3]10월'!$F$6:$CC$57,3,),)/1000</f>
        <v>3681.7833819999996</v>
      </c>
      <c r="S8" s="50">
        <f t="shared" ref="S8:S26" si="4">+P8-R8</f>
        <v>-1123.1743199999996</v>
      </c>
      <c r="T8" s="46">
        <f>+IFERROR(HLOOKUP($B8,'[1]10월'!$D$6:$BN$259,16,),)/1000</f>
        <v>599.2495768617307</v>
      </c>
      <c r="U8" s="47">
        <f>+IFERROR(HLOOKUP($B8,'[2]10월'!$F$6:$CP$99,16,),)/1000</f>
        <v>63.89365999999972</v>
      </c>
      <c r="V8" s="48">
        <f t="shared" ref="V8:V26" si="5">+U8-T8</f>
        <v>-535.35591686173098</v>
      </c>
      <c r="W8" s="49">
        <f>+IFERROR(HLOOKUP($B8,'[3]10월'!$F$6:$CC$57,16,),)/1000</f>
        <v>548.98030299999971</v>
      </c>
      <c r="X8" s="50">
        <f t="shared" ref="X8:X26" si="6">+U8-W8</f>
        <v>-485.08664299999998</v>
      </c>
      <c r="Y8" s="46">
        <f>+[5]인천!$Q$85</f>
        <v>106575.59171428572</v>
      </c>
      <c r="Z8" s="47">
        <f>+[5]인천!$R$85</f>
        <v>96693.589131174173</v>
      </c>
      <c r="AA8" s="51">
        <f>+[6]인천!$Q$85</f>
        <v>99633.280111280823</v>
      </c>
      <c r="AB8" s="52">
        <f>+[5]인천!$Q$89</f>
        <v>81397.733776128167</v>
      </c>
      <c r="AC8" s="47">
        <f>+[5]인천!$R$89</f>
        <v>82558.134593952011</v>
      </c>
      <c r="AD8" s="53">
        <f>+[6]인천!$Q$89</f>
        <v>76946.22916133207</v>
      </c>
      <c r="AE8" s="52">
        <f t="shared" ref="AE8:AE27" si="7">+Y8-AB8</f>
        <v>25177.857938157555</v>
      </c>
      <c r="AF8" s="47">
        <f t="shared" ref="AF8:AF27" si="8">+Z8-AC8</f>
        <v>14135.454537222162</v>
      </c>
      <c r="AG8" s="53">
        <f t="shared" ref="AG8:AG27" si="9">+AA8-AD8</f>
        <v>22687.050949948753</v>
      </c>
      <c r="AH8" s="18"/>
      <c r="AI8" s="19"/>
      <c r="AJ8" s="96"/>
    </row>
    <row r="9" spans="2:36" s="8" customFormat="1" ht="19.5" customHeight="1" x14ac:dyDescent="0.3">
      <c r="B9" s="8" t="s">
        <v>24</v>
      </c>
      <c r="G9" s="794" t="str">
        <f t="shared" si="1"/>
        <v>파주</v>
      </c>
      <c r="H9" s="80"/>
      <c r="I9" s="81" t="s">
        <v>24</v>
      </c>
      <c r="J9" s="46">
        <f>+IFERROR(HLOOKUP($B9,'[1]10월'!$D$6:$BN$259,2,),)/1000</f>
        <v>24</v>
      </c>
      <c r="K9" s="47">
        <f>+IFERROR(HLOOKUP($B9,'[2]10월'!$F$6:$CP$99,2,),)/1000</f>
        <v>26.27</v>
      </c>
      <c r="L9" s="48">
        <f t="shared" si="0"/>
        <v>2.2699999999999996</v>
      </c>
      <c r="M9" s="49">
        <f>+IFERROR(HLOOKUP($B9,'[3]10월'!$F$6:$CC$57,2,),)/1000</f>
        <v>29.047000000000001</v>
      </c>
      <c r="N9" s="50">
        <f t="shared" si="2"/>
        <v>-2.777000000000001</v>
      </c>
      <c r="O9" s="46">
        <f>+IFERROR(HLOOKUP($B9,'[1]10월'!$D$6:$BN$259,3,),)/1000</f>
        <v>2408.3832280439865</v>
      </c>
      <c r="P9" s="47">
        <f>+IFERROR(HLOOKUP($B9,'[2]10월'!$F$6:$CP$99,3,),)/1000</f>
        <v>2323.4230339999999</v>
      </c>
      <c r="Q9" s="48">
        <f t="shared" si="3"/>
        <v>-84.960194043986576</v>
      </c>
      <c r="R9" s="49">
        <f>+IFERROR(HLOOKUP($B9,'[3]10월'!$F$6:$CC$57,3,),)/1000</f>
        <v>2795.7611189999998</v>
      </c>
      <c r="S9" s="50">
        <f t="shared" si="4"/>
        <v>-472.33808499999986</v>
      </c>
      <c r="T9" s="46">
        <f>+IFERROR(HLOOKUP($B9,'[1]10월'!$D$6:$BN$259,16,),)/1000</f>
        <v>344.80582693650706</v>
      </c>
      <c r="U9" s="47">
        <f>+IFERROR(HLOOKUP($B9,'[2]10월'!$F$6:$CP$99,16,),)/1000</f>
        <v>73.44867799999983</v>
      </c>
      <c r="V9" s="48">
        <f t="shared" si="5"/>
        <v>-271.3571489365072</v>
      </c>
      <c r="W9" s="49">
        <f>+IFERROR(HLOOKUP($B9,'[3]10월'!$F$6:$CC$57,16,),)/1000</f>
        <v>210.81256599999966</v>
      </c>
      <c r="X9" s="50">
        <f t="shared" si="6"/>
        <v>-137.36388799999983</v>
      </c>
      <c r="Y9" s="46">
        <f>+[5]파주!$Q$85</f>
        <v>100349.30116849944</v>
      </c>
      <c r="Z9" s="47">
        <f>+[5]파주!$R$85</f>
        <v>88417.961797580763</v>
      </c>
      <c r="AA9" s="51">
        <f>+[6]파주!$Q$85</f>
        <v>96050.412902543874</v>
      </c>
      <c r="AB9" s="52">
        <f>+[5]파주!$Q$89</f>
        <v>76932.18629247311</v>
      </c>
      <c r="AC9" s="47">
        <f>+[5]파주!$R$89</f>
        <v>77319.907594549077</v>
      </c>
      <c r="AD9" s="53">
        <f>+[6]파주!$Q$89</f>
        <v>81480.788598407438</v>
      </c>
      <c r="AE9" s="52">
        <f t="shared" si="7"/>
        <v>23417.114876026331</v>
      </c>
      <c r="AF9" s="47">
        <f t="shared" si="8"/>
        <v>11098.054203031686</v>
      </c>
      <c r="AG9" s="53">
        <f t="shared" si="9"/>
        <v>14569.624304136436</v>
      </c>
      <c r="AH9" s="18"/>
      <c r="AI9" s="19"/>
      <c r="AJ9" s="96"/>
    </row>
    <row r="10" spans="2:36" s="8" customFormat="1" ht="19.5" customHeight="1" x14ac:dyDescent="0.3">
      <c r="B10" s="8" t="s">
        <v>175</v>
      </c>
      <c r="G10" s="794" t="str">
        <f t="shared" si="1"/>
        <v>김포</v>
      </c>
      <c r="H10" s="80"/>
      <c r="I10" s="81" t="s">
        <v>172</v>
      </c>
      <c r="J10" s="46">
        <f>+IFERROR(HLOOKUP($B10,'[1]10월'!$D$6:$BN$259,2,),)/1000</f>
        <v>19.5</v>
      </c>
      <c r="K10" s="47">
        <f>+IFERROR(HLOOKUP($B10,'[2]10월'!$F$6:$CP$99,2,),)/1000</f>
        <v>12.124000000000001</v>
      </c>
      <c r="L10" s="48">
        <f t="shared" si="0"/>
        <v>-7.3759999999999994</v>
      </c>
      <c r="M10" s="49">
        <f>+IFERROR(HLOOKUP($B10,'[3]10월'!$F$6:$CC$57,2,),)/1000</f>
        <v>18.626000000000001</v>
      </c>
      <c r="N10" s="50">
        <f t="shared" si="2"/>
        <v>-6.5020000000000007</v>
      </c>
      <c r="O10" s="46">
        <f>+IFERROR(HLOOKUP($B10,'[1]10월'!$D$6:$BN$259,3,),)/1000</f>
        <v>1886.7745</v>
      </c>
      <c r="P10" s="47">
        <f>+IFERROR(HLOOKUP($B10,'[2]10월'!$F$6:$CP$99,3,),)/1000</f>
        <v>1149.060604</v>
      </c>
      <c r="Q10" s="48">
        <f t="shared" si="3"/>
        <v>-737.71389599999998</v>
      </c>
      <c r="R10" s="49">
        <f>+IFERROR(HLOOKUP($B10,'[3]10월'!$F$6:$CC$57,3,),)/1000</f>
        <v>1753.7471989999999</v>
      </c>
      <c r="S10" s="50">
        <f t="shared" si="4"/>
        <v>-604.6865949999999</v>
      </c>
      <c r="T10" s="46">
        <f>+IFERROR(HLOOKUP($B10,'[1]10월'!$D$6:$BN$259,16,),)/1000</f>
        <v>304.33330680435051</v>
      </c>
      <c r="U10" s="47">
        <f>+IFERROR(HLOOKUP($B10,'[2]10월'!$F$6:$CP$99,16,),)/1000</f>
        <v>74.662069000000059</v>
      </c>
      <c r="V10" s="48">
        <f t="shared" si="5"/>
        <v>-229.67123780435045</v>
      </c>
      <c r="W10" s="49">
        <f>+IFERROR(HLOOKUP($B10,'[3]10월'!$F$6:$CC$57,16,),)/1000</f>
        <v>258.73896800000006</v>
      </c>
      <c r="X10" s="50">
        <f t="shared" si="6"/>
        <v>-184.076899</v>
      </c>
      <c r="Y10" s="46">
        <f>+[5]김포!$Q$85</f>
        <v>96757.666666666672</v>
      </c>
      <c r="Z10" s="47">
        <f>+[5]김포!$R$85</f>
        <v>94775.701418673707</v>
      </c>
      <c r="AA10" s="51">
        <f>+[6]김포!$Q$85</f>
        <v>94155.868087619456</v>
      </c>
      <c r="AB10" s="52">
        <f>+[5]김포!$Q$89</f>
        <v>72813.205440232734</v>
      </c>
      <c r="AC10" s="47">
        <f>+[5]김포!$R$89</f>
        <v>75594.088914549662</v>
      </c>
      <c r="AD10" s="53">
        <f>+[6]김포!$Q$89</f>
        <v>71718.789004617211</v>
      </c>
      <c r="AE10" s="52">
        <f t="shared" si="7"/>
        <v>23944.461226433938</v>
      </c>
      <c r="AF10" s="47">
        <f t="shared" si="8"/>
        <v>19181.612504124045</v>
      </c>
      <c r="AG10" s="53">
        <f t="shared" si="9"/>
        <v>22437.079083002245</v>
      </c>
      <c r="AH10" s="18"/>
      <c r="AI10" s="19"/>
      <c r="AJ10" s="96"/>
    </row>
    <row r="11" spans="2:36" s="8" customFormat="1" ht="19.5" customHeight="1" x14ac:dyDescent="0.3">
      <c r="B11" s="8" t="s">
        <v>25</v>
      </c>
      <c r="G11" s="792" t="str">
        <f t="shared" si="1"/>
        <v>부산</v>
      </c>
      <c r="H11" s="80"/>
      <c r="I11" s="82" t="s">
        <v>25</v>
      </c>
      <c r="J11" s="63">
        <f>+IFERROR(HLOOKUP($B11,'[1]10월'!$D$6:$BN$259,2,),)/1000</f>
        <v>24</v>
      </c>
      <c r="K11" s="64">
        <f>+IFERROR(HLOOKUP($B11,'[2]10월'!$F$6:$CP$99,2,),)/1000</f>
        <v>16.751999999999999</v>
      </c>
      <c r="L11" s="65">
        <f t="shared" si="0"/>
        <v>-7.2480000000000011</v>
      </c>
      <c r="M11" s="66">
        <f>+IFERROR(HLOOKUP($B11,'[3]10월'!$F$6:$CC$57,2,),)/1000</f>
        <v>22.457000000000001</v>
      </c>
      <c r="N11" s="67">
        <f t="shared" si="2"/>
        <v>-5.7050000000000018</v>
      </c>
      <c r="O11" s="63">
        <f>+IFERROR(HLOOKUP($B11,'[1]10월'!$D$6:$BN$259,3,),)/1000</f>
        <v>2582.4033585000002</v>
      </c>
      <c r="P11" s="64">
        <f>+IFERROR(HLOOKUP($B11,'[2]10월'!$F$6:$CP$99,3,),)/1000</f>
        <v>1728.9811599999998</v>
      </c>
      <c r="Q11" s="65">
        <f t="shared" si="3"/>
        <v>-853.42219850000038</v>
      </c>
      <c r="R11" s="66">
        <f>+IFERROR(HLOOKUP($B11,'[3]10월'!$F$6:$CC$57,3,),)/1000</f>
        <v>2382.3233999999998</v>
      </c>
      <c r="S11" s="67">
        <f t="shared" si="4"/>
        <v>-653.34223999999995</v>
      </c>
      <c r="T11" s="63">
        <f>+IFERROR(HLOOKUP($B11,'[1]10월'!$D$6:$BN$259,16,),)/1000</f>
        <v>419.18794379081339</v>
      </c>
      <c r="U11" s="64">
        <f>+IFERROR(HLOOKUP($B11,'[2]10월'!$F$6:$CP$99,16,),)/1000</f>
        <v>57.651192999999957</v>
      </c>
      <c r="V11" s="65">
        <f t="shared" si="5"/>
        <v>-361.53675079081341</v>
      </c>
      <c r="W11" s="66">
        <f>+IFERROR(HLOOKUP($B11,'[3]10월'!$F$6:$CC$57,16,),)/1000</f>
        <v>409.39304999999968</v>
      </c>
      <c r="X11" s="67">
        <f t="shared" si="6"/>
        <v>-351.7418569999997</v>
      </c>
      <c r="Y11" s="63">
        <f>+[5]부산!$Q$85</f>
        <v>107600.1399375</v>
      </c>
      <c r="Z11" s="64">
        <f>+[5]부산!$R$85</f>
        <v>103210.43218720151</v>
      </c>
      <c r="AA11" s="68">
        <f>+[6]부산!$Q$85</f>
        <v>106083.77788662777</v>
      </c>
      <c r="AB11" s="69">
        <f>+[5]부산!$Q$89</f>
        <v>79537.282077580268</v>
      </c>
      <c r="AC11" s="64">
        <f>+[5]부산!$R$89</f>
        <v>83827.019807887351</v>
      </c>
      <c r="AD11" s="70">
        <f>+[6]부산!$Q$89</f>
        <v>75899.938696637197</v>
      </c>
      <c r="AE11" s="69">
        <f t="shared" si="7"/>
        <v>28062.857859919735</v>
      </c>
      <c r="AF11" s="64">
        <f t="shared" si="8"/>
        <v>19383.412379314163</v>
      </c>
      <c r="AG11" s="70">
        <f t="shared" si="9"/>
        <v>30183.839189990569</v>
      </c>
      <c r="AH11" s="18"/>
      <c r="AI11" s="19"/>
      <c r="AJ11" s="96"/>
    </row>
    <row r="12" spans="2:36" s="8" customFormat="1" ht="19.5" customHeight="1" x14ac:dyDescent="0.3">
      <c r="B12" s="8" t="s">
        <v>26</v>
      </c>
      <c r="G12" s="792" t="str">
        <f t="shared" si="1"/>
        <v>서부산</v>
      </c>
      <c r="H12" s="80"/>
      <c r="I12" s="81" t="s">
        <v>26</v>
      </c>
      <c r="J12" s="46">
        <f>+IFERROR(HLOOKUP($B12,'[1]10월'!$D$6:$BN$259,2,),)/1000</f>
        <v>26</v>
      </c>
      <c r="K12" s="47">
        <f>+IFERROR(HLOOKUP($B12,'[2]10월'!$F$6:$CP$99,2,),)/1000</f>
        <v>19.663</v>
      </c>
      <c r="L12" s="48">
        <f t="shared" si="0"/>
        <v>-6.3369999999999997</v>
      </c>
      <c r="M12" s="49">
        <f>+IFERROR(HLOOKUP($B12,'[3]10월'!$F$6:$CC$57,2,),)/1000</f>
        <v>28.123000000000001</v>
      </c>
      <c r="N12" s="50">
        <f t="shared" si="2"/>
        <v>-8.4600000000000009</v>
      </c>
      <c r="O12" s="46">
        <f>+IFERROR(HLOOKUP($B12,'[1]10월'!$D$6:$BN$259,3,),)/1000</f>
        <v>2719.0035200000002</v>
      </c>
      <c r="P12" s="47">
        <f>+IFERROR(HLOOKUP($B12,'[2]10월'!$F$6:$CP$99,3,),)/1000</f>
        <v>1865.551917</v>
      </c>
      <c r="Q12" s="48">
        <f t="shared" si="3"/>
        <v>-853.4516030000002</v>
      </c>
      <c r="R12" s="49">
        <f>+IFERROR(HLOOKUP($B12,'[3]10월'!$F$6:$CC$57,3,),)/1000</f>
        <v>2771.1619999999998</v>
      </c>
      <c r="S12" s="50">
        <f t="shared" si="4"/>
        <v>-905.6100829999998</v>
      </c>
      <c r="T12" s="46">
        <f>+IFERROR(HLOOKUP($B12,'[1]10월'!$D$6:$BN$259,16,),)/1000</f>
        <v>490.26668348662434</v>
      </c>
      <c r="U12" s="47">
        <f>+IFERROR(HLOOKUP($B12,'[2]10월'!$F$6:$CP$99,16,),)/1000</f>
        <v>132.60605799999979</v>
      </c>
      <c r="V12" s="48">
        <f t="shared" si="5"/>
        <v>-357.66062548662455</v>
      </c>
      <c r="W12" s="49">
        <f>+IFERROR(HLOOKUP($B12,'[3]10월'!$F$6:$CC$57,16,),)/1000</f>
        <v>646.79749599999991</v>
      </c>
      <c r="X12" s="50">
        <f t="shared" si="6"/>
        <v>-514.19143800000006</v>
      </c>
      <c r="Y12" s="46">
        <f>+[5]서부산!$Q$85</f>
        <v>104577.05846153846</v>
      </c>
      <c r="Z12" s="47">
        <f>+[5]서부산!$R$85</f>
        <v>94876.26084524233</v>
      </c>
      <c r="AA12" s="51">
        <f>+[6]서부산!$Q$85</f>
        <v>98537.211535042487</v>
      </c>
      <c r="AB12" s="52">
        <f>+[5]서부산!$Q$89</f>
        <v>76327.594733420425</v>
      </c>
      <c r="AC12" s="47">
        <f>+[5]서부산!$R$89</f>
        <v>77092.366140393497</v>
      </c>
      <c r="AD12" s="53">
        <f>+[6]서부산!$Q$89</f>
        <v>68098.831419123147</v>
      </c>
      <c r="AE12" s="52">
        <f t="shared" si="7"/>
        <v>28249.463728118033</v>
      </c>
      <c r="AF12" s="47">
        <f t="shared" si="8"/>
        <v>17783.894704848833</v>
      </c>
      <c r="AG12" s="53">
        <f t="shared" si="9"/>
        <v>30438.380115919339</v>
      </c>
      <c r="AH12" s="18"/>
      <c r="AI12" s="19"/>
      <c r="AJ12" s="96"/>
    </row>
    <row r="13" spans="2:36" s="8" customFormat="1" ht="19.5" customHeight="1" x14ac:dyDescent="0.3">
      <c r="B13" s="8" t="s">
        <v>27</v>
      </c>
      <c r="G13" s="792" t="str">
        <f t="shared" si="1"/>
        <v>김해</v>
      </c>
      <c r="H13" s="80"/>
      <c r="I13" s="81" t="s">
        <v>27</v>
      </c>
      <c r="J13" s="46">
        <f>+IFERROR(HLOOKUP($B13,'[1]10월'!$D$6:$BN$259,2,),)/1000</f>
        <v>13</v>
      </c>
      <c r="K13" s="47">
        <f>+IFERROR(HLOOKUP($B13,'[2]10월'!$F$6:$CP$99,2,),)/1000</f>
        <v>13.654999999999999</v>
      </c>
      <c r="L13" s="48">
        <f t="shared" si="0"/>
        <v>0.65499999999999936</v>
      </c>
      <c r="M13" s="49">
        <f>+IFERROR(HLOOKUP($B13,'[3]10월'!$F$6:$CC$57,2,),)/1000</f>
        <v>15.318</v>
      </c>
      <c r="N13" s="50">
        <f t="shared" si="2"/>
        <v>-1.6630000000000003</v>
      </c>
      <c r="O13" s="46">
        <f>+IFERROR(HLOOKUP($B13,'[1]10월'!$D$6:$BN$259,3,),)/1000</f>
        <v>1313</v>
      </c>
      <c r="P13" s="47">
        <f>+IFERROR(HLOOKUP($B13,'[2]10월'!$F$6:$CP$99,3,),)/1000</f>
        <v>1233.9870000000001</v>
      </c>
      <c r="Q13" s="48">
        <f t="shared" si="3"/>
        <v>-79.01299999999992</v>
      </c>
      <c r="R13" s="49">
        <f>+IFERROR(HLOOKUP($B13,'[3]10월'!$F$6:$CC$57,3,),)/1000</f>
        <v>1480.8425</v>
      </c>
      <c r="S13" s="50">
        <f t="shared" si="4"/>
        <v>-246.85549999999989</v>
      </c>
      <c r="T13" s="46">
        <f>+IFERROR(HLOOKUP($B13,'[1]10월'!$D$6:$BN$259,16,),)/1000</f>
        <v>172.8545888204782</v>
      </c>
      <c r="U13" s="47">
        <f>+IFERROR(HLOOKUP($B13,'[2]10월'!$F$6:$CP$99,16,),)/1000</f>
        <v>10.39804699999997</v>
      </c>
      <c r="V13" s="48">
        <f t="shared" si="5"/>
        <v>-162.45654182047824</v>
      </c>
      <c r="W13" s="49">
        <f>+IFERROR(HLOOKUP($B13,'[3]10월'!$F$6:$CC$57,16,),)/1000</f>
        <v>221.70566500000024</v>
      </c>
      <c r="X13" s="50">
        <f t="shared" si="6"/>
        <v>-211.30761800000028</v>
      </c>
      <c r="Y13" s="46">
        <f>+[5]김해!$Q$85</f>
        <v>101000</v>
      </c>
      <c r="Z13" s="47">
        <f>+[5]김해!$R$85</f>
        <v>90368.87586964482</v>
      </c>
      <c r="AA13" s="51">
        <f>+[6]김해!$Q$85</f>
        <v>96671.523828201622</v>
      </c>
      <c r="AB13" s="52">
        <f>+[5]김해!$Q$89</f>
        <v>77107.505259160753</v>
      </c>
      <c r="AC13" s="47">
        <f>+[5]김해!$R$89</f>
        <v>78384.071402416681</v>
      </c>
      <c r="AD13" s="53">
        <f>+[6]김해!$Q$89</f>
        <v>73341.192063803363</v>
      </c>
      <c r="AE13" s="52">
        <f t="shared" si="7"/>
        <v>23892.494740839247</v>
      </c>
      <c r="AF13" s="47">
        <f t="shared" si="8"/>
        <v>11984.804467228139</v>
      </c>
      <c r="AG13" s="53">
        <f t="shared" si="9"/>
        <v>23330.331764398259</v>
      </c>
      <c r="AH13" s="18"/>
      <c r="AI13" s="19"/>
      <c r="AJ13" s="96"/>
    </row>
    <row r="14" spans="2:36" s="8" customFormat="1" ht="19.5" customHeight="1" x14ac:dyDescent="0.3">
      <c r="B14" s="8" t="s">
        <v>28</v>
      </c>
      <c r="G14" s="792" t="str">
        <f t="shared" si="1"/>
        <v>정관</v>
      </c>
      <c r="H14" s="80"/>
      <c r="I14" s="81" t="s">
        <v>28</v>
      </c>
      <c r="J14" s="46">
        <f>+IFERROR(HLOOKUP($B14,'[1]10월'!$D$6:$BN$259,2,),)/1000</f>
        <v>18</v>
      </c>
      <c r="K14" s="47">
        <f>+IFERROR(HLOOKUP($B14,'[2]10월'!$F$6:$CP$99,2,),)/1000</f>
        <v>21.756</v>
      </c>
      <c r="L14" s="48">
        <f t="shared" si="0"/>
        <v>3.7560000000000002</v>
      </c>
      <c r="M14" s="49">
        <f>+IFERROR(HLOOKUP($B14,'[3]10월'!$F$6:$CC$57,2,),)/1000</f>
        <v>21.850999999999999</v>
      </c>
      <c r="N14" s="50">
        <f t="shared" si="2"/>
        <v>-9.4999999999998863E-2</v>
      </c>
      <c r="O14" s="46">
        <f>+IFERROR(HLOOKUP($B14,'[1]10월'!$D$6:$BN$259,3,),)/1000</f>
        <v>1872</v>
      </c>
      <c r="P14" s="47">
        <f>+IFERROR(HLOOKUP($B14,'[2]10월'!$F$6:$CP$99,3,),)/1000</f>
        <v>2122.010722</v>
      </c>
      <c r="Q14" s="48">
        <f t="shared" si="3"/>
        <v>250.01072199999999</v>
      </c>
      <c r="R14" s="49">
        <f>+IFERROR(HLOOKUP($B14,'[3]10월'!$F$6:$CC$57,3,),)/1000</f>
        <v>2160.2738999999997</v>
      </c>
      <c r="S14" s="50">
        <f t="shared" si="4"/>
        <v>-38.263177999999698</v>
      </c>
      <c r="T14" s="46">
        <f>+IFERROR(HLOOKUP($B14,'[1]10월'!$D$6:$BN$259,16,),)/1000</f>
        <v>269.83511823641049</v>
      </c>
      <c r="U14" s="47">
        <f>+IFERROR(HLOOKUP($B14,'[2]10월'!$F$6:$CP$99,16,),)/1000</f>
        <v>142.76762600000006</v>
      </c>
      <c r="V14" s="48">
        <f t="shared" si="5"/>
        <v>-127.06749223641043</v>
      </c>
      <c r="W14" s="49">
        <f>+IFERROR(HLOOKUP($B14,'[3]10월'!$F$6:$CC$57,16,),)/1000</f>
        <v>384.15830900000003</v>
      </c>
      <c r="X14" s="50">
        <f t="shared" si="6"/>
        <v>-241.39068299999997</v>
      </c>
      <c r="Y14" s="46">
        <f>+[5]정관!$Q$85</f>
        <v>104000</v>
      </c>
      <c r="Z14" s="47">
        <f>+[5]정관!$R$85</f>
        <v>97536.80465159037</v>
      </c>
      <c r="AA14" s="51">
        <f>+[6]정관!$Q$85</f>
        <v>98863.846048235777</v>
      </c>
      <c r="AB14" s="52">
        <f>+[5]정관!$Q$89</f>
        <v>78304.336110322867</v>
      </c>
      <c r="AC14" s="47">
        <f>+[5]정관!$R$89</f>
        <v>81346.354884661341</v>
      </c>
      <c r="AD14" s="53">
        <f>+[6]정관!$Q$89</f>
        <v>72569.956020319441</v>
      </c>
      <c r="AE14" s="52">
        <f t="shared" si="7"/>
        <v>25695.663889677133</v>
      </c>
      <c r="AF14" s="47">
        <f t="shared" si="8"/>
        <v>16190.449766929029</v>
      </c>
      <c r="AG14" s="53">
        <f t="shared" si="9"/>
        <v>26293.890027916335</v>
      </c>
      <c r="AH14" s="18"/>
      <c r="AI14" s="19"/>
      <c r="AJ14" s="96"/>
    </row>
    <row r="15" spans="2:36" s="8" customFormat="1" ht="19.5" customHeight="1" x14ac:dyDescent="0.3">
      <c r="B15" s="8" t="s">
        <v>29</v>
      </c>
      <c r="G15" s="792" t="str">
        <f t="shared" si="1"/>
        <v>양산</v>
      </c>
      <c r="H15" s="80"/>
      <c r="I15" s="81" t="s">
        <v>29</v>
      </c>
      <c r="J15" s="46">
        <f>+IFERROR(HLOOKUP($B15,'[1]10월'!$D$6:$BN$259,2,),)/1000</f>
        <v>12</v>
      </c>
      <c r="K15" s="47">
        <f>+IFERROR(HLOOKUP($B15,'[2]10월'!$F$6:$CP$99,2,),)/1000</f>
        <v>13.907999999999999</v>
      </c>
      <c r="L15" s="48">
        <f t="shared" si="0"/>
        <v>1.9079999999999995</v>
      </c>
      <c r="M15" s="49">
        <f>+IFERROR(HLOOKUP($B15,'[3]10월'!$F$6:$CC$57,2,),)/1000</f>
        <v>11.728999999999999</v>
      </c>
      <c r="N15" s="50">
        <f t="shared" si="2"/>
        <v>2.1790000000000003</v>
      </c>
      <c r="O15" s="46">
        <f>+IFERROR(HLOOKUP($B15,'[1]10월'!$D$6:$BN$259,3,),)/1000</f>
        <v>1166.5218300000004</v>
      </c>
      <c r="P15" s="47">
        <f>+IFERROR(HLOOKUP($B15,'[2]10월'!$F$6:$CP$99,3,),)/1000</f>
        <v>1309.0971999999999</v>
      </c>
      <c r="Q15" s="48">
        <f t="shared" si="3"/>
        <v>142.57536999999957</v>
      </c>
      <c r="R15" s="49">
        <f>+IFERROR(HLOOKUP($B15,'[3]10월'!$F$6:$CC$57,3,),)/1000</f>
        <v>1101.109909</v>
      </c>
      <c r="S15" s="50">
        <f t="shared" si="4"/>
        <v>207.98729099999991</v>
      </c>
      <c r="T15" s="46">
        <f>+IFERROR(HLOOKUP($B15,'[1]10월'!$D$6:$BN$259,16,),)/1000</f>
        <v>183.28794613261897</v>
      </c>
      <c r="U15" s="47">
        <f>+IFERROR(HLOOKUP($B15,'[2]10월'!$F$6:$CP$99,16,),)/1000</f>
        <v>152.35461799999996</v>
      </c>
      <c r="V15" s="48">
        <f t="shared" si="5"/>
        <v>-30.93332813261901</v>
      </c>
      <c r="W15" s="49">
        <f>+IFERROR(HLOOKUP($B15,'[3]10월'!$F$6:$CC$57,16,),)/1000</f>
        <v>156.70708299999995</v>
      </c>
      <c r="X15" s="50">
        <f t="shared" si="6"/>
        <v>-4.3524649999999951</v>
      </c>
      <c r="Y15" s="46">
        <f>+[5]양산!$Q$85</f>
        <v>97210.152500000026</v>
      </c>
      <c r="Z15" s="47">
        <f>+[5]양산!$R$85</f>
        <v>94125.48173712971</v>
      </c>
      <c r="AA15" s="51">
        <f>+[6]양산!$Q$85</f>
        <v>93879.265836814724</v>
      </c>
      <c r="AB15" s="52">
        <f>+[5]양산!$Q$89</f>
        <v>70800.642896355872</v>
      </c>
      <c r="AC15" s="47">
        <f>+[5]양산!$R$89</f>
        <v>72678.270995110739</v>
      </c>
      <c r="AD15" s="53">
        <f>+[6]양산!$Q$89</f>
        <v>68763.004689231806</v>
      </c>
      <c r="AE15" s="52">
        <f t="shared" si="7"/>
        <v>26409.509603644154</v>
      </c>
      <c r="AF15" s="47">
        <f t="shared" si="8"/>
        <v>21447.210742018971</v>
      </c>
      <c r="AG15" s="53">
        <f t="shared" si="9"/>
        <v>25116.261147582918</v>
      </c>
      <c r="AH15" s="18"/>
      <c r="AI15" s="19"/>
      <c r="AJ15" s="96"/>
    </row>
    <row r="16" spans="2:36" s="8" customFormat="1" ht="19.5" customHeight="1" x14ac:dyDescent="0.3">
      <c r="B16" s="8" t="s">
        <v>30</v>
      </c>
      <c r="G16" s="792" t="str">
        <f t="shared" si="1"/>
        <v>창원</v>
      </c>
      <c r="H16" s="80"/>
      <c r="I16" s="81" t="s">
        <v>30</v>
      </c>
      <c r="J16" s="46">
        <f>+IFERROR(HLOOKUP($B16,'[1]10월'!$D$6:$BN$259,2,),)/1000</f>
        <v>17</v>
      </c>
      <c r="K16" s="47">
        <f>+IFERROR(HLOOKUP($B16,'[2]10월'!$F$6:$CP$99,2,),)/1000</f>
        <v>14.58</v>
      </c>
      <c r="L16" s="48">
        <f t="shared" si="0"/>
        <v>-2.42</v>
      </c>
      <c r="M16" s="49">
        <f>+IFERROR(HLOOKUP($B16,'[3]10월'!$F$6:$CC$57,2,),)/1000</f>
        <v>20.989000000000001</v>
      </c>
      <c r="N16" s="50">
        <f t="shared" si="2"/>
        <v>-6.4090000000000007</v>
      </c>
      <c r="O16" s="46">
        <f>+IFERROR(HLOOKUP($B16,'[1]10월'!$D$6:$BN$259,3,),)/1000</f>
        <v>1729.6669999999999</v>
      </c>
      <c r="P16" s="47">
        <f>+IFERROR(HLOOKUP($B16,'[2]10월'!$F$6:$CP$99,3,),)/1000</f>
        <v>1357.6853000000001</v>
      </c>
      <c r="Q16" s="48">
        <f t="shared" si="3"/>
        <v>-371.98169999999982</v>
      </c>
      <c r="R16" s="49">
        <f>+IFERROR(HLOOKUP($B16,'[3]10월'!$F$6:$CC$57,3,),)/1000</f>
        <v>2019.1504</v>
      </c>
      <c r="S16" s="50">
        <f t="shared" si="4"/>
        <v>-661.46509999999989</v>
      </c>
      <c r="T16" s="46">
        <f>+IFERROR(HLOOKUP($B16,'[1]10월'!$D$6:$BN$259,16,),)/1000</f>
        <v>309.65578880583422</v>
      </c>
      <c r="U16" s="47">
        <f>+IFERROR(HLOOKUP($B16,'[2]10월'!$F$6:$CP$99,16,),)/1000</f>
        <v>76.578861000000131</v>
      </c>
      <c r="V16" s="48">
        <f t="shared" si="5"/>
        <v>-233.07692780583409</v>
      </c>
      <c r="W16" s="49">
        <f>+IFERROR(HLOOKUP($B16,'[3]10월'!$F$6:$CC$57,16,),)/1000</f>
        <v>434.99491399999994</v>
      </c>
      <c r="X16" s="50">
        <f t="shared" si="6"/>
        <v>-358.41605299999981</v>
      </c>
      <c r="Y16" s="46">
        <f>+[5]창원!$Q$85</f>
        <v>101745.11764705883</v>
      </c>
      <c r="Z16" s="47">
        <f>+[5]창원!$R$85</f>
        <v>93119.705075445818</v>
      </c>
      <c r="AA16" s="51">
        <f>+[6]창원!$Q$85</f>
        <v>96200.40973843442</v>
      </c>
      <c r="AB16" s="52">
        <f>+[5]창원!$Q$89</f>
        <v>72531.102360686302</v>
      </c>
      <c r="AC16" s="47">
        <f>+[5]창원!$R$89</f>
        <v>74871.475240054875</v>
      </c>
      <c r="AD16" s="53">
        <f>+[6]창원!$Q$89</f>
        <v>66786.156904660107</v>
      </c>
      <c r="AE16" s="52">
        <f t="shared" si="7"/>
        <v>29214.015286372523</v>
      </c>
      <c r="AF16" s="47">
        <f t="shared" si="8"/>
        <v>18248.229835390943</v>
      </c>
      <c r="AG16" s="53">
        <f t="shared" si="9"/>
        <v>29414.252833774313</v>
      </c>
      <c r="AH16" s="18"/>
      <c r="AI16" s="19"/>
      <c r="AJ16" s="96"/>
    </row>
    <row r="17" spans="2:38" s="8" customFormat="1" ht="19.5" customHeight="1" x14ac:dyDescent="0.3">
      <c r="B17" s="8" t="s">
        <v>96</v>
      </c>
      <c r="G17" s="792" t="str">
        <f t="shared" si="1"/>
        <v>대구</v>
      </c>
      <c r="H17" s="80"/>
      <c r="I17" s="81" t="s">
        <v>87</v>
      </c>
      <c r="J17" s="46">
        <f>+IFERROR(HLOOKUP($B17,'[1]10월'!$D$6:$BN$259,2,),)/1000</f>
        <v>16.5</v>
      </c>
      <c r="K17" s="47">
        <f>+IFERROR(HLOOKUP($B17,'[2]10월'!$F$6:$CP$99,2,),)/1000</f>
        <v>15.64</v>
      </c>
      <c r="L17" s="48">
        <f t="shared" si="0"/>
        <v>-0.85999999999999943</v>
      </c>
      <c r="M17" s="49">
        <f>+IFERROR(HLOOKUP($B17,'[3]10월'!$F$6:$CC$57,2,),)/1000</f>
        <v>20.4465</v>
      </c>
      <c r="N17" s="50">
        <f t="shared" si="2"/>
        <v>-4.8064999999999998</v>
      </c>
      <c r="O17" s="46">
        <f>+IFERROR(HLOOKUP($B17,'[1]10월'!$D$6:$BN$259,3,),)/1000</f>
        <v>1613.04</v>
      </c>
      <c r="P17" s="47">
        <f>+IFERROR(HLOOKUP($B17,'[2]10월'!$F$6:$CP$99,3,),)/1000</f>
        <v>1465.48405</v>
      </c>
      <c r="Q17" s="48">
        <f t="shared" si="3"/>
        <v>-147.55594999999994</v>
      </c>
      <c r="R17" s="49">
        <f>+IFERROR(HLOOKUP($B17,'[3]10월'!$F$6:$CC$57,3,),)/1000</f>
        <v>1901.5033000000001</v>
      </c>
      <c r="S17" s="50">
        <f t="shared" si="4"/>
        <v>-436.01925000000006</v>
      </c>
      <c r="T17" s="46">
        <f>+IFERROR(HLOOKUP($B17,'[1]10월'!$D$6:$BN$259,16,),)/1000</f>
        <v>288.58164505486423</v>
      </c>
      <c r="U17" s="47">
        <f>+IFERROR(HLOOKUP($B17,'[2]10월'!$F$6:$CP$99,16,),)/1000</f>
        <v>100.63415100000014</v>
      </c>
      <c r="V17" s="48">
        <f t="shared" si="5"/>
        <v>-187.94749405486408</v>
      </c>
      <c r="W17" s="49">
        <f>+IFERROR(HLOOKUP($B17,'[3]10월'!$F$6:$CC$57,16,),)/1000</f>
        <v>408.14682799999986</v>
      </c>
      <c r="X17" s="50">
        <f t="shared" si="6"/>
        <v>-307.51267699999971</v>
      </c>
      <c r="Y17" s="46">
        <f>+[5]대구!$Q$85</f>
        <v>97760</v>
      </c>
      <c r="Z17" s="47">
        <f>+[5]대구!$R$85</f>
        <v>93698.609335038374</v>
      </c>
      <c r="AA17" s="51">
        <f>+[6]대구!$Q$85</f>
        <v>93018.593248179663</v>
      </c>
      <c r="AB17" s="52">
        <f>+[5]대구!$Q$89</f>
        <v>70182.877018411702</v>
      </c>
      <c r="AC17" s="47">
        <f>+[5]대구!$R$89</f>
        <v>76355.668606138104</v>
      </c>
      <c r="AD17" s="53">
        <f>+[6]대구!$Q$89</f>
        <v>65323.493392826502</v>
      </c>
      <c r="AE17" s="52">
        <f t="shared" si="7"/>
        <v>27577.122981588298</v>
      </c>
      <c r="AF17" s="47">
        <f t="shared" si="8"/>
        <v>17342.94072890027</v>
      </c>
      <c r="AG17" s="53">
        <f t="shared" si="9"/>
        <v>27695.099855353161</v>
      </c>
      <c r="AH17" s="18"/>
      <c r="AI17" s="19"/>
      <c r="AJ17" s="96"/>
    </row>
    <row r="18" spans="2:38" s="8" customFormat="1" ht="19.5" customHeight="1" x14ac:dyDescent="0.3">
      <c r="B18" s="8" t="s">
        <v>98</v>
      </c>
      <c r="G18" s="794" t="str">
        <f t="shared" si="1"/>
        <v>울산</v>
      </c>
      <c r="H18" s="80"/>
      <c r="I18" s="83" t="s">
        <v>88</v>
      </c>
      <c r="J18" s="10">
        <f>+IFERROR(HLOOKUP($B18,'[1]10월'!$D$6:$BN$259,2,),)/1000</f>
        <v>12</v>
      </c>
      <c r="K18" s="11">
        <f>+IFERROR(HLOOKUP($B18,'[2]10월'!$F$6:$CP$99,2,),)/1000</f>
        <v>14.266999999999999</v>
      </c>
      <c r="L18" s="12">
        <f t="shared" si="0"/>
        <v>2.2669999999999995</v>
      </c>
      <c r="M18" s="13">
        <f>+IFERROR(HLOOKUP($B18,'[3]10월'!$F$6:$CC$57,2,),)/1000</f>
        <v>8.7319999999999993</v>
      </c>
      <c r="N18" s="14">
        <f t="shared" si="2"/>
        <v>5.5350000000000001</v>
      </c>
      <c r="O18" s="10">
        <f>+IFERROR(HLOOKUP($B18,'[1]10월'!$D$6:$BN$259,3,),)/1000</f>
        <v>1213.4894999999999</v>
      </c>
      <c r="P18" s="11">
        <f>+IFERROR(HLOOKUP($B18,'[2]10월'!$F$6:$CP$99,3,),)/1000</f>
        <v>1420.6244999999999</v>
      </c>
      <c r="Q18" s="12">
        <f t="shared" si="3"/>
        <v>207.13499999999999</v>
      </c>
      <c r="R18" s="13">
        <f>+IFERROR(HLOOKUP($B18,'[3]10월'!$F$6:$CC$57,3,),)/1000</f>
        <v>821.18219999999997</v>
      </c>
      <c r="S18" s="14">
        <f t="shared" si="4"/>
        <v>599.44229999999993</v>
      </c>
      <c r="T18" s="10">
        <f>+IFERROR(HLOOKUP($B18,'[1]10월'!$D$6:$BN$259,16,),)/1000</f>
        <v>130.01696896612958</v>
      </c>
      <c r="U18" s="11">
        <f>+IFERROR(HLOOKUP($B18,'[2]10월'!$F$6:$CP$99,16,),)/1000</f>
        <v>157.77048399999995</v>
      </c>
      <c r="V18" s="12">
        <f t="shared" si="5"/>
        <v>27.753515033870372</v>
      </c>
      <c r="W18" s="13">
        <f>+IFERROR(HLOOKUP($B18,'[3]10월'!$F$6:$CC$57,16,),)/1000</f>
        <v>46.276129999999974</v>
      </c>
      <c r="X18" s="14">
        <f t="shared" si="6"/>
        <v>111.49435399999999</v>
      </c>
      <c r="Y18" s="10">
        <f>+[5]울산!$Q$85</f>
        <v>101124.125</v>
      </c>
      <c r="Z18" s="11">
        <f>+[5]울산!$R$85</f>
        <v>99574.157145861085</v>
      </c>
      <c r="AA18" s="15">
        <f>+[6]울산!$Q$85</f>
        <v>93892.309535218024</v>
      </c>
      <c r="AB18" s="16">
        <f>+[5]울산!$Q$89</f>
        <v>79322.962832726233</v>
      </c>
      <c r="AC18" s="11">
        <f>+[5]울산!$R$89</f>
        <v>78942.319363655479</v>
      </c>
      <c r="AD18" s="17">
        <f>+[6]울산!$Q$89</f>
        <v>74121.299832295161</v>
      </c>
      <c r="AE18" s="16">
        <f t="shared" si="7"/>
        <v>21801.162167273767</v>
      </c>
      <c r="AF18" s="11">
        <f t="shared" si="8"/>
        <v>20631.837782205606</v>
      </c>
      <c r="AG18" s="17">
        <f t="shared" si="9"/>
        <v>19771.009702922864</v>
      </c>
      <c r="AH18" s="18"/>
      <c r="AI18" s="19"/>
      <c r="AJ18" s="96"/>
    </row>
    <row r="19" spans="2:38" s="8" customFormat="1" ht="19.5" customHeight="1" x14ac:dyDescent="0.3">
      <c r="B19" s="8" t="s">
        <v>93</v>
      </c>
      <c r="G19" s="794" t="str">
        <f t="shared" si="1"/>
        <v>아산</v>
      </c>
      <c r="H19" s="80"/>
      <c r="I19" s="81" t="s">
        <v>31</v>
      </c>
      <c r="J19" s="46">
        <f>+IFERROR(HLOOKUP($B19,'[1]10월'!$D$6:$BN$259,2,),)/1000</f>
        <v>28</v>
      </c>
      <c r="K19" s="47">
        <f>+IFERROR(HLOOKUP($B19,'[2]10월'!$F$6:$CP$99,2,),)/1000</f>
        <v>35.142499999999998</v>
      </c>
      <c r="L19" s="48">
        <f t="shared" si="0"/>
        <v>7.1424999999999983</v>
      </c>
      <c r="M19" s="49">
        <f>+IFERROR(HLOOKUP($B19,'[3]10월'!$F$6:$CC$57,2,),)/1000</f>
        <v>30.138999999999999</v>
      </c>
      <c r="N19" s="50">
        <f t="shared" si="2"/>
        <v>5.0034999999999989</v>
      </c>
      <c r="O19" s="46">
        <f>+IFERROR(HLOOKUP($B19,'[1]10월'!$D$6:$BN$259,3,),)/1000</f>
        <v>2828.0149999999999</v>
      </c>
      <c r="P19" s="47">
        <f>+IFERROR(HLOOKUP($B19,'[2]10월'!$F$6:$CP$99,3,),)/1000</f>
        <v>3417.0639059999999</v>
      </c>
      <c r="Q19" s="48">
        <f t="shared" si="3"/>
        <v>589.04890599999999</v>
      </c>
      <c r="R19" s="49">
        <f>+IFERROR(HLOOKUP($B19,'[3]10월'!$F$6:$CC$57,3,),)/1000</f>
        <v>2877.9450999999999</v>
      </c>
      <c r="S19" s="50">
        <f t="shared" si="4"/>
        <v>539.11880599999995</v>
      </c>
      <c r="T19" s="46">
        <f>+IFERROR(HLOOKUP($B19,'[1]10월'!$D$6:$BN$259,16,),)/1000</f>
        <v>443.55499477034937</v>
      </c>
      <c r="U19" s="47">
        <f>+IFERROR(HLOOKUP($B19,'[2]10월'!$F$6:$CP$99,16,),)/1000</f>
        <v>518.1411419999996</v>
      </c>
      <c r="V19" s="48">
        <f t="shared" si="5"/>
        <v>74.586147229650237</v>
      </c>
      <c r="W19" s="49">
        <f>+IFERROR(HLOOKUP($B19,'[3]10월'!$F$6:$CC$57,16,),)/1000</f>
        <v>452.27289300000007</v>
      </c>
      <c r="X19" s="50">
        <f t="shared" si="6"/>
        <v>65.868248999999537</v>
      </c>
      <c r="Y19" s="46">
        <f>+[5]아산!$Q$85</f>
        <v>101000.53571428572</v>
      </c>
      <c r="Z19" s="47">
        <f>+[5]아산!$R$85</f>
        <v>97210.458376683528</v>
      </c>
      <c r="AA19" s="51">
        <f>+[6]아산!$Q$85</f>
        <v>95493.306995119681</v>
      </c>
      <c r="AB19" s="52">
        <f>+[5]아산!$Q$89</f>
        <v>77532.350058949887</v>
      </c>
      <c r="AC19" s="47">
        <f>+[5]아산!$R$89</f>
        <v>75321.505155518884</v>
      </c>
      <c r="AD19" s="53">
        <f>+[6]아산!$Q$89</f>
        <v>73816.088308499006</v>
      </c>
      <c r="AE19" s="52">
        <f t="shared" si="7"/>
        <v>23468.185655335838</v>
      </c>
      <c r="AF19" s="47">
        <f t="shared" si="8"/>
        <v>21888.953221164644</v>
      </c>
      <c r="AG19" s="53">
        <f t="shared" si="9"/>
        <v>21677.218686620676</v>
      </c>
      <c r="AH19" s="18"/>
      <c r="AI19" s="19"/>
      <c r="AJ19" s="96"/>
    </row>
    <row r="20" spans="2:38" s="8" customFormat="1" ht="19.5" customHeight="1" x14ac:dyDescent="0.3">
      <c r="B20" s="8" t="s">
        <v>89</v>
      </c>
      <c r="G20" s="794" t="str">
        <f t="shared" si="1"/>
        <v>전주</v>
      </c>
      <c r="H20" s="80"/>
      <c r="I20" s="81" t="s">
        <v>89</v>
      </c>
      <c r="J20" s="46">
        <f>+IFERROR(HLOOKUP($B20,'[1]10월'!$D$6:$BN$259,2,),)/1000</f>
        <v>13</v>
      </c>
      <c r="K20" s="47">
        <f>+IFERROR(HLOOKUP($B20,'[2]10월'!$F$6:$CP$99,2,),)/1000</f>
        <v>9.6694999999999993</v>
      </c>
      <c r="L20" s="48">
        <f t="shared" si="0"/>
        <v>-3.3305000000000007</v>
      </c>
      <c r="M20" s="49">
        <f>+IFERROR(HLOOKUP($B20,'[3]10월'!$F$6:$CC$57,2,),)/1000</f>
        <v>12.439500000000001</v>
      </c>
      <c r="N20" s="50">
        <f t="shared" si="2"/>
        <v>-2.7700000000000014</v>
      </c>
      <c r="O20" s="46">
        <f>+IFERROR(HLOOKUP($B20,'[1]10월'!$D$6:$BN$259,3,),)/1000</f>
        <v>1320.0807600000003</v>
      </c>
      <c r="P20" s="47">
        <f>+IFERROR(HLOOKUP($B20,'[2]10월'!$F$6:$CP$99,3,),)/1000</f>
        <v>921.15986499999997</v>
      </c>
      <c r="Q20" s="48">
        <f t="shared" si="3"/>
        <v>-398.92089500000031</v>
      </c>
      <c r="R20" s="49">
        <f>+IFERROR(HLOOKUP($B20,'[3]10월'!$F$6:$CC$57,3,),)/1000</f>
        <v>1210.6657050000001</v>
      </c>
      <c r="S20" s="50">
        <f t="shared" si="4"/>
        <v>-289.50584000000015</v>
      </c>
      <c r="T20" s="46">
        <f>+IFERROR(HLOOKUP($B20,'[1]10월'!$D$6:$BN$259,16,),)/1000</f>
        <v>228.75891572308012</v>
      </c>
      <c r="U20" s="47">
        <f>+IFERROR(HLOOKUP($B20,'[2]10월'!$F$6:$CP$99,16,),)/1000</f>
        <v>51.295807000000089</v>
      </c>
      <c r="V20" s="48">
        <f t="shared" si="5"/>
        <v>-177.46310872308004</v>
      </c>
      <c r="W20" s="49">
        <f>+IFERROR(HLOOKUP($B20,'[3]10월'!$F$6:$CC$57,16,),)/1000</f>
        <v>248.53374800000006</v>
      </c>
      <c r="X20" s="50">
        <f t="shared" si="6"/>
        <v>-197.23794099999998</v>
      </c>
      <c r="Y20" s="46">
        <f>+[5]전주!$Q$85</f>
        <v>101544.67384615388</v>
      </c>
      <c r="Z20" s="47">
        <f>+[5]전주!$R$85</f>
        <v>95264.477480738409</v>
      </c>
      <c r="AA20" s="51">
        <f>+[6]전주!$Q$85</f>
        <v>97324.306041239615</v>
      </c>
      <c r="AB20" s="52">
        <f>+[5]전주!$Q$89</f>
        <v>73140.012907133292</v>
      </c>
      <c r="AC20" s="47">
        <f>+[5]전주!$R$89</f>
        <v>74505.128703655821</v>
      </c>
      <c r="AD20" s="53">
        <f>+[6]전주!$Q$89</f>
        <v>66110.730575987778</v>
      </c>
      <c r="AE20" s="52">
        <f t="shared" si="7"/>
        <v>28404.660939020585</v>
      </c>
      <c r="AF20" s="47">
        <f t="shared" si="8"/>
        <v>20759.348777082589</v>
      </c>
      <c r="AG20" s="53">
        <f t="shared" si="9"/>
        <v>31213.575465251837</v>
      </c>
      <c r="AH20" s="18"/>
      <c r="AI20" s="19"/>
      <c r="AJ20" s="96"/>
    </row>
    <row r="21" spans="2:38" s="8" customFormat="1" ht="19.5" customHeight="1" x14ac:dyDescent="0.3">
      <c r="B21" s="8" t="s">
        <v>90</v>
      </c>
      <c r="G21" s="794" t="str">
        <f t="shared" si="1"/>
        <v>군산</v>
      </c>
      <c r="H21" s="80"/>
      <c r="I21" s="81" t="s">
        <v>90</v>
      </c>
      <c r="J21" s="46">
        <f>+IFERROR(HLOOKUP($B21,'[1]10월'!$D$6:$BN$259,2,),)/1000</f>
        <v>7</v>
      </c>
      <c r="K21" s="47">
        <f>+IFERROR(HLOOKUP($B21,'[2]10월'!$F$6:$CP$99,2,),)/1000</f>
        <v>9.0229999999999997</v>
      </c>
      <c r="L21" s="48">
        <f t="shared" si="0"/>
        <v>2.0229999999999997</v>
      </c>
      <c r="M21" s="49">
        <f>+IFERROR(HLOOKUP($B21,'[3]10월'!$F$6:$CC$57,2,),)/1000</f>
        <v>8.6054999999999993</v>
      </c>
      <c r="N21" s="50">
        <f t="shared" si="2"/>
        <v>0.41750000000000043</v>
      </c>
      <c r="O21" s="46">
        <f>+IFERROR(HLOOKUP($B21,'[1]10월'!$D$6:$BN$259,3,),)/1000</f>
        <v>761.47220699999991</v>
      </c>
      <c r="P21" s="47">
        <f>+IFERROR(HLOOKUP($B21,'[2]10월'!$F$6:$CP$99,3,),)/1000</f>
        <v>1002.98855</v>
      </c>
      <c r="Q21" s="48">
        <f t="shared" si="3"/>
        <v>241.51634300000012</v>
      </c>
      <c r="R21" s="49">
        <f>+IFERROR(HLOOKUP($B21,'[3]10월'!$F$6:$CC$57,3,),)/1000</f>
        <v>903.96603799999991</v>
      </c>
      <c r="S21" s="50">
        <f t="shared" si="4"/>
        <v>99.02251200000012</v>
      </c>
      <c r="T21" s="46">
        <f>+IFERROR(HLOOKUP($B21,'[1]10월'!$D$6:$BN$259,16,),)/1000</f>
        <v>200.39525161036039</v>
      </c>
      <c r="U21" s="47">
        <f>+IFERROR(HLOOKUP($B21,'[2]10월'!$F$6:$CP$99,16,),)/1000</f>
        <v>268.545388</v>
      </c>
      <c r="V21" s="48">
        <f t="shared" si="5"/>
        <v>68.150136389639613</v>
      </c>
      <c r="W21" s="49">
        <f>+IFERROR(HLOOKUP($B21,'[3]10월'!$F$6:$CC$57,16,),)/1000</f>
        <v>252.05178199999992</v>
      </c>
      <c r="X21" s="50">
        <f t="shared" si="6"/>
        <v>16.493606000000085</v>
      </c>
      <c r="Y21" s="46">
        <f>+[5]군산!$Q$85</f>
        <v>108781.74385714284</v>
      </c>
      <c r="Z21" s="47">
        <f>+[5]군산!$R$85</f>
        <v>111159.09896930068</v>
      </c>
      <c r="AA21" s="51">
        <f>+[6]군산!$Q$85</f>
        <v>105101.35476705442</v>
      </c>
      <c r="AB21" s="52">
        <f>+[5]군산!$Q$89</f>
        <v>69630.379624922789</v>
      </c>
      <c r="AC21" s="47">
        <f>+[5]군산!$R$89</f>
        <v>72170.11958328716</v>
      </c>
      <c r="AD21" s="53">
        <f>+[6]군산!$Q$89</f>
        <v>67141.823347167825</v>
      </c>
      <c r="AE21" s="52">
        <f t="shared" si="7"/>
        <v>39151.364232220047</v>
      </c>
      <c r="AF21" s="47">
        <f t="shared" si="8"/>
        <v>38988.979386013525</v>
      </c>
      <c r="AG21" s="53">
        <f t="shared" si="9"/>
        <v>37959.531419886596</v>
      </c>
      <c r="AH21" s="18"/>
      <c r="AI21" s="19"/>
      <c r="AJ21" s="96"/>
    </row>
    <row r="22" spans="2:38" s="8" customFormat="1" ht="19.5" customHeight="1" x14ac:dyDescent="0.3">
      <c r="B22" s="8" t="s">
        <v>91</v>
      </c>
      <c r="G22" s="794" t="str">
        <f t="shared" si="1"/>
        <v>원주</v>
      </c>
      <c r="H22" s="80"/>
      <c r="I22" s="81" t="s">
        <v>91</v>
      </c>
      <c r="J22" s="46">
        <f>+IFERROR(HLOOKUP($B22,'[1]10월'!$D$6:$BN$259,2,),)/1000</f>
        <v>6</v>
      </c>
      <c r="K22" s="47">
        <f>+IFERROR(HLOOKUP($B22,'[2]10월'!$F$6:$CP$99,2,),)/1000</f>
        <v>5.5439999999999996</v>
      </c>
      <c r="L22" s="48">
        <f t="shared" si="0"/>
        <v>-0.45600000000000041</v>
      </c>
      <c r="M22" s="49">
        <f>+IFERROR(HLOOKUP($B22,'[3]10월'!$F$6:$CC$57,2,),)/1000</f>
        <v>6.4390000000000001</v>
      </c>
      <c r="N22" s="50">
        <f t="shared" si="2"/>
        <v>-0.89500000000000046</v>
      </c>
      <c r="O22" s="46">
        <f>+IFERROR(HLOOKUP($B22,'[1]10월'!$D$6:$BN$259,3,),)/1000</f>
        <v>647.4</v>
      </c>
      <c r="P22" s="47">
        <f>+IFERROR(HLOOKUP($B22,'[2]10월'!$F$6:$CP$99,3,),)/1000</f>
        <v>603.98327700000004</v>
      </c>
      <c r="Q22" s="48">
        <f t="shared" si="3"/>
        <v>-43.416722999999934</v>
      </c>
      <c r="R22" s="49">
        <f>+IFERROR(HLOOKUP($B22,'[3]10월'!$F$6:$CC$57,3,),)/1000</f>
        <v>663.01852800000006</v>
      </c>
      <c r="S22" s="50">
        <f t="shared" si="4"/>
        <v>-59.035251000000017</v>
      </c>
      <c r="T22" s="46">
        <f>+IFERROR(HLOOKUP($B22,'[1]10월'!$D$6:$BN$259,16,),)/1000</f>
        <v>123.06148888333351</v>
      </c>
      <c r="U22" s="47">
        <f>+IFERROR(HLOOKUP($B22,'[2]10월'!$F$6:$CP$99,16,),)/1000</f>
        <v>104.30830999999999</v>
      </c>
      <c r="V22" s="48">
        <f t="shared" si="5"/>
        <v>-18.753178883333518</v>
      </c>
      <c r="W22" s="49">
        <f>+IFERROR(HLOOKUP($B22,'[3]10월'!$F$6:$CC$57,16,),)/1000</f>
        <v>129.33401100000009</v>
      </c>
      <c r="X22" s="50">
        <f t="shared" si="6"/>
        <v>-25.025701000000097</v>
      </c>
      <c r="Y22" s="46">
        <f>+[5]원주!$Q$85</f>
        <v>107900</v>
      </c>
      <c r="Z22" s="47">
        <f>+[5]원주!$R$85</f>
        <v>108943.59253246753</v>
      </c>
      <c r="AA22" s="51">
        <f>+[6]원주!$Q$85</f>
        <v>102998.98732592708</v>
      </c>
      <c r="AB22" s="52">
        <f>+[5]원주!$Q$89</f>
        <v>72860.632782339308</v>
      </c>
      <c r="AC22" s="47">
        <f>+[5]원주!$R$89</f>
        <v>73906.808441558445</v>
      </c>
      <c r="AD22" s="53">
        <f>+[6]원주!$Q$89</f>
        <v>70663.78798310124</v>
      </c>
      <c r="AE22" s="52">
        <f t="shared" si="7"/>
        <v>35039.367217660692</v>
      </c>
      <c r="AF22" s="47">
        <f t="shared" si="8"/>
        <v>35036.784090909088</v>
      </c>
      <c r="AG22" s="53">
        <f t="shared" si="9"/>
        <v>32335.199342825843</v>
      </c>
      <c r="AH22" s="18"/>
      <c r="AI22" s="19"/>
      <c r="AJ22" s="96"/>
    </row>
    <row r="23" spans="2:38" s="8" customFormat="1" ht="19.5" customHeight="1" x14ac:dyDescent="0.3">
      <c r="B23" s="8" t="s">
        <v>92</v>
      </c>
      <c r="G23" s="792" t="str">
        <f t="shared" si="1"/>
        <v>제주</v>
      </c>
      <c r="H23" s="80"/>
      <c r="I23" s="81" t="s">
        <v>92</v>
      </c>
      <c r="J23" s="46">
        <f>+IFERROR(HLOOKUP($B23,'[1]10월'!$D$6:$BN$259,2,),)/1000</f>
        <v>7</v>
      </c>
      <c r="K23" s="47">
        <f>+IFERROR(HLOOKUP($B23,'[2]10월'!$F$6:$CP$99,2,),)/1000</f>
        <v>3.0470000000000002</v>
      </c>
      <c r="L23" s="48">
        <f t="shared" si="0"/>
        <v>-3.9529999999999998</v>
      </c>
      <c r="M23" s="49">
        <f>+IFERROR(HLOOKUP($B23,'[3]10월'!$F$6:$CC$57,2,),)/1000</f>
        <v>7.2104999999999997</v>
      </c>
      <c r="N23" s="50">
        <f t="shared" si="2"/>
        <v>-4.1634999999999991</v>
      </c>
      <c r="O23" s="46">
        <f>+IFERROR(HLOOKUP($B23,'[1]10월'!$D$6:$BN$259,3,),)/1000</f>
        <v>887.6</v>
      </c>
      <c r="P23" s="47">
        <f>+IFERROR(HLOOKUP($B23,'[2]10월'!$F$6:$CP$99,3,),)/1000</f>
        <v>366.41406800000004</v>
      </c>
      <c r="Q23" s="48">
        <f t="shared" si="3"/>
        <v>-521.18593199999998</v>
      </c>
      <c r="R23" s="49">
        <f>+IFERROR(HLOOKUP($B23,'[3]10월'!$F$6:$CC$57,3,),)/1000</f>
        <v>853.32546500000012</v>
      </c>
      <c r="S23" s="50">
        <f t="shared" si="4"/>
        <v>-486.91139700000008</v>
      </c>
      <c r="T23" s="46">
        <f>+IFERROR(HLOOKUP($B23,'[1]10월'!$D$6:$BN$259,16,),)/1000</f>
        <v>161.45188945150892</v>
      </c>
      <c r="U23" s="47">
        <f>+IFERROR(HLOOKUP($B23,'[2]10월'!$F$6:$CP$99,16,),)/1000</f>
        <v>4.7940700000000502</v>
      </c>
      <c r="V23" s="48">
        <f t="shared" si="5"/>
        <v>-156.65781945150886</v>
      </c>
      <c r="W23" s="49">
        <f>+IFERROR(HLOOKUP($B23,'[3]10월'!$F$6:$CC$57,16,),)/1000</f>
        <v>153.81434500000009</v>
      </c>
      <c r="X23" s="50">
        <f t="shared" si="6"/>
        <v>-149.02027500000003</v>
      </c>
      <c r="Y23" s="46">
        <f>+[5]제주!$Q$85</f>
        <v>126800</v>
      </c>
      <c r="Z23" s="47">
        <f>+[5]제주!$R$85</f>
        <v>120254.04266491633</v>
      </c>
      <c r="AA23" s="51">
        <f>+[6]제주!$Q$85</f>
        <v>118440.38096596989</v>
      </c>
      <c r="AB23" s="52">
        <f>+[5]제주!$Q$89</f>
        <v>91213.271815179265</v>
      </c>
      <c r="AC23" s="47">
        <f>+[5]제주!$R$89</f>
        <v>91133.112085769986</v>
      </c>
      <c r="AD23" s="53">
        <f>+[6]제주!$Q$89</f>
        <v>83392.47128486837</v>
      </c>
      <c r="AE23" s="52">
        <f t="shared" si="7"/>
        <v>35586.728184820735</v>
      </c>
      <c r="AF23" s="47">
        <f t="shared" si="8"/>
        <v>29120.930579146341</v>
      </c>
      <c r="AG23" s="53">
        <f t="shared" si="9"/>
        <v>35047.909681101519</v>
      </c>
      <c r="AH23" s="18"/>
      <c r="AI23" s="19"/>
      <c r="AJ23" s="96"/>
    </row>
    <row r="24" spans="2:38" s="8" customFormat="1" ht="19.5" customHeight="1" x14ac:dyDescent="0.3">
      <c r="G24" s="795" t="str">
        <f t="shared" si="1"/>
        <v>수도권</v>
      </c>
      <c r="H24" s="80"/>
      <c r="I24" s="84" t="s">
        <v>55</v>
      </c>
      <c r="J24" s="23">
        <f>SUM(J7:J10)</f>
        <v>121.5</v>
      </c>
      <c r="K24" s="20">
        <f>SUM(K7:K10)</f>
        <v>103.90999999999998</v>
      </c>
      <c r="L24" s="21">
        <f t="shared" si="0"/>
        <v>-17.590000000000018</v>
      </c>
      <c r="M24" s="25">
        <f>SUM(M7:M10)</f>
        <v>136.035</v>
      </c>
      <c r="N24" s="22">
        <f t="shared" si="2"/>
        <v>-32.125000000000014</v>
      </c>
      <c r="O24" s="23">
        <f>SUM(O7:O10)</f>
        <v>12351.260638043987</v>
      </c>
      <c r="P24" s="20">
        <f>SUM(P7:P10)</f>
        <v>9713.520011999999</v>
      </c>
      <c r="Q24" s="21">
        <f t="shared" si="3"/>
        <v>-2637.7406260439875</v>
      </c>
      <c r="R24" s="25">
        <f>SUM(R7:R10)</f>
        <v>13130.312079999998</v>
      </c>
      <c r="S24" s="22">
        <f t="shared" si="4"/>
        <v>-3416.7920679999988</v>
      </c>
      <c r="T24" s="23">
        <f>SUM(T7:T10)</f>
        <v>1890.5423972010115</v>
      </c>
      <c r="U24" s="20">
        <f>SUM(U7:U10)</f>
        <v>363.42567899999938</v>
      </c>
      <c r="V24" s="21">
        <f t="shared" si="5"/>
        <v>-1527.1167182010122</v>
      </c>
      <c r="W24" s="25">
        <f>SUM(W7:W10)</f>
        <v>1897.1382539999991</v>
      </c>
      <c r="X24" s="22">
        <f t="shared" si="6"/>
        <v>-1533.7125749999996</v>
      </c>
      <c r="Y24" s="23">
        <f>+[5]수도권!$Q$85</f>
        <v>101656.46615674063</v>
      </c>
      <c r="Z24" s="20">
        <f>+[5]수도권!$R$85</f>
        <v>93480.665857137355</v>
      </c>
      <c r="AA24" s="24">
        <f>+[6]수도권!$Q$85</f>
        <v>96457.329512639408</v>
      </c>
      <c r="AB24" s="29">
        <f>+[5]수도권!$Q$89</f>
        <v>78142.382558553945</v>
      </c>
      <c r="AC24" s="20">
        <f>+[5]수도권!$R$89</f>
        <v>80496.449431627421</v>
      </c>
      <c r="AD24" s="30">
        <f>+[6]수도권!$Q$89</f>
        <v>75526.78758067431</v>
      </c>
      <c r="AE24" s="29">
        <f t="shared" si="7"/>
        <v>23514.083598186684</v>
      </c>
      <c r="AF24" s="20">
        <f t="shared" si="8"/>
        <v>12984.216425509934</v>
      </c>
      <c r="AG24" s="30">
        <f t="shared" si="9"/>
        <v>20930.541931965097</v>
      </c>
      <c r="AH24" s="18"/>
      <c r="AI24" s="19"/>
      <c r="AJ24" s="96"/>
    </row>
    <row r="25" spans="2:38" s="8" customFormat="1" ht="19.5" customHeight="1" x14ac:dyDescent="0.3">
      <c r="G25" s="792" t="str">
        <f t="shared" si="1"/>
        <v>영남권</v>
      </c>
      <c r="H25" s="80"/>
      <c r="I25" s="84" t="s">
        <v>56</v>
      </c>
      <c r="J25" s="23">
        <f>SUM(J11:J18)</f>
        <v>138.5</v>
      </c>
      <c r="K25" s="20">
        <f>SUM(K11:K18)</f>
        <v>130.221</v>
      </c>
      <c r="L25" s="21">
        <f t="shared" si="0"/>
        <v>-8.2789999999999964</v>
      </c>
      <c r="M25" s="25">
        <f>SUM(M11:M18)</f>
        <v>149.6455</v>
      </c>
      <c r="N25" s="22">
        <f t="shared" si="2"/>
        <v>-19.424499999999995</v>
      </c>
      <c r="O25" s="23">
        <f>SUM(O11:O18)</f>
        <v>14209.125208499998</v>
      </c>
      <c r="P25" s="20">
        <f>SUM(P11:P18)</f>
        <v>12503.421849</v>
      </c>
      <c r="Q25" s="21">
        <f t="shared" si="3"/>
        <v>-1705.7033594999975</v>
      </c>
      <c r="R25" s="25">
        <f>SUM(R11:R18)</f>
        <v>14637.547608999999</v>
      </c>
      <c r="S25" s="22">
        <f t="shared" si="4"/>
        <v>-2134.125759999999</v>
      </c>
      <c r="T25" s="23">
        <f>SUM(T11:T18)</f>
        <v>2263.686683293774</v>
      </c>
      <c r="U25" s="20">
        <f>SUM(U11:U18)</f>
        <v>830.76103799999987</v>
      </c>
      <c r="V25" s="21">
        <f t="shared" si="5"/>
        <v>-1432.9256452937741</v>
      </c>
      <c r="W25" s="25">
        <f>SUM(W11:W18)</f>
        <v>2708.1794749999999</v>
      </c>
      <c r="X25" s="22">
        <f t="shared" si="6"/>
        <v>-1877.418437</v>
      </c>
      <c r="Y25" s="23">
        <f>+[5]영남권!$Q$85</f>
        <v>102592.96179422383</v>
      </c>
      <c r="Z25" s="20">
        <f>+[5]영남권!$R$85</f>
        <v>96016.648996705597</v>
      </c>
      <c r="AA25" s="24">
        <f>+[6]영남권!$Q$85</f>
        <v>97820.439303297506</v>
      </c>
      <c r="AB25" s="29">
        <f>+[5]영남권!$Q$89</f>
        <v>75796.515025055618</v>
      </c>
      <c r="AC25" s="20">
        <f>+[5]영남권!$R$89</f>
        <v>78191.758310460515</v>
      </c>
      <c r="AD25" s="30">
        <f>+[6]영남권!$Q$89</f>
        <v>70291.213915186745</v>
      </c>
      <c r="AE25" s="29">
        <f t="shared" si="7"/>
        <v>26796.446769168208</v>
      </c>
      <c r="AF25" s="20">
        <f t="shared" si="8"/>
        <v>17824.890686245082</v>
      </c>
      <c r="AG25" s="30">
        <f t="shared" si="9"/>
        <v>27529.225388110761</v>
      </c>
      <c r="AH25" s="18"/>
      <c r="AI25" s="19"/>
      <c r="AJ25" s="96"/>
    </row>
    <row r="26" spans="2:38" s="8" customFormat="1" ht="19.5" customHeight="1" x14ac:dyDescent="0.3">
      <c r="G26" s="792" t="str">
        <f t="shared" si="1"/>
        <v>중부권</v>
      </c>
      <c r="H26" s="80"/>
      <c r="I26" s="84" t="s">
        <v>171</v>
      </c>
      <c r="J26" s="23">
        <f>SUM(J19:J23)</f>
        <v>61</v>
      </c>
      <c r="K26" s="20">
        <f>SUM(K19:K23)</f>
        <v>62.425999999999988</v>
      </c>
      <c r="L26" s="21">
        <f t="shared" si="0"/>
        <v>1.4259999999999877</v>
      </c>
      <c r="M26" s="25">
        <f>SUM(M19:M23)</f>
        <v>64.833500000000001</v>
      </c>
      <c r="N26" s="22">
        <f t="shared" si="2"/>
        <v>-2.4075000000000131</v>
      </c>
      <c r="O26" s="23">
        <f>SUM(O19:O23)</f>
        <v>6444.567967</v>
      </c>
      <c r="P26" s="20">
        <f>SUM(P19:P23)</f>
        <v>6311.6096660000003</v>
      </c>
      <c r="Q26" s="21">
        <f t="shared" si="3"/>
        <v>-132.95830099999966</v>
      </c>
      <c r="R26" s="25">
        <f>SUM(R19:R23)</f>
        <v>6508.9208359999993</v>
      </c>
      <c r="S26" s="22">
        <f t="shared" si="4"/>
        <v>-197.31116999999904</v>
      </c>
      <c r="T26" s="23">
        <f>SUM(T19:T23)</f>
        <v>1157.2225404386322</v>
      </c>
      <c r="U26" s="20">
        <f>SUM(U19:U23)</f>
        <v>947.08471699999973</v>
      </c>
      <c r="V26" s="21">
        <f t="shared" si="5"/>
        <v>-210.13782343863249</v>
      </c>
      <c r="W26" s="25">
        <f>SUM(W19:W23)</f>
        <v>1236.0067790000001</v>
      </c>
      <c r="X26" s="22">
        <f t="shared" si="6"/>
        <v>-288.92206200000032</v>
      </c>
      <c r="Y26" s="23">
        <f>+[5]중부권!$Q$85</f>
        <v>105648.6551967213</v>
      </c>
      <c r="Z26" s="20">
        <f>+[5]중부권!$R$85</f>
        <v>101095.65574191067</v>
      </c>
      <c r="AA26" s="24">
        <f>+[6]중부권!$Q$85</f>
        <v>100356.66923977152</v>
      </c>
      <c r="AB26" s="29">
        <f>+[5]중부권!$Q$89</f>
        <v>76799.923380624256</v>
      </c>
      <c r="AC26" s="20">
        <f>+[5]중부권!$R$89</f>
        <v>75393.476845256198</v>
      </c>
      <c r="AD26" s="30">
        <f>+[6]중부권!$Q$89</f>
        <v>72173.8012413697</v>
      </c>
      <c r="AE26" s="29">
        <f t="shared" si="7"/>
        <v>28848.731816097046</v>
      </c>
      <c r="AF26" s="20">
        <f t="shared" si="8"/>
        <v>25702.17889665447</v>
      </c>
      <c r="AG26" s="30">
        <f t="shared" si="9"/>
        <v>28182.867998401824</v>
      </c>
      <c r="AH26" s="18"/>
      <c r="AI26" s="19"/>
      <c r="AJ26" s="96"/>
    </row>
    <row r="27" spans="2:38" s="3" customFormat="1" ht="19.5" customHeight="1" x14ac:dyDescent="0.3">
      <c r="B27" s="26"/>
      <c r="G27" s="794">
        <f>+K27/J27</f>
        <v>0.92385358255451699</v>
      </c>
      <c r="H27" s="629" t="s">
        <v>115</v>
      </c>
      <c r="I27" s="630"/>
      <c r="J27" s="631">
        <f>SUM(J24:J26)</f>
        <v>321</v>
      </c>
      <c r="K27" s="632">
        <f>SUM(K24:K26)</f>
        <v>296.55699999999996</v>
      </c>
      <c r="L27" s="633">
        <f t="shared" ref="L27:L32" si="10">+K27-J27</f>
        <v>-24.44300000000004</v>
      </c>
      <c r="M27" s="634">
        <f>SUM(M24:M26)</f>
        <v>350.51400000000001</v>
      </c>
      <c r="N27" s="635">
        <f t="shared" ref="N27:N32" si="11">+K27-M27</f>
        <v>-53.95700000000005</v>
      </c>
      <c r="O27" s="631">
        <f>SUM(O24:O26)</f>
        <v>33004.953813543987</v>
      </c>
      <c r="P27" s="632">
        <f>SUM(P24:P26)</f>
        <v>28528.551527</v>
      </c>
      <c r="Q27" s="633">
        <f t="shared" ref="Q27:Q43" si="12">+P27-O27</f>
        <v>-4476.4022865439874</v>
      </c>
      <c r="R27" s="634">
        <f>SUM(R24:R26)</f>
        <v>34276.780524999995</v>
      </c>
      <c r="S27" s="635">
        <f t="shared" ref="S27:S34" si="13">+P27-R27</f>
        <v>-5748.228997999995</v>
      </c>
      <c r="T27" s="631">
        <f>SUM(T24:T26)</f>
        <v>5311.4516209334179</v>
      </c>
      <c r="U27" s="632">
        <f>SUM(U24:U26)</f>
        <v>2141.2714339999989</v>
      </c>
      <c r="V27" s="633">
        <f t="shared" ref="V27:V32" si="14">+U27-T27</f>
        <v>-3170.180186933419</v>
      </c>
      <c r="W27" s="634">
        <f>SUM(W24:W26)</f>
        <v>5841.3245079999988</v>
      </c>
      <c r="X27" s="635">
        <f t="shared" ref="X27:X32" si="15">+U27-W27</f>
        <v>-3700.0530739999999</v>
      </c>
      <c r="Y27" s="631">
        <f>+[5]합계!$Q$85</f>
        <v>102819.17075870401</v>
      </c>
      <c r="Z27" s="632">
        <f>+[5]합계!$R$85</f>
        <v>96197.561428846195</v>
      </c>
      <c r="AA27" s="636">
        <f>+[6]합계!$Q$85</f>
        <v>97761.738206654467</v>
      </c>
      <c r="AB27" s="637">
        <f>+[5]합계!$Q$89</f>
        <v>76875.115694867884</v>
      </c>
      <c r="AC27" s="632">
        <f>+[5]합계!$R$89</f>
        <v>78411.450680820199</v>
      </c>
      <c r="AD27" s="638">
        <f>+[6]합계!$Q$89</f>
        <v>72669.740908628984</v>
      </c>
      <c r="AE27" s="637">
        <f t="shared" si="7"/>
        <v>25944.055063836131</v>
      </c>
      <c r="AF27" s="632">
        <f t="shared" si="8"/>
        <v>17786.110748025996</v>
      </c>
      <c r="AG27" s="638">
        <f t="shared" si="9"/>
        <v>25091.997298025482</v>
      </c>
      <c r="AH27" s="27"/>
      <c r="AI27" s="28"/>
      <c r="AJ27" s="96"/>
      <c r="AL27" s="26"/>
    </row>
    <row r="28" spans="2:38" s="8" customFormat="1" ht="19.5" customHeight="1" x14ac:dyDescent="0.3">
      <c r="B28" s="8" t="s">
        <v>192</v>
      </c>
      <c r="E28" s="8" t="s">
        <v>201</v>
      </c>
      <c r="G28" s="792" t="s">
        <v>3</v>
      </c>
      <c r="H28" s="835" t="s">
        <v>63</v>
      </c>
      <c r="I28" s="836"/>
      <c r="J28" s="167">
        <f>+IFERROR(HLOOKUP($B28,'[1]10월'!$D$6:$BN$259,2,),)</f>
        <v>8900</v>
      </c>
      <c r="K28" s="168">
        <f>+IFERROR(HLOOKUP($E28,'[2]10월'!$F$6:$CP$99,2,),)</f>
        <v>8972.0079999999998</v>
      </c>
      <c r="L28" s="169">
        <f>+K28-J28</f>
        <v>72.007999999999811</v>
      </c>
      <c r="M28" s="170">
        <f>+IFERROR(HLOOKUP($E28,'[3]10월'!$F$6:$CC$57,2,),)</f>
        <v>9070.0450000000001</v>
      </c>
      <c r="N28" s="171">
        <f>+K28-M28</f>
        <v>-98.037000000000262</v>
      </c>
      <c r="O28" s="167">
        <f>+IFERROR(HLOOKUP($B28,'[1]10월'!$D$6:$BN$259,3,),)/1000</f>
        <v>10873.416842105264</v>
      </c>
      <c r="P28" s="168">
        <f>+IFERROR(HLOOKUP($E28,'[2]10월'!$F$6:$CP$99,3,),)/1000</f>
        <v>8678.6852690000014</v>
      </c>
      <c r="Q28" s="169">
        <f>+P28-O28</f>
        <v>-2194.7315731052622</v>
      </c>
      <c r="R28" s="170">
        <f>+IFERROR(HLOOKUP($E28,'[3]10월'!$F$6:$CC$57,3,),)/1000</f>
        <v>11314.060175999999</v>
      </c>
      <c r="S28" s="171">
        <f t="shared" si="13"/>
        <v>-2635.3749069999976</v>
      </c>
      <c r="T28" s="167">
        <f>+IFERROR(HLOOKUP($B28,'[1]10월'!$D$6:$BN$259,16,),)/1000</f>
        <v>155.78427776842057</v>
      </c>
      <c r="U28" s="168">
        <f>+IFERROR(HLOOKUP($E28,'[2]10월'!$F$6:$CP$99,16,),)/1000</f>
        <v>44.005329000002384</v>
      </c>
      <c r="V28" s="169">
        <f t="shared" si="14"/>
        <v>-111.77894876841819</v>
      </c>
      <c r="W28" s="170">
        <f>+IFERROR(HLOOKUP($E28,'[3]10월'!$F$6:$CC$57,16,),)/1000</f>
        <v>85.321436999999108</v>
      </c>
      <c r="X28" s="171">
        <f t="shared" si="15"/>
        <v>-41.316107999996724</v>
      </c>
      <c r="Y28" s="649" t="s">
        <v>174</v>
      </c>
      <c r="Z28" s="650"/>
      <c r="AA28" s="650"/>
      <c r="AB28" s="650"/>
      <c r="AC28" s="650"/>
      <c r="AD28" s="650"/>
      <c r="AE28" s="650"/>
      <c r="AF28" s="650"/>
      <c r="AG28" s="651"/>
      <c r="AH28" s="18"/>
      <c r="AI28" s="19"/>
    </row>
    <row r="29" spans="2:38" s="8" customFormat="1" ht="19.5" customHeight="1" x14ac:dyDescent="0.3">
      <c r="B29" s="8" t="s">
        <v>193</v>
      </c>
      <c r="C29" s="79" t="s">
        <v>61</v>
      </c>
      <c r="G29" s="793" t="str">
        <f>+I29</f>
        <v>부산모래장</v>
      </c>
      <c r="H29" s="86" t="s">
        <v>60</v>
      </c>
      <c r="I29" s="81" t="s">
        <v>193</v>
      </c>
      <c r="J29" s="56">
        <f>+IFERROR(HLOOKUP($B29,'[1]10월'!$D$6:$BN$259,2,),)/1000</f>
        <v>29.254222470020949</v>
      </c>
      <c r="K29" s="57">
        <f>+IFERROR(HLOOKUP($C29,'[2]10월'!$F$6:$CP$99,2,),)/1000</f>
        <v>20.119</v>
      </c>
      <c r="L29" s="38">
        <f t="shared" si="10"/>
        <v>-9.135222470020949</v>
      </c>
      <c r="M29" s="38">
        <f>+IFERROR(HLOOKUP($C29,'[3]10월'!$F$6:$CC$57,2,),)/1000</f>
        <v>29.978000000000002</v>
      </c>
      <c r="N29" s="58">
        <f t="shared" si="11"/>
        <v>-9.8590000000000018</v>
      </c>
      <c r="O29" s="56">
        <f>+IFERROR(HLOOKUP($B29,'[1]10월'!$D$6:$BN$259,3,),)/1000</f>
        <v>832.16380631465995</v>
      </c>
      <c r="P29" s="57">
        <f>+IFERROR(HLOOKUP($C29,'[2]10월'!$F$6:$CP$99,3,),)/1000</f>
        <v>571.11</v>
      </c>
      <c r="Q29" s="38">
        <f t="shared" si="12"/>
        <v>-261.05380631465994</v>
      </c>
      <c r="R29" s="38">
        <f>+IFERROR(HLOOKUP($C29,'[3]10월'!$F$6:$CC$57,3,),)/1000</f>
        <v>855.20500000000004</v>
      </c>
      <c r="S29" s="58">
        <f t="shared" si="13"/>
        <v>-284.09500000000003</v>
      </c>
      <c r="T29" s="56">
        <f>+IFERROR(HLOOKUP($B29,'[1]10월'!$D$6:$BN$259,21,),)/1000</f>
        <v>60.533390826378081</v>
      </c>
      <c r="U29" s="57">
        <f>+IFERROR(HLOOKUP($C29,'[2]10월'!$F$6:$CP$99,21,),)/1000</f>
        <v>53.934357068743452</v>
      </c>
      <c r="V29" s="38">
        <f t="shared" si="14"/>
        <v>-6.5990337576346292</v>
      </c>
      <c r="W29" s="38">
        <f>+IFERROR(HLOOKUP($C29,'[3]10월'!$F$6:$CC$57,16,),)/1000</f>
        <v>31.332617000000006</v>
      </c>
      <c r="X29" s="58">
        <f t="shared" si="15"/>
        <v>22.601740068743446</v>
      </c>
      <c r="Y29" s="628" t="s">
        <v>255</v>
      </c>
      <c r="Z29" s="587"/>
      <c r="AA29" s="587"/>
      <c r="AB29" s="587"/>
      <c r="AC29" s="587"/>
      <c r="AD29" s="587"/>
      <c r="AE29" s="587"/>
      <c r="AF29" s="587"/>
      <c r="AG29" s="51"/>
      <c r="AH29" s="18"/>
      <c r="AI29" s="19"/>
    </row>
    <row r="30" spans="2:38" s="8" customFormat="1" ht="19.5" customHeight="1" x14ac:dyDescent="0.3">
      <c r="B30" s="8" t="s">
        <v>194</v>
      </c>
      <c r="C30" s="81" t="s">
        <v>62</v>
      </c>
      <c r="G30" s="793" t="str">
        <f t="shared" ref="G30:G31" si="16">+I30</f>
        <v>서부산CR</v>
      </c>
      <c r="H30" s="85"/>
      <c r="I30" s="81" t="s">
        <v>220</v>
      </c>
      <c r="J30" s="54">
        <f>+IFERROR(HLOOKUP($B30,'[1]10월'!$D$6:$BN$259,2,),)/1000</f>
        <v>51.352963333333335</v>
      </c>
      <c r="K30" s="59">
        <f>+IFERROR(HLOOKUP($C30,'[2]10월'!$F$6:$CP$99,2,),)/1000</f>
        <v>1.36</v>
      </c>
      <c r="L30" s="48">
        <f t="shared" si="10"/>
        <v>-49.992963333333336</v>
      </c>
      <c r="M30" s="48">
        <f>+IFERROR(HLOOKUP($C30,'[3]10월'!$F$6:$CC$57,2,),)/1000</f>
        <v>33.643999999999998</v>
      </c>
      <c r="N30" s="60">
        <f t="shared" si="11"/>
        <v>-32.283999999999999</v>
      </c>
      <c r="O30" s="54">
        <f>+IFERROR(HLOOKUP($B30,'[1]10월'!$D$6:$BN$259,3,),)/1000</f>
        <v>637.54944999999998</v>
      </c>
      <c r="P30" s="59">
        <f>+IFERROR(HLOOKUP($C30,'[2]10월'!$F$6:$CP$99,3,),)/1000</f>
        <v>15.64</v>
      </c>
      <c r="Q30" s="48">
        <f t="shared" si="12"/>
        <v>-621.90944999999999</v>
      </c>
      <c r="R30" s="48">
        <f>+IFERROR(HLOOKUP($C30,'[3]10월'!$F$6:$CC$57,3,),)/1000</f>
        <v>400.76</v>
      </c>
      <c r="S30" s="60">
        <f t="shared" si="13"/>
        <v>-385.12</v>
      </c>
      <c r="T30" s="54">
        <f>+IFERROR(HLOOKUP($B30,'[1]10월'!$D$6:$BN$259,21,),)/1000</f>
        <v>174.00076291832283</v>
      </c>
      <c r="U30" s="59">
        <f>+IFERROR(HLOOKUP($C30,'[2]10월'!$F$6:$CP$99,21,),)/1000</f>
        <v>-83.948514345143408</v>
      </c>
      <c r="V30" s="48">
        <f t="shared" si="14"/>
        <v>-257.94927726346623</v>
      </c>
      <c r="W30" s="48">
        <f>+IFERROR(HLOOKUP($C30,'[3]10월'!$F$6:$CC$57,16,),)/1000</f>
        <v>41.015432000000061</v>
      </c>
      <c r="X30" s="60">
        <f t="shared" si="15"/>
        <v>-124.96394634514347</v>
      </c>
      <c r="Y30" s="628" t="s">
        <v>256</v>
      </c>
      <c r="Z30" s="587"/>
      <c r="AA30" s="587"/>
      <c r="AB30" s="587"/>
      <c r="AC30" s="587"/>
      <c r="AD30" s="587"/>
      <c r="AE30" s="587"/>
      <c r="AF30" s="587"/>
      <c r="AG30" s="51"/>
      <c r="AH30" s="18"/>
      <c r="AI30" s="19"/>
      <c r="AJ30" s="784"/>
      <c r="AK30" s="98"/>
      <c r="AL30" s="98"/>
    </row>
    <row r="31" spans="2:38" s="8" customFormat="1" ht="19.5" customHeight="1" x14ac:dyDescent="0.3">
      <c r="B31" s="8" t="s">
        <v>176</v>
      </c>
      <c r="C31" s="83" t="s">
        <v>176</v>
      </c>
      <c r="G31" s="793" t="str">
        <f t="shared" si="16"/>
        <v>부산CR</v>
      </c>
      <c r="H31" s="85"/>
      <c r="I31" s="83" t="s">
        <v>222</v>
      </c>
      <c r="J31" s="54">
        <f>+IFERROR(HLOOKUP($B31,'[1]10월'!$D$6:$BN$259,2,),)/1000</f>
        <v>43.565728071919182</v>
      </c>
      <c r="K31" s="59">
        <f>+IFERROR(HLOOKUP($C31,'[2]10월'!$F$6:$CP$99,2,),)/1000</f>
        <v>38.610999999999997</v>
      </c>
      <c r="L31" s="48">
        <f t="shared" si="10"/>
        <v>-4.9547280719191846</v>
      </c>
      <c r="M31" s="48">
        <f>+IFERROR(HLOOKUP($C31,'[3]10월'!$F$6:$CC$57,2,),)/1000</f>
        <v>34.889000000000003</v>
      </c>
      <c r="N31" s="60">
        <f t="shared" si="11"/>
        <v>3.7219999999999942</v>
      </c>
      <c r="O31" s="54">
        <f>+IFERROR(HLOOKUP($B31,'[1]10월'!$D$6:$BN$259,3,),)/1000</f>
        <v>790.01555908893295</v>
      </c>
      <c r="P31" s="59">
        <f>+IFERROR(HLOOKUP($C31,'[2]10월'!$F$6:$CP$99,3,),)/1000</f>
        <v>659.06849999999997</v>
      </c>
      <c r="Q31" s="48">
        <f t="shared" si="12"/>
        <v>-130.94705908893297</v>
      </c>
      <c r="R31" s="48">
        <f>+IFERROR(HLOOKUP($C31,'[3]10월'!$F$6:$CC$57,3,),)/1000</f>
        <v>596.32799999999997</v>
      </c>
      <c r="S31" s="60">
        <f t="shared" si="13"/>
        <v>62.740499999999997</v>
      </c>
      <c r="T31" s="54">
        <f>+IFERROR(HLOOKUP($B31,'[1]10월'!$D$6:$BN$259,21,),)/1000</f>
        <v>98.617224516841659</v>
      </c>
      <c r="U31" s="59">
        <f>+IFERROR(HLOOKUP($C31,'[2]10월'!$F$6:$CP$99,21,),)/1000</f>
        <v>-119.94369382000009</v>
      </c>
      <c r="V31" s="48">
        <f t="shared" si="14"/>
        <v>-218.56091833684175</v>
      </c>
      <c r="W31" s="48">
        <f>+IFERROR(HLOOKUP($C31,'[3]10월'!$F$6:$CC$57,16,),)/1000</f>
        <v>69.444006999999985</v>
      </c>
      <c r="X31" s="60">
        <f t="shared" si="15"/>
        <v>-189.38770082000008</v>
      </c>
      <c r="Y31" s="586" t="s">
        <v>257</v>
      </c>
      <c r="Z31" s="587"/>
      <c r="AA31" s="587"/>
      <c r="AB31" s="587"/>
      <c r="AC31" s="587"/>
      <c r="AD31" s="587"/>
      <c r="AE31" s="587"/>
      <c r="AF31" s="587"/>
      <c r="AG31" s="51"/>
      <c r="AH31" s="18"/>
      <c r="AI31" s="19"/>
      <c r="AJ31" s="784"/>
      <c r="AK31" s="98"/>
      <c r="AL31" s="98"/>
    </row>
    <row r="32" spans="2:38" s="3" customFormat="1" ht="19.5" customHeight="1" x14ac:dyDescent="0.3">
      <c r="G32" s="796"/>
      <c r="H32" s="146" t="s">
        <v>42</v>
      </c>
      <c r="I32" s="147"/>
      <c r="J32" s="148">
        <f>SUM(J29:J31)</f>
        <v>124.17291387527347</v>
      </c>
      <c r="K32" s="152">
        <f>SUM(K29:K31)</f>
        <v>60.089999999999996</v>
      </c>
      <c r="L32" s="150">
        <f t="shared" si="10"/>
        <v>-64.082913875273476</v>
      </c>
      <c r="M32" s="150">
        <f>SUM(M29:M31)</f>
        <v>98.510999999999996</v>
      </c>
      <c r="N32" s="151">
        <f t="shared" si="11"/>
        <v>-38.420999999999999</v>
      </c>
      <c r="O32" s="148">
        <f>SUM(O29:O31)</f>
        <v>2259.7288154035928</v>
      </c>
      <c r="P32" s="152">
        <f>SUM(P29:P31)</f>
        <v>1245.8184999999999</v>
      </c>
      <c r="Q32" s="150">
        <f t="shared" si="12"/>
        <v>-1013.9103154035929</v>
      </c>
      <c r="R32" s="150">
        <f>SUM(R29:R31)</f>
        <v>1852.2930000000001</v>
      </c>
      <c r="S32" s="151">
        <f t="shared" si="13"/>
        <v>-606.47450000000026</v>
      </c>
      <c r="T32" s="148">
        <f>SUM(T29:T31)</f>
        <v>333.15137826154256</v>
      </c>
      <c r="U32" s="152">
        <f>SUM(U29:U31)</f>
        <v>-149.95785109640005</v>
      </c>
      <c r="V32" s="150">
        <f t="shared" si="14"/>
        <v>-483.10922935794258</v>
      </c>
      <c r="W32" s="150">
        <f>SUM(W29:W31)</f>
        <v>141.79205600000006</v>
      </c>
      <c r="X32" s="151">
        <f t="shared" si="15"/>
        <v>-291.74990709640008</v>
      </c>
      <c r="Y32" s="586"/>
      <c r="Z32" s="587"/>
      <c r="AA32" s="587"/>
      <c r="AB32" s="587"/>
      <c r="AC32" s="587"/>
      <c r="AD32" s="587"/>
      <c r="AE32" s="587"/>
      <c r="AF32" s="587"/>
      <c r="AG32" s="51"/>
      <c r="AH32" s="27"/>
      <c r="AI32" s="28"/>
    </row>
    <row r="33" spans="2:38" s="8" customFormat="1" ht="19.5" customHeight="1" x14ac:dyDescent="0.3">
      <c r="B33" s="8" t="s">
        <v>197</v>
      </c>
      <c r="C33" s="8" t="s">
        <v>196</v>
      </c>
      <c r="D33" t="s">
        <v>195</v>
      </c>
      <c r="E33" t="s">
        <v>100</v>
      </c>
      <c r="F33"/>
      <c r="G33" s="792" t="str">
        <f>+I33</f>
        <v>레미콘임대</v>
      </c>
      <c r="H33" s="89" t="s">
        <v>64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(IFERROR(HLOOKUP($B33,'[1]10월'!$D$6:$BN$259,3,),)++IFERROR(HLOOKUP($C33,'[1]10월'!$D$6:$BN$259,3,),)+IFERROR(HLOOKUP($D33,'[1]10월'!$D$6:$BN$259,3,),))/1000</f>
        <v>90.84</v>
      </c>
      <c r="P33" s="47">
        <f>+IFERROR(HLOOKUP($E33,'[2]10월'!$F$6:$CP$99,3,),)/1000</f>
        <v>90.84</v>
      </c>
      <c r="Q33" s="49">
        <f t="shared" si="12"/>
        <v>0</v>
      </c>
      <c r="R33" s="48">
        <f>+IFERROR(HLOOKUP($E33,'[3]10월'!$F$6:$CC$57,3,),)/1000</f>
        <v>90.84</v>
      </c>
      <c r="S33" s="60">
        <f t="shared" si="13"/>
        <v>0</v>
      </c>
      <c r="T33" s="46">
        <f>(IFERROR(HLOOKUP($B33,'[1]10월'!$D$6:$BN$259,21,),)++IFERROR(HLOOKUP($C33,'[1]10월'!$D$6:$BN$259,21,),)+IFERROR(HLOOKUP($D33,'[1]10월'!$D$6:$BN$259,21,),))/1000</f>
        <v>72.165959000000001</v>
      </c>
      <c r="U33" s="47">
        <f>+IFERROR(HLOOKUP($E33,'[2]10월'!$F$6:$CP$99,16,),)/1000</f>
        <v>71.167959999999994</v>
      </c>
      <c r="V33" s="49">
        <f t="shared" ref="V33:V40" si="17">+U33-T33</f>
        <v>-0.99799900000000719</v>
      </c>
      <c r="W33" s="48">
        <f>+IFERROR(HLOOKUP($E33,'[3]10월'!$F$6:$CC$57,16,),)/1000</f>
        <v>71.889904000000001</v>
      </c>
      <c r="X33" s="60">
        <f t="shared" ref="X33:X39" si="18">+U33-W33</f>
        <v>-0.72194400000000769</v>
      </c>
      <c r="Y33" s="628" t="s">
        <v>258</v>
      </c>
      <c r="Z33" s="587"/>
      <c r="AA33" s="587"/>
      <c r="AB33" s="587"/>
      <c r="AC33" s="587"/>
      <c r="AD33" s="587"/>
      <c r="AE33" s="587"/>
      <c r="AF33" s="587"/>
      <c r="AG33" s="51"/>
      <c r="AH33" s="18"/>
      <c r="AI33" s="19"/>
    </row>
    <row r="34" spans="2:38" s="8" customFormat="1" ht="19.5" customHeight="1" x14ac:dyDescent="0.3">
      <c r="B34" s="8" t="s">
        <v>198</v>
      </c>
      <c r="C34" s="8" t="s">
        <v>199</v>
      </c>
      <c r="D34"/>
      <c r="E34" t="s">
        <v>40</v>
      </c>
      <c r="F34"/>
      <c r="G34" s="792" t="str">
        <f t="shared" ref="G34:G39" si="19">+I34</f>
        <v>임대</v>
      </c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1" si="20">+K34-M34</f>
        <v>0</v>
      </c>
      <c r="O34" s="46">
        <f>(+IFERROR(HLOOKUP($B34,'[1]10월'!$D$6:$BN$259,3,),)+IFERROR(HLOOKUP($C34,'[1]10월'!$D$6:$BN$259,3,),))/1000</f>
        <v>72.297500333333332</v>
      </c>
      <c r="P34" s="47">
        <f>+IFERROR(HLOOKUP($E34,'[2]10월'!$F$6:$CP$99,3,),)/1000</f>
        <v>73.837421000000006</v>
      </c>
      <c r="Q34" s="49">
        <f>+P34-O34</f>
        <v>1.5399206666666743</v>
      </c>
      <c r="R34" s="48">
        <f>+IFERROR(HLOOKUP($E34,'[3]10월'!$F$6:$CC$57,3,),)/1000</f>
        <v>93.176517000000004</v>
      </c>
      <c r="S34" s="60">
        <f t="shared" si="13"/>
        <v>-19.339095999999998</v>
      </c>
      <c r="T34" s="46">
        <f>(+IFERROR(HLOOKUP($B34,'[1]10월'!$D$6:$BN$259,21,),)+IFERROR(HLOOKUP($C34,'[1]10월'!$D$6:$BN$259,21,),))/1000</f>
        <v>62.030473333333333</v>
      </c>
      <c r="U34" s="47">
        <f>+IFERROR(HLOOKUP($E34,'[2]10월'!$F$6:$CP$99,16,),)/1000</f>
        <v>63.70566500000001</v>
      </c>
      <c r="V34" s="49">
        <f t="shared" si="17"/>
        <v>1.6751916666666773</v>
      </c>
      <c r="W34" s="48">
        <f>+IFERROR(HLOOKUP($E34,'[3]10월'!$F$6:$CC$57,16,),)/1000</f>
        <v>56.287941000000011</v>
      </c>
      <c r="X34" s="60">
        <f t="shared" si="18"/>
        <v>7.4177239999999998</v>
      </c>
      <c r="Y34" s="628" t="s">
        <v>259</v>
      </c>
      <c r="Z34" s="587"/>
      <c r="AA34" s="587"/>
      <c r="AB34" s="587"/>
      <c r="AC34" s="587"/>
      <c r="AD34" s="587"/>
      <c r="AE34" s="587"/>
      <c r="AF34" s="587"/>
      <c r="AG34" s="51"/>
      <c r="AH34" s="18"/>
      <c r="AI34" s="19"/>
    </row>
    <row r="35" spans="2:38" s="8" customFormat="1" ht="19.5" customHeight="1" x14ac:dyDescent="0.3">
      <c r="B35" s="8" t="s">
        <v>200</v>
      </c>
      <c r="D35"/>
      <c r="E35"/>
      <c r="F35"/>
      <c r="G35" s="792" t="str">
        <f t="shared" si="19"/>
        <v>공통비</v>
      </c>
      <c r="H35" s="87"/>
      <c r="I35" s="88" t="s">
        <v>65</v>
      </c>
      <c r="J35" s="46"/>
      <c r="K35" s="47"/>
      <c r="L35" s="49">
        <f>+K35-J35</f>
        <v>0</v>
      </c>
      <c r="M35" s="48"/>
      <c r="N35" s="60">
        <f t="shared" si="20"/>
        <v>0</v>
      </c>
      <c r="O35" s="46"/>
      <c r="P35" s="47"/>
      <c r="Q35" s="49">
        <f t="shared" ref="Q35:Q40" si="21">+P35-O35</f>
        <v>0</v>
      </c>
      <c r="R35" s="48"/>
      <c r="S35" s="60">
        <f t="shared" ref="S35:S40" si="22">+P35-R35</f>
        <v>0</v>
      </c>
      <c r="T35" s="46">
        <f>-'[1]10월'!$Z$22/1000</f>
        <v>-1239.3304821245667</v>
      </c>
      <c r="U35" s="47">
        <f>+-'[2]10월'!$Z$22/1000</f>
        <v>-1196.5785099009242</v>
      </c>
      <c r="V35" s="49">
        <f t="shared" si="17"/>
        <v>42.751972223642497</v>
      </c>
      <c r="W35" s="48">
        <f>+-'[3]10월'!$Z$22/1000</f>
        <v>-1214.5176319999998</v>
      </c>
      <c r="X35" s="60">
        <f t="shared" si="18"/>
        <v>17.939122099075576</v>
      </c>
      <c r="Y35" s="628"/>
      <c r="Z35" s="587"/>
      <c r="AA35" s="587"/>
      <c r="AB35" s="587"/>
      <c r="AC35" s="587"/>
      <c r="AD35" s="587"/>
      <c r="AE35" s="587"/>
      <c r="AF35" s="587"/>
      <c r="AG35" s="51"/>
      <c r="AH35" s="18"/>
      <c r="AI35" s="19"/>
      <c r="AK35" s="596"/>
      <c r="AL35" s="98"/>
    </row>
    <row r="36" spans="2:38" s="8" customFormat="1" ht="19.5" customHeight="1" x14ac:dyDescent="0.3">
      <c r="D36"/>
      <c r="E36"/>
      <c r="F36"/>
      <c r="G36" s="792" t="str">
        <f t="shared" si="19"/>
        <v>OPC 소급분</v>
      </c>
      <c r="H36" s="87"/>
      <c r="I36" s="88" t="s">
        <v>116</v>
      </c>
      <c r="J36" s="46"/>
      <c r="K36" s="47"/>
      <c r="L36" s="49"/>
      <c r="M36" s="48"/>
      <c r="N36" s="60">
        <f t="shared" si="20"/>
        <v>0</v>
      </c>
      <c r="O36" s="46"/>
      <c r="P36" s="47"/>
      <c r="Q36" s="49">
        <f t="shared" si="21"/>
        <v>0</v>
      </c>
      <c r="R36" s="48"/>
      <c r="S36" s="60">
        <f t="shared" si="22"/>
        <v>0</v>
      </c>
      <c r="T36" s="46">
        <f>+'[1]10월'!$AS$26/1000</f>
        <v>0</v>
      </c>
      <c r="U36" s="47">
        <f>'[2]10월'!$BD$26/1000</f>
        <v>250</v>
      </c>
      <c r="V36" s="49">
        <f t="shared" si="17"/>
        <v>250</v>
      </c>
      <c r="W36" s="48">
        <f>-'[3]10월'!$BD$26/1000</f>
        <v>0</v>
      </c>
      <c r="X36" s="60">
        <f t="shared" si="18"/>
        <v>250</v>
      </c>
      <c r="Y36" s="628"/>
      <c r="Z36" s="587"/>
      <c r="AA36" s="587"/>
      <c r="AB36" s="587"/>
      <c r="AC36" s="587"/>
      <c r="AD36" s="587"/>
      <c r="AE36" s="587"/>
      <c r="AF36" s="587"/>
      <c r="AG36" s="51"/>
      <c r="AH36" s="18"/>
      <c r="AI36" s="19"/>
      <c r="AK36" s="98"/>
      <c r="AL36" s="98"/>
    </row>
    <row r="37" spans="2:38" s="8" customFormat="1" ht="19.5" customHeight="1" x14ac:dyDescent="0.3">
      <c r="D37"/>
      <c r="E37"/>
      <c r="F37"/>
      <c r="G37" s="792" t="str">
        <f t="shared" si="19"/>
        <v>대손</v>
      </c>
      <c r="H37" s="87"/>
      <c r="I37" s="88" t="s">
        <v>117</v>
      </c>
      <c r="J37" s="46"/>
      <c r="K37" s="47"/>
      <c r="L37" s="49"/>
      <c r="M37" s="48"/>
      <c r="N37" s="60">
        <f t="shared" si="20"/>
        <v>0</v>
      </c>
      <c r="O37" s="46"/>
      <c r="P37" s="47"/>
      <c r="Q37" s="49">
        <f t="shared" si="21"/>
        <v>0</v>
      </c>
      <c r="R37" s="48"/>
      <c r="S37" s="60">
        <f t="shared" si="22"/>
        <v>0</v>
      </c>
      <c r="T37" s="46"/>
      <c r="U37" s="47">
        <f>'[2]10월'!$BE$26/1000</f>
        <v>0</v>
      </c>
      <c r="V37" s="49">
        <f t="shared" si="17"/>
        <v>0</v>
      </c>
      <c r="W37" s="48">
        <f>'[3]10월'!$BE$26/1000</f>
        <v>49</v>
      </c>
      <c r="X37" s="60">
        <f t="shared" si="18"/>
        <v>-49</v>
      </c>
      <c r="Y37" s="586"/>
      <c r="Z37" s="587"/>
      <c r="AA37" s="587"/>
      <c r="AB37" s="587"/>
      <c r="AC37" s="587"/>
      <c r="AD37" s="587"/>
      <c r="AE37" s="587"/>
      <c r="AF37" s="587"/>
      <c r="AG37" s="51"/>
      <c r="AH37" s="18"/>
      <c r="AI37" s="19"/>
      <c r="AJ37" s="96"/>
      <c r="AK37" s="98"/>
      <c r="AL37" s="98"/>
    </row>
    <row r="38" spans="2:38" s="8" customFormat="1" ht="19.5" customHeight="1" x14ac:dyDescent="0.3">
      <c r="D38"/>
      <c r="E38"/>
      <c r="F38"/>
      <c r="G38" s="792" t="str">
        <f t="shared" si="19"/>
        <v>미운영 공장</v>
      </c>
      <c r="H38" s="87"/>
      <c r="I38" s="88" t="s">
        <v>177</v>
      </c>
      <c r="J38" s="46"/>
      <c r="K38" s="47"/>
      <c r="L38" s="49"/>
      <c r="M38" s="48">
        <f>SUM(M54:M57)</f>
        <v>0</v>
      </c>
      <c r="N38" s="60">
        <f t="shared" si="20"/>
        <v>0</v>
      </c>
      <c r="O38" s="46"/>
      <c r="P38" s="47"/>
      <c r="Q38" s="49">
        <f t="shared" si="21"/>
        <v>0</v>
      </c>
      <c r="R38" s="48">
        <f>+IFERROR(HLOOKUP($I$38,'[3]10월'!$F$6:$BJ$50,3,),)/1000</f>
        <v>0</v>
      </c>
      <c r="S38" s="60">
        <f t="shared" si="22"/>
        <v>0</v>
      </c>
      <c r="T38" s="46">
        <f>SUM('[1]10월'!$AM$26:$AQ$26)/1000</f>
        <v>-35.76748444445964</v>
      </c>
      <c r="U38" s="47">
        <f>+'[2]10월'!$BF$26/1000</f>
        <v>-32.623865999999992</v>
      </c>
      <c r="V38" s="49">
        <f t="shared" si="17"/>
        <v>3.1436184444596478</v>
      </c>
      <c r="W38" s="48">
        <f>+'[3]10월'!$BF$26/1000</f>
        <v>-9.4143399999999993</v>
      </c>
      <c r="X38" s="60">
        <f>+U38-W38</f>
        <v>-23.209525999999993</v>
      </c>
      <c r="Y38" s="586"/>
      <c r="Z38" s="587"/>
      <c r="AA38" s="587"/>
      <c r="AB38" s="587"/>
      <c r="AC38" s="587"/>
      <c r="AD38" s="587"/>
      <c r="AE38" s="587"/>
      <c r="AF38" s="587"/>
      <c r="AG38" s="51"/>
      <c r="AH38" s="18"/>
      <c r="AI38" s="19"/>
      <c r="AK38" s="98"/>
      <c r="AL38" s="98"/>
    </row>
    <row r="39" spans="2:38" s="8" customFormat="1" ht="19.5" customHeight="1" x14ac:dyDescent="0.3">
      <c r="B39" t="s">
        <v>39</v>
      </c>
      <c r="D39"/>
      <c r="G39" s="792" t="str">
        <f t="shared" si="19"/>
        <v>기타</v>
      </c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20"/>
        <v>0</v>
      </c>
      <c r="O39" s="46">
        <f>IFERROR(HLOOKUP($B39,'[1]10월'!$D$6:$BN$259,3,),)/1000</f>
        <v>1.77</v>
      </c>
      <c r="P39" s="47">
        <f>+('[2]10월'!$F$8-SUM('[2]10월'!$Z$8,'[2]10월'!$AH$8,'[2]10월'!$AN$8,'[2]10월'!$AO$8,'[2]10월'!$BA$8,'[2]10월'!$BD$8,'[2]10월'!$BE$8,'[2]10월'!$BF$8))/1000</f>
        <v>1.8182000000029803</v>
      </c>
      <c r="Q39" s="55">
        <f t="shared" si="21"/>
        <v>4.8200000002980303E-2</v>
      </c>
      <c r="R39" s="61">
        <f>+('[3]10월'!$F$8-SUM('[3]10월'!$Z$8,'[3]10월'!$AH$8,'[3]10월'!$AN$8,'[3]10월'!$AO$8,'[3]10월'!$BA$8,'[3]10월'!$BD$8,'[3]10월'!$BE$8,'[3]10월'!$BF$8))/1000</f>
        <v>1.7741000000014902</v>
      </c>
      <c r="S39" s="62">
        <f t="shared" si="22"/>
        <v>4.4100000001490169E-2</v>
      </c>
      <c r="T39" s="46">
        <f>+('[1]10월'!$E$26-'[1]10월'!$Z$26-'[1]10월'!$AA$26-'[1]10월'!$AE$26-'[1]10월'!$AL$26-'[1]10월'!$AM$26-'[1]10월'!$AN$26-'[1]10월'!$AO$26-'[1]10월'!$AP$26-'[1]10월'!$AQ$26-'[1]10월'!$AS$26)/1000</f>
        <v>-79.281807999997753</v>
      </c>
      <c r="U39" s="47">
        <f>+('[2]10월'!$F$26-SUM('[2]10월'!$Z$26,'[2]10월'!$AH$26,'[2]10월'!$AN$26,'[2]10월'!$AO$26,'[2]10월'!$BA$26,'[2]10월'!$BD$26,'[2]10월'!$BE$26,'[2]10월'!$BF$26))/1000</f>
        <v>-16.754540999998337</v>
      </c>
      <c r="V39" s="49">
        <f t="shared" si="17"/>
        <v>62.527266999999412</v>
      </c>
      <c r="W39" s="61">
        <f>+('[3]10월'!$F$26-SUM('[3]10월'!$Z$26,'[3]10월'!$AH$26,'[3]10월'!$AN$26,'[3]10월'!$AO$26,'[3]10월'!$BA$26,'[3]10월'!$BD$26,'[3]10월'!$BE$26,'[3]10월'!$BF$26))/1000</f>
        <v>-15.650761999993586</v>
      </c>
      <c r="X39" s="60">
        <f t="shared" si="18"/>
        <v>-1.1037790000047512</v>
      </c>
      <c r="Y39" s="595"/>
      <c r="Z39" s="587"/>
      <c r="AA39" s="587"/>
      <c r="AB39" s="587"/>
      <c r="AC39" s="587"/>
      <c r="AD39" s="587"/>
      <c r="AE39" s="587"/>
      <c r="AF39" s="587"/>
      <c r="AG39" s="51"/>
      <c r="AH39" s="18"/>
      <c r="AI39" s="19"/>
    </row>
    <row r="40" spans="2:38" s="8" customFormat="1" ht="19.5" customHeight="1" x14ac:dyDescent="0.3">
      <c r="G40" s="792"/>
      <c r="H40" s="87"/>
      <c r="I40" s="88"/>
      <c r="J40" s="46"/>
      <c r="K40" s="47"/>
      <c r="L40" s="55"/>
      <c r="M40" s="61"/>
      <c r="N40" s="62">
        <f t="shared" si="20"/>
        <v>0</v>
      </c>
      <c r="O40" s="46"/>
      <c r="P40" s="47"/>
      <c r="Q40" s="55">
        <f t="shared" si="21"/>
        <v>0</v>
      </c>
      <c r="R40" s="61"/>
      <c r="S40" s="62">
        <f t="shared" si="22"/>
        <v>0</v>
      </c>
      <c r="T40" s="46"/>
      <c r="U40" s="47"/>
      <c r="V40" s="49">
        <f t="shared" si="17"/>
        <v>0</v>
      </c>
      <c r="W40" s="61"/>
      <c r="X40" s="60"/>
      <c r="Y40" s="586"/>
      <c r="Z40" s="587"/>
      <c r="AA40" s="587"/>
      <c r="AB40" s="587"/>
      <c r="AC40" s="587"/>
      <c r="AD40" s="587"/>
      <c r="AE40" s="587"/>
      <c r="AF40" s="587"/>
      <c r="AG40" s="51"/>
      <c r="AH40" s="31"/>
    </row>
    <row r="41" spans="2:38" s="3" customFormat="1" ht="19.5" customHeight="1" x14ac:dyDescent="0.3">
      <c r="D41" s="657"/>
      <c r="G41" s="796"/>
      <c r="H41" s="146" t="s">
        <v>118</v>
      </c>
      <c r="I41" s="147"/>
      <c r="J41" s="646">
        <f>SUM(J33:J40)</f>
        <v>0</v>
      </c>
      <c r="K41" s="647">
        <f>SUM(K33:K40)</f>
        <v>0</v>
      </c>
      <c r="L41" s="647">
        <f>+K41-J41</f>
        <v>0</v>
      </c>
      <c r="M41" s="647">
        <f>SUM(M33:M40)</f>
        <v>0</v>
      </c>
      <c r="N41" s="648">
        <f t="shared" si="20"/>
        <v>0</v>
      </c>
      <c r="O41" s="148">
        <f>SUM(O33:O40)</f>
        <v>164.90750033333333</v>
      </c>
      <c r="P41" s="149">
        <f>SUM(P33:P40)</f>
        <v>166.49562100000298</v>
      </c>
      <c r="Q41" s="153">
        <f t="shared" si="12"/>
        <v>1.5881206666696528</v>
      </c>
      <c r="R41" s="154">
        <f>SUM(R33:R40)</f>
        <v>185.7906170000015</v>
      </c>
      <c r="S41" s="155">
        <f>+P41-R41</f>
        <v>-19.29499599999852</v>
      </c>
      <c r="T41" s="148">
        <f>SUM(T33:T40)</f>
        <v>-1220.1833422356906</v>
      </c>
      <c r="U41" s="149">
        <f>SUM(U33:U40)</f>
        <v>-861.08329190092263</v>
      </c>
      <c r="V41" s="153">
        <f>+U41-T41</f>
        <v>359.10005033476796</v>
      </c>
      <c r="W41" s="154">
        <f>SUM(W33:W40)</f>
        <v>-1062.4048889999935</v>
      </c>
      <c r="X41" s="155">
        <f>+U41-W41</f>
        <v>201.32159709907091</v>
      </c>
      <c r="Y41" s="588"/>
      <c r="Z41" s="589"/>
      <c r="AA41" s="589"/>
      <c r="AB41" s="589"/>
      <c r="AC41" s="589"/>
      <c r="AD41" s="589"/>
      <c r="AE41" s="589"/>
      <c r="AF41" s="589"/>
      <c r="AG41" s="590"/>
      <c r="AH41" s="26"/>
    </row>
    <row r="42" spans="2:38" s="8" customFormat="1" ht="19.5" customHeight="1" x14ac:dyDescent="0.3">
      <c r="G42" s="792"/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>
        <v>19</v>
      </c>
      <c r="V42" s="32">
        <v>12.4</v>
      </c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</row>
    <row r="43" spans="2:38" s="3" customFormat="1" ht="19.5" customHeight="1" x14ac:dyDescent="0.3">
      <c r="G43" s="797">
        <f>+P43/O43</f>
        <v>0.83406140212158764</v>
      </c>
      <c r="H43" s="639" t="s">
        <v>41</v>
      </c>
      <c r="I43" s="640"/>
      <c r="J43" s="652"/>
      <c r="K43" s="653"/>
      <c r="L43" s="653"/>
      <c r="M43" s="653"/>
      <c r="N43" s="654"/>
      <c r="O43" s="641">
        <f>+O27+O32+O28+O41</f>
        <v>46303.006971386181</v>
      </c>
      <c r="P43" s="642">
        <f>+P27+P32+P28+P41</f>
        <v>38619.550917000008</v>
      </c>
      <c r="Q43" s="643">
        <f t="shared" si="12"/>
        <v>-7683.4560543861735</v>
      </c>
      <c r="R43" s="644">
        <f>+R27+R32+R28+R41</f>
        <v>47628.92431799999</v>
      </c>
      <c r="S43" s="645">
        <f>+P43-R43</f>
        <v>-9009.3734009999826</v>
      </c>
      <c r="T43" s="641">
        <f>+T27+T32+T28+T41</f>
        <v>4580.2039347276914</v>
      </c>
      <c r="U43" s="642">
        <f>+U27+U32+U28+U41</f>
        <v>1174.2356200026786</v>
      </c>
      <c r="V43" s="643">
        <f>+U43-T43</f>
        <v>-3405.9683147250125</v>
      </c>
      <c r="W43" s="644">
        <f>+W27+W32+W28+W41</f>
        <v>5006.0331120000046</v>
      </c>
      <c r="X43" s="645">
        <f>+U43-W43</f>
        <v>-3831.7974919973258</v>
      </c>
      <c r="Y43" s="837"/>
      <c r="Z43" s="838"/>
      <c r="AA43" s="838"/>
      <c r="AB43" s="838"/>
      <c r="AC43" s="838"/>
      <c r="AD43" s="838"/>
      <c r="AE43" s="838"/>
      <c r="AF43" s="838"/>
      <c r="AG43" s="839"/>
      <c r="AH43" s="26"/>
    </row>
    <row r="44" spans="2:38" s="34" customFormat="1" x14ac:dyDescent="0.3">
      <c r="G44" s="794">
        <f>+U43/T43</f>
        <v>0.25637190761299383</v>
      </c>
      <c r="P44" s="661">
        <f>+P43/O43</f>
        <v>0.83406140212158764</v>
      </c>
      <c r="T44" s="661">
        <f>+T43/O43</f>
        <v>9.8918066758776915E-2</v>
      </c>
      <c r="U44" s="661">
        <f>+U43/P43</f>
        <v>3.0405211664069086E-2</v>
      </c>
      <c r="AC44" s="35"/>
      <c r="AF44" s="35"/>
    </row>
    <row r="45" spans="2:38" s="34" customFormat="1" ht="17.25" thickBot="1" x14ac:dyDescent="0.35">
      <c r="G45" s="798"/>
      <c r="AC45" s="35"/>
      <c r="AF45" s="35"/>
    </row>
    <row r="46" spans="2:38" s="34" customFormat="1" x14ac:dyDescent="0.3">
      <c r="G46" s="798"/>
      <c r="I46" s="834" t="s">
        <v>101</v>
      </c>
      <c r="J46" s="138">
        <f>+'[1]10월'!$Z$7/1000</f>
        <v>321</v>
      </c>
      <c r="K46" s="139">
        <f>+'[2]10월'!$AI$7/1000</f>
        <v>296.55700000000002</v>
      </c>
      <c r="L46" s="139"/>
      <c r="M46" s="139">
        <f>+'[3]10월'!$Z$7/1000</f>
        <v>350.51400000000001</v>
      </c>
      <c r="N46" s="139"/>
      <c r="O46" s="139">
        <f>+'[1]10월'!$E$8/1000</f>
        <v>46303.006971386181</v>
      </c>
      <c r="P46" s="139">
        <f>+'[2]10월'!$F$8/1000</f>
        <v>38619.550917</v>
      </c>
      <c r="Q46" s="139"/>
      <c r="R46" s="139">
        <f>+'[3]10월'!$F$8/1000</f>
        <v>47628.924318000005</v>
      </c>
      <c r="S46" s="139"/>
      <c r="T46" s="144">
        <f>+'[1]10월'!$E$26/1000</f>
        <v>4580.2039347276932</v>
      </c>
      <c r="U46" s="139">
        <f>+'[2]10월'!$F$26/1000</f>
        <v>1174.2356200026786</v>
      </c>
      <c r="V46" s="139"/>
      <c r="W46" s="139">
        <f>+'[3]10월'!$F$26/1000</f>
        <v>5006.0331120000055</v>
      </c>
      <c r="X46" s="140"/>
      <c r="AA46" s="34">
        <f>952+53+40+7</f>
        <v>1052</v>
      </c>
      <c r="AC46" s="35"/>
      <c r="AF46" s="35"/>
    </row>
    <row r="47" spans="2:38" s="34" customFormat="1" ht="17.25" thickBot="1" x14ac:dyDescent="0.35">
      <c r="G47" s="798"/>
      <c r="I47" s="834"/>
      <c r="J47" s="143">
        <f>+J46-J27</f>
        <v>0</v>
      </c>
      <c r="K47" s="141">
        <f>+K46-K27</f>
        <v>0</v>
      </c>
      <c r="L47" s="141"/>
      <c r="M47" s="141">
        <f>+M46-M27</f>
        <v>0</v>
      </c>
      <c r="N47" s="141"/>
      <c r="O47" s="145">
        <f>+O46-O43</f>
        <v>0</v>
      </c>
      <c r="P47" s="145">
        <f>+P46-P43</f>
        <v>0</v>
      </c>
      <c r="Q47" s="141"/>
      <c r="R47" s="145">
        <f>+R46-R43</f>
        <v>0</v>
      </c>
      <c r="S47" s="141"/>
      <c r="T47" s="145">
        <f>+T46-T43</f>
        <v>0</v>
      </c>
      <c r="U47" s="145">
        <f>+U46-U43</f>
        <v>0</v>
      </c>
      <c r="V47" s="141"/>
      <c r="W47" s="141">
        <f>+W46-W43</f>
        <v>0</v>
      </c>
      <c r="X47" s="142"/>
      <c r="AC47" s="35"/>
      <c r="AF47" s="35"/>
      <c r="AG47" s="34" t="s">
        <v>102</v>
      </c>
    </row>
    <row r="48" spans="2:38" x14ac:dyDescent="0.3">
      <c r="T48" s="658"/>
      <c r="U48" s="658"/>
      <c r="V48" s="658"/>
    </row>
    <row r="49" spans="10:33" x14ac:dyDescent="0.3">
      <c r="T49" s="658"/>
      <c r="U49" s="658"/>
      <c r="V49" s="658"/>
      <c r="AC49" s="35"/>
      <c r="AD49" s="34"/>
      <c r="AE49" s="34"/>
      <c r="AF49" s="35"/>
    </row>
    <row r="50" spans="10:33" x14ac:dyDescent="0.3">
      <c r="S50" t="s">
        <v>53</v>
      </c>
      <c r="T50" s="598">
        <f>(+T27+T35)/100</f>
        <v>40.721211388088513</v>
      </c>
      <c r="U50" s="598">
        <f>(+U27+U35)/100</f>
        <v>9.4469292409907464</v>
      </c>
      <c r="V50" s="598">
        <f>+U50-T50</f>
        <v>-31.274282147097765</v>
      </c>
      <c r="W50" s="597">
        <f>+U50/T50-1</f>
        <v>-0.76800962154691454</v>
      </c>
      <c r="AC50" s="35"/>
      <c r="AD50" s="34"/>
      <c r="AE50" s="34"/>
      <c r="AF50" s="35"/>
    </row>
    <row r="51" spans="10:33" x14ac:dyDescent="0.3">
      <c r="S51" t="s">
        <v>3</v>
      </c>
      <c r="T51" s="6">
        <f>+T28/100</f>
        <v>1.5578427776842056</v>
      </c>
      <c r="U51" s="659">
        <f>+U28/100</f>
        <v>0.44005329000002386</v>
      </c>
      <c r="V51" s="658">
        <f t="shared" ref="V51:V54" si="23">+U51-T51</f>
        <v>-1.1177894876841818</v>
      </c>
      <c r="Y51" s="586" t="s">
        <v>233</v>
      </c>
      <c r="AC51" s="35"/>
      <c r="AD51" s="34"/>
      <c r="AE51" s="34"/>
      <c r="AF51" s="35"/>
    </row>
    <row r="52" spans="10:33" x14ac:dyDescent="0.3">
      <c r="S52" t="s">
        <v>1</v>
      </c>
      <c r="T52" s="659">
        <f>+T32/100</f>
        <v>3.3315137826154255</v>
      </c>
      <c r="U52" s="659">
        <f>+U32/100</f>
        <v>-1.4995785109640005</v>
      </c>
      <c r="V52" s="658">
        <f t="shared" si="23"/>
        <v>-4.8310922935794256</v>
      </c>
      <c r="AC52" s="35"/>
      <c r="AD52" s="34"/>
      <c r="AE52" s="34"/>
      <c r="AF52" s="35"/>
    </row>
    <row r="53" spans="10:33" x14ac:dyDescent="0.3">
      <c r="S53" t="s">
        <v>59</v>
      </c>
      <c r="T53" s="6">
        <f>(T33+T34)/100</f>
        <v>1.3419643233333334</v>
      </c>
      <c r="U53" s="6">
        <f>(U33+U34)/100</f>
        <v>1.34873625</v>
      </c>
      <c r="V53" s="598">
        <f t="shared" si="23"/>
        <v>6.7719266666665945E-3</v>
      </c>
      <c r="AC53" s="35"/>
      <c r="AD53" s="34"/>
      <c r="AE53" s="34"/>
      <c r="AF53" s="35"/>
    </row>
    <row r="54" spans="10:33" x14ac:dyDescent="0.3">
      <c r="J54" s="598"/>
      <c r="K54" s="598"/>
      <c r="L54" s="598"/>
      <c r="M54" s="598"/>
      <c r="N54" s="598"/>
      <c r="O54" s="598"/>
      <c r="P54" s="598"/>
      <c r="Q54" s="598"/>
      <c r="R54" s="598"/>
      <c r="S54" s="598" t="s">
        <v>4</v>
      </c>
      <c r="T54" s="598">
        <f>(T46/100)-T50-T51-T52-T53</f>
        <v>-1.1504929244445461</v>
      </c>
      <c r="U54" s="598">
        <f>(U46/100)-U50-U51-U52-U53</f>
        <v>2.0062159300000157</v>
      </c>
      <c r="V54" s="598">
        <f t="shared" si="23"/>
        <v>3.1567088544445618</v>
      </c>
      <c r="W54" s="598"/>
      <c r="X54" s="598"/>
      <c r="Y54" s="598"/>
      <c r="Z54" s="598"/>
      <c r="AA54" s="598"/>
      <c r="AB54" s="598"/>
      <c r="AC54" s="598"/>
      <c r="AD54" s="598"/>
      <c r="AE54" s="598"/>
      <c r="AF54" s="598"/>
      <c r="AG54" s="598"/>
    </row>
    <row r="55" spans="10:33" x14ac:dyDescent="0.3">
      <c r="J55" s="598"/>
      <c r="K55" s="598"/>
      <c r="L55" s="598"/>
      <c r="M55" s="598"/>
      <c r="N55" s="598"/>
      <c r="O55" s="598"/>
      <c r="P55" s="598"/>
      <c r="Q55" s="598"/>
      <c r="R55" s="598"/>
      <c r="S55" s="598"/>
      <c r="T55" s="598">
        <f>SUM(T53:T54)</f>
        <v>0.19147139888878728</v>
      </c>
      <c r="U55" s="598">
        <f>SUM(U53:U54)</f>
        <v>3.3549521800000157</v>
      </c>
      <c r="V55" s="598">
        <f>SUM(V53:V54)</f>
        <v>3.1634807811112284</v>
      </c>
      <c r="W55" s="598"/>
      <c r="X55" s="598"/>
      <c r="Y55" s="598"/>
      <c r="Z55" s="598"/>
      <c r="AA55" s="598"/>
      <c r="AB55" s="598"/>
      <c r="AC55" s="598"/>
      <c r="AD55" s="598"/>
      <c r="AE55" s="598"/>
      <c r="AF55" s="598"/>
      <c r="AG55" s="598"/>
    </row>
    <row r="56" spans="10:33" x14ac:dyDescent="0.3">
      <c r="J56" s="598"/>
      <c r="K56" s="598"/>
      <c r="L56" s="598"/>
      <c r="M56" s="598"/>
      <c r="N56" s="598"/>
      <c r="O56" s="598"/>
      <c r="P56" s="598"/>
      <c r="Q56" s="598"/>
      <c r="R56" s="598"/>
      <c r="S56" s="598" t="s">
        <v>59</v>
      </c>
      <c r="T56" s="658">
        <f>+(T33+T34)/100</f>
        <v>1.3419643233333334</v>
      </c>
      <c r="U56" s="658">
        <f>+(U33+U34)/100</f>
        <v>1.34873625</v>
      </c>
      <c r="V56" s="598">
        <f>+U56-T56</f>
        <v>6.7719266666665945E-3</v>
      </c>
      <c r="W56" s="598"/>
      <c r="X56" s="598"/>
      <c r="Y56" s="598"/>
      <c r="Z56" s="598"/>
      <c r="AA56" s="598"/>
      <c r="AB56" s="598"/>
      <c r="AC56" s="598"/>
      <c r="AD56" s="598"/>
      <c r="AE56" s="598"/>
      <c r="AF56" s="598"/>
      <c r="AG56" s="598"/>
    </row>
    <row r="57" spans="10:33" x14ac:dyDescent="0.3">
      <c r="J57" s="598"/>
      <c r="K57" s="598"/>
      <c r="L57" s="598"/>
      <c r="M57" s="598"/>
      <c r="N57" s="598"/>
      <c r="O57" s="598"/>
      <c r="P57" s="598"/>
      <c r="Q57" s="598"/>
      <c r="R57" s="598"/>
      <c r="S57" s="598" t="str">
        <f>+I36</f>
        <v>OPC 소급분</v>
      </c>
      <c r="T57" s="598">
        <f>+T36/100</f>
        <v>0</v>
      </c>
      <c r="U57" s="598">
        <f>+U36/100</f>
        <v>2.5</v>
      </c>
      <c r="V57" s="598">
        <f>+U57-T57</f>
        <v>2.5</v>
      </c>
      <c r="W57" s="598"/>
      <c r="X57" s="598"/>
      <c r="Y57" s="598"/>
      <c r="Z57" s="598"/>
      <c r="AA57" s="598"/>
      <c r="AB57" s="598"/>
      <c r="AC57" s="598"/>
      <c r="AD57" s="598"/>
      <c r="AE57" s="598"/>
      <c r="AF57" s="598"/>
      <c r="AG57" s="598"/>
    </row>
    <row r="58" spans="10:33" x14ac:dyDescent="0.3">
      <c r="S58" s="598" t="str">
        <f t="shared" ref="S58:S60" si="24">+I37</f>
        <v>대손</v>
      </c>
      <c r="T58" s="598">
        <f t="shared" ref="T58:U60" si="25">+T37/100</f>
        <v>0</v>
      </c>
      <c r="U58" s="598">
        <f t="shared" si="25"/>
        <v>0</v>
      </c>
      <c r="V58" s="598">
        <f t="shared" ref="V58:V60" si="26">+U58-T58</f>
        <v>0</v>
      </c>
      <c r="AC58" s="598"/>
      <c r="AD58" s="598"/>
      <c r="AE58" s="598"/>
      <c r="AF58" s="598"/>
    </row>
    <row r="59" spans="10:33" x14ac:dyDescent="0.3">
      <c r="S59" s="598" t="str">
        <f t="shared" si="24"/>
        <v>미운영 공장</v>
      </c>
      <c r="T59" s="598">
        <f t="shared" si="25"/>
        <v>-0.35767484444459641</v>
      </c>
      <c r="U59" s="598">
        <f t="shared" si="25"/>
        <v>-0.3262386599999999</v>
      </c>
      <c r="V59" s="598">
        <f t="shared" si="26"/>
        <v>3.1436184444596504E-2</v>
      </c>
      <c r="AC59" s="598"/>
      <c r="AD59" s="598"/>
      <c r="AE59" s="598"/>
    </row>
    <row r="60" spans="10:33" x14ac:dyDescent="0.3">
      <c r="S60" s="598" t="str">
        <f t="shared" si="24"/>
        <v>기타</v>
      </c>
      <c r="T60" s="598">
        <f t="shared" si="25"/>
        <v>-0.79281807999997755</v>
      </c>
      <c r="U60" s="598">
        <f t="shared" si="25"/>
        <v>-0.16754540999998338</v>
      </c>
      <c r="V60" s="598">
        <f t="shared" si="26"/>
        <v>0.6252726699999942</v>
      </c>
      <c r="AC60" s="598"/>
      <c r="AD60" s="598"/>
      <c r="AE60" s="598"/>
    </row>
    <row r="61" spans="10:33" x14ac:dyDescent="0.3">
      <c r="T61" s="6">
        <f>SUM(T56:T60)</f>
        <v>0.19147139888875941</v>
      </c>
      <c r="U61" s="6">
        <f t="shared" ref="U61:V61" si="27">SUM(U56:U60)</f>
        <v>3.3549521800000166</v>
      </c>
      <c r="V61" s="6">
        <f t="shared" si="27"/>
        <v>3.1634807811112573</v>
      </c>
      <c r="AC61" s="598"/>
      <c r="AE61" s="598"/>
    </row>
    <row r="62" spans="10:33" x14ac:dyDescent="0.3">
      <c r="AC62" s="598"/>
      <c r="AE62" s="598"/>
    </row>
    <row r="63" spans="10:33" x14ac:dyDescent="0.3">
      <c r="AC63" s="598"/>
      <c r="AE63" s="598"/>
    </row>
    <row r="64" spans="10:33" x14ac:dyDescent="0.3">
      <c r="AC64" s="598"/>
      <c r="AE64" s="598"/>
    </row>
    <row r="65" spans="29:31" x14ac:dyDescent="0.3">
      <c r="AC65" s="598"/>
      <c r="AE65" s="598"/>
    </row>
    <row r="66" spans="29:31" x14ac:dyDescent="0.3">
      <c r="AC66" s="598"/>
      <c r="AE66" s="598"/>
    </row>
    <row r="67" spans="29:31" x14ac:dyDescent="0.3">
      <c r="AC67" s="598"/>
      <c r="AE67" s="598"/>
    </row>
    <row r="68" spans="29:31" x14ac:dyDescent="0.3">
      <c r="AC68" s="598"/>
      <c r="AE68" s="598"/>
    </row>
    <row r="69" spans="29:31" x14ac:dyDescent="0.3">
      <c r="AC69" s="598"/>
      <c r="AE69" s="598"/>
    </row>
    <row r="70" spans="29:31" x14ac:dyDescent="0.3">
      <c r="AC70" s="598"/>
      <c r="AE70" s="598"/>
    </row>
    <row r="71" spans="29:31" x14ac:dyDescent="0.3">
      <c r="AC71" s="598"/>
      <c r="AE71" s="598"/>
    </row>
    <row r="72" spans="29:31" x14ac:dyDescent="0.3">
      <c r="AC72" s="598"/>
      <c r="AE72" s="598"/>
    </row>
    <row r="73" spans="29:31" x14ac:dyDescent="0.3">
      <c r="AC73" s="598"/>
      <c r="AE73" s="598"/>
    </row>
    <row r="74" spans="29:31" x14ac:dyDescent="0.3">
      <c r="AC74" s="598"/>
      <c r="AE74" s="598"/>
    </row>
    <row r="75" spans="29:31" x14ac:dyDescent="0.3">
      <c r="AC75" s="598"/>
      <c r="AE75" s="598"/>
    </row>
    <row r="76" spans="29:31" x14ac:dyDescent="0.3">
      <c r="AC76" s="598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27E8-E3FD-4F59-8665-50753CDC460A}">
  <sheetPr codeName="Sheet4">
    <tabColor theme="1" tint="0.249977111117893"/>
    <pageSetUpPr fitToPage="1"/>
  </sheetPr>
  <dimension ref="A1:AM61"/>
  <sheetViews>
    <sheetView showGridLines="0" showZeros="0" topLeftCell="F34" zoomScale="85" zoomScaleNormal="85" zoomScaleSheetLayoutView="85" workbookViewId="0">
      <selection activeCell="J19" sqref="J19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5" max="35" width="16.625" bestFit="1" customWidth="1"/>
    <col min="36" max="36" width="12.875" bestFit="1" customWidth="1"/>
    <col min="37" max="37" width="14.875" bestFit="1" customWidth="1"/>
    <col min="38" max="38" width="9.125" bestFit="1" customWidth="1"/>
  </cols>
  <sheetData>
    <row r="1" spans="2:39" ht="18" customHeight="1" x14ac:dyDescent="0.3">
      <c r="H1" s="4"/>
      <c r="K1" s="6"/>
      <c r="L1" s="6"/>
      <c r="P1" s="6"/>
      <c r="Q1" s="6"/>
    </row>
    <row r="2" spans="2:39" ht="18" customHeight="1" x14ac:dyDescent="0.3">
      <c r="H2" s="7"/>
      <c r="AD2" s="5"/>
      <c r="AG2" s="5"/>
    </row>
    <row r="3" spans="2:39" ht="26.25" x14ac:dyDescent="0.3">
      <c r="H3" s="4" t="s">
        <v>246</v>
      </c>
      <c r="AD3" s="5"/>
      <c r="AG3" s="5"/>
    </row>
    <row r="4" spans="2:39" ht="18" customHeight="1" x14ac:dyDescent="0.3">
      <c r="H4" s="7"/>
      <c r="AD4" s="5"/>
      <c r="AG4" s="5" t="s">
        <v>94</v>
      </c>
    </row>
    <row r="5" spans="2:39" s="8" customFormat="1" ht="19.5" customHeight="1" x14ac:dyDescent="0.3">
      <c r="G5" s="792"/>
      <c r="H5" s="830" t="s">
        <v>11</v>
      </c>
      <c r="I5" s="831"/>
      <c r="J5" s="172" t="s">
        <v>0</v>
      </c>
      <c r="K5" s="173"/>
      <c r="L5" s="173"/>
      <c r="M5" s="173"/>
      <c r="N5" s="174"/>
      <c r="O5" s="172" t="s">
        <v>2</v>
      </c>
      <c r="P5" s="173"/>
      <c r="Q5" s="173"/>
      <c r="R5" s="173"/>
      <c r="S5" s="174"/>
      <c r="T5" s="172" t="s">
        <v>119</v>
      </c>
      <c r="U5" s="173"/>
      <c r="V5" s="173"/>
      <c r="W5" s="173"/>
      <c r="X5" s="174"/>
      <c r="Y5" s="172" t="s">
        <v>21</v>
      </c>
      <c r="Z5" s="173"/>
      <c r="AA5" s="174"/>
      <c r="AB5" s="172" t="s">
        <v>44</v>
      </c>
      <c r="AC5" s="173"/>
      <c r="AD5" s="174"/>
      <c r="AE5" s="172" t="s">
        <v>69</v>
      </c>
      <c r="AF5" s="173"/>
      <c r="AG5" s="174"/>
    </row>
    <row r="6" spans="2:39" s="8" customFormat="1" ht="19.5" customHeight="1" x14ac:dyDescent="0.3">
      <c r="G6" s="792"/>
      <c r="H6" s="832"/>
      <c r="I6" s="833"/>
      <c r="J6" s="175" t="s">
        <v>12</v>
      </c>
      <c r="K6" s="176" t="s">
        <v>13</v>
      </c>
      <c r="L6" s="177" t="s">
        <v>37</v>
      </c>
      <c r="M6" s="176" t="s">
        <v>14</v>
      </c>
      <c r="N6" s="178" t="s">
        <v>37</v>
      </c>
      <c r="O6" s="175" t="s">
        <v>15</v>
      </c>
      <c r="P6" s="176" t="s">
        <v>16</v>
      </c>
      <c r="Q6" s="177" t="s">
        <v>36</v>
      </c>
      <c r="R6" s="176" t="s">
        <v>17</v>
      </c>
      <c r="S6" s="178" t="s">
        <v>36</v>
      </c>
      <c r="T6" s="175" t="s">
        <v>15</v>
      </c>
      <c r="U6" s="176" t="s">
        <v>16</v>
      </c>
      <c r="V6" s="177" t="s">
        <v>36</v>
      </c>
      <c r="W6" s="176" t="s">
        <v>17</v>
      </c>
      <c r="X6" s="178" t="s">
        <v>36</v>
      </c>
      <c r="Y6" s="179" t="s">
        <v>15</v>
      </c>
      <c r="Z6" s="180" t="s">
        <v>16</v>
      </c>
      <c r="AA6" s="181" t="s">
        <v>17</v>
      </c>
      <c r="AB6" s="182" t="s">
        <v>15</v>
      </c>
      <c r="AC6" s="180" t="s">
        <v>16</v>
      </c>
      <c r="AD6" s="178" t="s">
        <v>17</v>
      </c>
      <c r="AE6" s="182" t="s">
        <v>15</v>
      </c>
      <c r="AF6" s="180" t="s">
        <v>16</v>
      </c>
      <c r="AG6" s="178" t="s">
        <v>17</v>
      </c>
    </row>
    <row r="7" spans="2:39" s="8" customFormat="1" ht="19.5" customHeight="1" x14ac:dyDescent="0.3">
      <c r="B7" s="8" t="s">
        <v>22</v>
      </c>
      <c r="F7" s="9">
        <f>+U7/T7</f>
        <v>0.61185955957209059</v>
      </c>
      <c r="G7" s="794">
        <f t="shared" ref="G7:G22" si="0">+K7/J7</f>
        <v>0.90477239709443114</v>
      </c>
      <c r="H7" s="78" t="s">
        <v>53</v>
      </c>
      <c r="I7" s="79" t="s">
        <v>22</v>
      </c>
      <c r="J7" s="36">
        <f>+'사업장별(당월)'!J7+'[4]사업장별(누계)'!J7</f>
        <v>413</v>
      </c>
      <c r="K7" s="37">
        <f>+'사업장별(당월)'!K7+'[4]사업장별(누계)'!K7</f>
        <v>373.67100000000005</v>
      </c>
      <c r="L7" s="38">
        <f t="shared" ref="L7:L32" si="1">+K7-J7</f>
        <v>-39.328999999999951</v>
      </c>
      <c r="M7" s="39">
        <f>+'사업장별(당월)'!M7+'[4]사업장별(누계)'!M7</f>
        <v>451.31800000000004</v>
      </c>
      <c r="N7" s="40">
        <f>+K7-M7</f>
        <v>-77.646999999999991</v>
      </c>
      <c r="O7" s="36">
        <f>+'사업장별(당월)'!O7+'[4]사업장별(누계)'!O7</f>
        <v>41395.914499999999</v>
      </c>
      <c r="P7" s="37">
        <f>+'사업장별(당월)'!P7+'[4]사업장별(누계)'!P7</f>
        <v>37039.865332000001</v>
      </c>
      <c r="Q7" s="38">
        <f>+P7-O7</f>
        <v>-4356.0491679999977</v>
      </c>
      <c r="R7" s="39">
        <f>+'사업장별(당월)'!R7+'[4]사업장별(누계)'!R7</f>
        <v>42064.132579000005</v>
      </c>
      <c r="S7" s="40">
        <f>+P7-R7</f>
        <v>-5024.2672470000034</v>
      </c>
      <c r="T7" s="36">
        <f>+'사업장별(당월)'!T7+'[4]사업장별(누계)'!T7</f>
        <v>5712.3422153351075</v>
      </c>
      <c r="U7" s="37">
        <f>+'사업장별(당월)'!U7+'[4]사업장별(누계)'!U7</f>
        <v>3495.1511919999989</v>
      </c>
      <c r="V7" s="41">
        <f>+U7-T7</f>
        <v>-2217.1910233351086</v>
      </c>
      <c r="W7" s="42">
        <f>+'사업장별(당월)'!W7+'[4]사업장별(누계)'!W7</f>
        <v>6228.1904159799997</v>
      </c>
      <c r="X7" s="40">
        <f>+U7-W7</f>
        <v>-2733.0392239800008</v>
      </c>
      <c r="Y7" s="36">
        <f>+[11]안양!$Q$85</f>
        <v>100232.23849878937</v>
      </c>
      <c r="Z7" s="37">
        <f>+[11]안양!$R$85</f>
        <v>99119.962067949979</v>
      </c>
      <c r="AA7" s="43">
        <f>+[12]안양!$Q$85</f>
        <v>93178.953852403152</v>
      </c>
      <c r="AB7" s="44">
        <f>+[11]안양!$Q$89</f>
        <v>78982.697059584447</v>
      </c>
      <c r="AC7" s="37">
        <f>+[11]안양!$R$89</f>
        <v>81575.39945770007</v>
      </c>
      <c r="AD7" s="45">
        <f>+[12]안양!$Q$89</f>
        <v>72902.644479104041</v>
      </c>
      <c r="AE7" s="44">
        <f>+Y7-AB7</f>
        <v>21249.541439204928</v>
      </c>
      <c r="AF7" s="37">
        <f>+Z7-AC7</f>
        <v>17544.562610249908</v>
      </c>
      <c r="AG7" s="45">
        <f>+AA7-AD7</f>
        <v>20276.309373299111</v>
      </c>
      <c r="AH7" s="18"/>
      <c r="AI7" s="791">
        <f>+U7/T7-1</f>
        <v>-0.38814044042790941</v>
      </c>
      <c r="AJ7" s="9">
        <f>+U7/T7</f>
        <v>0.61185955957209059</v>
      </c>
      <c r="AK7" s="801">
        <f>+Z7-Y7</f>
        <v>-1112.2764308393962</v>
      </c>
      <c r="AL7" s="801">
        <f>+AC7-AB7</f>
        <v>2592.7023981156235</v>
      </c>
      <c r="AM7" s="801">
        <f>+AF7-AE7</f>
        <v>-3704.9788289550197</v>
      </c>
    </row>
    <row r="8" spans="2:39" s="8" customFormat="1" ht="19.5" customHeight="1" x14ac:dyDescent="0.3">
      <c r="B8" s="8" t="s">
        <v>23</v>
      </c>
      <c r="F8" s="9">
        <f t="shared" ref="F8:F27" si="2">+U8/T8</f>
        <v>0.48025182002917749</v>
      </c>
      <c r="G8" s="794">
        <f t="shared" si="0"/>
        <v>0.86712662337662338</v>
      </c>
      <c r="H8" s="80" t="s">
        <v>54</v>
      </c>
      <c r="I8" s="81" t="s">
        <v>23</v>
      </c>
      <c r="J8" s="46">
        <f>+'사업장별(당월)'!J8+'[4]사업장별(누계)'!J8</f>
        <v>308</v>
      </c>
      <c r="K8" s="47">
        <f>+'사업장별(당월)'!K8+'[4]사업장별(누계)'!K8</f>
        <v>267.07499999999999</v>
      </c>
      <c r="L8" s="48">
        <f t="shared" si="1"/>
        <v>-40.925000000000011</v>
      </c>
      <c r="M8" s="49">
        <f>+'사업장별(당월)'!M8+'[4]사업장별(누계)'!M8</f>
        <v>371.923</v>
      </c>
      <c r="N8" s="50">
        <f t="shared" ref="N8:N32" si="3">+K8-M8</f>
        <v>-104.84800000000001</v>
      </c>
      <c r="O8" s="46">
        <f>+'사업장별(당월)'!O8+'[4]사업장별(누계)'!O8</f>
        <v>31452.615660569601</v>
      </c>
      <c r="P8" s="47">
        <f>+'사업장별(당월)'!P8+'[4]사업장별(누계)'!P8</f>
        <v>26610.639729999999</v>
      </c>
      <c r="Q8" s="48">
        <f t="shared" ref="Q8:Q43" si="4">+P8-O8</f>
        <v>-4841.9759305696025</v>
      </c>
      <c r="R8" s="49">
        <f>+'사업장별(당월)'!R8+'[4]사업장별(누계)'!R8</f>
        <v>35784.889636</v>
      </c>
      <c r="S8" s="50">
        <f t="shared" ref="S8:S40" si="5">+P8-R8</f>
        <v>-9174.2499060000009</v>
      </c>
      <c r="T8" s="46">
        <f>+'사업장별(당월)'!T8+'[4]사업장별(누계)'!T8</f>
        <v>3461.4375119057377</v>
      </c>
      <c r="U8" s="47">
        <f>+'사업장별(당월)'!U8+'[4]사업장별(누계)'!U8</f>
        <v>1662.3616650099982</v>
      </c>
      <c r="V8" s="48">
        <f t="shared" ref="V8:V40" si="6">+U8-T8</f>
        <v>-1799.0758468957395</v>
      </c>
      <c r="W8" s="49">
        <f>+'사업장별(당월)'!W8+'[4]사업장별(누계)'!W8</f>
        <v>4468.8093489999992</v>
      </c>
      <c r="X8" s="50">
        <f t="shared" ref="X8:X39" si="7">+U8-W8</f>
        <v>-2806.4476839900008</v>
      </c>
      <c r="Y8" s="46">
        <f>+[11]인천!$Q$85</f>
        <v>102118.88201483636</v>
      </c>
      <c r="Z8" s="47">
        <f>+[11]인천!$R$85</f>
        <v>99641.374010630694</v>
      </c>
      <c r="AA8" s="51">
        <f>+[12]인천!$Q$85</f>
        <v>96189.948957219545</v>
      </c>
      <c r="AB8" s="52">
        <f>+[11]인천!$Q$89</f>
        <v>81179.76715740771</v>
      </c>
      <c r="AC8" s="47">
        <f>+[11]인천!$R$89</f>
        <v>82366.896822904993</v>
      </c>
      <c r="AD8" s="53">
        <f>+[12]인천!$Q$89</f>
        <v>76069.848659011594</v>
      </c>
      <c r="AE8" s="52">
        <f t="shared" ref="AE8:AG27" si="8">+Y8-AB8</f>
        <v>20939.114857428649</v>
      </c>
      <c r="AF8" s="47">
        <f t="shared" si="8"/>
        <v>17274.477187725701</v>
      </c>
      <c r="AG8" s="53">
        <f t="shared" si="8"/>
        <v>20120.100298207952</v>
      </c>
      <c r="AH8" s="18"/>
      <c r="AI8" s="791">
        <f t="shared" ref="AI8:AI27" si="9">+U8/T8-1</f>
        <v>-0.51974817997082257</v>
      </c>
      <c r="AJ8" s="96"/>
      <c r="AK8" s="801">
        <f t="shared" ref="AK8:AK18" si="10">+Z8-Y8</f>
        <v>-2477.5080042056652</v>
      </c>
      <c r="AL8" s="801">
        <f t="shared" ref="AL8:AL18" si="11">+AC8-AB8</f>
        <v>1187.129665497283</v>
      </c>
      <c r="AM8" s="801">
        <f t="shared" ref="AM8:AM18" si="12">+AF8-AE8</f>
        <v>-3664.6376697029482</v>
      </c>
    </row>
    <row r="9" spans="2:39" s="8" customFormat="1" ht="19.5" customHeight="1" x14ac:dyDescent="0.3">
      <c r="B9" s="8" t="s">
        <v>24</v>
      </c>
      <c r="F9" s="9">
        <f t="shared" si="2"/>
        <v>0.52020313840867338</v>
      </c>
      <c r="G9" s="794">
        <f t="shared" si="0"/>
        <v>0.99469387755102046</v>
      </c>
      <c r="H9" s="80"/>
      <c r="I9" s="81" t="s">
        <v>24</v>
      </c>
      <c r="J9" s="46">
        <f>+'사업장별(당월)'!J9+'[4]사업장별(누계)'!J9</f>
        <v>245</v>
      </c>
      <c r="K9" s="47">
        <f>+'사업장별(당월)'!K9+'[4]사업장별(누계)'!K9</f>
        <v>243.70000000000002</v>
      </c>
      <c r="L9" s="48">
        <f t="shared" si="1"/>
        <v>-1.2999999999999829</v>
      </c>
      <c r="M9" s="49">
        <f>+'사업장별(당월)'!M9+'[4]사업장별(누계)'!M9</f>
        <v>263.18900000000002</v>
      </c>
      <c r="N9" s="50">
        <f t="shared" si="3"/>
        <v>-19.489000000000004</v>
      </c>
      <c r="O9" s="46">
        <f>+'사업장별(당월)'!O9+'[4]사업장별(누계)'!O9</f>
        <v>24188.765288140887</v>
      </c>
      <c r="P9" s="47">
        <f>+'사업장별(당월)'!P9+'[4]사업장별(누계)'!P9</f>
        <v>23555.595879</v>
      </c>
      <c r="Q9" s="48">
        <f t="shared" si="4"/>
        <v>-633.16940914088627</v>
      </c>
      <c r="R9" s="49">
        <f>+'사업장별(당월)'!R9+'[4]사업장별(누계)'!R9</f>
        <v>24364.543943999994</v>
      </c>
      <c r="S9" s="50">
        <f t="shared" si="5"/>
        <v>-808.94806499999322</v>
      </c>
      <c r="T9" s="46">
        <f>+'사업장별(당월)'!T9+'[4]사업장별(누계)'!T9</f>
        <v>3256.3599465815064</v>
      </c>
      <c r="U9" s="47">
        <f>+'사업장별(당월)'!U9+'[4]사업장별(누계)'!U9</f>
        <v>1693.9686639999998</v>
      </c>
      <c r="V9" s="48">
        <f t="shared" si="6"/>
        <v>-1562.3912825815066</v>
      </c>
      <c r="W9" s="49">
        <f>+'사업장별(당월)'!W9+'[4]사업장별(누계)'!W9</f>
        <v>2646.2449880099985</v>
      </c>
      <c r="X9" s="50">
        <f t="shared" si="7"/>
        <v>-952.27632400999869</v>
      </c>
      <c r="Y9" s="46">
        <f>+[11]파주!$Q$85</f>
        <v>98729.654237309776</v>
      </c>
      <c r="Z9" s="47">
        <f>+[11]파주!$R$85</f>
        <v>96666.953368455972</v>
      </c>
      <c r="AA9" s="51">
        <f>+[12]파주!$Q$85</f>
        <v>92543.76963565145</v>
      </c>
      <c r="AB9" s="52">
        <f>+[11]파주!$Q$89</f>
        <v>76349.328219547941</v>
      </c>
      <c r="AC9" s="47">
        <f>+[11]파주!$R$89</f>
        <v>80272.138118544943</v>
      </c>
      <c r="AD9" s="53">
        <f>+[12]파주!$Q$89</f>
        <v>74064.364283661926</v>
      </c>
      <c r="AE9" s="52">
        <f t="shared" si="8"/>
        <v>22380.326017761836</v>
      </c>
      <c r="AF9" s="47">
        <f t="shared" si="8"/>
        <v>16394.815249911029</v>
      </c>
      <c r="AG9" s="53">
        <f t="shared" si="8"/>
        <v>18479.405351989524</v>
      </c>
      <c r="AH9" s="18"/>
      <c r="AI9" s="791">
        <f t="shared" si="9"/>
        <v>-0.47979686159132662</v>
      </c>
      <c r="AJ9" s="96"/>
      <c r="AK9" s="801">
        <f t="shared" si="10"/>
        <v>-2062.7008688538044</v>
      </c>
      <c r="AL9" s="801">
        <f t="shared" si="11"/>
        <v>3922.8098989970022</v>
      </c>
      <c r="AM9" s="801">
        <f t="shared" si="12"/>
        <v>-5985.5107678508066</v>
      </c>
    </row>
    <row r="10" spans="2:39" s="8" customFormat="1" ht="19.5" customHeight="1" x14ac:dyDescent="0.3">
      <c r="B10" s="8" t="s">
        <v>175</v>
      </c>
      <c r="F10" s="9">
        <f t="shared" si="2"/>
        <v>0.46215024325057008</v>
      </c>
      <c r="G10" s="794">
        <f t="shared" si="0"/>
        <v>0.7449448051948051</v>
      </c>
      <c r="H10" s="80"/>
      <c r="I10" s="81" t="s">
        <v>172</v>
      </c>
      <c r="J10" s="46">
        <f>+'사업장별(당월)'!J10+'[4]사업장별(누계)'!J10</f>
        <v>154</v>
      </c>
      <c r="K10" s="47">
        <f>+'사업장별(당월)'!K10+'[4]사업장별(누계)'!K10</f>
        <v>114.72149999999998</v>
      </c>
      <c r="L10" s="48">
        <f t="shared" si="1"/>
        <v>-39.278500000000022</v>
      </c>
      <c r="M10" s="49">
        <f>+'사업장별(당월)'!M10+'[4]사업장별(누계)'!M10</f>
        <v>163.70000000000002</v>
      </c>
      <c r="N10" s="50">
        <f t="shared" si="3"/>
        <v>-48.978500000000039</v>
      </c>
      <c r="O10" s="46">
        <f>+'사업장별(당월)'!O10+'[4]사업장별(누계)'!O10</f>
        <v>14742.255499999999</v>
      </c>
      <c r="P10" s="47">
        <f>+'사업장별(당월)'!P10+'[4]사업장별(누계)'!P10</f>
        <v>11196.539796000001</v>
      </c>
      <c r="Q10" s="48">
        <f t="shared" si="4"/>
        <v>-3545.7157039999984</v>
      </c>
      <c r="R10" s="49">
        <f>+'사업장별(당월)'!R10+'[4]사업장별(누계)'!R10</f>
        <v>14767.582275000001</v>
      </c>
      <c r="S10" s="50">
        <f t="shared" si="5"/>
        <v>-3571.0424789999997</v>
      </c>
      <c r="T10" s="46">
        <f>+'사업장별(당월)'!T10+'[4]사업장별(누계)'!T10</f>
        <v>2024.8810330986362</v>
      </c>
      <c r="U10" s="47">
        <f>+'사업장별(당월)'!U10+'[4]사업장별(누계)'!U10</f>
        <v>935.79926200000034</v>
      </c>
      <c r="V10" s="48">
        <f t="shared" si="6"/>
        <v>-1089.0817710986357</v>
      </c>
      <c r="W10" s="49">
        <f>+'사업장별(당월)'!W10+'[4]사업장별(누계)'!W10</f>
        <v>1880.7956440000005</v>
      </c>
      <c r="X10" s="50">
        <f t="shared" si="7"/>
        <v>-944.99638200000015</v>
      </c>
      <c r="Y10" s="46">
        <f>+[11]김포!$Q$85</f>
        <v>95728.931818181823</v>
      </c>
      <c r="Z10" s="47">
        <f>+[11]김포!$R$85</f>
        <v>97610.856292393801</v>
      </c>
      <c r="AA10" s="51">
        <f>+[12]김포!$Q$85</f>
        <v>90183.567360384215</v>
      </c>
      <c r="AB10" s="52">
        <f>+[11]김포!$Q$89</f>
        <v>71808.956495030492</v>
      </c>
      <c r="AC10" s="47">
        <f>+[11]김포!$R$89</f>
        <v>75418.587197998728</v>
      </c>
      <c r="AD10" s="53">
        <f>+[12]김포!$Q$89</f>
        <v>68439.452292166636</v>
      </c>
      <c r="AE10" s="52">
        <f t="shared" si="8"/>
        <v>23919.975323151331</v>
      </c>
      <c r="AF10" s="47">
        <f t="shared" si="8"/>
        <v>22192.269094395073</v>
      </c>
      <c r="AG10" s="53">
        <f t="shared" si="8"/>
        <v>21744.115068217579</v>
      </c>
      <c r="AH10" s="18"/>
      <c r="AI10" s="791">
        <f t="shared" si="9"/>
        <v>-0.53784975674942992</v>
      </c>
      <c r="AJ10" s="96"/>
      <c r="AK10" s="801">
        <f t="shared" si="10"/>
        <v>1881.9244742119772</v>
      </c>
      <c r="AL10" s="801">
        <f t="shared" si="11"/>
        <v>3609.6307029682357</v>
      </c>
      <c r="AM10" s="801">
        <f t="shared" si="12"/>
        <v>-1727.7062287562585</v>
      </c>
    </row>
    <row r="11" spans="2:39" s="8" customFormat="1" ht="19.5" customHeight="1" x14ac:dyDescent="0.3">
      <c r="B11" s="8" t="s">
        <v>25</v>
      </c>
      <c r="F11" s="9">
        <f t="shared" si="2"/>
        <v>0.64076431250785582</v>
      </c>
      <c r="G11" s="794">
        <f t="shared" si="0"/>
        <v>0.97644801980198026</v>
      </c>
      <c r="H11" s="80"/>
      <c r="I11" s="82" t="s">
        <v>25</v>
      </c>
      <c r="J11" s="63">
        <f>+'사업장별(당월)'!J11+'[4]사업장별(누계)'!J11</f>
        <v>202</v>
      </c>
      <c r="K11" s="64">
        <f>+'사업장별(당월)'!K11+'[4]사업장별(누계)'!K11</f>
        <v>197.24250000000001</v>
      </c>
      <c r="L11" s="65">
        <f t="shared" si="1"/>
        <v>-4.7574999999999932</v>
      </c>
      <c r="M11" s="66">
        <f>+'사업장별(당월)'!M11+'[4]사업장별(누계)'!M11</f>
        <v>232.63749999999999</v>
      </c>
      <c r="N11" s="67">
        <f t="shared" si="3"/>
        <v>-35.394999999999982</v>
      </c>
      <c r="O11" s="63">
        <f>+'사업장별(당월)'!O11+'[4]사업장별(누계)'!O11</f>
        <v>21735.209947749998</v>
      </c>
      <c r="P11" s="64">
        <f>+'사업장별(당월)'!P11+'[4]사업장별(누계)'!P11</f>
        <v>21243.855800999998</v>
      </c>
      <c r="Q11" s="65">
        <f t="shared" si="4"/>
        <v>-491.35414674999993</v>
      </c>
      <c r="R11" s="66">
        <f>+'사업장별(당월)'!R11+'[4]사업장별(누계)'!R11</f>
        <v>24056.45262</v>
      </c>
      <c r="S11" s="67">
        <f t="shared" si="5"/>
        <v>-2812.5968190000021</v>
      </c>
      <c r="T11" s="63">
        <f>+'사업장별(당월)'!T11+'[4]사업장별(누계)'!T11</f>
        <v>3200.7174369200766</v>
      </c>
      <c r="U11" s="64">
        <f>+'사업장별(당월)'!U11+'[4]사업장별(누계)'!U11</f>
        <v>2050.9055079999994</v>
      </c>
      <c r="V11" s="65">
        <f t="shared" si="6"/>
        <v>-1149.8119289200772</v>
      </c>
      <c r="W11" s="66">
        <f>+'사업장별(당월)'!W11+'[4]사업장별(누계)'!W11</f>
        <v>4218.1703369999996</v>
      </c>
      <c r="X11" s="67">
        <f t="shared" si="7"/>
        <v>-2167.2648290000002</v>
      </c>
      <c r="Y11" s="63">
        <f>+[11]부산!$Q$85</f>
        <v>107600.04924628713</v>
      </c>
      <c r="Z11" s="64">
        <f>+[11]부산!$R$85</f>
        <v>107704.25137077457</v>
      </c>
      <c r="AA11" s="68">
        <f>+[12]부산!$Q$85</f>
        <v>103407.45847079682</v>
      </c>
      <c r="AB11" s="69">
        <f>+[11]부산!$Q$89</f>
        <v>78480.034066675391</v>
      </c>
      <c r="AC11" s="64">
        <f>+[11]부산!$R$89</f>
        <v>83958.150600023713</v>
      </c>
      <c r="AD11" s="70">
        <f>+[12]부산!$Q$89</f>
        <v>74478.5025486292</v>
      </c>
      <c r="AE11" s="69">
        <f t="shared" si="8"/>
        <v>29120.015179611742</v>
      </c>
      <c r="AF11" s="64">
        <f t="shared" si="8"/>
        <v>23746.100770750854</v>
      </c>
      <c r="AG11" s="70">
        <f t="shared" si="8"/>
        <v>28928.955922167617</v>
      </c>
      <c r="AH11" s="18"/>
      <c r="AI11" s="791">
        <f t="shared" si="9"/>
        <v>-0.35923568749214418</v>
      </c>
      <c r="AJ11" s="96"/>
      <c r="AK11" s="96">
        <f t="shared" si="10"/>
        <v>104.20212448743405</v>
      </c>
      <c r="AL11" s="96">
        <f t="shared" si="11"/>
        <v>5478.1165333483223</v>
      </c>
      <c r="AM11" s="96">
        <f t="shared" si="12"/>
        <v>-5373.9144088608882</v>
      </c>
    </row>
    <row r="12" spans="2:39" s="8" customFormat="1" ht="19.5" customHeight="1" x14ac:dyDescent="0.3">
      <c r="B12" s="8" t="s">
        <v>26</v>
      </c>
      <c r="F12" s="9">
        <f t="shared" si="2"/>
        <v>0.53622785420428376</v>
      </c>
      <c r="G12" s="794">
        <f t="shared" si="0"/>
        <v>0.87047058823529422</v>
      </c>
      <c r="H12" s="80"/>
      <c r="I12" s="81" t="s">
        <v>26</v>
      </c>
      <c r="J12" s="46">
        <f>+'사업장별(당월)'!J12+'[4]사업장별(누계)'!J12</f>
        <v>238</v>
      </c>
      <c r="K12" s="47">
        <f>+'사업장별(당월)'!K12+'[4]사업장별(누계)'!K12</f>
        <v>207.17200000000003</v>
      </c>
      <c r="L12" s="48">
        <f t="shared" si="1"/>
        <v>-30.827999999999975</v>
      </c>
      <c r="M12" s="49">
        <f>+'사업장별(당월)'!M12+'[4]사업장별(누계)'!M12</f>
        <v>220.24399999999997</v>
      </c>
      <c r="N12" s="50">
        <f t="shared" si="3"/>
        <v>-13.071999999999946</v>
      </c>
      <c r="O12" s="46">
        <f>+'사업장별(당월)'!O12+'[4]사업장별(누계)'!O12</f>
        <v>24721.990760000001</v>
      </c>
      <c r="P12" s="47">
        <f>+'사업장별(당월)'!P12+'[4]사업장별(누계)'!P12</f>
        <v>20831.233748000002</v>
      </c>
      <c r="Q12" s="48">
        <f t="shared" si="4"/>
        <v>-3890.7570119999982</v>
      </c>
      <c r="R12" s="49">
        <f>+'사업장별(당월)'!R12+'[4]사업장별(누계)'!R12</f>
        <v>22118.105192000003</v>
      </c>
      <c r="S12" s="50">
        <f t="shared" si="5"/>
        <v>-1286.8714440000003</v>
      </c>
      <c r="T12" s="46">
        <f>+'사업장별(당월)'!T12+'[4]사업장별(누계)'!T12</f>
        <v>4271.6991816828686</v>
      </c>
      <c r="U12" s="47">
        <f>+'사업장별(당월)'!U12+'[4]사업장별(누계)'!U12</f>
        <v>2290.6040859999994</v>
      </c>
      <c r="V12" s="48">
        <f t="shared" si="6"/>
        <v>-1981.0950956828692</v>
      </c>
      <c r="W12" s="49">
        <f>+'사업장별(당월)'!W12+'[4]사업장별(누계)'!W12</f>
        <v>3903.0732449999996</v>
      </c>
      <c r="X12" s="50">
        <f t="shared" si="7"/>
        <v>-1612.4691590000002</v>
      </c>
      <c r="Y12" s="46">
        <f>+[11]서부산!$Q$85</f>
        <v>103873.9107563025</v>
      </c>
      <c r="Z12" s="47">
        <f>+[11]서부산!$R$85</f>
        <v>100551.51680250299</v>
      </c>
      <c r="AA12" s="51">
        <f>+[12]서부산!$Q$85</f>
        <v>100425.46081618569</v>
      </c>
      <c r="AB12" s="52">
        <f>+[11]서부산!$Q$89</f>
        <v>76880.295013937546</v>
      </c>
      <c r="AC12" s="47">
        <f>+[11]서부산!$R$89</f>
        <v>78733.007216251877</v>
      </c>
      <c r="AD12" s="53">
        <f>+[12]서부산!$Q$89</f>
        <v>73431.154393738543</v>
      </c>
      <c r="AE12" s="52">
        <f t="shared" si="8"/>
        <v>26993.615742364957</v>
      </c>
      <c r="AF12" s="47">
        <f t="shared" si="8"/>
        <v>21818.509586251108</v>
      </c>
      <c r="AG12" s="53">
        <f t="shared" si="8"/>
        <v>26994.306422447145</v>
      </c>
      <c r="AH12" s="18"/>
      <c r="AI12" s="791">
        <f t="shared" si="9"/>
        <v>-0.46377214579571624</v>
      </c>
      <c r="AJ12" s="96"/>
      <c r="AK12" s="96">
        <f t="shared" si="10"/>
        <v>-3322.3939537995175</v>
      </c>
      <c r="AL12" s="96">
        <f t="shared" si="11"/>
        <v>1852.7122023143311</v>
      </c>
      <c r="AM12" s="96">
        <f t="shared" si="12"/>
        <v>-5175.1061561138486</v>
      </c>
    </row>
    <row r="13" spans="2:39" s="8" customFormat="1" ht="19.5" customHeight="1" x14ac:dyDescent="0.3">
      <c r="B13" s="8" t="s">
        <v>27</v>
      </c>
      <c r="F13" s="9">
        <f t="shared" si="2"/>
        <v>0.50415234374587203</v>
      </c>
      <c r="G13" s="794">
        <f t="shared" si="0"/>
        <v>1.1477179487179485</v>
      </c>
      <c r="H13" s="80"/>
      <c r="I13" s="81" t="s">
        <v>27</v>
      </c>
      <c r="J13" s="46">
        <f>+'사업장별(당월)'!J13+'[4]사업장별(누계)'!J13</f>
        <v>117</v>
      </c>
      <c r="K13" s="47">
        <f>+'사업장별(당월)'!K13+'[4]사업장별(누계)'!K13</f>
        <v>134.28299999999999</v>
      </c>
      <c r="L13" s="48">
        <f t="shared" si="1"/>
        <v>17.282999999999987</v>
      </c>
      <c r="M13" s="49">
        <f>+'사업장별(당월)'!M13+'[4]사업장별(누계)'!M13</f>
        <v>132.46800000000002</v>
      </c>
      <c r="N13" s="50">
        <f t="shared" si="3"/>
        <v>1.8149999999999693</v>
      </c>
      <c r="O13" s="46">
        <f>+'사업장별(당월)'!O13+'[4]사업장별(누계)'!O13</f>
        <v>11816.988999999998</v>
      </c>
      <c r="P13" s="47">
        <f>+'사업장별(당월)'!P13+'[4]사업장별(누계)'!P13</f>
        <v>12777.261899999998</v>
      </c>
      <c r="Q13" s="48">
        <f t="shared" si="4"/>
        <v>960.27289999999994</v>
      </c>
      <c r="R13" s="49">
        <f>+'사업장별(당월)'!R13+'[4]사업장별(누계)'!R13</f>
        <v>12949.898897999999</v>
      </c>
      <c r="S13" s="50">
        <f t="shared" si="5"/>
        <v>-172.63699800000177</v>
      </c>
      <c r="T13" s="46">
        <f>+'사업장별(당월)'!T13+'[4]사업장별(누계)'!T13</f>
        <v>1428.2501448866774</v>
      </c>
      <c r="U13" s="47">
        <f>+'사업장별(당월)'!U13+'[4]사업장별(누계)'!U13</f>
        <v>720.05565799999977</v>
      </c>
      <c r="V13" s="48">
        <f t="shared" si="6"/>
        <v>-708.19448688667762</v>
      </c>
      <c r="W13" s="49">
        <f>+'사업장별(당월)'!W13+'[4]사업장별(누계)'!W13</f>
        <v>1735.7423830000002</v>
      </c>
      <c r="X13" s="50">
        <f t="shared" si="7"/>
        <v>-1015.6867250000005</v>
      </c>
      <c r="Y13" s="46">
        <f>+[11]김해!$Q$85</f>
        <v>100999.905982906</v>
      </c>
      <c r="Z13" s="47">
        <f>+[11]김해!$R$85</f>
        <v>95232.380110062877</v>
      </c>
      <c r="AA13" s="51">
        <f>+[12]김해!$Q$85</f>
        <v>97774.204878417731</v>
      </c>
      <c r="AB13" s="52">
        <f>+[11]김해!$Q$89</f>
        <v>76467.756131131086</v>
      </c>
      <c r="AC13" s="47">
        <f>+[11]김해!$R$89</f>
        <v>78745.257671957661</v>
      </c>
      <c r="AD13" s="53">
        <f>+[12]김해!$Q$89</f>
        <v>74007.21512687669</v>
      </c>
      <c r="AE13" s="52">
        <f t="shared" si="8"/>
        <v>24532.149851774913</v>
      </c>
      <c r="AF13" s="47">
        <f t="shared" si="8"/>
        <v>16487.122438105216</v>
      </c>
      <c r="AG13" s="53">
        <f t="shared" si="8"/>
        <v>23766.989751541041</v>
      </c>
      <c r="AH13" s="18"/>
      <c r="AI13" s="791">
        <f t="shared" si="9"/>
        <v>-0.49584765625412797</v>
      </c>
      <c r="AJ13" s="96"/>
      <c r="AK13" s="96">
        <f t="shared" si="10"/>
        <v>-5767.5258728431218</v>
      </c>
      <c r="AL13" s="96">
        <f t="shared" si="11"/>
        <v>2277.5015408265754</v>
      </c>
      <c r="AM13" s="96">
        <f t="shared" si="12"/>
        <v>-8045.0274136696971</v>
      </c>
    </row>
    <row r="14" spans="2:39" s="8" customFormat="1" ht="19.5" customHeight="1" x14ac:dyDescent="0.3">
      <c r="B14" s="8" t="s">
        <v>28</v>
      </c>
      <c r="F14" s="9">
        <f t="shared" si="2"/>
        <v>0.71403704557706804</v>
      </c>
      <c r="G14" s="794">
        <f t="shared" si="0"/>
        <v>1.1464505813953489</v>
      </c>
      <c r="H14" s="80"/>
      <c r="I14" s="81" t="s">
        <v>28</v>
      </c>
      <c r="J14" s="46">
        <f>+'사업장별(당월)'!J14+'[4]사업장별(누계)'!J14</f>
        <v>172</v>
      </c>
      <c r="K14" s="47">
        <f>+'사업장별(당월)'!K14+'[4]사업장별(누계)'!K14</f>
        <v>197.18950000000001</v>
      </c>
      <c r="L14" s="48">
        <f t="shared" si="1"/>
        <v>25.18950000000001</v>
      </c>
      <c r="M14" s="49">
        <f>+'사업장별(당월)'!M14+'[4]사업장별(누계)'!M14</f>
        <v>189.31599999999997</v>
      </c>
      <c r="N14" s="50">
        <f t="shared" si="3"/>
        <v>7.8735000000000355</v>
      </c>
      <c r="O14" s="46">
        <f>+'사업장별(당월)'!O14+'[4]사업장별(누계)'!O14</f>
        <v>17888</v>
      </c>
      <c r="P14" s="47">
        <f>+'사업장별(당월)'!P14+'[4]사업장별(누계)'!P14</f>
        <v>19917.169071999997</v>
      </c>
      <c r="Q14" s="48">
        <f t="shared" si="4"/>
        <v>2029.169071999997</v>
      </c>
      <c r="R14" s="49">
        <f>+'사업장별(당월)'!R14+'[4]사업장별(누계)'!R14</f>
        <v>19042.668819999999</v>
      </c>
      <c r="S14" s="50">
        <f t="shared" si="5"/>
        <v>874.500251999998</v>
      </c>
      <c r="T14" s="46">
        <f>+'사업장별(당월)'!T14+'[4]사업장별(누계)'!T14</f>
        <v>2441.0758374466868</v>
      </c>
      <c r="U14" s="47">
        <f>+'사업장별(당월)'!U14+'[4]사업장별(누계)'!U14</f>
        <v>1743.0185789999994</v>
      </c>
      <c r="V14" s="48">
        <f t="shared" si="6"/>
        <v>-698.05725844668746</v>
      </c>
      <c r="W14" s="49">
        <f>+'사업장별(당월)'!W14+'[4]사업장별(누계)'!W14</f>
        <v>2961.7645830000006</v>
      </c>
      <c r="X14" s="50">
        <f t="shared" si="7"/>
        <v>-1218.7460040000012</v>
      </c>
      <c r="Y14" s="46">
        <f>+[11]정관!$Q$85</f>
        <v>104000</v>
      </c>
      <c r="Z14" s="47">
        <f>+[11]정관!$R$85</f>
        <v>101005.2212313536</v>
      </c>
      <c r="AA14" s="51">
        <f>+[12]정관!$Q$85</f>
        <v>100586.68480212976</v>
      </c>
      <c r="AB14" s="52">
        <f>+[11]정관!$Q$89</f>
        <v>78239.792990943053</v>
      </c>
      <c r="AC14" s="47">
        <f>+[11]정관!$R$89</f>
        <v>81770.401864067055</v>
      </c>
      <c r="AD14" s="53">
        <f>+[12]정관!$Q$89</f>
        <v>74886.824484515659</v>
      </c>
      <c r="AE14" s="52">
        <f t="shared" si="8"/>
        <v>25760.207009056947</v>
      </c>
      <c r="AF14" s="47">
        <f t="shared" si="8"/>
        <v>19234.819367286545</v>
      </c>
      <c r="AG14" s="53">
        <f t="shared" si="8"/>
        <v>25699.860317614104</v>
      </c>
      <c r="AH14" s="18"/>
      <c r="AI14" s="791">
        <f t="shared" si="9"/>
        <v>-0.28596295442293196</v>
      </c>
      <c r="AJ14" s="96"/>
      <c r="AK14" s="96">
        <f t="shared" si="10"/>
        <v>-2994.7787686463998</v>
      </c>
      <c r="AL14" s="96">
        <f t="shared" si="11"/>
        <v>3530.6088731240015</v>
      </c>
      <c r="AM14" s="96">
        <f t="shared" si="12"/>
        <v>-6525.3876417704014</v>
      </c>
    </row>
    <row r="15" spans="2:39" s="8" customFormat="1" ht="19.5" customHeight="1" x14ac:dyDescent="0.3">
      <c r="B15" s="8" t="s">
        <v>29</v>
      </c>
      <c r="F15" s="9">
        <f t="shared" si="2"/>
        <v>0.78357699009259529</v>
      </c>
      <c r="G15" s="794">
        <f t="shared" si="0"/>
        <v>1.195179245283019</v>
      </c>
      <c r="H15" s="80"/>
      <c r="I15" s="81" t="s">
        <v>214</v>
      </c>
      <c r="J15" s="46">
        <f>+'사업장별(당월)'!J15+'[4]사업장별(누계)'!J15</f>
        <v>106</v>
      </c>
      <c r="K15" s="47">
        <f>+'사업장별(당월)'!K15+'[4]사업장별(누계)'!K15</f>
        <v>126.68900000000002</v>
      </c>
      <c r="L15" s="48">
        <f t="shared" si="1"/>
        <v>20.689000000000021</v>
      </c>
      <c r="M15" s="49">
        <f>+'사업장별(당월)'!M15+'[4]사업장별(누계)'!M15</f>
        <v>136.34500000000003</v>
      </c>
      <c r="N15" s="50">
        <f t="shared" si="3"/>
        <v>-9.6560000000000059</v>
      </c>
      <c r="O15" s="46">
        <f>+'사업장별(당월)'!O15+'[4]사업장별(누계)'!O15</f>
        <v>10252.732994</v>
      </c>
      <c r="P15" s="47">
        <f>+'사업장별(당월)'!P15+'[4]사업장별(누계)'!P15</f>
        <v>11748.749418000001</v>
      </c>
      <c r="Q15" s="48">
        <f t="shared" si="4"/>
        <v>1496.0164240000013</v>
      </c>
      <c r="R15" s="49">
        <f>+'사업장별(당월)'!R15+'[4]사업장별(누계)'!R15</f>
        <v>12767.742821</v>
      </c>
      <c r="S15" s="50">
        <f t="shared" si="5"/>
        <v>-1018.9934029999986</v>
      </c>
      <c r="T15" s="46">
        <f>+'사업장별(당월)'!T15+'[4]사업장별(누계)'!T15</f>
        <v>1386.1495982311185</v>
      </c>
      <c r="U15" s="47">
        <f>+'사업장별(당월)'!U15+'[4]사업장별(누계)'!U15</f>
        <v>1086.1549300000001</v>
      </c>
      <c r="V15" s="48">
        <f t="shared" si="6"/>
        <v>-299.99466823111834</v>
      </c>
      <c r="W15" s="49">
        <f>+'사업장별(당월)'!W15+'[4]사업장별(누계)'!W15</f>
        <v>1954.830375</v>
      </c>
      <c r="X15" s="50">
        <f t="shared" si="7"/>
        <v>-868.67544499999985</v>
      </c>
      <c r="Y15" s="46">
        <f>+[11]양산!$Q$85</f>
        <v>96723.896169811327</v>
      </c>
      <c r="Z15" s="47">
        <f>+[11]양산!$R$85</f>
        <v>92736.9338932346</v>
      </c>
      <c r="AA15" s="51">
        <f>+[12]양산!$Q$85</f>
        <v>93644.463509647117</v>
      </c>
      <c r="AB15" s="52">
        <f>+[11]양산!$Q$89</f>
        <v>70375.11659006284</v>
      </c>
      <c r="AC15" s="47">
        <f>+[11]양산!$R$89</f>
        <v>72990.590046963174</v>
      </c>
      <c r="AD15" s="53">
        <f>+[12]양산!$Q$89</f>
        <v>68617.621862484797</v>
      </c>
      <c r="AE15" s="52">
        <f t="shared" si="8"/>
        <v>26348.779579748487</v>
      </c>
      <c r="AF15" s="47">
        <f t="shared" si="8"/>
        <v>19746.343846271426</v>
      </c>
      <c r="AG15" s="53">
        <f t="shared" si="8"/>
        <v>25026.84164716232</v>
      </c>
      <c r="AH15" s="18"/>
      <c r="AI15" s="791">
        <f t="shared" si="9"/>
        <v>-0.21642300990740471</v>
      </c>
      <c r="AJ15" s="96"/>
      <c r="AK15" s="96">
        <f t="shared" si="10"/>
        <v>-3986.9622765767272</v>
      </c>
      <c r="AL15" s="96">
        <f t="shared" si="11"/>
        <v>2615.473456900334</v>
      </c>
      <c r="AM15" s="96">
        <f t="shared" si="12"/>
        <v>-6602.4357334770611</v>
      </c>
    </row>
    <row r="16" spans="2:39" s="8" customFormat="1" ht="19.5" customHeight="1" x14ac:dyDescent="0.3">
      <c r="B16" s="8" t="s">
        <v>30</v>
      </c>
      <c r="F16" s="9">
        <f t="shared" si="2"/>
        <v>0.9358812963857247</v>
      </c>
      <c r="G16" s="794">
        <f t="shared" si="0"/>
        <v>1.0732672955974845</v>
      </c>
      <c r="H16" s="80"/>
      <c r="I16" s="81" t="s">
        <v>30</v>
      </c>
      <c r="J16" s="46">
        <f>+'사업장별(당월)'!J16+'[4]사업장별(누계)'!J16</f>
        <v>159</v>
      </c>
      <c r="K16" s="47">
        <f>+'사업장별(당월)'!K16+'[4]사업장별(누계)'!K16</f>
        <v>170.64950000000002</v>
      </c>
      <c r="L16" s="48">
        <f t="shared" si="1"/>
        <v>11.649500000000018</v>
      </c>
      <c r="M16" s="49">
        <f>+'사업장별(당월)'!M16+'[4]사업장별(누계)'!M16</f>
        <v>197.64500000000001</v>
      </c>
      <c r="N16" s="50">
        <f t="shared" si="3"/>
        <v>-26.995499999999993</v>
      </c>
      <c r="O16" s="46">
        <f>+'사업장별(당월)'!O16+'[4]사업장별(누계)'!O16</f>
        <v>16038.0185</v>
      </c>
      <c r="P16" s="47">
        <f>+'사업장별(당월)'!P16+'[4]사업장별(누계)'!P16</f>
        <v>17191.816299999999</v>
      </c>
      <c r="Q16" s="48">
        <f t="shared" si="4"/>
        <v>1153.7977999999985</v>
      </c>
      <c r="R16" s="49">
        <f>+'사업장별(당월)'!R16+'[4]사업장별(누계)'!R16</f>
        <v>18897.740919999997</v>
      </c>
      <c r="S16" s="50">
        <f t="shared" si="5"/>
        <v>-1705.924619999998</v>
      </c>
      <c r="T16" s="46">
        <f>+'사업장별(당월)'!T16+'[4]사업장별(누계)'!T16</f>
        <v>2605.8540355686923</v>
      </c>
      <c r="U16" s="47">
        <f>+'사업장별(당월)'!U16+'[4]사업장별(누계)'!U16</f>
        <v>2438.7700530000002</v>
      </c>
      <c r="V16" s="48">
        <f t="shared" si="6"/>
        <v>-167.08398256869214</v>
      </c>
      <c r="W16" s="49">
        <f>+'사업장별(당월)'!W16+'[4]사업장별(누계)'!W16</f>
        <v>3716.2957239999987</v>
      </c>
      <c r="X16" s="50">
        <f t="shared" si="7"/>
        <v>-1277.5256709999985</v>
      </c>
      <c r="Y16" s="46">
        <f>+[11]창원!$Q$85</f>
        <v>100868.04088050315</v>
      </c>
      <c r="Z16" s="47">
        <f>+[11]창원!$R$85</f>
        <v>100743.43200536774</v>
      </c>
      <c r="AA16" s="51">
        <f>+[12]창원!$Q$85</f>
        <v>95614.566116016082</v>
      </c>
      <c r="AB16" s="52">
        <f>+[11]창원!$Q$89</f>
        <v>72318.707383128509</v>
      </c>
      <c r="AC16" s="47">
        <f>+[11]창원!$R$89</f>
        <v>74908.31970491122</v>
      </c>
      <c r="AD16" s="53">
        <f>+[12]창원!$Q$89</f>
        <v>67438.475871591654</v>
      </c>
      <c r="AE16" s="52">
        <f t="shared" si="8"/>
        <v>28549.333497374639</v>
      </c>
      <c r="AF16" s="47">
        <f t="shared" si="8"/>
        <v>25835.112300456516</v>
      </c>
      <c r="AG16" s="53">
        <f t="shared" si="8"/>
        <v>28176.090244424428</v>
      </c>
      <c r="AH16" s="18"/>
      <c r="AI16" s="791">
        <f t="shared" si="9"/>
        <v>-6.4118703614275296E-2</v>
      </c>
      <c r="AJ16" s="96"/>
      <c r="AK16" s="96">
        <f t="shared" si="10"/>
        <v>-124.60887513541093</v>
      </c>
      <c r="AL16" s="96">
        <f t="shared" si="11"/>
        <v>2589.6123217827117</v>
      </c>
      <c r="AM16" s="96">
        <f t="shared" si="12"/>
        <v>-2714.2211969181226</v>
      </c>
    </row>
    <row r="17" spans="2:39" s="8" customFormat="1" ht="19.5" customHeight="1" x14ac:dyDescent="0.3">
      <c r="B17" s="8" t="s">
        <v>87</v>
      </c>
      <c r="F17" s="9">
        <f t="shared" si="2"/>
        <v>0.82351154614638966</v>
      </c>
      <c r="G17" s="794">
        <f t="shared" si="0"/>
        <v>0.98973333333333324</v>
      </c>
      <c r="H17" s="80"/>
      <c r="I17" s="81" t="s">
        <v>87</v>
      </c>
      <c r="J17" s="46">
        <f>+'사업장별(당월)'!J17+'[4]사업장별(누계)'!J17</f>
        <v>157.5</v>
      </c>
      <c r="K17" s="47">
        <f>+'사업장별(당월)'!K17+'[4]사업장별(누계)'!K17</f>
        <v>155.88299999999998</v>
      </c>
      <c r="L17" s="48">
        <f t="shared" si="1"/>
        <v>-1.6170000000000186</v>
      </c>
      <c r="M17" s="49">
        <f>+'사업장별(당월)'!M17+'[4]사업장별(누계)'!M17</f>
        <v>196.53749999999997</v>
      </c>
      <c r="N17" s="50">
        <f t="shared" si="3"/>
        <v>-40.654499999999985</v>
      </c>
      <c r="O17" s="46">
        <f>+'사업장별(당월)'!O17+'[4]사업장별(누계)'!O17</f>
        <v>15399.580000000002</v>
      </c>
      <c r="P17" s="47">
        <f>+'사업장별(당월)'!P17+'[4]사업장별(누계)'!P17</f>
        <v>15602.772502</v>
      </c>
      <c r="Q17" s="48">
        <f t="shared" si="4"/>
        <v>203.19250199999806</v>
      </c>
      <c r="R17" s="49">
        <f>+'사업장별(당월)'!R17+'[4]사업장별(누계)'!R17</f>
        <v>18322.760300000002</v>
      </c>
      <c r="S17" s="50">
        <f t="shared" si="5"/>
        <v>-2719.9877980000019</v>
      </c>
      <c r="T17" s="46">
        <f>+'사업장별(당월)'!T17+'[4]사업장별(누계)'!T17</f>
        <v>2691.7702142405092</v>
      </c>
      <c r="U17" s="47">
        <f>+'사업장별(당월)'!U17+'[4]사업장별(누계)'!U17</f>
        <v>2216.7038510000002</v>
      </c>
      <c r="V17" s="48">
        <f t="shared" si="6"/>
        <v>-475.06636324050896</v>
      </c>
      <c r="W17" s="49">
        <f>+'사업장별(당월)'!W17+'[4]사업장별(누계)'!W17</f>
        <v>3478.8907820000004</v>
      </c>
      <c r="X17" s="50">
        <f t="shared" si="7"/>
        <v>-1262.1869310000002</v>
      </c>
      <c r="Y17" s="46">
        <f>+[11]대구!$Q$85</f>
        <v>97775.111111111109</v>
      </c>
      <c r="Z17" s="47">
        <f>+[11]대구!$R$85</f>
        <v>100092.59959071867</v>
      </c>
      <c r="AA17" s="51">
        <f>+[12]대구!$Q$85</f>
        <v>93226.218680963066</v>
      </c>
      <c r="AB17" s="52">
        <f>+[11]대구!$Q$89</f>
        <v>69700.835923184859</v>
      </c>
      <c r="AC17" s="47">
        <f>+[11]대구!$R$89</f>
        <v>74637.952341555399</v>
      </c>
      <c r="AD17" s="53">
        <f>+[12]대구!$Q$89</f>
        <v>66869.782901928018</v>
      </c>
      <c r="AE17" s="52">
        <f t="shared" si="8"/>
        <v>28074.275187926251</v>
      </c>
      <c r="AF17" s="47">
        <f t="shared" si="8"/>
        <v>25454.647249163274</v>
      </c>
      <c r="AG17" s="53">
        <f t="shared" si="8"/>
        <v>26356.435779035048</v>
      </c>
      <c r="AH17" s="18"/>
      <c r="AI17" s="791">
        <f t="shared" si="9"/>
        <v>-0.17648845385361034</v>
      </c>
      <c r="AJ17" s="96"/>
      <c r="AK17" s="96">
        <f t="shared" si="10"/>
        <v>2317.4884796075639</v>
      </c>
      <c r="AL17" s="96">
        <f t="shared" si="11"/>
        <v>4937.1164183705405</v>
      </c>
      <c r="AM17" s="96">
        <f t="shared" si="12"/>
        <v>-2619.6279387629766</v>
      </c>
    </row>
    <row r="18" spans="2:39" s="8" customFormat="1" ht="19.5" customHeight="1" x14ac:dyDescent="0.3">
      <c r="B18" s="8" t="s">
        <v>88</v>
      </c>
      <c r="F18" s="9">
        <f t="shared" si="2"/>
        <v>2.3218620011562034</v>
      </c>
      <c r="G18" s="794">
        <f t="shared" si="0"/>
        <v>1.264813953488372</v>
      </c>
      <c r="H18" s="80"/>
      <c r="I18" s="83" t="s">
        <v>88</v>
      </c>
      <c r="J18" s="10">
        <f>+'사업장별(당월)'!J18+'[4]사업장별(누계)'!J18</f>
        <v>86</v>
      </c>
      <c r="K18" s="11">
        <f>+'사업장별(당월)'!K18+'[4]사업장별(누계)'!K18</f>
        <v>108.774</v>
      </c>
      <c r="L18" s="12">
        <f t="shared" si="1"/>
        <v>22.774000000000001</v>
      </c>
      <c r="M18" s="13">
        <f>+'사업장별(당월)'!M18+'[4]사업장별(누계)'!M18</f>
        <v>87.673500000000004</v>
      </c>
      <c r="N18" s="14">
        <f t="shared" si="3"/>
        <v>21.100499999999997</v>
      </c>
      <c r="O18" s="10">
        <f>+'사업장별(당월)'!O18+'[4]사업장별(누계)'!O18</f>
        <v>8626.7117400000006</v>
      </c>
      <c r="P18" s="11">
        <f>+'사업장별(당월)'!P18+'[4]사업장별(누계)'!P18</f>
        <v>11248.414042</v>
      </c>
      <c r="Q18" s="12">
        <f t="shared" si="4"/>
        <v>2621.7023019999997</v>
      </c>
      <c r="R18" s="13">
        <f>+'사업장별(당월)'!R18+'[4]사업장별(누계)'!R18</f>
        <v>8324.3358499999995</v>
      </c>
      <c r="S18" s="14">
        <f t="shared" si="5"/>
        <v>2924.0781920000009</v>
      </c>
      <c r="T18" s="10">
        <f>+'사업장별(당월)'!T18+'[4]사업장별(누계)'!T18</f>
        <v>533.27451518799421</v>
      </c>
      <c r="U18" s="11">
        <f>+'사업장별(당월)'!U18+'[4]사업장별(누계)'!U18</f>
        <v>1238.1898330000004</v>
      </c>
      <c r="V18" s="12">
        <f t="shared" si="6"/>
        <v>704.91531781200615</v>
      </c>
      <c r="W18" s="13">
        <f>+'사업장별(당월)'!W18+'[4]사업장별(누계)'!W18</f>
        <v>562.4173340000001</v>
      </c>
      <c r="X18" s="14">
        <f t="shared" si="7"/>
        <v>675.77249900000027</v>
      </c>
      <c r="Y18" s="10">
        <f>+[11]울산!$Q$85</f>
        <v>100310.60162790696</v>
      </c>
      <c r="Z18" s="11">
        <f>+[11]울산!$R$85</f>
        <v>103410.8706308493</v>
      </c>
      <c r="AA18" s="15">
        <f>+[12]울산!$Q$85</f>
        <v>94955.037484633911</v>
      </c>
      <c r="AB18" s="16">
        <f>+[11]울산!$Q$89</f>
        <v>78507.322682950966</v>
      </c>
      <c r="AC18" s="11">
        <f>+[11]울산!$R$89</f>
        <v>80071.378177975814</v>
      </c>
      <c r="AD18" s="17">
        <f>+[12]울산!$Q$89</f>
        <v>73992.920311446404</v>
      </c>
      <c r="AE18" s="16">
        <f t="shared" si="8"/>
        <v>21803.278944955993</v>
      </c>
      <c r="AF18" s="11">
        <f t="shared" si="8"/>
        <v>23339.492452873485</v>
      </c>
      <c r="AG18" s="17">
        <f t="shared" si="8"/>
        <v>20962.117173187507</v>
      </c>
      <c r="AH18" s="18"/>
      <c r="AI18" s="791">
        <f t="shared" si="9"/>
        <v>1.3218620011562034</v>
      </c>
      <c r="AJ18" s="9">
        <f>+U18/T18</f>
        <v>2.3218620011562034</v>
      </c>
      <c r="AK18" s="96">
        <f t="shared" si="10"/>
        <v>3100.2690029423393</v>
      </c>
      <c r="AL18" s="96">
        <f t="shared" si="11"/>
        <v>1564.0554950248479</v>
      </c>
      <c r="AM18" s="96">
        <f t="shared" si="12"/>
        <v>1536.2135079174914</v>
      </c>
    </row>
    <row r="19" spans="2:39" s="8" customFormat="1" ht="19.5" customHeight="1" x14ac:dyDescent="0.3">
      <c r="B19" s="8" t="s">
        <v>93</v>
      </c>
      <c r="F19" s="9">
        <f t="shared" si="2"/>
        <v>1.166717121314965</v>
      </c>
      <c r="G19" s="794">
        <f t="shared" si="0"/>
        <v>1.1869399999999999</v>
      </c>
      <c r="H19" s="80"/>
      <c r="I19" s="81" t="s">
        <v>31</v>
      </c>
      <c r="J19" s="46">
        <f>+'사업장별(당월)'!J19+'[4]사업장별(누계)'!J19</f>
        <v>225</v>
      </c>
      <c r="K19" s="47">
        <f>+'사업장별(당월)'!K19+'[4]사업장별(누계)'!K19</f>
        <v>267.06149999999997</v>
      </c>
      <c r="L19" s="48">
        <f t="shared" si="1"/>
        <v>42.061499999999967</v>
      </c>
      <c r="M19" s="49">
        <f>+'사업장별(당월)'!M19+'[4]사업장별(누계)'!M19</f>
        <v>253.79000000000002</v>
      </c>
      <c r="N19" s="50">
        <f t="shared" si="3"/>
        <v>13.271499999999946</v>
      </c>
      <c r="O19" s="46">
        <f>+'사업장별(당월)'!O19+'[4]사업장별(누계)'!O19</f>
        <v>22725.008399999999</v>
      </c>
      <c r="P19" s="47">
        <f>+'사업장별(당월)'!P19+'[4]사업장별(누계)'!P19</f>
        <v>26913.525007</v>
      </c>
      <c r="Q19" s="48">
        <f t="shared" si="4"/>
        <v>4188.5166070000014</v>
      </c>
      <c r="R19" s="49">
        <f>+'사업장별(당월)'!R19+'[4]사업장별(누계)'!R19</f>
        <v>24269.712783000003</v>
      </c>
      <c r="S19" s="50">
        <f t="shared" si="5"/>
        <v>2643.8122239999975</v>
      </c>
      <c r="T19" s="46">
        <f>+'사업장별(당월)'!T19+'[4]사업장별(누계)'!T19</f>
        <v>3327.8563484385872</v>
      </c>
      <c r="U19" s="47">
        <f>+'사업장별(당월)'!U19+'[4]사업장별(누계)'!U19</f>
        <v>3882.6669789999992</v>
      </c>
      <c r="V19" s="48">
        <f t="shared" si="6"/>
        <v>554.81063056141193</v>
      </c>
      <c r="W19" s="49">
        <f>+'사업장별(당월)'!W19+'[4]사업장별(누계)'!W19</f>
        <v>4029.9734799999997</v>
      </c>
      <c r="X19" s="50">
        <f t="shared" si="7"/>
        <v>-147.30650100000048</v>
      </c>
      <c r="Y19" s="46">
        <f>+[11]아산!$Q$85</f>
        <v>101000.03733333333</v>
      </c>
      <c r="Z19" s="47">
        <f>+[11]아산!$R$85</f>
        <v>100725.63408039347</v>
      </c>
      <c r="AA19" s="51">
        <f>+[12]아산!$Q$85</f>
        <v>95701.368582119132</v>
      </c>
      <c r="AB19" s="52">
        <f>+[11]아산!$Q$89</f>
        <v>76666.503941697694</v>
      </c>
      <c r="AC19" s="47">
        <f>+[11]아산!$R$89</f>
        <v>76735.5377352285</v>
      </c>
      <c r="AD19" s="53">
        <f>+[12]아산!$Q$89</f>
        <v>70878.996040723985</v>
      </c>
      <c r="AE19" s="52">
        <f t="shared" si="8"/>
        <v>24333.533391635632</v>
      </c>
      <c r="AF19" s="47">
        <f t="shared" si="8"/>
        <v>23990.096345164973</v>
      </c>
      <c r="AG19" s="53">
        <f t="shared" si="8"/>
        <v>24822.372541395147</v>
      </c>
      <c r="AH19" s="18"/>
      <c r="AI19" s="791">
        <f t="shared" si="9"/>
        <v>0.16671712131496497</v>
      </c>
      <c r="AJ19" s="9">
        <f>+U19/T19</f>
        <v>1.166717121314965</v>
      </c>
    </row>
    <row r="20" spans="2:39" s="8" customFormat="1" ht="19.5" customHeight="1" x14ac:dyDescent="0.3">
      <c r="B20" s="8" t="s">
        <v>89</v>
      </c>
      <c r="F20" s="9">
        <f t="shared" si="2"/>
        <v>0.29197048872347275</v>
      </c>
      <c r="G20" s="794">
        <f t="shared" si="0"/>
        <v>0.72777777777777763</v>
      </c>
      <c r="H20" s="80"/>
      <c r="I20" s="81" t="s">
        <v>89</v>
      </c>
      <c r="J20" s="46">
        <f>+'사업장별(당월)'!J20+'[4]사업장별(누계)'!J20</f>
        <v>117</v>
      </c>
      <c r="K20" s="47">
        <f>+'사업장별(당월)'!K20+'[4]사업장별(누계)'!K20</f>
        <v>85.149999999999977</v>
      </c>
      <c r="L20" s="48">
        <f t="shared" si="1"/>
        <v>-31.850000000000023</v>
      </c>
      <c r="M20" s="49">
        <f>+'사업장별(당월)'!M20+'[4]사업장별(누계)'!M20</f>
        <v>106.8875</v>
      </c>
      <c r="N20" s="50">
        <f t="shared" si="3"/>
        <v>-21.737500000000026</v>
      </c>
      <c r="O20" s="46">
        <f>+'사업장별(당월)'!O20+'[4]사업장별(누계)'!O20</f>
        <v>12000.543737000002</v>
      </c>
      <c r="P20" s="47">
        <f>+'사업장별(당월)'!P20+'[4]사업장별(누계)'!P20</f>
        <v>8192.7088019999992</v>
      </c>
      <c r="Q20" s="48">
        <f t="shared" si="4"/>
        <v>-3807.8349350000026</v>
      </c>
      <c r="R20" s="49">
        <f>+'사업장별(당월)'!R20+'[4]사업장별(누계)'!R20</f>
        <v>10523.994306000001</v>
      </c>
      <c r="S20" s="50">
        <f t="shared" si="5"/>
        <v>-2331.2855040000013</v>
      </c>
      <c r="T20" s="46">
        <f>+'사업장별(당월)'!T20+'[4]사업장별(누계)'!T20</f>
        <v>1935.5284962900018</v>
      </c>
      <c r="U20" s="47">
        <f>+'사업장별(당월)'!U20+'[4]사업장별(누계)'!U20</f>
        <v>565.11720100000014</v>
      </c>
      <c r="V20" s="48">
        <f t="shared" si="6"/>
        <v>-1370.4112952900018</v>
      </c>
      <c r="W20" s="49">
        <f>+'사업장별(당월)'!W20+'[4]사업장별(누계)'!W20</f>
        <v>1711.9862740000001</v>
      </c>
      <c r="X20" s="50">
        <f t="shared" si="7"/>
        <v>-1146.8690729999998</v>
      </c>
      <c r="Y20" s="46">
        <f>+[11]전주!$Q$85</f>
        <v>102568.74988888889</v>
      </c>
      <c r="Z20" s="47">
        <f>+[11]전주!$R$85</f>
        <v>96216.462650092813</v>
      </c>
      <c r="AA20" s="51">
        <f>+[12]전주!$Q$85</f>
        <v>98558.928687081367</v>
      </c>
      <c r="AB20" s="52">
        <f>+[11]전주!$Q$89</f>
        <v>73535.696797543322</v>
      </c>
      <c r="AC20" s="47">
        <f>+[11]전주!$R$89</f>
        <v>72048.068991028238</v>
      </c>
      <c r="AD20" s="53">
        <f>+[12]전주!$Q$89</f>
        <v>69161.80069198925</v>
      </c>
      <c r="AE20" s="52">
        <f t="shared" si="8"/>
        <v>29033.053091345573</v>
      </c>
      <c r="AF20" s="47">
        <f t="shared" si="8"/>
        <v>24168.393659064575</v>
      </c>
      <c r="AG20" s="53">
        <f t="shared" si="8"/>
        <v>29397.127995092116</v>
      </c>
      <c r="AH20" s="18"/>
      <c r="AI20" s="791">
        <f t="shared" si="9"/>
        <v>-0.70802951127652725</v>
      </c>
      <c r="AJ20" s="9"/>
    </row>
    <row r="21" spans="2:39" s="8" customFormat="1" ht="19.5" customHeight="1" x14ac:dyDescent="0.3">
      <c r="B21" s="8" t="s">
        <v>90</v>
      </c>
      <c r="F21" s="9">
        <f t="shared" si="2"/>
        <v>1.4932692350392973</v>
      </c>
      <c r="G21" s="794">
        <f t="shared" si="0"/>
        <v>1.2967651515151513</v>
      </c>
      <c r="H21" s="80"/>
      <c r="I21" s="81" t="s">
        <v>90</v>
      </c>
      <c r="J21" s="46">
        <f>+'사업장별(당월)'!J21+'[4]사업장별(누계)'!J21</f>
        <v>66</v>
      </c>
      <c r="K21" s="47">
        <f>+'사업장별(당월)'!K21+'[4]사업장별(누계)'!K21</f>
        <v>85.586499999999987</v>
      </c>
      <c r="L21" s="48">
        <f t="shared" si="1"/>
        <v>19.586499999999987</v>
      </c>
      <c r="M21" s="49">
        <f>+'사업장별(당월)'!M21+'[4]사업장별(누계)'!M21</f>
        <v>79.293499999999995</v>
      </c>
      <c r="N21" s="50">
        <f t="shared" si="3"/>
        <v>6.2929999999999922</v>
      </c>
      <c r="O21" s="46">
        <f>+'사업장별(당월)'!O21+'[4]사업장별(누계)'!O21</f>
        <v>7194.0116049999988</v>
      </c>
      <c r="P21" s="47">
        <f>+'사업장별(당월)'!P21+'[4]사업장별(누계)'!P21</f>
        <v>9687.7000860000007</v>
      </c>
      <c r="Q21" s="48">
        <f t="shared" si="4"/>
        <v>2493.688481000002</v>
      </c>
      <c r="R21" s="49">
        <f>+'사업장별(당월)'!R21+'[4]사업장별(누계)'!R21</f>
        <v>7868.0584580000004</v>
      </c>
      <c r="S21" s="50">
        <f t="shared" si="5"/>
        <v>1819.6416280000003</v>
      </c>
      <c r="T21" s="46">
        <f>+'사업장별(당월)'!T21+'[4]사업장별(누계)'!T21</f>
        <v>1801.833611692397</v>
      </c>
      <c r="U21" s="47">
        <f>+'사업장별(당월)'!U21+'[4]사업장별(누계)'!U21</f>
        <v>2690.622699</v>
      </c>
      <c r="V21" s="48">
        <f t="shared" si="6"/>
        <v>888.78908730760304</v>
      </c>
      <c r="W21" s="49">
        <f>+'사업장별(당월)'!W21+'[4]사업장별(누계)'!W21</f>
        <v>1858.4387099999999</v>
      </c>
      <c r="X21" s="50">
        <f t="shared" si="7"/>
        <v>832.18398900000011</v>
      </c>
      <c r="Y21" s="46">
        <f>+[11]군산!$Q$85</f>
        <v>109000.17583333331</v>
      </c>
      <c r="Z21" s="47">
        <f>+[11]군산!$R$85</f>
        <v>113207.38480075337</v>
      </c>
      <c r="AA21" s="51">
        <f>+[12]군산!$Q$85</f>
        <v>99099.075514577809</v>
      </c>
      <c r="AB21" s="52">
        <f>+[11]군산!$Q$89</f>
        <v>69674.672254885911</v>
      </c>
      <c r="AC21" s="47">
        <f>+[11]군산!$R$89</f>
        <v>72302.133567271987</v>
      </c>
      <c r="AD21" s="53">
        <f>+[12]군산!$Q$89</f>
        <v>65120.757015335024</v>
      </c>
      <c r="AE21" s="52">
        <f t="shared" si="8"/>
        <v>39325.503578447402</v>
      </c>
      <c r="AF21" s="47">
        <f t="shared" si="8"/>
        <v>40905.25123348138</v>
      </c>
      <c r="AG21" s="53">
        <f t="shared" si="8"/>
        <v>33978.318499242785</v>
      </c>
      <c r="AH21" s="18"/>
      <c r="AI21" s="791">
        <f t="shared" si="9"/>
        <v>0.49326923503929732</v>
      </c>
      <c r="AJ21" s="9">
        <f>+U21/T21</f>
        <v>1.4932692350392973</v>
      </c>
    </row>
    <row r="22" spans="2:39" s="8" customFormat="1" ht="19.5" customHeight="1" x14ac:dyDescent="0.3">
      <c r="B22" s="8" t="s">
        <v>91</v>
      </c>
      <c r="F22" s="9">
        <f t="shared" si="2"/>
        <v>1.3721453637043406</v>
      </c>
      <c r="G22" s="794">
        <f t="shared" si="0"/>
        <v>1.0964117647058822</v>
      </c>
      <c r="H22" s="80"/>
      <c r="I22" s="81" t="s">
        <v>91</v>
      </c>
      <c r="J22" s="46">
        <f>+'사업장별(당월)'!J22+'[4]사업장별(누계)'!J22</f>
        <v>51</v>
      </c>
      <c r="K22" s="47">
        <f>+'사업장별(당월)'!K22+'[4]사업장별(누계)'!K22</f>
        <v>55.916999999999994</v>
      </c>
      <c r="L22" s="48">
        <f t="shared" si="1"/>
        <v>4.9169999999999945</v>
      </c>
      <c r="M22" s="49">
        <f>+'사업장별(당월)'!M22+'[4]사업장별(누계)'!M22</f>
        <v>46.862499999999997</v>
      </c>
      <c r="N22" s="50">
        <f t="shared" si="3"/>
        <v>9.0544999999999973</v>
      </c>
      <c r="O22" s="46">
        <f>+'사업장별(당월)'!O22+'[4]사업장별(누계)'!O22</f>
        <v>5502.9</v>
      </c>
      <c r="P22" s="47">
        <f>+'사업장별(당월)'!P22+'[4]사업장별(누계)'!P22</f>
        <v>6269.2926670000006</v>
      </c>
      <c r="Q22" s="48">
        <f t="shared" si="4"/>
        <v>766.39266700000098</v>
      </c>
      <c r="R22" s="49">
        <f>+'사업장별(당월)'!R22+'[4]사업장별(누계)'!R22</f>
        <v>4762.4040459999997</v>
      </c>
      <c r="S22" s="50">
        <f t="shared" si="5"/>
        <v>1506.888621000001</v>
      </c>
      <c r="T22" s="46">
        <f>+'사업장별(당월)'!T22+'[4]사업장별(누계)'!T22</f>
        <v>898.60092277051172</v>
      </c>
      <c r="U22" s="47">
        <f>+'사업장별(당월)'!U22+'[4]사업장별(누계)'!U22</f>
        <v>1233.01109</v>
      </c>
      <c r="V22" s="48">
        <f t="shared" si="6"/>
        <v>334.41016722948825</v>
      </c>
      <c r="W22" s="49">
        <f>+'사업장별(당월)'!W22+'[4]사업장별(누계)'!W22</f>
        <v>787.38374700000008</v>
      </c>
      <c r="X22" s="50">
        <f t="shared" si="7"/>
        <v>445.62734299999988</v>
      </c>
      <c r="Y22" s="46">
        <f>+[11]원주!$Q$85</f>
        <v>107900</v>
      </c>
      <c r="Z22" s="47">
        <f>+[11]원주!$R$85</f>
        <v>112123.11157039581</v>
      </c>
      <c r="AA22" s="51">
        <f>+[12]원주!$Q$85</f>
        <v>101631.96785718118</v>
      </c>
      <c r="AB22" s="52">
        <f>+[11]원주!$Q$89</f>
        <v>73308.323675443651</v>
      </c>
      <c r="AC22" s="47">
        <f>+[11]원주!$R$89</f>
        <v>73820.926222174516</v>
      </c>
      <c r="AD22" s="53">
        <f>+[12]원주!$Q$89</f>
        <v>67795.495671576151</v>
      </c>
      <c r="AE22" s="52">
        <f t="shared" si="8"/>
        <v>34591.676324556349</v>
      </c>
      <c r="AF22" s="47">
        <f t="shared" si="8"/>
        <v>38302.18534822129</v>
      </c>
      <c r="AG22" s="53">
        <f t="shared" si="8"/>
        <v>33836.472185605031</v>
      </c>
      <c r="AH22" s="18"/>
      <c r="AI22" s="791">
        <f t="shared" si="9"/>
        <v>0.37214536370434059</v>
      </c>
      <c r="AJ22" s="9">
        <f>+U22/T22</f>
        <v>1.3721453637043406</v>
      </c>
    </row>
    <row r="23" spans="2:39" s="8" customFormat="1" ht="19.5" customHeight="1" x14ac:dyDescent="0.3">
      <c r="B23" s="8" t="s">
        <v>92</v>
      </c>
      <c r="F23" s="9">
        <f t="shared" si="2"/>
        <v>0.30317586933923457</v>
      </c>
      <c r="G23" s="794">
        <f>+K23/J23</f>
        <v>0.61616964285714282</v>
      </c>
      <c r="H23" s="80"/>
      <c r="I23" s="81" t="s">
        <v>92</v>
      </c>
      <c r="J23" s="46">
        <f>+'사업장별(당월)'!J23+'[4]사업장별(누계)'!J23</f>
        <v>56</v>
      </c>
      <c r="K23" s="47">
        <f>+'사업장별(당월)'!K23+'[4]사업장별(누계)'!K23</f>
        <v>34.505499999999998</v>
      </c>
      <c r="L23" s="48">
        <f t="shared" si="1"/>
        <v>-21.494500000000002</v>
      </c>
      <c r="M23" s="49">
        <f>+'사업장별(당월)'!M23+'[4]사업장별(누계)'!M23</f>
        <v>70.688999999999993</v>
      </c>
      <c r="N23" s="50">
        <f t="shared" si="3"/>
        <v>-36.183499999999995</v>
      </c>
      <c r="O23" s="46">
        <f>+'사업장별(당월)'!O23+'[4]사업장별(누계)'!O23</f>
        <v>7099.0000000000018</v>
      </c>
      <c r="P23" s="47">
        <f>+'사업장별(당월)'!P23+'[4]사업장별(누계)'!P23</f>
        <v>4295.7206310000001</v>
      </c>
      <c r="Q23" s="48">
        <f t="shared" si="4"/>
        <v>-2803.2793690000017</v>
      </c>
      <c r="R23" s="49">
        <f>+'사업장별(당월)'!R23+'[4]사업장별(누계)'!R23</f>
        <v>8431.171330000001</v>
      </c>
      <c r="S23" s="50">
        <f t="shared" si="5"/>
        <v>-4135.4506990000009</v>
      </c>
      <c r="T23" s="46">
        <f>+'사업장별(당월)'!T23+'[4]사업장별(누계)'!T23</f>
        <v>1088.5941771002599</v>
      </c>
      <c r="U23" s="47">
        <f>+'사업장별(당월)'!U23+'[4]사업장별(누계)'!U23</f>
        <v>330.03548599999999</v>
      </c>
      <c r="V23" s="48">
        <f t="shared" si="6"/>
        <v>-758.55869110025992</v>
      </c>
      <c r="W23" s="49">
        <f>+'사업장별(당월)'!W23+'[4]사업장별(누계)'!W23</f>
        <v>1657.3817610000001</v>
      </c>
      <c r="X23" s="50">
        <f t="shared" si="7"/>
        <v>-1327.3462750000001</v>
      </c>
      <c r="Y23" s="46">
        <f>+[11]제주!$Q$85</f>
        <v>126767.85714285714</v>
      </c>
      <c r="Z23" s="47">
        <f>+[11]제주!$R$85</f>
        <v>124493.79464143398</v>
      </c>
      <c r="AA23" s="51">
        <f>+[12]제주!$Q$85</f>
        <v>119315.54289757906</v>
      </c>
      <c r="AB23" s="52">
        <f>+[11]제주!$Q$89</f>
        <v>90729.147433127771</v>
      </c>
      <c r="AC23" s="47">
        <f>+[11]제주!$R$89</f>
        <v>89288.003928705541</v>
      </c>
      <c r="AD23" s="53">
        <f>+[12]제주!$Q$89</f>
        <v>83798.376691928017</v>
      </c>
      <c r="AE23" s="52">
        <f t="shared" si="8"/>
        <v>36038.709709729374</v>
      </c>
      <c r="AF23" s="47">
        <f t="shared" si="8"/>
        <v>35205.790712728442</v>
      </c>
      <c r="AG23" s="53">
        <f t="shared" si="8"/>
        <v>35517.166205651039</v>
      </c>
      <c r="AH23" s="18"/>
      <c r="AI23" s="791">
        <f t="shared" si="9"/>
        <v>-0.69682413066076543</v>
      </c>
      <c r="AJ23" s="9">
        <f>+U23/T23</f>
        <v>0.30317586933923457</v>
      </c>
    </row>
    <row r="24" spans="2:39" s="8" customFormat="1" ht="19.5" customHeight="1" x14ac:dyDescent="0.3">
      <c r="F24" s="9">
        <f t="shared" si="2"/>
        <v>0.53872498288995796</v>
      </c>
      <c r="G24" s="794">
        <f t="shared" ref="G24:G26" si="13">+K24/J24</f>
        <v>0.89211383928571442</v>
      </c>
      <c r="H24" s="80"/>
      <c r="I24" s="84" t="s">
        <v>55</v>
      </c>
      <c r="J24" s="23">
        <f>SUM(J7:J10)</f>
        <v>1120</v>
      </c>
      <c r="K24" s="20">
        <f>SUM(K7:K10)</f>
        <v>999.16750000000013</v>
      </c>
      <c r="L24" s="21">
        <f t="shared" si="1"/>
        <v>-120.83249999999987</v>
      </c>
      <c r="M24" s="25">
        <f>SUM(M7:M10)</f>
        <v>1250.1300000000001</v>
      </c>
      <c r="N24" s="22">
        <f t="shared" si="3"/>
        <v>-250.96249999999998</v>
      </c>
      <c r="O24" s="23">
        <f>SUM(O7:O10)</f>
        <v>111779.55094871049</v>
      </c>
      <c r="P24" s="20">
        <f>SUM(P7:P10)</f>
        <v>98402.640736999994</v>
      </c>
      <c r="Q24" s="21">
        <f t="shared" si="4"/>
        <v>-13376.910211710492</v>
      </c>
      <c r="R24" s="25">
        <f>SUM(R7:R10)</f>
        <v>116981.148434</v>
      </c>
      <c r="S24" s="22">
        <f t="shared" si="5"/>
        <v>-18578.507697000008</v>
      </c>
      <c r="T24" s="23">
        <f>SUM(T7:T10)</f>
        <v>14455.020706920988</v>
      </c>
      <c r="U24" s="20">
        <f>SUM(U7:U10)</f>
        <v>7787.2807830099973</v>
      </c>
      <c r="V24" s="21">
        <f t="shared" si="6"/>
        <v>-6667.7399239109909</v>
      </c>
      <c r="W24" s="25">
        <f>SUM(W7:W10)</f>
        <v>15224.040396989998</v>
      </c>
      <c r="X24" s="22">
        <f t="shared" si="7"/>
        <v>-7436.7596139800007</v>
      </c>
      <c r="Y24" s="23">
        <f>+[11]수도권!$Q$85</f>
        <v>99803.170489920085</v>
      </c>
      <c r="Z24" s="20">
        <f>+[11]수도권!$R$85</f>
        <v>98493.09848149601</v>
      </c>
      <c r="AA24" s="24">
        <f>+[12]수도권!$Q$85</f>
        <v>93556.64405330352</v>
      </c>
      <c r="AB24" s="29">
        <f>+[11]수도권!$Q$89</f>
        <v>78024.452575101706</v>
      </c>
      <c r="AC24" s="20">
        <f>+[11]수도권!$R$89</f>
        <v>80768.41748770143</v>
      </c>
      <c r="AD24" s="30">
        <f>+[12]수도권!$Q$89</f>
        <v>73503.886594778334</v>
      </c>
      <c r="AE24" s="29">
        <f t="shared" si="8"/>
        <v>21778.717914818379</v>
      </c>
      <c r="AF24" s="20">
        <f t="shared" si="8"/>
        <v>17724.68099379458</v>
      </c>
      <c r="AG24" s="30">
        <f t="shared" si="8"/>
        <v>20052.757458525186</v>
      </c>
      <c r="AH24" s="18"/>
      <c r="AI24" s="791">
        <f t="shared" si="9"/>
        <v>-0.46127501711004204</v>
      </c>
      <c r="AJ24" s="96"/>
      <c r="AK24" s="96">
        <f t="shared" ref="AK24:AK27" si="14">+Z24-Y24</f>
        <v>-1310.0720084240747</v>
      </c>
      <c r="AL24" s="96">
        <f t="shared" ref="AL24:AL27" si="15">+AC24-AB24</f>
        <v>2743.9649125997239</v>
      </c>
      <c r="AM24" s="96">
        <f t="shared" ref="AM24:AM27" si="16">+AF24-AE24</f>
        <v>-4054.0369210237986</v>
      </c>
    </row>
    <row r="25" spans="2:39" s="8" customFormat="1" ht="19.5" customHeight="1" x14ac:dyDescent="0.3">
      <c r="F25" s="9">
        <f t="shared" si="2"/>
        <v>0.74274248385126262</v>
      </c>
      <c r="G25" s="794">
        <f t="shared" si="13"/>
        <v>1.0487939393939396</v>
      </c>
      <c r="H25" s="80"/>
      <c r="I25" s="84" t="s">
        <v>56</v>
      </c>
      <c r="J25" s="23">
        <f>SUM(J11:J18)</f>
        <v>1237.5</v>
      </c>
      <c r="K25" s="20">
        <f>SUM(K11:K18)</f>
        <v>1297.8825000000002</v>
      </c>
      <c r="L25" s="21">
        <f t="shared" si="1"/>
        <v>60.382500000000164</v>
      </c>
      <c r="M25" s="25">
        <f>SUM(M11:M18)</f>
        <v>1392.8665000000001</v>
      </c>
      <c r="N25" s="22">
        <f t="shared" si="3"/>
        <v>-94.983999999999924</v>
      </c>
      <c r="O25" s="23">
        <f>SUM(O11:O18)</f>
        <v>126479.23294175002</v>
      </c>
      <c r="P25" s="20">
        <f>SUM(P11:P18)</f>
        <v>130561.27278300001</v>
      </c>
      <c r="Q25" s="21">
        <f t="shared" si="4"/>
        <v>4082.0398412499926</v>
      </c>
      <c r="R25" s="25">
        <f>SUM(R11:R18)</f>
        <v>136479.70542099999</v>
      </c>
      <c r="S25" s="22">
        <f t="shared" si="5"/>
        <v>-5918.4326379999839</v>
      </c>
      <c r="T25" s="23">
        <f>SUM(T11:T18)</f>
        <v>18558.790964164622</v>
      </c>
      <c r="U25" s="20">
        <f>SUM(U11:U18)</f>
        <v>13784.402497999999</v>
      </c>
      <c r="V25" s="21">
        <f t="shared" si="6"/>
        <v>-4774.3884661646225</v>
      </c>
      <c r="W25" s="25">
        <f>SUM(W11:W18)</f>
        <v>22531.184763000001</v>
      </c>
      <c r="X25" s="22">
        <f t="shared" si="7"/>
        <v>-8746.7822650000016</v>
      </c>
      <c r="Y25" s="23">
        <f>+[11]영남권!$Q$85</f>
        <v>102205.44076101009</v>
      </c>
      <c r="Z25" s="20">
        <f>+[11]영남권!$R$85</f>
        <v>100612.36251198559</v>
      </c>
      <c r="AA25" s="24">
        <f>+[12]영남권!$Q$85</f>
        <v>97990.153760396817</v>
      </c>
      <c r="AB25" s="29">
        <f>+[11]영남권!$Q$89</f>
        <v>75347.391674884522</v>
      </c>
      <c r="AC25" s="20">
        <f>+[11]영남권!$R$89</f>
        <v>78551.337188436839</v>
      </c>
      <c r="AD25" s="30">
        <f>+[12]영남권!$Q$89</f>
        <v>71653.220434005256</v>
      </c>
      <c r="AE25" s="29">
        <f t="shared" si="8"/>
        <v>26858.049086125568</v>
      </c>
      <c r="AF25" s="20">
        <f t="shared" si="8"/>
        <v>22061.025323548747</v>
      </c>
      <c r="AG25" s="30">
        <f t="shared" si="8"/>
        <v>26336.933326391561</v>
      </c>
      <c r="AH25" s="18"/>
      <c r="AI25" s="791">
        <f t="shared" si="9"/>
        <v>-0.25725751614873738</v>
      </c>
      <c r="AJ25" s="96"/>
      <c r="AK25" s="96">
        <f t="shared" si="14"/>
        <v>-1593.0782490245037</v>
      </c>
      <c r="AL25" s="96">
        <f t="shared" si="15"/>
        <v>3203.9455135523167</v>
      </c>
      <c r="AM25" s="96">
        <f t="shared" si="16"/>
        <v>-4797.0237625768204</v>
      </c>
    </row>
    <row r="26" spans="2:39" s="8" customFormat="1" ht="19.5" customHeight="1" x14ac:dyDescent="0.3">
      <c r="F26" s="9">
        <f t="shared" si="2"/>
        <v>0.96123021787401353</v>
      </c>
      <c r="G26" s="794">
        <f t="shared" si="13"/>
        <v>1.0256708737864075</v>
      </c>
      <c r="H26" s="80"/>
      <c r="I26" s="84" t="s">
        <v>170</v>
      </c>
      <c r="J26" s="23">
        <f>SUM(J19:J23)</f>
        <v>515</v>
      </c>
      <c r="K26" s="20">
        <f>SUM(K19:K23)</f>
        <v>528.2204999999999</v>
      </c>
      <c r="L26" s="21">
        <f t="shared" si="1"/>
        <v>13.220499999999902</v>
      </c>
      <c r="M26" s="25">
        <f>SUM(M19:M23)</f>
        <v>557.52250000000004</v>
      </c>
      <c r="N26" s="22">
        <f t="shared" si="3"/>
        <v>-29.302000000000135</v>
      </c>
      <c r="O26" s="23">
        <f>SUM(O19:O23)</f>
        <v>54521.463742</v>
      </c>
      <c r="P26" s="20">
        <f>SUM(P19:P23)</f>
        <v>55358.947193</v>
      </c>
      <c r="Q26" s="21">
        <f t="shared" si="4"/>
        <v>837.48345100000006</v>
      </c>
      <c r="R26" s="25">
        <f>SUM(R19:R23)</f>
        <v>55855.340922999996</v>
      </c>
      <c r="S26" s="22">
        <f t="shared" si="5"/>
        <v>-496.39372999999614</v>
      </c>
      <c r="T26" s="23">
        <f>SUM(T19:T23)</f>
        <v>9052.4135562917581</v>
      </c>
      <c r="U26" s="20">
        <f>SUM(U19:U23)</f>
        <v>8701.4534550000008</v>
      </c>
      <c r="V26" s="21">
        <f t="shared" si="6"/>
        <v>-350.96010129175738</v>
      </c>
      <c r="W26" s="25">
        <f>SUM(W19:W23)</f>
        <v>10045.163972</v>
      </c>
      <c r="X26" s="22">
        <f t="shared" si="7"/>
        <v>-1343.7105169999995</v>
      </c>
      <c r="Y26" s="23">
        <f>+[11]중부권!$Q$85</f>
        <v>105866.91988737864</v>
      </c>
      <c r="Z26" s="20">
        <f>+[11]중부권!$R$85</f>
        <v>104789.04081212259</v>
      </c>
      <c r="AA26" s="24">
        <f>+[12]중부권!$Q$85</f>
        <v>100302.93906643338</v>
      </c>
      <c r="AB26" s="29">
        <f>+[11]중부권!$Q$89</f>
        <v>76255.776785863694</v>
      </c>
      <c r="AC26" s="20">
        <f>+[11]중부권!$R$89</f>
        <v>75774.714353729374</v>
      </c>
      <c r="AD26" s="30">
        <f>+[12]중부권!$Q$89</f>
        <v>71126.195315094577</v>
      </c>
      <c r="AE26" s="29">
        <f t="shared" si="8"/>
        <v>29611.143101514943</v>
      </c>
      <c r="AF26" s="20">
        <f t="shared" si="8"/>
        <v>29014.326458393218</v>
      </c>
      <c r="AG26" s="30">
        <f t="shared" si="8"/>
        <v>29176.743751338799</v>
      </c>
      <c r="AH26" s="18"/>
      <c r="AI26" s="791">
        <f t="shared" si="9"/>
        <v>-3.8769782125986474E-2</v>
      </c>
      <c r="AJ26" s="96"/>
      <c r="AK26" s="96">
        <f t="shared" si="14"/>
        <v>-1077.8790752560453</v>
      </c>
      <c r="AL26" s="96">
        <f t="shared" si="15"/>
        <v>-481.06243213432026</v>
      </c>
      <c r="AM26" s="96">
        <f t="shared" si="16"/>
        <v>-596.81664312172506</v>
      </c>
    </row>
    <row r="27" spans="2:39" s="3" customFormat="1" ht="19.5" customHeight="1" x14ac:dyDescent="0.3">
      <c r="B27" s="26"/>
      <c r="F27" s="9">
        <f t="shared" si="2"/>
        <v>0.71965422550696934</v>
      </c>
      <c r="G27" s="794">
        <f>+K27/J27</f>
        <v>0.98355805047867717</v>
      </c>
      <c r="H27" s="629" t="s">
        <v>115</v>
      </c>
      <c r="I27" s="630"/>
      <c r="J27" s="631">
        <f>SUM(J24:J26)</f>
        <v>2872.5</v>
      </c>
      <c r="K27" s="632">
        <f>SUM(K24:K26)</f>
        <v>2825.2705000000001</v>
      </c>
      <c r="L27" s="633">
        <f t="shared" si="1"/>
        <v>-47.229499999999916</v>
      </c>
      <c r="M27" s="634">
        <f>SUM(M24:M26)</f>
        <v>3200.5190000000002</v>
      </c>
      <c r="N27" s="635">
        <f t="shared" si="3"/>
        <v>-375.24850000000015</v>
      </c>
      <c r="O27" s="631">
        <f>SUM(O24:O26)</f>
        <v>292780.24763246049</v>
      </c>
      <c r="P27" s="632">
        <f>SUM(P24:P26)</f>
        <v>284322.860713</v>
      </c>
      <c r="Q27" s="633">
        <f t="shared" si="4"/>
        <v>-8457.3869194604922</v>
      </c>
      <c r="R27" s="634">
        <f>SUM(R24:R26)</f>
        <v>309316.194778</v>
      </c>
      <c r="S27" s="635">
        <f t="shared" si="5"/>
        <v>-24993.334065000003</v>
      </c>
      <c r="T27" s="631">
        <f>SUM(T24:T26)</f>
        <v>42066.22522737737</v>
      </c>
      <c r="U27" s="632">
        <f>SUM(U24:U26)</f>
        <v>30273.136736009998</v>
      </c>
      <c r="V27" s="633">
        <f t="shared" si="6"/>
        <v>-11793.088491367373</v>
      </c>
      <c r="W27" s="634">
        <f>SUM(W24:W26)</f>
        <v>47800.389131989999</v>
      </c>
      <c r="X27" s="635">
        <f t="shared" si="7"/>
        <v>-17527.252395980002</v>
      </c>
      <c r="Y27" s="631">
        <f>+[11]합계!$Q$85</f>
        <v>101925.23851434657</v>
      </c>
      <c r="Z27" s="632">
        <f>+[11]합계!$R$85</f>
        <v>100644.43346398899</v>
      </c>
      <c r="AA27" s="636">
        <f>+[12]합계!$Q$85</f>
        <v>96655.163699046534</v>
      </c>
      <c r="AB27" s="637">
        <f>+[11]합계!$Q$89</f>
        <v>76554.050174587741</v>
      </c>
      <c r="AC27" s="632">
        <f>+[11]합계!$R$89</f>
        <v>78814.918034747985</v>
      </c>
      <c r="AD27" s="638">
        <f>+[12]합계!$Q$89</f>
        <v>72284.89120703665</v>
      </c>
      <c r="AE27" s="637">
        <f t="shared" si="8"/>
        <v>25371.188339758824</v>
      </c>
      <c r="AF27" s="632">
        <f t="shared" si="8"/>
        <v>21829.515429241001</v>
      </c>
      <c r="AG27" s="638">
        <f t="shared" si="8"/>
        <v>24370.272492009884</v>
      </c>
      <c r="AH27" s="27"/>
      <c r="AI27" s="791">
        <f t="shared" si="9"/>
        <v>-0.28034577449303066</v>
      </c>
      <c r="AJ27" s="96"/>
      <c r="AK27" s="96">
        <f t="shared" si="14"/>
        <v>-1280.8050503575796</v>
      </c>
      <c r="AL27" s="96">
        <f t="shared" si="15"/>
        <v>2260.8678601602442</v>
      </c>
      <c r="AM27" s="96">
        <f t="shared" si="16"/>
        <v>-3541.6729105178238</v>
      </c>
    </row>
    <row r="28" spans="2:39" s="8" customFormat="1" ht="19.5" customHeight="1" x14ac:dyDescent="0.3">
      <c r="B28" s="8" t="s">
        <v>3</v>
      </c>
      <c r="E28" s="8" t="s">
        <v>201</v>
      </c>
      <c r="G28" s="794">
        <f>+K28/J28</f>
        <v>1.2041461495844876</v>
      </c>
      <c r="H28" s="835" t="s">
        <v>3</v>
      </c>
      <c r="I28" s="836"/>
      <c r="J28" s="167">
        <f>+'사업장별(당월)'!J28+'[4]사업장별(누계)'!J28</f>
        <v>72200</v>
      </c>
      <c r="K28" s="168">
        <f>+'사업장별(당월)'!K28+'[4]사업장별(누계)'!K28</f>
        <v>86939.351999999999</v>
      </c>
      <c r="L28" s="169">
        <f>+K28-J28</f>
        <v>14739.351999999999</v>
      </c>
      <c r="M28" s="170">
        <f>+'사업장별(당월)'!M28+'[4]사업장별(누계)'!M28</f>
        <v>78625.76400000001</v>
      </c>
      <c r="N28" s="171">
        <f>+K28-M28</f>
        <v>8313.5879999999888</v>
      </c>
      <c r="O28" s="167">
        <f>+'사업장별(당월)'!O28+'[4]사업장별(누계)'!O28</f>
        <v>88286.96</v>
      </c>
      <c r="P28" s="168">
        <f>+'사업장별(당월)'!P28+'[4]사업장별(누계)'!P28</f>
        <v>86611.076326000009</v>
      </c>
      <c r="Q28" s="169">
        <f>+P28-O28</f>
        <v>-1675.883673999997</v>
      </c>
      <c r="R28" s="170">
        <f>+'사업장별(당월)'!R28+'[4]사업장별(누계)'!R28</f>
        <v>96340.743948999996</v>
      </c>
      <c r="S28" s="171">
        <f t="shared" si="5"/>
        <v>-9729.6676229999866</v>
      </c>
      <c r="T28" s="167">
        <f>+'사업장별(당월)'!T28+'[4]사업장별(누계)'!T28</f>
        <v>995.65509880000991</v>
      </c>
      <c r="U28" s="168">
        <f>+'사업장별(당월)'!U28+'[4]사업장별(누계)'!U28</f>
        <v>483.50369900000305</v>
      </c>
      <c r="V28" s="169">
        <f t="shared" si="6"/>
        <v>-512.15139980000686</v>
      </c>
      <c r="W28" s="170">
        <f>+'사업장별(당월)'!W28+'[4]사업장별(누계)'!W28</f>
        <v>770.09028300000193</v>
      </c>
      <c r="X28" s="171">
        <f t="shared" si="7"/>
        <v>-286.58658399999888</v>
      </c>
      <c r="Y28" s="649" t="s">
        <v>174</v>
      </c>
      <c r="Z28" s="650"/>
      <c r="AA28" s="650"/>
      <c r="AB28" s="650"/>
      <c r="AC28" s="650"/>
      <c r="AD28" s="650"/>
      <c r="AE28" s="650"/>
      <c r="AF28" s="650"/>
      <c r="AG28" s="651"/>
      <c r="AH28" s="18"/>
      <c r="AI28" s="19"/>
    </row>
    <row r="29" spans="2:39" s="8" customFormat="1" ht="19.5" customHeight="1" x14ac:dyDescent="0.3">
      <c r="B29" s="8" t="s">
        <v>193</v>
      </c>
      <c r="C29" s="79" t="s">
        <v>61</v>
      </c>
      <c r="G29" s="794">
        <f>+P28/O28</f>
        <v>0.98101776667811424</v>
      </c>
      <c r="H29" s="86" t="s">
        <v>1</v>
      </c>
      <c r="I29" s="79" t="s">
        <v>223</v>
      </c>
      <c r="J29" s="56">
        <f>+'사업장별(당월)'!J29+'[4]사업장별(누계)'!J29</f>
        <v>241.69907001943503</v>
      </c>
      <c r="K29" s="57">
        <f>+'사업장별(당월)'!K29+'[4]사업장별(누계)'!K29</f>
        <v>189.82599999999999</v>
      </c>
      <c r="L29" s="38">
        <f t="shared" si="1"/>
        <v>-51.873070019435033</v>
      </c>
      <c r="M29" s="38">
        <f>+'사업장별(당월)'!M29+'[4]사업장별(누계)'!M29</f>
        <v>253.22</v>
      </c>
      <c r="N29" s="58">
        <f t="shared" si="3"/>
        <v>-63.394000000000005</v>
      </c>
      <c r="O29" s="56">
        <f>+'사업장별(당월)'!O29+'[4]사업장별(누계)'!O29</f>
        <v>7064.4799663017311</v>
      </c>
      <c r="P29" s="57">
        <f>+'사업장별(당월)'!P29+'[4]사업장별(누계)'!P29</f>
        <v>5582.8735799999995</v>
      </c>
      <c r="Q29" s="38">
        <f t="shared" si="4"/>
        <v>-1481.6063863017316</v>
      </c>
      <c r="R29" s="38">
        <f>+'사업장별(당월)'!R29+'[4]사업장별(누계)'!R29</f>
        <v>7404.1349</v>
      </c>
      <c r="S29" s="58">
        <f t="shared" si="5"/>
        <v>-1821.2613200000005</v>
      </c>
      <c r="T29" s="56">
        <f>+'사업장별(당월)'!T29+'[4]사업장별(누계)'!T29</f>
        <v>373.11916645935872</v>
      </c>
      <c r="U29" s="57">
        <f>+'사업장별(당월)'!U29+'[4]사업장별(누계)'!U29</f>
        <v>359.15471935601562</v>
      </c>
      <c r="V29" s="38">
        <f t="shared" si="6"/>
        <v>-13.964447103343105</v>
      </c>
      <c r="W29" s="38">
        <f>+'사업장별(당월)'!W29+'[4]사업장별(누계)'!W29</f>
        <v>314.73467102000001</v>
      </c>
      <c r="X29" s="58">
        <f t="shared" si="7"/>
        <v>44.420048336015611</v>
      </c>
      <c r="Y29" s="800" t="s">
        <v>235</v>
      </c>
      <c r="Z29" s="587"/>
      <c r="AA29" s="587"/>
      <c r="AB29" s="587"/>
      <c r="AC29" s="799"/>
      <c r="AD29" s="587"/>
      <c r="AE29" s="587"/>
      <c r="AF29" s="587"/>
      <c r="AG29" s="51"/>
      <c r="AH29" s="18"/>
      <c r="AI29" s="782">
        <f>+T29/100</f>
        <v>3.7311916645935872</v>
      </c>
      <c r="AJ29" s="782">
        <f t="shared" ref="AJ29:AJ31" si="17">+U29/100</f>
        <v>3.5915471935601562</v>
      </c>
      <c r="AK29" s="782">
        <f t="shared" ref="AK29:AK31" si="18">+V29/100</f>
        <v>-0.13964447103343106</v>
      </c>
    </row>
    <row r="30" spans="2:39" s="8" customFormat="1" ht="19.5" customHeight="1" x14ac:dyDescent="0.3">
      <c r="B30" s="8" t="s">
        <v>194</v>
      </c>
      <c r="C30" s="81" t="s">
        <v>62</v>
      </c>
      <c r="G30" s="792"/>
      <c r="H30" s="85"/>
      <c r="I30" s="81" t="s">
        <v>219</v>
      </c>
      <c r="J30" s="54">
        <f>+'사업장별(당월)'!J30+'[4]사업장별(누계)'!J30</f>
        <v>324.18405688000001</v>
      </c>
      <c r="K30" s="59">
        <f>+'사업장별(당월)'!K30+'[4]사업장별(누계)'!K30</f>
        <v>169.89000000000001</v>
      </c>
      <c r="L30" s="48">
        <f t="shared" si="1"/>
        <v>-154.29405688</v>
      </c>
      <c r="M30" s="48">
        <f>+'사업장별(당월)'!M30+'[4]사업장별(누계)'!M30</f>
        <v>335.34399999999999</v>
      </c>
      <c r="N30" s="60">
        <f t="shared" si="3"/>
        <v>-165.45399999999998</v>
      </c>
      <c r="O30" s="54">
        <f>+'사업장별(당월)'!O30+'[4]사업장별(누계)'!O30</f>
        <v>4073.7045198666669</v>
      </c>
      <c r="P30" s="59">
        <f>+'사업장별(당월)'!P30+'[4]사업장별(누계)'!P30</f>
        <v>2387.739</v>
      </c>
      <c r="Q30" s="48">
        <f t="shared" si="4"/>
        <v>-1685.9655198666669</v>
      </c>
      <c r="R30" s="48">
        <f>+'사업장별(당월)'!R30+'[4]사업장별(누계)'!R30</f>
        <v>3999.7240000000002</v>
      </c>
      <c r="S30" s="60">
        <f t="shared" si="5"/>
        <v>-1611.9850000000001</v>
      </c>
      <c r="T30" s="54">
        <f>+'사업장별(당월)'!T30+'[4]사업장별(누계)'!T30</f>
        <v>833.30819495356661</v>
      </c>
      <c r="U30" s="59">
        <f>+'사업장별(당월)'!U30+'[4]사업장별(누계)'!U30</f>
        <v>-56.57352440336831</v>
      </c>
      <c r="V30" s="48">
        <f t="shared" si="6"/>
        <v>-889.88171935693492</v>
      </c>
      <c r="W30" s="48">
        <f>+'사업장별(당월)'!W30+'[4]사업장별(누계)'!W30</f>
        <v>698.14652700000022</v>
      </c>
      <c r="X30" s="60">
        <f t="shared" si="7"/>
        <v>-754.72005140336853</v>
      </c>
      <c r="Y30" s="628" t="s">
        <v>236</v>
      </c>
      <c r="Z30" s="587"/>
      <c r="AA30" s="587"/>
      <c r="AB30" s="799"/>
      <c r="AC30" s="587"/>
      <c r="AD30" s="799"/>
      <c r="AE30" s="587"/>
      <c r="AF30" s="587"/>
      <c r="AG30" s="51"/>
      <c r="AH30" s="18"/>
      <c r="AI30" s="782">
        <f t="shared" ref="AI30:AI31" si="19">+T30/100</f>
        <v>8.3330819495356661</v>
      </c>
      <c r="AJ30" s="782">
        <f t="shared" si="17"/>
        <v>-0.56573524403368314</v>
      </c>
      <c r="AK30" s="782">
        <f t="shared" si="18"/>
        <v>-8.8988171935693501</v>
      </c>
      <c r="AL30" s="98"/>
    </row>
    <row r="31" spans="2:39" s="8" customFormat="1" ht="19.5" customHeight="1" x14ac:dyDescent="0.3">
      <c r="B31" s="8" t="s">
        <v>176</v>
      </c>
      <c r="C31" s="83" t="s">
        <v>176</v>
      </c>
      <c r="G31" s="792"/>
      <c r="H31" s="85"/>
      <c r="I31" s="83" t="s">
        <v>221</v>
      </c>
      <c r="J31" s="54">
        <f>+'사업장별(당월)'!J31+'[4]사업장별(누계)'!J31</f>
        <v>414.57653564530023</v>
      </c>
      <c r="K31" s="59">
        <f>+'사업장별(당월)'!K31+'[4]사업장별(누계)'!K31</f>
        <v>354.589</v>
      </c>
      <c r="L31" s="48">
        <f t="shared" si="1"/>
        <v>-59.987535645300227</v>
      </c>
      <c r="M31" s="48">
        <f>+'사업장별(당월)'!M31+'[4]사업장별(누계)'!M31</f>
        <v>83.829000000000008</v>
      </c>
      <c r="N31" s="60">
        <f t="shared" si="3"/>
        <v>270.76</v>
      </c>
      <c r="O31" s="54">
        <f>+'사업장별(당월)'!O31+'[4]사업장별(누계)'!O31</f>
        <v>7464.3104030888571</v>
      </c>
      <c r="P31" s="59">
        <f>+'사업장별(당월)'!P31+'[4]사업장별(누계)'!P31</f>
        <v>6404.9915000000001</v>
      </c>
      <c r="Q31" s="48">
        <f t="shared" si="4"/>
        <v>-1059.318903088857</v>
      </c>
      <c r="R31" s="48">
        <f>+'사업장별(당월)'!R31+'[4]사업장별(누계)'!R31</f>
        <v>1454.364</v>
      </c>
      <c r="S31" s="60">
        <f t="shared" si="5"/>
        <v>4950.6275000000005</v>
      </c>
      <c r="T31" s="54">
        <f>+'사업장별(당월)'!T31+'[4]사업장별(누계)'!T31</f>
        <v>340.63942062312219</v>
      </c>
      <c r="U31" s="59">
        <f>+'사업장별(당월)'!U31+'[4]사업장별(누계)'!U31</f>
        <v>-306.57644768999995</v>
      </c>
      <c r="V31" s="48">
        <f t="shared" si="6"/>
        <v>-647.2158683131222</v>
      </c>
      <c r="W31" s="48">
        <f>+'사업장별(당월)'!W31+'[4]사업장별(누계)'!W31</f>
        <v>-249.31505899000001</v>
      </c>
      <c r="X31" s="60">
        <f t="shared" si="7"/>
        <v>-57.261388699999941</v>
      </c>
      <c r="Y31" s="586" t="s">
        <v>237</v>
      </c>
      <c r="Z31" s="587"/>
      <c r="AA31" s="587"/>
      <c r="AB31" s="587"/>
      <c r="AC31" s="587"/>
      <c r="AD31" s="587"/>
      <c r="AE31" s="587"/>
      <c r="AF31" s="587"/>
      <c r="AG31" s="51"/>
      <c r="AH31" s="18"/>
      <c r="AI31" s="782">
        <f t="shared" si="19"/>
        <v>3.406394206231222</v>
      </c>
      <c r="AJ31" s="782">
        <f t="shared" si="17"/>
        <v>-3.0657644768999996</v>
      </c>
      <c r="AK31" s="782">
        <f t="shared" si="18"/>
        <v>-6.4721586831312221</v>
      </c>
      <c r="AL31" s="98"/>
    </row>
    <row r="32" spans="2:39" s="3" customFormat="1" ht="19.5" customHeight="1" x14ac:dyDescent="0.3">
      <c r="G32" s="794">
        <f>+K32/J32</f>
        <v>0.72854093573422107</v>
      </c>
      <c r="H32" s="146" t="s">
        <v>42</v>
      </c>
      <c r="I32" s="147"/>
      <c r="J32" s="148">
        <f>SUM(J29:J31)</f>
        <v>980.45966254473524</v>
      </c>
      <c r="K32" s="152">
        <f>SUM(K29:K31)</f>
        <v>714.30500000000006</v>
      </c>
      <c r="L32" s="150">
        <f t="shared" si="1"/>
        <v>-266.15466254473517</v>
      </c>
      <c r="M32" s="150">
        <f>SUM(M29:M31)</f>
        <v>672.39300000000003</v>
      </c>
      <c r="N32" s="151">
        <f t="shared" si="3"/>
        <v>41.912000000000035</v>
      </c>
      <c r="O32" s="148">
        <f>SUM(O29:O31)</f>
        <v>18602.494889257257</v>
      </c>
      <c r="P32" s="152">
        <f>SUM(P29:P31)</f>
        <v>14375.604079999999</v>
      </c>
      <c r="Q32" s="150">
        <f t="shared" si="4"/>
        <v>-4226.8908092572583</v>
      </c>
      <c r="R32" s="150">
        <f>SUM(R29:R31)</f>
        <v>12858.222899999999</v>
      </c>
      <c r="S32" s="151">
        <f t="shared" si="5"/>
        <v>1517.3811800000003</v>
      </c>
      <c r="T32" s="148">
        <f>SUM(T29:T31)</f>
        <v>1547.0667820360477</v>
      </c>
      <c r="U32" s="152">
        <f>SUM(U29:U31)</f>
        <v>-3.9952527373526436</v>
      </c>
      <c r="V32" s="150">
        <f t="shared" si="6"/>
        <v>-1551.0620347734002</v>
      </c>
      <c r="W32" s="150">
        <f>SUM(W29:W31)</f>
        <v>763.56613903000027</v>
      </c>
      <c r="X32" s="151">
        <f t="shared" si="7"/>
        <v>-767.56139176735292</v>
      </c>
      <c r="Y32" s="586" t="s">
        <v>238</v>
      </c>
      <c r="Z32" s="587"/>
      <c r="AA32" s="587"/>
      <c r="AB32" s="587"/>
      <c r="AC32" s="587"/>
      <c r="AD32" s="587"/>
      <c r="AE32" s="587"/>
      <c r="AF32" s="587"/>
      <c r="AG32" s="51"/>
      <c r="AH32" s="27"/>
      <c r="AI32" s="783">
        <f>SUM(AI29:AI31)</f>
        <v>15.470667820360475</v>
      </c>
      <c r="AJ32" s="783">
        <f t="shared" ref="AJ32:AK32" si="20">SUM(AJ29:AJ31)</f>
        <v>-3.9952527373526614E-2</v>
      </c>
      <c r="AK32" s="783">
        <f t="shared" si="20"/>
        <v>-15.510620347734005</v>
      </c>
    </row>
    <row r="33" spans="2:39" s="8" customFormat="1" ht="19.5" customHeight="1" x14ac:dyDescent="0.3">
      <c r="B33" s="8" t="s">
        <v>197</v>
      </c>
      <c r="C33" s="8" t="s">
        <v>196</v>
      </c>
      <c r="D33" t="s">
        <v>195</v>
      </c>
      <c r="E33" t="s">
        <v>100</v>
      </c>
      <c r="F33"/>
      <c r="G33" s="792"/>
      <c r="H33" s="89" t="s">
        <v>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+'사업장별(당월)'!O33+'[4]사업장별(누계)'!O33</f>
        <v>908.4000000000002</v>
      </c>
      <c r="P33" s="47">
        <f>+'사업장별(당월)'!P33+'[4]사업장별(누계)'!P33</f>
        <v>908.4000000000002</v>
      </c>
      <c r="Q33" s="49">
        <f t="shared" si="4"/>
        <v>0</v>
      </c>
      <c r="R33" s="48">
        <f>+'사업장별(당월)'!R33+'[4]사업장별(누계)'!R33</f>
        <v>839.6500000000002</v>
      </c>
      <c r="S33" s="60">
        <f t="shared" si="5"/>
        <v>68.75</v>
      </c>
      <c r="T33" s="46">
        <f>+'사업장별(당월)'!T33+'[4]사업장별(누계)'!T33</f>
        <v>670.00437100000011</v>
      </c>
      <c r="U33" s="47">
        <f>+'사업장별(당월)'!U33+'[4]사업장별(누계)'!U33</f>
        <v>627.95594499999993</v>
      </c>
      <c r="V33" s="49">
        <f t="shared" si="6"/>
        <v>-42.048426000000177</v>
      </c>
      <c r="W33" s="48">
        <f>+'사업장별(당월)'!W33+'[4]사업장별(누계)'!W33</f>
        <v>546.95234000000005</v>
      </c>
      <c r="X33" s="60">
        <f t="shared" si="7"/>
        <v>81.00360499999988</v>
      </c>
      <c r="Y33" s="628"/>
      <c r="Z33" s="799"/>
      <c r="AA33" s="587"/>
      <c r="AB33" s="587"/>
      <c r="AC33" s="587"/>
      <c r="AD33" s="587"/>
      <c r="AE33" s="587"/>
      <c r="AF33" s="587"/>
      <c r="AG33" s="51"/>
      <c r="AH33" s="18"/>
      <c r="AI33" s="19"/>
    </row>
    <row r="34" spans="2:39" s="8" customFormat="1" ht="19.5" customHeight="1" x14ac:dyDescent="0.3">
      <c r="B34" s="8" t="s">
        <v>198</v>
      </c>
      <c r="C34" s="8" t="s">
        <v>199</v>
      </c>
      <c r="D34"/>
      <c r="E34" t="s">
        <v>40</v>
      </c>
      <c r="F34"/>
      <c r="G34" s="792"/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1" si="21">+K34-M34</f>
        <v>0</v>
      </c>
      <c r="O34" s="46">
        <f>+'사업장별(당월)'!O34+'[4]사업장별(누계)'!O34</f>
        <v>723.57500333333337</v>
      </c>
      <c r="P34" s="47">
        <f>+'사업장별(당월)'!P34+'[4]사업장별(누계)'!P34</f>
        <v>730.48656200000005</v>
      </c>
      <c r="Q34" s="49">
        <f>+P34-O34</f>
        <v>6.9115586666666786</v>
      </c>
      <c r="R34" s="48">
        <f>+'사업장별(당월)'!R34+'[4]사업장별(누계)'!R34</f>
        <v>943.72003200000006</v>
      </c>
      <c r="S34" s="60">
        <f t="shared" si="5"/>
        <v>-213.23347000000001</v>
      </c>
      <c r="T34" s="46">
        <f>+'사업장별(당월)'!T34+'[4]사업장별(누계)'!T34</f>
        <v>658.75848633333328</v>
      </c>
      <c r="U34" s="47">
        <f>+'사업장별(당월)'!U34+'[4]사업장별(누계)'!U34</f>
        <v>667.10723099999996</v>
      </c>
      <c r="V34" s="49">
        <f t="shared" si="6"/>
        <v>8.3487446666666756</v>
      </c>
      <c r="W34" s="48">
        <f>+'사업장별(당월)'!W34+'[4]사업장별(누계)'!W34</f>
        <v>643.72625400000004</v>
      </c>
      <c r="X34" s="60">
        <f t="shared" si="7"/>
        <v>23.380976999999916</v>
      </c>
      <c r="Y34" s="628"/>
      <c r="Z34" s="799"/>
      <c r="AA34" s="587"/>
      <c r="AB34" s="799"/>
      <c r="AC34" s="799"/>
      <c r="AD34" s="799"/>
      <c r="AE34" s="587"/>
      <c r="AF34" s="587"/>
      <c r="AG34" s="51"/>
      <c r="AH34" s="18"/>
      <c r="AI34" s="19"/>
      <c r="AM34" s="8">
        <v>16</v>
      </c>
    </row>
    <row r="35" spans="2:39" s="8" customFormat="1" ht="19.5" customHeight="1" x14ac:dyDescent="0.3">
      <c r="B35" s="8" t="s">
        <v>200</v>
      </c>
      <c r="D35"/>
      <c r="E35"/>
      <c r="F35"/>
      <c r="G35" s="5" t="s">
        <v>224</v>
      </c>
      <c r="H35" s="87"/>
      <c r="I35" s="88" t="s">
        <v>38</v>
      </c>
      <c r="J35" s="46"/>
      <c r="K35" s="47"/>
      <c r="L35" s="49">
        <f>+K35-J35</f>
        <v>0</v>
      </c>
      <c r="M35" s="48"/>
      <c r="N35" s="60">
        <f t="shared" si="21"/>
        <v>0</v>
      </c>
      <c r="O35" s="46">
        <f>+'사업장별(당월)'!O35+'[4]사업장별(누계)'!O35</f>
        <v>0</v>
      </c>
      <c r="P35" s="47">
        <f>+'사업장별(당월)'!P35+'[4]사업장별(누계)'!P35</f>
        <v>0</v>
      </c>
      <c r="Q35" s="49">
        <f t="shared" ref="Q35:Q40" si="22">+P35-O35</f>
        <v>0</v>
      </c>
      <c r="R35" s="48">
        <f>+'사업장별(당월)'!R35+'[4]사업장별(누계)'!R35</f>
        <v>0</v>
      </c>
      <c r="S35" s="60">
        <f t="shared" si="5"/>
        <v>0</v>
      </c>
      <c r="T35" s="46">
        <f>+'사업장별(당월)'!T35+'[4]사업장별(누계)'!T35</f>
        <v>-13797.862885331293</v>
      </c>
      <c r="U35" s="47">
        <f>+'사업장별(당월)'!U35+'[4]사업장별(누계)'!U35</f>
        <v>-14088.417163258409</v>
      </c>
      <c r="V35" s="49">
        <f t="shared" si="6"/>
        <v>-290.55427792711635</v>
      </c>
      <c r="W35" s="48">
        <f>+'사업장별(당월)'!W35+'[4]사업장별(누계)'!W35</f>
        <v>-11727.202179999998</v>
      </c>
      <c r="X35" s="60">
        <f t="shared" si="7"/>
        <v>-2361.2149832584109</v>
      </c>
      <c r="Y35" s="628"/>
      <c r="Z35" s="802"/>
      <c r="AA35" s="587"/>
      <c r="AB35" s="587"/>
      <c r="AC35" s="587"/>
      <c r="AD35" s="799"/>
      <c r="AE35" s="587"/>
      <c r="AF35" s="587"/>
      <c r="AG35" s="51"/>
      <c r="AH35" s="18"/>
      <c r="AK35" s="596"/>
      <c r="AL35" s="98"/>
      <c r="AM35" s="8">
        <v>1</v>
      </c>
    </row>
    <row r="36" spans="2:39" s="8" customFormat="1" ht="19.5" customHeight="1" x14ac:dyDescent="0.3">
      <c r="D36"/>
      <c r="E36"/>
      <c r="F36"/>
      <c r="G36" s="5"/>
      <c r="H36" s="87"/>
      <c r="I36" s="88" t="s">
        <v>116</v>
      </c>
      <c r="J36" s="46"/>
      <c r="K36" s="47"/>
      <c r="L36" s="49"/>
      <c r="M36" s="48"/>
      <c r="N36" s="60">
        <f t="shared" si="21"/>
        <v>0</v>
      </c>
      <c r="O36" s="46">
        <f>+'사업장별(당월)'!O36+'[4]사업장별(누계)'!O36</f>
        <v>0</v>
      </c>
      <c r="P36" s="47">
        <f>+'사업장별(당월)'!P36+'[4]사업장별(누계)'!P36</f>
        <v>0</v>
      </c>
      <c r="Q36" s="49">
        <f t="shared" si="22"/>
        <v>0</v>
      </c>
      <c r="R36" s="48">
        <f>+'사업장별(당월)'!R36+'[4]사업장별(누계)'!R36</f>
        <v>0</v>
      </c>
      <c r="S36" s="60">
        <f t="shared" si="5"/>
        <v>0</v>
      </c>
      <c r="T36" s="46">
        <f>+'사업장별(당월)'!T36+'[4]사업장별(누계)'!T36</f>
        <v>1329.7</v>
      </c>
      <c r="U36" s="47">
        <f>+'사업장별(당월)'!U36+'[4]사업장별(누계)'!U36</f>
        <v>750</v>
      </c>
      <c r="V36" s="49">
        <f t="shared" si="6"/>
        <v>-579.70000000000005</v>
      </c>
      <c r="W36" s="48">
        <f>+'사업장별(당월)'!W36+'[4]사업장별(누계)'!W36</f>
        <v>0</v>
      </c>
      <c r="X36" s="60">
        <f t="shared" si="7"/>
        <v>750</v>
      </c>
      <c r="Y36" s="628"/>
      <c r="Z36" s="587"/>
      <c r="AA36" s="587"/>
      <c r="AB36" s="587"/>
      <c r="AC36" s="587"/>
      <c r="AD36" s="587"/>
      <c r="AE36" s="587"/>
      <c r="AF36" s="587"/>
      <c r="AG36" s="51"/>
      <c r="AH36" s="18"/>
      <c r="AI36" s="19"/>
      <c r="AK36" s="98"/>
      <c r="AL36" s="98"/>
      <c r="AM36" s="8">
        <f>SUM(AM34:AM35)</f>
        <v>17</v>
      </c>
    </row>
    <row r="37" spans="2:39" s="8" customFormat="1" ht="19.5" customHeight="1" x14ac:dyDescent="0.3">
      <c r="D37"/>
      <c r="E37"/>
      <c r="F37"/>
      <c r="G37" s="5"/>
      <c r="H37" s="87"/>
      <c r="I37" s="88" t="s">
        <v>117</v>
      </c>
      <c r="J37" s="46"/>
      <c r="K37" s="47"/>
      <c r="L37" s="49"/>
      <c r="M37" s="48"/>
      <c r="N37" s="60">
        <f t="shared" si="21"/>
        <v>0</v>
      </c>
      <c r="O37" s="46">
        <f>+'사업장별(당월)'!O37+'[4]사업장별(누계)'!O37</f>
        <v>0</v>
      </c>
      <c r="P37" s="47">
        <f>+'사업장별(당월)'!P37+'[4]사업장별(누계)'!P37</f>
        <v>0</v>
      </c>
      <c r="Q37" s="49">
        <f t="shared" si="22"/>
        <v>0</v>
      </c>
      <c r="R37" s="48">
        <f>+'사업장별(당월)'!R37+'[4]사업장별(누계)'!R37</f>
        <v>0</v>
      </c>
      <c r="S37" s="60">
        <f t="shared" si="5"/>
        <v>0</v>
      </c>
      <c r="T37" s="46">
        <f>+'사업장별(당월)'!T37+'[4]사업장별(누계)'!T37</f>
        <v>0</v>
      </c>
      <c r="U37" s="47">
        <f>+'사업장별(당월)'!U37+'[4]사업장별(누계)'!U37</f>
        <v>-573.85933299999999</v>
      </c>
      <c r="V37" s="49">
        <f t="shared" si="6"/>
        <v>-573.85933299999999</v>
      </c>
      <c r="W37" s="48">
        <f>+'사업장별(당월)'!W37+'[4]사업장별(누계)'!W37</f>
        <v>-1974.2219769999999</v>
      </c>
      <c r="X37" s="60">
        <f t="shared" si="7"/>
        <v>1400.3626439999998</v>
      </c>
      <c r="Y37" s="586"/>
      <c r="Z37" s="799"/>
      <c r="AA37" s="587"/>
      <c r="AB37" s="799"/>
      <c r="AC37" s="587"/>
      <c r="AD37" s="587"/>
      <c r="AE37" s="587"/>
      <c r="AF37" s="587"/>
      <c r="AG37" s="51"/>
      <c r="AH37" s="18"/>
      <c r="AI37" s="19"/>
      <c r="AK37" s="98"/>
      <c r="AL37" s="98"/>
    </row>
    <row r="38" spans="2:39" s="8" customFormat="1" ht="19.5" customHeight="1" x14ac:dyDescent="0.3">
      <c r="D38"/>
      <c r="E38"/>
      <c r="F38"/>
      <c r="G38" s="5"/>
      <c r="H38" s="87"/>
      <c r="I38" s="88" t="s">
        <v>177</v>
      </c>
      <c r="J38" s="46"/>
      <c r="K38" s="47"/>
      <c r="L38" s="49"/>
      <c r="M38" s="48">
        <f>SUM(M54:M57)</f>
        <v>0</v>
      </c>
      <c r="N38" s="60">
        <f t="shared" si="21"/>
        <v>0</v>
      </c>
      <c r="O38" s="46">
        <f>+'사업장별(당월)'!O38+'[4]사업장별(누계)'!O38</f>
        <v>0</v>
      </c>
      <c r="P38" s="47">
        <f>+'사업장별(당월)'!P38+'[4]사업장별(누계)'!P38</f>
        <v>0</v>
      </c>
      <c r="Q38" s="49">
        <f t="shared" si="22"/>
        <v>0</v>
      </c>
      <c r="R38" s="48">
        <f>+'사업장별(당월)'!R38+'[4]사업장별(누계)'!R38</f>
        <v>188.626</v>
      </c>
      <c r="S38" s="60">
        <f t="shared" si="5"/>
        <v>-188.626</v>
      </c>
      <c r="T38" s="46">
        <f>+'사업장별(당월)'!T38+'[4]사업장별(누계)'!T38</f>
        <v>-307.40348944459635</v>
      </c>
      <c r="U38" s="47">
        <f>+'사업장별(당월)'!U38+'[4]사업장별(누계)'!U38</f>
        <v>-372.14426900000001</v>
      </c>
      <c r="V38" s="49">
        <f t="shared" si="6"/>
        <v>-64.740779555403662</v>
      </c>
      <c r="W38" s="48">
        <f>+'사업장별(당월)'!W38+'[4]사업장별(누계)'!W38</f>
        <v>-126.57776</v>
      </c>
      <c r="X38" s="60">
        <f>+U38-W38</f>
        <v>-245.566509</v>
      </c>
      <c r="Y38" s="586"/>
      <c r="Z38" s="587"/>
      <c r="AA38" s="587"/>
      <c r="AB38" s="587"/>
      <c r="AC38" s="587"/>
      <c r="AD38" s="587"/>
      <c r="AE38" s="587"/>
      <c r="AF38" s="587"/>
      <c r="AG38" s="51"/>
      <c r="AH38" s="18"/>
      <c r="AI38" s="19"/>
      <c r="AK38" s="98"/>
      <c r="AL38" s="98"/>
    </row>
    <row r="39" spans="2:39" s="8" customFormat="1" ht="19.5" customHeight="1" x14ac:dyDescent="0.3">
      <c r="B39" t="s">
        <v>39</v>
      </c>
      <c r="D39"/>
      <c r="G39" s="792"/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21"/>
        <v>0</v>
      </c>
      <c r="O39" s="46">
        <f>+'사업장별(당월)'!O39+'[4]사업장별(누계)'!O39</f>
        <v>17.7</v>
      </c>
      <c r="P39" s="47">
        <f>+'사업장별(당월)'!P39+'[4]사업장별(누계)'!P39</f>
        <v>17.484400000002239</v>
      </c>
      <c r="Q39" s="55">
        <f t="shared" si="22"/>
        <v>-0.21559999999776025</v>
      </c>
      <c r="R39" s="61">
        <f>+'사업장별(당월)'!R39+'[4]사업장별(누계)'!R39</f>
        <v>-16.495799999989575</v>
      </c>
      <c r="S39" s="62">
        <f t="shared" si="5"/>
        <v>33.980199999991811</v>
      </c>
      <c r="T39" s="46">
        <f>+'사업장별(당월)'!T39+'[4]사업장별(누계)'!T39</f>
        <v>-632.64664300000391</v>
      </c>
      <c r="U39" s="47">
        <f>+'사업장별(당월)'!U39+'[4]사업장별(누계)'!U39</f>
        <v>-216.18682199999819</v>
      </c>
      <c r="V39" s="49">
        <f t="shared" si="6"/>
        <v>416.45982100000572</v>
      </c>
      <c r="W39" s="61">
        <f>+'사업장별(당월)'!W39+'[4]사업장별(누계)'!W39</f>
        <v>-224.82613699998521</v>
      </c>
      <c r="X39" s="60">
        <f t="shared" si="7"/>
        <v>8.6393149999870218</v>
      </c>
      <c r="Y39" s="595"/>
      <c r="Z39" s="799"/>
      <c r="AA39" s="587"/>
      <c r="AB39" s="587"/>
      <c r="AC39" s="587"/>
      <c r="AD39" s="587"/>
      <c r="AE39" s="587"/>
      <c r="AF39" s="587"/>
      <c r="AG39" s="51"/>
      <c r="AH39" s="18"/>
      <c r="AI39" s="19">
        <v>118774940</v>
      </c>
      <c r="AJ39" s="8">
        <v>-63907430</v>
      </c>
    </row>
    <row r="40" spans="2:39" s="8" customFormat="1" ht="19.5" customHeight="1" x14ac:dyDescent="0.3">
      <c r="G40" s="792"/>
      <c r="H40" s="87"/>
      <c r="I40" s="88"/>
      <c r="J40" s="46"/>
      <c r="K40" s="47"/>
      <c r="L40" s="55"/>
      <c r="M40" s="61"/>
      <c r="N40" s="62">
        <f t="shared" si="21"/>
        <v>0</v>
      </c>
      <c r="O40" s="46">
        <f>+'사업장별(당월)'!O40+'[4]사업장별(누계)'!O40</f>
        <v>0</v>
      </c>
      <c r="P40" s="47">
        <f>+'사업장별(당월)'!P40+'[4]사업장별(누계)'!P40</f>
        <v>0</v>
      </c>
      <c r="Q40" s="55">
        <f t="shared" si="22"/>
        <v>0</v>
      </c>
      <c r="R40" s="61">
        <f>+'사업장별(당월)'!R40+'[4]사업장별(누계)'!R40</f>
        <v>0</v>
      </c>
      <c r="S40" s="62">
        <f t="shared" si="5"/>
        <v>0</v>
      </c>
      <c r="T40" s="46">
        <f>+'사업장별(당월)'!T40+'[4]사업장별(누계)'!T40</f>
        <v>0</v>
      </c>
      <c r="U40" s="47">
        <f>+'사업장별(당월)'!U40+'[4]사업장별(누계)'!U40</f>
        <v>0</v>
      </c>
      <c r="V40" s="49">
        <f t="shared" si="6"/>
        <v>0</v>
      </c>
      <c r="W40" s="61">
        <f>+'사업장별(당월)'!W40+'[4]사업장별(누계)'!W40</f>
        <v>0</v>
      </c>
      <c r="X40" s="60"/>
      <c r="Y40" s="786"/>
      <c r="Z40" s="587"/>
      <c r="AA40" s="587"/>
      <c r="AB40" s="587"/>
      <c r="AC40" s="587"/>
      <c r="AD40" s="587"/>
      <c r="AE40" s="587"/>
      <c r="AF40" s="587"/>
      <c r="AG40" s="51"/>
      <c r="AH40" s="31"/>
      <c r="AI40" s="8">
        <v>173503008</v>
      </c>
      <c r="AJ40" s="8">
        <v>-310726527</v>
      </c>
    </row>
    <row r="41" spans="2:39" s="3" customFormat="1" ht="19.5" customHeight="1" x14ac:dyDescent="0.3">
      <c r="D41" s="657"/>
      <c r="G41" s="796"/>
      <c r="H41" s="146" t="s">
        <v>118</v>
      </c>
      <c r="I41" s="147"/>
      <c r="J41" s="646">
        <f>SUM(J33:J40)</f>
        <v>0</v>
      </c>
      <c r="K41" s="647">
        <f>SUM(K33:K40)</f>
        <v>0</v>
      </c>
      <c r="L41" s="647">
        <f>+K41-J41</f>
        <v>0</v>
      </c>
      <c r="M41" s="647">
        <f>SUM(M33:M40)</f>
        <v>0</v>
      </c>
      <c r="N41" s="648">
        <f t="shared" si="21"/>
        <v>0</v>
      </c>
      <c r="O41" s="148">
        <f>SUM(O33:O40)</f>
        <v>1649.6750033333335</v>
      </c>
      <c r="P41" s="149">
        <f>SUM(P33:P40)</f>
        <v>1656.3709620000025</v>
      </c>
      <c r="Q41" s="153">
        <f t="shared" si="4"/>
        <v>6.6959586666689574</v>
      </c>
      <c r="R41" s="154">
        <f>SUM(R33:R40)</f>
        <v>1955.5002320000106</v>
      </c>
      <c r="S41" s="155">
        <f>+P41-R41</f>
        <v>-299.12927000000809</v>
      </c>
      <c r="T41" s="148">
        <f>SUM(T33:T40)</f>
        <v>-12079.450160442559</v>
      </c>
      <c r="U41" s="149">
        <f>SUM(U33:U40)</f>
        <v>-13205.544411258408</v>
      </c>
      <c r="V41" s="153">
        <f>+U41-T41</f>
        <v>-1126.0942508158496</v>
      </c>
      <c r="W41" s="154">
        <f>SUM(W33:W40)</f>
        <v>-12862.149459999984</v>
      </c>
      <c r="X41" s="155">
        <f>+U41-W41</f>
        <v>-343.39495125842404</v>
      </c>
      <c r="Y41" s="787"/>
      <c r="Z41" s="589"/>
      <c r="AA41" s="589"/>
      <c r="AB41" s="589"/>
      <c r="AC41" s="589"/>
      <c r="AD41" s="589"/>
      <c r="AE41" s="589"/>
      <c r="AF41" s="589"/>
      <c r="AG41" s="590"/>
      <c r="AH41" s="26"/>
      <c r="AI41" s="3">
        <v>786272300</v>
      </c>
    </row>
    <row r="42" spans="2:39" s="8" customFormat="1" ht="19.5" customHeight="1" x14ac:dyDescent="0.3">
      <c r="G42" s="792"/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/>
      <c r="V42" s="32"/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  <c r="AI42" s="19">
        <v>95057490</v>
      </c>
    </row>
    <row r="43" spans="2:39" s="3" customFormat="1" ht="19.5" customHeight="1" x14ac:dyDescent="0.3">
      <c r="G43" s="797">
        <f>+P43/O43</f>
        <v>0.9642343075169475</v>
      </c>
      <c r="H43" s="639" t="s">
        <v>41</v>
      </c>
      <c r="I43" s="640"/>
      <c r="J43" s="652"/>
      <c r="K43" s="653"/>
      <c r="L43" s="653"/>
      <c r="M43" s="653"/>
      <c r="N43" s="654"/>
      <c r="O43" s="641">
        <f>+O27+O32+O28+O41</f>
        <v>401319.37752505107</v>
      </c>
      <c r="P43" s="642">
        <f>+P27+P32+P28+P41</f>
        <v>386965.91208100005</v>
      </c>
      <c r="Q43" s="643">
        <f t="shared" si="4"/>
        <v>-14353.46544405102</v>
      </c>
      <c r="R43" s="644">
        <f>+R27+R32+R28+R41</f>
        <v>420470.66185899999</v>
      </c>
      <c r="S43" s="645">
        <f>+P43-R43</f>
        <v>-33504.749777999939</v>
      </c>
      <c r="T43" s="641">
        <f>+T27+T32+T28+T41</f>
        <v>32529.496947770866</v>
      </c>
      <c r="U43" s="642">
        <f>+U27+U32+U28+U41</f>
        <v>17547.10077101424</v>
      </c>
      <c r="V43" s="643">
        <f>+U43-T43</f>
        <v>-14982.396176756625</v>
      </c>
      <c r="W43" s="644">
        <f>+W27+W32+W28+W41</f>
        <v>36471.89609402002</v>
      </c>
      <c r="X43" s="645">
        <f>+U43-W43</f>
        <v>-18924.795323005779</v>
      </c>
      <c r="Y43" s="837"/>
      <c r="Z43" s="838"/>
      <c r="AA43" s="838"/>
      <c r="AB43" s="838"/>
      <c r="AC43" s="838"/>
      <c r="AD43" s="838"/>
      <c r="AE43" s="838"/>
      <c r="AF43" s="838"/>
      <c r="AG43" s="839"/>
      <c r="AH43" s="26"/>
      <c r="AI43" s="785">
        <f>SUM(AI39:AI42)</f>
        <v>1173607738</v>
      </c>
      <c r="AJ43" s="3">
        <f>SUM(AJ39:AJ42)</f>
        <v>-374633957</v>
      </c>
      <c r="AK43" s="785">
        <f>SUM(AI43:AJ43)</f>
        <v>798973781</v>
      </c>
    </row>
    <row r="44" spans="2:39" s="34" customFormat="1" x14ac:dyDescent="0.3">
      <c r="G44" s="794">
        <f>+U43/T43</f>
        <v>0.53942121512631269</v>
      </c>
      <c r="P44" s="661">
        <f>+P43/O43</f>
        <v>0.9642343075169475</v>
      </c>
      <c r="T44" s="788">
        <f>+T43/O43</f>
        <v>8.1056382446273278E-2</v>
      </c>
      <c r="U44" s="788">
        <f>+U43/P43</f>
        <v>4.5345339791431724E-2</v>
      </c>
      <c r="AC44" s="35"/>
      <c r="AF44" s="35"/>
    </row>
    <row r="45" spans="2:39" s="34" customFormat="1" ht="17.25" thickBot="1" x14ac:dyDescent="0.35">
      <c r="G45" s="798"/>
      <c r="AC45" s="35"/>
      <c r="AF45" s="35"/>
    </row>
    <row r="46" spans="2:39" s="34" customFormat="1" x14ac:dyDescent="0.3">
      <c r="G46" s="798"/>
      <c r="I46" s="834" t="s">
        <v>101</v>
      </c>
      <c r="J46" s="138">
        <f>+'사업장별(당월)'!J46+'[4]사업장별(누계)'!J46</f>
        <v>2872.5</v>
      </c>
      <c r="K46" s="139">
        <f>+'사업장별(당월)'!K46+'[4]사업장별(누계)'!K46</f>
        <v>2825.2704999999996</v>
      </c>
      <c r="L46" s="139"/>
      <c r="M46" s="139">
        <f>+'사업장별(당월)'!M46+'[4]사업장별(누계)'!M46</f>
        <v>3200.5190000000002</v>
      </c>
      <c r="N46" s="139"/>
      <c r="O46" s="139">
        <f>+'사업장별(당월)'!O46+'[4]사업장별(누계)'!O46</f>
        <v>401319.37752505112</v>
      </c>
      <c r="P46" s="139">
        <f>+'사업장별(당월)'!P46+'[4]사업장별(누계)'!P46</f>
        <v>386965.91208099999</v>
      </c>
      <c r="Q46" s="139"/>
      <c r="R46" s="139">
        <f>+'사업장별(당월)'!R46+'[4]사업장별(누계)'!R46</f>
        <v>420470.6618590001</v>
      </c>
      <c r="S46" s="139"/>
      <c r="T46" s="144">
        <f>+'사업장별(당월)'!T46+'[4]사업장별(누계)'!T46</f>
        <v>32529.496947770851</v>
      </c>
      <c r="U46" s="139">
        <f>+'사업장별(당월)'!U46+'[4]사업장별(누계)'!U46</f>
        <v>17547.100771014233</v>
      </c>
      <c r="V46" s="139"/>
      <c r="W46" s="139">
        <f>+'사업장별(당월)'!W46+'[4]사업장별(누계)'!W46</f>
        <v>36471.896094020012</v>
      </c>
      <c r="X46" s="140"/>
      <c r="AC46" s="35"/>
      <c r="AF46" s="35"/>
    </row>
    <row r="47" spans="2:39" s="34" customFormat="1" ht="17.25" thickBot="1" x14ac:dyDescent="0.35">
      <c r="G47" s="798"/>
      <c r="I47" s="834"/>
      <c r="J47" s="143">
        <f>+J46-J27</f>
        <v>0</v>
      </c>
      <c r="K47" s="141">
        <f>+K46-K27</f>
        <v>0</v>
      </c>
      <c r="L47" s="141"/>
      <c r="M47" s="141">
        <f>+M46-M27</f>
        <v>0</v>
      </c>
      <c r="N47" s="141"/>
      <c r="O47" s="145">
        <f>+O46-O43</f>
        <v>0</v>
      </c>
      <c r="P47" s="145">
        <f>+P46-P43</f>
        <v>0</v>
      </c>
      <c r="Q47" s="141"/>
      <c r="R47" s="145">
        <f>+R46-R43</f>
        <v>0</v>
      </c>
      <c r="S47" s="141"/>
      <c r="T47" s="145">
        <f>+T46-T43</f>
        <v>0</v>
      </c>
      <c r="U47" s="145">
        <f>+U46-U43</f>
        <v>0</v>
      </c>
      <c r="V47" s="141"/>
      <c r="W47" s="141">
        <f>+W46-W43</f>
        <v>0</v>
      </c>
      <c r="X47" s="142"/>
      <c r="Z47" s="34" t="s">
        <v>216</v>
      </c>
      <c r="AC47" s="35"/>
      <c r="AF47" s="35"/>
      <c r="AG47" s="34" t="s">
        <v>102</v>
      </c>
    </row>
    <row r="48" spans="2:39" x14ac:dyDescent="0.3">
      <c r="T48" s="658"/>
      <c r="U48" s="658"/>
      <c r="V48" s="658"/>
      <c r="Z48" t="s">
        <v>217</v>
      </c>
    </row>
    <row r="49" spans="10:33" x14ac:dyDescent="0.3">
      <c r="P49" s="803"/>
      <c r="T49" s="658"/>
      <c r="U49" s="658"/>
      <c r="V49" s="658"/>
      <c r="Z49" t="s">
        <v>218</v>
      </c>
    </row>
    <row r="50" spans="10:33" x14ac:dyDescent="0.3">
      <c r="S50" t="s">
        <v>229</v>
      </c>
      <c r="T50" s="598">
        <f>(+T27+T35)/100</f>
        <v>282.68362342046078</v>
      </c>
      <c r="U50" s="598">
        <f>(+U27+U35)/100</f>
        <v>161.8471957275159</v>
      </c>
      <c r="V50" s="598">
        <f>+U50-T50</f>
        <v>-120.83642769294488</v>
      </c>
      <c r="W50" s="597">
        <f>+U50/T50-1</f>
        <v>-0.42746171932717159</v>
      </c>
    </row>
    <row r="51" spans="10:33" x14ac:dyDescent="0.3">
      <c r="S51" t="s">
        <v>230</v>
      </c>
      <c r="T51" s="6">
        <f>+T28/100</f>
        <v>9.9565509880000995</v>
      </c>
      <c r="U51" s="6">
        <f>+U28/100</f>
        <v>4.835036990000031</v>
      </c>
      <c r="V51" s="598">
        <f t="shared" ref="V51:V54" si="23">+U51-T51</f>
        <v>-5.1215139980000686</v>
      </c>
    </row>
    <row r="52" spans="10:33" x14ac:dyDescent="0.3">
      <c r="S52" t="s">
        <v>231</v>
      </c>
      <c r="T52" s="6">
        <f>+T32/100</f>
        <v>15.470667820360477</v>
      </c>
      <c r="U52" s="659">
        <f>+U32/100</f>
        <v>-3.9952527373526434E-2</v>
      </c>
      <c r="V52" s="598">
        <f t="shared" si="23"/>
        <v>-15.510620347734003</v>
      </c>
    </row>
    <row r="53" spans="10:33" x14ac:dyDescent="0.3">
      <c r="S53" t="s">
        <v>117</v>
      </c>
      <c r="T53" s="6">
        <f>+T37/100</f>
        <v>0</v>
      </c>
      <c r="U53" s="6">
        <f>+U37/100</f>
        <v>-5.7385933299999996</v>
      </c>
      <c r="V53" s="598">
        <f t="shared" ref="V53" si="24">+U53-T53</f>
        <v>-5.7385933299999996</v>
      </c>
    </row>
    <row r="54" spans="10:33" x14ac:dyDescent="0.3">
      <c r="J54" s="598"/>
      <c r="K54" s="598"/>
      <c r="L54" s="598"/>
      <c r="M54" s="598"/>
      <c r="N54" s="598"/>
      <c r="O54" s="598"/>
      <c r="P54" s="598"/>
      <c r="Q54" s="598"/>
      <c r="R54" s="598"/>
      <c r="S54" s="598" t="s">
        <v>232</v>
      </c>
      <c r="T54" s="598">
        <f>(T46/100)-T50-T51-T52-T53</f>
        <v>17.184127248887137</v>
      </c>
      <c r="U54" s="598">
        <f>(U46/100)-U50-U51-U52-U53</f>
        <v>14.567320849999916</v>
      </c>
      <c r="V54" s="598">
        <f t="shared" si="23"/>
        <v>-2.6168063988872206</v>
      </c>
      <c r="W54" s="598"/>
      <c r="X54" s="598"/>
      <c r="Y54" s="598"/>
      <c r="Z54" s="598"/>
      <c r="AA54" s="598"/>
      <c r="AB54" s="598"/>
      <c r="AC54" s="598"/>
      <c r="AD54" s="598"/>
      <c r="AE54" s="598"/>
      <c r="AF54" s="598"/>
      <c r="AG54" s="598"/>
    </row>
    <row r="55" spans="10:33" x14ac:dyDescent="0.3">
      <c r="J55" s="598"/>
      <c r="K55" s="598"/>
      <c r="L55" s="598"/>
      <c r="M55" s="598"/>
      <c r="N55" s="598"/>
      <c r="O55" s="598"/>
      <c r="P55" s="598"/>
      <c r="Q55" s="598"/>
      <c r="R55" s="598"/>
      <c r="S55" s="598"/>
      <c r="T55" s="598"/>
      <c r="U55" s="598"/>
      <c r="V55" s="598"/>
      <c r="W55" s="598"/>
      <c r="X55" s="598"/>
      <c r="Y55" s="598"/>
      <c r="Z55" s="598"/>
      <c r="AA55" s="598"/>
      <c r="AB55" s="598"/>
      <c r="AC55" s="598"/>
      <c r="AD55" s="598"/>
      <c r="AE55" s="598"/>
      <c r="AF55" s="598"/>
      <c r="AG55" s="598"/>
    </row>
    <row r="56" spans="10:33" x14ac:dyDescent="0.3">
      <c r="J56" s="598"/>
      <c r="K56" s="598"/>
      <c r="L56" s="598"/>
      <c r="M56" s="598"/>
      <c r="N56" s="598"/>
      <c r="O56" s="598"/>
      <c r="P56" s="598"/>
      <c r="Q56" s="598"/>
      <c r="R56" s="598"/>
      <c r="S56" s="598" t="s">
        <v>215</v>
      </c>
      <c r="T56" s="658">
        <f>+(T33+T34)/100</f>
        <v>13.287628573333334</v>
      </c>
      <c r="U56" s="658">
        <f>+(U33+U34)/100</f>
        <v>12.950631759999998</v>
      </c>
      <c r="V56" s="598">
        <f>+U56-T56</f>
        <v>-0.33699681333333587</v>
      </c>
      <c r="W56" s="598"/>
      <c r="X56" s="598"/>
      <c r="Y56" s="598"/>
      <c r="Z56" s="598"/>
      <c r="AA56" s="598"/>
      <c r="AB56" s="598"/>
      <c r="AC56" s="598"/>
      <c r="AD56" s="598"/>
      <c r="AE56" s="598"/>
      <c r="AF56" s="598"/>
      <c r="AG56" s="598"/>
    </row>
    <row r="57" spans="10:33" x14ac:dyDescent="0.3">
      <c r="J57" s="598"/>
      <c r="K57" s="598"/>
      <c r="L57" s="598"/>
      <c r="M57" s="598"/>
      <c r="N57" s="598"/>
      <c r="O57" s="598"/>
      <c r="P57" s="598"/>
      <c r="Q57" s="598"/>
      <c r="R57" s="598"/>
      <c r="S57" s="598" t="str">
        <f>+I36</f>
        <v>OPC 소급분</v>
      </c>
      <c r="T57" s="598">
        <f>+T36/100</f>
        <v>13.297000000000001</v>
      </c>
      <c r="U57" s="598">
        <f>+U36/100</f>
        <v>7.5</v>
      </c>
      <c r="V57" s="598">
        <f>+U57-T57</f>
        <v>-5.7970000000000006</v>
      </c>
      <c r="W57" s="598"/>
      <c r="X57" s="598"/>
      <c r="Y57" s="598"/>
      <c r="Z57" s="598"/>
      <c r="AA57" s="598"/>
      <c r="AB57" s="598"/>
      <c r="AC57" s="598"/>
      <c r="AD57" s="598"/>
      <c r="AE57" s="598"/>
      <c r="AF57" s="598"/>
      <c r="AG57" s="598"/>
    </row>
    <row r="58" spans="10:33" x14ac:dyDescent="0.3">
      <c r="S58" s="598" t="str">
        <f t="shared" ref="S58:S60" si="25">+I37</f>
        <v>대손</v>
      </c>
      <c r="T58" s="598">
        <f t="shared" ref="T58:U58" si="26">+T37/100</f>
        <v>0</v>
      </c>
      <c r="U58" s="598">
        <f t="shared" si="26"/>
        <v>-5.7385933299999996</v>
      </c>
      <c r="V58" s="598">
        <f t="shared" ref="V58:V60" si="27">+U58-T58</f>
        <v>-5.7385933299999996</v>
      </c>
    </row>
    <row r="59" spans="10:33" x14ac:dyDescent="0.3">
      <c r="S59" s="598" t="str">
        <f t="shared" si="25"/>
        <v>미운영 공장</v>
      </c>
      <c r="T59" s="598">
        <f t="shared" ref="T59:U59" si="28">+T38/100</f>
        <v>-3.0740348944459637</v>
      </c>
      <c r="U59" s="598">
        <f t="shared" si="28"/>
        <v>-3.7214426899999999</v>
      </c>
      <c r="V59" s="598">
        <f t="shared" si="27"/>
        <v>-0.64740779555403627</v>
      </c>
    </row>
    <row r="60" spans="10:33" x14ac:dyDescent="0.3">
      <c r="S60" s="598" t="str">
        <f t="shared" si="25"/>
        <v>기타</v>
      </c>
      <c r="T60" s="598">
        <f t="shared" ref="T60:U60" si="29">+T39/100</f>
        <v>-6.3264664300000391</v>
      </c>
      <c r="U60" s="598">
        <f t="shared" si="29"/>
        <v>-2.1618682199999819</v>
      </c>
      <c r="V60" s="598">
        <f t="shared" si="27"/>
        <v>4.1645982100000571</v>
      </c>
    </row>
    <row r="61" spans="10:33" x14ac:dyDescent="0.3">
      <c r="T61" s="6">
        <f>SUM(T56:T60)</f>
        <v>17.184127248887329</v>
      </c>
      <c r="U61" s="6">
        <f t="shared" ref="U61:V61" si="30">SUM(U56:U60)</f>
        <v>8.8287275200000188</v>
      </c>
      <c r="V61" s="6">
        <f t="shared" si="30"/>
        <v>-8.355399728887317</v>
      </c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810AB-6E4F-4ABC-909D-7025C62FF76C}">
  <sheetPr>
    <tabColor rgb="FF008000"/>
    <pageSetUpPr fitToPage="1"/>
  </sheetPr>
  <dimension ref="A1:AL75"/>
  <sheetViews>
    <sheetView showGridLines="0" showZeros="0" view="pageBreakPreview" topLeftCell="E16" zoomScale="85" zoomScaleNormal="85" zoomScaleSheetLayoutView="85" workbookViewId="0">
      <selection activeCell="J19" sqref="J19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2:36" ht="18" customHeight="1" x14ac:dyDescent="0.3">
      <c r="H1" s="4"/>
      <c r="K1" s="6"/>
      <c r="L1" s="6"/>
      <c r="P1" s="6"/>
      <c r="Q1" s="6"/>
    </row>
    <row r="2" spans="2:36" ht="18" customHeight="1" x14ac:dyDescent="0.3">
      <c r="H2" s="7"/>
      <c r="AD2" s="5"/>
      <c r="AG2" s="5"/>
    </row>
    <row r="3" spans="2:36" ht="26.25" x14ac:dyDescent="0.3">
      <c r="H3" s="4" t="s">
        <v>245</v>
      </c>
      <c r="AD3" s="5"/>
      <c r="AG3" s="5"/>
    </row>
    <row r="4" spans="2:36" ht="18" customHeight="1" x14ac:dyDescent="0.3">
      <c r="H4" s="7"/>
      <c r="AD4" s="5"/>
      <c r="AG4" s="5" t="s">
        <v>94</v>
      </c>
    </row>
    <row r="5" spans="2:36" s="8" customFormat="1" ht="19.5" customHeight="1" x14ac:dyDescent="0.3">
      <c r="G5" s="792"/>
      <c r="H5" s="830" t="s">
        <v>11</v>
      </c>
      <c r="I5" s="831"/>
      <c r="J5" s="172" t="s">
        <v>0</v>
      </c>
      <c r="K5" s="173"/>
      <c r="L5" s="173"/>
      <c r="M5" s="173"/>
      <c r="N5" s="174"/>
      <c r="O5" s="172" t="s">
        <v>2</v>
      </c>
      <c r="P5" s="173"/>
      <c r="Q5" s="173"/>
      <c r="R5" s="173"/>
      <c r="S5" s="174"/>
      <c r="T5" s="172" t="s">
        <v>119</v>
      </c>
      <c r="U5" s="173"/>
      <c r="V5" s="173"/>
      <c r="W5" s="173"/>
      <c r="X5" s="174"/>
      <c r="Y5" s="172" t="s">
        <v>21</v>
      </c>
      <c r="Z5" s="173"/>
      <c r="AA5" s="174"/>
      <c r="AB5" s="172" t="s">
        <v>44</v>
      </c>
      <c r="AC5" s="173"/>
      <c r="AD5" s="174"/>
      <c r="AE5" s="172" t="s">
        <v>69</v>
      </c>
      <c r="AF5" s="173"/>
      <c r="AG5" s="174"/>
    </row>
    <row r="6" spans="2:36" s="8" customFormat="1" ht="19.5" customHeight="1" x14ac:dyDescent="0.3">
      <c r="G6" s="792"/>
      <c r="H6" s="832"/>
      <c r="I6" s="833"/>
      <c r="J6" s="175" t="s">
        <v>12</v>
      </c>
      <c r="K6" s="176" t="s">
        <v>13</v>
      </c>
      <c r="L6" s="177" t="s">
        <v>37</v>
      </c>
      <c r="M6" s="176" t="s">
        <v>14</v>
      </c>
      <c r="N6" s="178" t="s">
        <v>37</v>
      </c>
      <c r="O6" s="175" t="s">
        <v>15</v>
      </c>
      <c r="P6" s="176" t="s">
        <v>16</v>
      </c>
      <c r="Q6" s="177" t="s">
        <v>36</v>
      </c>
      <c r="R6" s="176" t="s">
        <v>17</v>
      </c>
      <c r="S6" s="178" t="s">
        <v>36</v>
      </c>
      <c r="T6" s="175" t="s">
        <v>15</v>
      </c>
      <c r="U6" s="176" t="s">
        <v>16</v>
      </c>
      <c r="V6" s="177" t="s">
        <v>36</v>
      </c>
      <c r="W6" s="176" t="s">
        <v>17</v>
      </c>
      <c r="X6" s="178" t="s">
        <v>36</v>
      </c>
      <c r="Y6" s="179" t="s">
        <v>15</v>
      </c>
      <c r="Z6" s="180" t="s">
        <v>16</v>
      </c>
      <c r="AA6" s="181" t="s">
        <v>17</v>
      </c>
      <c r="AB6" s="182" t="s">
        <v>15</v>
      </c>
      <c r="AC6" s="180" t="s">
        <v>16</v>
      </c>
      <c r="AD6" s="178" t="s">
        <v>17</v>
      </c>
      <c r="AE6" s="182" t="s">
        <v>15</v>
      </c>
      <c r="AF6" s="180" t="s">
        <v>16</v>
      </c>
      <c r="AG6" s="178" t="s">
        <v>17</v>
      </c>
    </row>
    <row r="7" spans="2:36" s="8" customFormat="1" ht="19.5" customHeight="1" x14ac:dyDescent="0.3">
      <c r="B7" s="8" t="s">
        <v>22</v>
      </c>
      <c r="G7" s="793" t="str">
        <f>+I7</f>
        <v>안양</v>
      </c>
      <c r="H7" s="78" t="s">
        <v>53</v>
      </c>
      <c r="I7" s="79" t="s">
        <v>22</v>
      </c>
      <c r="J7" s="36">
        <f>+IFERROR(HLOOKUP($B7,'[1]10월'!$D$6:$BN$259,2,),)/1000</f>
        <v>43</v>
      </c>
      <c r="K7" s="37">
        <f>+IFERROR(HLOOKUP($B7,'[2]10월'!$F$6:$CP$99,2,),)/1000</f>
        <v>39.055</v>
      </c>
      <c r="L7" s="38">
        <f t="shared" ref="L7:L32" si="0">+K7-J7</f>
        <v>-3.9450000000000003</v>
      </c>
      <c r="M7" s="39">
        <f>+IFERROR(HLOOKUP($B7,'[3]10월'!$F$6:$CC$57,2,),)/1000</f>
        <v>51.43</v>
      </c>
      <c r="N7" s="40">
        <f>+K7-M7</f>
        <v>-12.375</v>
      </c>
      <c r="O7" s="36">
        <f>+IFERROR(HLOOKUP($B7,'[1]10월'!$D$6:$BN$259,3,),)/1000</f>
        <v>4325.9571999999998</v>
      </c>
      <c r="P7" s="37">
        <f>+IFERROR(HLOOKUP($B7,'[2]10월'!$F$6:$CP$99,3,),)/1000</f>
        <v>3682.4273119999998</v>
      </c>
      <c r="Q7" s="38">
        <f>+P7-O7</f>
        <v>-643.52988800000003</v>
      </c>
      <c r="R7" s="39">
        <f>+IFERROR(HLOOKUP($B7,'[3]10월'!$F$6:$CC$57,3,),)/1000</f>
        <v>4899.0203799999999</v>
      </c>
      <c r="S7" s="40">
        <f>+P7-R7</f>
        <v>-1216.5930680000001</v>
      </c>
      <c r="T7" s="36">
        <f>+IFERROR(HLOOKUP($B7,'[1]10월'!$D$6:$BN$259,16,),)/1000</f>
        <v>642.15368659842306</v>
      </c>
      <c r="U7" s="37">
        <f>+IFERROR(HLOOKUP($B7,'[2]10월'!$F$6:$CP$99,16,),)/1000</f>
        <v>151.42127199999979</v>
      </c>
      <c r="V7" s="41">
        <f>+U7-T7</f>
        <v>-490.73241459842325</v>
      </c>
      <c r="W7" s="42">
        <f>+IFERROR(HLOOKUP($B7,'[3]10월'!$F$6:$CC$57,16,),)/1000</f>
        <v>878.60641699999951</v>
      </c>
      <c r="X7" s="40">
        <f>+U7-W7</f>
        <v>-727.18514499999969</v>
      </c>
      <c r="Y7" s="36">
        <f>+[5]안양!$Q$85</f>
        <v>100603.65581395349</v>
      </c>
      <c r="Z7" s="37">
        <f>+[5]안양!$R$85</f>
        <v>94288.242529765717</v>
      </c>
      <c r="AA7" s="43">
        <f>+[6]안양!$Q$85</f>
        <v>95250.157253512909</v>
      </c>
      <c r="AB7" s="44">
        <f>+[5]안양!$Q$89</f>
        <v>78584.856316184305</v>
      </c>
      <c r="AC7" s="37">
        <f>+[5]안양!$R$89</f>
        <v>82720.758054197926</v>
      </c>
      <c r="AD7" s="45">
        <f>+[6]안양!$Q$89</f>
        <v>72593.908270091444</v>
      </c>
      <c r="AE7" s="44">
        <f>+Y7-AB7</f>
        <v>22018.799497769185</v>
      </c>
      <c r="AF7" s="37">
        <f>+Z7-AC7</f>
        <v>11567.484475567791</v>
      </c>
      <c r="AG7" s="45">
        <f>+AA7-AD7</f>
        <v>22656.248983421465</v>
      </c>
      <c r="AH7" s="18"/>
      <c r="AI7" s="19"/>
    </row>
    <row r="8" spans="2:36" s="8" customFormat="1" ht="19.5" customHeight="1" x14ac:dyDescent="0.3">
      <c r="B8" s="8" t="s">
        <v>23</v>
      </c>
      <c r="G8" s="794" t="str">
        <f t="shared" ref="G8:G26" si="1">+I8</f>
        <v>인천</v>
      </c>
      <c r="H8" s="80" t="s">
        <v>54</v>
      </c>
      <c r="I8" s="81" t="s">
        <v>23</v>
      </c>
      <c r="J8" s="46">
        <f>+IFERROR(HLOOKUP($B8,'[1]10월'!$D$6:$BN$259,2,),)/1000</f>
        <v>35</v>
      </c>
      <c r="K8" s="47">
        <f>+IFERROR(HLOOKUP($B8,'[2]10월'!$F$6:$CP$99,2,),)/1000</f>
        <v>26.460999999999999</v>
      </c>
      <c r="L8" s="48">
        <f t="shared" si="0"/>
        <v>-8.5390000000000015</v>
      </c>
      <c r="M8" s="49">
        <f>+IFERROR(HLOOKUP($B8,'[3]10월'!$F$6:$CC$57,2,),)/1000</f>
        <v>36.932000000000002</v>
      </c>
      <c r="N8" s="50">
        <f t="shared" ref="N8:N32" si="2">+K8-M8</f>
        <v>-10.471000000000004</v>
      </c>
      <c r="O8" s="46">
        <f>+IFERROR(HLOOKUP($B8,'[1]10월'!$D$6:$BN$259,3,),)/1000</f>
        <v>3730.1457100000002</v>
      </c>
      <c r="P8" s="47">
        <f>+IFERROR(HLOOKUP($B8,'[2]10월'!$F$6:$CP$99,3,),)/1000</f>
        <v>2558.609062</v>
      </c>
      <c r="Q8" s="48">
        <f t="shared" ref="Q8:Q42" si="3">+P8-O8</f>
        <v>-1171.5366480000002</v>
      </c>
      <c r="R8" s="49">
        <f>+IFERROR(HLOOKUP($B8,'[3]10월'!$F$6:$CC$57,3,),)/1000</f>
        <v>3681.7833819999996</v>
      </c>
      <c r="S8" s="50">
        <f t="shared" ref="S8:S39" si="4">+P8-R8</f>
        <v>-1123.1743199999996</v>
      </c>
      <c r="T8" s="46">
        <f>+IFERROR(HLOOKUP($B8,'[1]10월'!$D$6:$BN$259,16,),)/1000</f>
        <v>599.2495768617307</v>
      </c>
      <c r="U8" s="47">
        <f>+IFERROR(HLOOKUP($B8,'[2]10월'!$F$6:$CP$99,16,),)/1000</f>
        <v>63.89365999999972</v>
      </c>
      <c r="V8" s="48">
        <f t="shared" ref="V8:V39" si="5">+U8-T8</f>
        <v>-535.35591686173098</v>
      </c>
      <c r="W8" s="49">
        <f>+IFERROR(HLOOKUP($B8,'[3]10월'!$F$6:$CC$57,16,),)/1000</f>
        <v>548.98030299999971</v>
      </c>
      <c r="X8" s="50">
        <f t="shared" ref="X8:X38" si="6">+U8-W8</f>
        <v>-485.08664299999998</v>
      </c>
      <c r="Y8" s="46">
        <f>+[5]인천!$Q$85</f>
        <v>106575.59171428572</v>
      </c>
      <c r="Z8" s="47">
        <f>+[5]인천!$R$85</f>
        <v>96693.589131174173</v>
      </c>
      <c r="AA8" s="51">
        <f>+[6]인천!$Q$85</f>
        <v>99633.280111280823</v>
      </c>
      <c r="AB8" s="52">
        <f>+[5]인천!$Q$89</f>
        <v>81397.733776128167</v>
      </c>
      <c r="AC8" s="47">
        <f>+[5]인천!$R$89</f>
        <v>82558.134593952011</v>
      </c>
      <c r="AD8" s="53">
        <f>+[6]인천!$Q$89</f>
        <v>76946.22916133207</v>
      </c>
      <c r="AE8" s="52">
        <f t="shared" ref="AE8:AG27" si="7">+Y8-AB8</f>
        <v>25177.857938157555</v>
      </c>
      <c r="AF8" s="47">
        <f t="shared" si="7"/>
        <v>14135.454537222162</v>
      </c>
      <c r="AG8" s="53">
        <f t="shared" si="7"/>
        <v>22687.050949948753</v>
      </c>
      <c r="AH8" s="18"/>
      <c r="AI8" s="19"/>
      <c r="AJ8" s="96"/>
    </row>
    <row r="9" spans="2:36" s="8" customFormat="1" ht="19.5" customHeight="1" x14ac:dyDescent="0.3">
      <c r="B9" s="8" t="s">
        <v>24</v>
      </c>
      <c r="G9" s="794" t="str">
        <f t="shared" si="1"/>
        <v>파주</v>
      </c>
      <c r="H9" s="80"/>
      <c r="I9" s="81" t="s">
        <v>24</v>
      </c>
      <c r="J9" s="46">
        <f>+IFERROR(HLOOKUP($B9,'[1]10월'!$D$6:$BN$259,2,),)/1000</f>
        <v>24</v>
      </c>
      <c r="K9" s="47">
        <f>+IFERROR(HLOOKUP($B9,'[2]10월'!$F$6:$CP$99,2,),)/1000</f>
        <v>26.27</v>
      </c>
      <c r="L9" s="48">
        <f t="shared" si="0"/>
        <v>2.2699999999999996</v>
      </c>
      <c r="M9" s="49">
        <f>+IFERROR(HLOOKUP($B9,'[3]10월'!$F$6:$CC$57,2,),)/1000</f>
        <v>29.047000000000001</v>
      </c>
      <c r="N9" s="50">
        <f t="shared" si="2"/>
        <v>-2.777000000000001</v>
      </c>
      <c r="O9" s="46">
        <f>+IFERROR(HLOOKUP($B9,'[1]10월'!$D$6:$BN$259,3,),)/1000</f>
        <v>2408.3832280439865</v>
      </c>
      <c r="P9" s="47">
        <f>+IFERROR(HLOOKUP($B9,'[2]10월'!$F$6:$CP$99,3,),)/1000</f>
        <v>2323.4230339999999</v>
      </c>
      <c r="Q9" s="48">
        <f t="shared" si="3"/>
        <v>-84.960194043986576</v>
      </c>
      <c r="R9" s="49">
        <f>+IFERROR(HLOOKUP($B9,'[3]10월'!$F$6:$CC$57,3,),)/1000</f>
        <v>2795.7611189999998</v>
      </c>
      <c r="S9" s="50">
        <f t="shared" si="4"/>
        <v>-472.33808499999986</v>
      </c>
      <c r="T9" s="46">
        <f>+IFERROR(HLOOKUP($B9,'[1]10월'!$D$6:$BN$259,16,),)/1000</f>
        <v>344.80582693650706</v>
      </c>
      <c r="U9" s="47">
        <f>+IFERROR(HLOOKUP($B9,'[2]10월'!$F$6:$CP$99,16,),)/1000</f>
        <v>73.44867799999983</v>
      </c>
      <c r="V9" s="48">
        <f t="shared" si="5"/>
        <v>-271.3571489365072</v>
      </c>
      <c r="W9" s="49">
        <f>+IFERROR(HLOOKUP($B9,'[3]10월'!$F$6:$CC$57,16,),)/1000</f>
        <v>210.81256599999966</v>
      </c>
      <c r="X9" s="50">
        <f t="shared" si="6"/>
        <v>-137.36388799999983</v>
      </c>
      <c r="Y9" s="46">
        <f>+[5]파주!$Q$85</f>
        <v>100349.30116849944</v>
      </c>
      <c r="Z9" s="47">
        <f>+[5]파주!$R$85</f>
        <v>88417.961797580763</v>
      </c>
      <c r="AA9" s="51">
        <f>+[6]파주!$Q$85</f>
        <v>96050.412902543874</v>
      </c>
      <c r="AB9" s="52">
        <f>+[5]파주!$Q$89</f>
        <v>76932.18629247311</v>
      </c>
      <c r="AC9" s="47">
        <f>+[5]파주!$R$89</f>
        <v>77319.907594549077</v>
      </c>
      <c r="AD9" s="53">
        <f>+[6]파주!$Q$89</f>
        <v>81480.788598407438</v>
      </c>
      <c r="AE9" s="52">
        <f t="shared" si="7"/>
        <v>23417.114876026331</v>
      </c>
      <c r="AF9" s="47">
        <f t="shared" si="7"/>
        <v>11098.054203031686</v>
      </c>
      <c r="AG9" s="53">
        <f t="shared" si="7"/>
        <v>14569.624304136436</v>
      </c>
      <c r="AH9" s="18"/>
      <c r="AI9" s="19"/>
      <c r="AJ9" s="96"/>
    </row>
    <row r="10" spans="2:36" s="8" customFormat="1" ht="19.5" customHeight="1" x14ac:dyDescent="0.3">
      <c r="B10" s="8" t="s">
        <v>175</v>
      </c>
      <c r="G10" s="794" t="str">
        <f t="shared" si="1"/>
        <v>김포</v>
      </c>
      <c r="H10" s="80"/>
      <c r="I10" s="81" t="s">
        <v>172</v>
      </c>
      <c r="J10" s="46">
        <f>+IFERROR(HLOOKUP($B10,'[1]10월'!$D$6:$BN$259,2,),)/1000</f>
        <v>19.5</v>
      </c>
      <c r="K10" s="47">
        <f>+IFERROR(HLOOKUP($B10,'[2]10월'!$F$6:$CP$99,2,),)/1000</f>
        <v>12.124000000000001</v>
      </c>
      <c r="L10" s="48">
        <f t="shared" si="0"/>
        <v>-7.3759999999999994</v>
      </c>
      <c r="M10" s="49">
        <f>+IFERROR(HLOOKUP($B10,'[3]10월'!$F$6:$CC$57,2,),)/1000</f>
        <v>18.626000000000001</v>
      </c>
      <c r="N10" s="50">
        <f t="shared" si="2"/>
        <v>-6.5020000000000007</v>
      </c>
      <c r="O10" s="46">
        <f>+IFERROR(HLOOKUP($B10,'[1]10월'!$D$6:$BN$259,3,),)/1000</f>
        <v>1886.7745</v>
      </c>
      <c r="P10" s="47">
        <f>+IFERROR(HLOOKUP($B10,'[2]10월'!$F$6:$CP$99,3,),)/1000</f>
        <v>1149.060604</v>
      </c>
      <c r="Q10" s="48">
        <f t="shared" si="3"/>
        <v>-737.71389599999998</v>
      </c>
      <c r="R10" s="49">
        <f>+IFERROR(HLOOKUP($B10,'[3]10월'!$F$6:$CC$57,3,),)/1000</f>
        <v>1753.7471989999999</v>
      </c>
      <c r="S10" s="50">
        <f t="shared" si="4"/>
        <v>-604.6865949999999</v>
      </c>
      <c r="T10" s="46">
        <f>+IFERROR(HLOOKUP($B10,'[1]10월'!$D$6:$BN$259,16,),)/1000</f>
        <v>304.33330680435051</v>
      </c>
      <c r="U10" s="47">
        <f>+IFERROR(HLOOKUP($B10,'[2]10월'!$F$6:$CP$99,16,),)/1000</f>
        <v>74.662069000000059</v>
      </c>
      <c r="V10" s="48">
        <f t="shared" si="5"/>
        <v>-229.67123780435045</v>
      </c>
      <c r="W10" s="49">
        <f>+IFERROR(HLOOKUP($B10,'[3]10월'!$F$6:$CC$57,16,),)/1000</f>
        <v>258.73896800000006</v>
      </c>
      <c r="X10" s="50">
        <f t="shared" si="6"/>
        <v>-184.076899</v>
      </c>
      <c r="Y10" s="46">
        <f>+[5]김포!$Q$85</f>
        <v>96757.666666666672</v>
      </c>
      <c r="Z10" s="47">
        <f>+[5]김포!$R$85</f>
        <v>94775.701418673707</v>
      </c>
      <c r="AA10" s="51">
        <f>+[6]김포!$Q$85</f>
        <v>94155.868087619456</v>
      </c>
      <c r="AB10" s="52">
        <f>+[5]김포!$Q$89</f>
        <v>72813.205440232734</v>
      </c>
      <c r="AC10" s="47">
        <f>+[5]김포!$R$89</f>
        <v>75594.088914549662</v>
      </c>
      <c r="AD10" s="53">
        <f>+[6]김포!$Q$89</f>
        <v>71718.789004617211</v>
      </c>
      <c r="AE10" s="52">
        <f t="shared" si="7"/>
        <v>23944.461226433938</v>
      </c>
      <c r="AF10" s="47">
        <f t="shared" si="7"/>
        <v>19181.612504124045</v>
      </c>
      <c r="AG10" s="53">
        <f t="shared" si="7"/>
        <v>22437.079083002245</v>
      </c>
      <c r="AH10" s="18"/>
      <c r="AI10" s="19"/>
      <c r="AJ10" s="96"/>
    </row>
    <row r="11" spans="2:36" s="8" customFormat="1" ht="19.5" customHeight="1" x14ac:dyDescent="0.3">
      <c r="B11" s="8" t="s">
        <v>25</v>
      </c>
      <c r="G11" s="792" t="str">
        <f t="shared" si="1"/>
        <v>부산</v>
      </c>
      <c r="H11" s="80"/>
      <c r="I11" s="82" t="s">
        <v>25</v>
      </c>
      <c r="J11" s="63">
        <f>+IFERROR(HLOOKUP($B11,'[1]10월'!$D$6:$BN$259,2,),)/1000</f>
        <v>24</v>
      </c>
      <c r="K11" s="64">
        <f>+IFERROR(HLOOKUP($B11,'[2]10월'!$F$6:$CP$99,2,),)/1000</f>
        <v>16.751999999999999</v>
      </c>
      <c r="L11" s="65">
        <f t="shared" si="0"/>
        <v>-7.2480000000000011</v>
      </c>
      <c r="M11" s="66">
        <f>+IFERROR(HLOOKUP($B11,'[3]10월'!$F$6:$CC$57,2,),)/1000</f>
        <v>22.457000000000001</v>
      </c>
      <c r="N11" s="67">
        <f t="shared" si="2"/>
        <v>-5.7050000000000018</v>
      </c>
      <c r="O11" s="63">
        <f>+IFERROR(HLOOKUP($B11,'[1]10월'!$D$6:$BN$259,3,),)/1000</f>
        <v>2582.4033585000002</v>
      </c>
      <c r="P11" s="64">
        <f>+IFERROR(HLOOKUP($B11,'[2]10월'!$F$6:$CP$99,3,),)/1000</f>
        <v>1728.9811599999998</v>
      </c>
      <c r="Q11" s="65">
        <f t="shared" si="3"/>
        <v>-853.42219850000038</v>
      </c>
      <c r="R11" s="66">
        <f>+IFERROR(HLOOKUP($B11,'[3]10월'!$F$6:$CC$57,3,),)/1000</f>
        <v>2382.3233999999998</v>
      </c>
      <c r="S11" s="67">
        <f t="shared" si="4"/>
        <v>-653.34223999999995</v>
      </c>
      <c r="T11" s="63">
        <f>+IFERROR(HLOOKUP($B11,'[1]10월'!$D$6:$BN$259,16,),)/1000</f>
        <v>419.18794379081339</v>
      </c>
      <c r="U11" s="64">
        <f>+IFERROR(HLOOKUP($B11,'[2]10월'!$F$6:$CP$99,16,),)/1000</f>
        <v>57.651192999999957</v>
      </c>
      <c r="V11" s="65">
        <f t="shared" si="5"/>
        <v>-361.53675079081341</v>
      </c>
      <c r="W11" s="66">
        <f>+IFERROR(HLOOKUP($B11,'[3]10월'!$F$6:$CC$57,16,),)/1000</f>
        <v>409.39304999999968</v>
      </c>
      <c r="X11" s="67">
        <f t="shared" si="6"/>
        <v>-351.7418569999997</v>
      </c>
      <c r="Y11" s="63">
        <f>+[5]부산!$Q$85</f>
        <v>107600.1399375</v>
      </c>
      <c r="Z11" s="64">
        <f>+[5]부산!$R$85</f>
        <v>103210.43218720151</v>
      </c>
      <c r="AA11" s="68">
        <f>+[6]부산!$Q$85</f>
        <v>106083.77788662777</v>
      </c>
      <c r="AB11" s="69">
        <f>+[5]부산!$Q$89</f>
        <v>79537.282077580268</v>
      </c>
      <c r="AC11" s="64">
        <f>+[5]부산!$R$89</f>
        <v>83827.019807887351</v>
      </c>
      <c r="AD11" s="70">
        <f>+[6]부산!$Q$89</f>
        <v>75899.938696637197</v>
      </c>
      <c r="AE11" s="69">
        <f t="shared" si="7"/>
        <v>28062.857859919735</v>
      </c>
      <c r="AF11" s="64">
        <f t="shared" si="7"/>
        <v>19383.412379314163</v>
      </c>
      <c r="AG11" s="70">
        <f t="shared" si="7"/>
        <v>30183.839189990569</v>
      </c>
      <c r="AH11" s="18"/>
      <c r="AI11" s="19"/>
      <c r="AJ11" s="96"/>
    </row>
    <row r="12" spans="2:36" s="8" customFormat="1" ht="19.5" customHeight="1" x14ac:dyDescent="0.3">
      <c r="B12" s="8" t="s">
        <v>26</v>
      </c>
      <c r="G12" s="792" t="str">
        <f t="shared" si="1"/>
        <v>서부산</v>
      </c>
      <c r="H12" s="80"/>
      <c r="I12" s="81" t="s">
        <v>26</v>
      </c>
      <c r="J12" s="46">
        <f>+IFERROR(HLOOKUP($B12,'[1]10월'!$D$6:$BN$259,2,),)/1000</f>
        <v>26</v>
      </c>
      <c r="K12" s="47">
        <f>+IFERROR(HLOOKUP($B12,'[2]10월'!$F$6:$CP$99,2,),)/1000</f>
        <v>19.663</v>
      </c>
      <c r="L12" s="48">
        <f t="shared" si="0"/>
        <v>-6.3369999999999997</v>
      </c>
      <c r="M12" s="49">
        <f>+IFERROR(HLOOKUP($B12,'[3]10월'!$F$6:$CC$57,2,),)/1000</f>
        <v>28.123000000000001</v>
      </c>
      <c r="N12" s="50">
        <f t="shared" si="2"/>
        <v>-8.4600000000000009</v>
      </c>
      <c r="O12" s="46">
        <f>+IFERROR(HLOOKUP($B12,'[1]10월'!$D$6:$BN$259,3,),)/1000</f>
        <v>2719.0035200000002</v>
      </c>
      <c r="P12" s="47">
        <f>+IFERROR(HLOOKUP($B12,'[2]10월'!$F$6:$CP$99,3,),)/1000</f>
        <v>1865.551917</v>
      </c>
      <c r="Q12" s="48">
        <f t="shared" si="3"/>
        <v>-853.4516030000002</v>
      </c>
      <c r="R12" s="49">
        <f>+IFERROR(HLOOKUP($B12,'[3]10월'!$F$6:$CC$57,3,),)/1000</f>
        <v>2771.1619999999998</v>
      </c>
      <c r="S12" s="50">
        <f t="shared" si="4"/>
        <v>-905.6100829999998</v>
      </c>
      <c r="T12" s="46">
        <f>+IFERROR(HLOOKUP($B12,'[1]10월'!$D$6:$BN$259,16,),)/1000</f>
        <v>490.26668348662434</v>
      </c>
      <c r="U12" s="47">
        <f>+IFERROR(HLOOKUP($B12,'[2]10월'!$F$6:$CP$99,16,),)/1000</f>
        <v>132.60605799999979</v>
      </c>
      <c r="V12" s="48">
        <f t="shared" si="5"/>
        <v>-357.66062548662455</v>
      </c>
      <c r="W12" s="49">
        <f>+IFERROR(HLOOKUP($B12,'[3]10월'!$F$6:$CC$57,16,),)/1000</f>
        <v>646.79749599999991</v>
      </c>
      <c r="X12" s="50">
        <f t="shared" si="6"/>
        <v>-514.19143800000006</v>
      </c>
      <c r="Y12" s="46">
        <f>+[5]서부산!$Q$85</f>
        <v>104577.05846153846</v>
      </c>
      <c r="Z12" s="47">
        <f>+[5]서부산!$R$85</f>
        <v>94876.26084524233</v>
      </c>
      <c r="AA12" s="51">
        <f>+[6]서부산!$Q$85</f>
        <v>98537.211535042487</v>
      </c>
      <c r="AB12" s="52">
        <f>+[5]서부산!$Q$89</f>
        <v>76327.594733420425</v>
      </c>
      <c r="AC12" s="47">
        <f>+[5]서부산!$R$89</f>
        <v>77092.366140393497</v>
      </c>
      <c r="AD12" s="53">
        <f>+[6]서부산!$Q$89</f>
        <v>68098.831419123147</v>
      </c>
      <c r="AE12" s="52">
        <f t="shared" si="7"/>
        <v>28249.463728118033</v>
      </c>
      <c r="AF12" s="47">
        <f t="shared" si="7"/>
        <v>17783.894704848833</v>
      </c>
      <c r="AG12" s="53">
        <f t="shared" si="7"/>
        <v>30438.380115919339</v>
      </c>
      <c r="AH12" s="18"/>
      <c r="AI12" s="19"/>
      <c r="AJ12" s="96"/>
    </row>
    <row r="13" spans="2:36" s="8" customFormat="1" ht="19.5" customHeight="1" x14ac:dyDescent="0.3">
      <c r="B13" s="8" t="s">
        <v>27</v>
      </c>
      <c r="G13" s="792" t="str">
        <f t="shared" si="1"/>
        <v>김해</v>
      </c>
      <c r="H13" s="80"/>
      <c r="I13" s="81" t="s">
        <v>27</v>
      </c>
      <c r="J13" s="46">
        <f>+IFERROR(HLOOKUP($B13,'[1]10월'!$D$6:$BN$259,2,),)/1000</f>
        <v>13</v>
      </c>
      <c r="K13" s="47">
        <f>+IFERROR(HLOOKUP($B13,'[2]10월'!$F$6:$CP$99,2,),)/1000</f>
        <v>13.654999999999999</v>
      </c>
      <c r="L13" s="48">
        <f t="shared" si="0"/>
        <v>0.65499999999999936</v>
      </c>
      <c r="M13" s="49">
        <f>+IFERROR(HLOOKUP($B13,'[3]10월'!$F$6:$CC$57,2,),)/1000</f>
        <v>15.318</v>
      </c>
      <c r="N13" s="50">
        <f t="shared" si="2"/>
        <v>-1.6630000000000003</v>
      </c>
      <c r="O13" s="46">
        <f>+IFERROR(HLOOKUP($B13,'[1]10월'!$D$6:$BN$259,3,),)/1000</f>
        <v>1313</v>
      </c>
      <c r="P13" s="47">
        <f>+IFERROR(HLOOKUP($B13,'[2]10월'!$F$6:$CP$99,3,),)/1000</f>
        <v>1233.9870000000001</v>
      </c>
      <c r="Q13" s="48">
        <f t="shared" si="3"/>
        <v>-79.01299999999992</v>
      </c>
      <c r="R13" s="49">
        <f>+IFERROR(HLOOKUP($B13,'[3]10월'!$F$6:$CC$57,3,),)/1000</f>
        <v>1480.8425</v>
      </c>
      <c r="S13" s="50">
        <f t="shared" si="4"/>
        <v>-246.85549999999989</v>
      </c>
      <c r="T13" s="46">
        <f>+IFERROR(HLOOKUP($B13,'[1]10월'!$D$6:$BN$259,16,),)/1000</f>
        <v>172.8545888204782</v>
      </c>
      <c r="U13" s="47">
        <f>+IFERROR(HLOOKUP($B13,'[2]10월'!$F$6:$CP$99,16,),)/1000</f>
        <v>10.39804699999997</v>
      </c>
      <c r="V13" s="48">
        <f t="shared" si="5"/>
        <v>-162.45654182047824</v>
      </c>
      <c r="W13" s="49">
        <f>+IFERROR(HLOOKUP($B13,'[3]10월'!$F$6:$CC$57,16,),)/1000</f>
        <v>221.70566500000024</v>
      </c>
      <c r="X13" s="50">
        <f t="shared" si="6"/>
        <v>-211.30761800000028</v>
      </c>
      <c r="Y13" s="46">
        <f>+[5]김해!$Q$85</f>
        <v>101000</v>
      </c>
      <c r="Z13" s="47">
        <f>+[5]김해!$R$85</f>
        <v>90368.87586964482</v>
      </c>
      <c r="AA13" s="51">
        <f>+[6]김해!$Q$85</f>
        <v>96671.523828201622</v>
      </c>
      <c r="AB13" s="52">
        <f>+[5]김해!$Q$89</f>
        <v>77107.505259160753</v>
      </c>
      <c r="AC13" s="47">
        <f>+[5]김해!$R$89</f>
        <v>78384.071402416681</v>
      </c>
      <c r="AD13" s="53">
        <f>+[6]김해!$Q$89</f>
        <v>73341.192063803363</v>
      </c>
      <c r="AE13" s="52">
        <f t="shared" si="7"/>
        <v>23892.494740839247</v>
      </c>
      <c r="AF13" s="47">
        <f t="shared" si="7"/>
        <v>11984.804467228139</v>
      </c>
      <c r="AG13" s="53">
        <f t="shared" si="7"/>
        <v>23330.331764398259</v>
      </c>
      <c r="AH13" s="18"/>
      <c r="AI13" s="19"/>
      <c r="AJ13" s="96"/>
    </row>
    <row r="14" spans="2:36" s="8" customFormat="1" ht="19.5" customHeight="1" x14ac:dyDescent="0.3">
      <c r="B14" s="8" t="s">
        <v>28</v>
      </c>
      <c r="G14" s="792" t="str">
        <f t="shared" si="1"/>
        <v>정관</v>
      </c>
      <c r="H14" s="80"/>
      <c r="I14" s="81" t="s">
        <v>28</v>
      </c>
      <c r="J14" s="46">
        <f>+IFERROR(HLOOKUP($B14,'[1]10월'!$D$6:$BN$259,2,),)/1000</f>
        <v>18</v>
      </c>
      <c r="K14" s="47">
        <f>+IFERROR(HLOOKUP($B14,'[2]10월'!$F$6:$CP$99,2,),)/1000</f>
        <v>21.756</v>
      </c>
      <c r="L14" s="48">
        <f t="shared" si="0"/>
        <v>3.7560000000000002</v>
      </c>
      <c r="M14" s="49">
        <f>+IFERROR(HLOOKUP($B14,'[3]10월'!$F$6:$CC$57,2,),)/1000</f>
        <v>21.850999999999999</v>
      </c>
      <c r="N14" s="50">
        <f t="shared" si="2"/>
        <v>-9.4999999999998863E-2</v>
      </c>
      <c r="O14" s="46">
        <f>+IFERROR(HLOOKUP($B14,'[1]10월'!$D$6:$BN$259,3,),)/1000</f>
        <v>1872</v>
      </c>
      <c r="P14" s="47">
        <f>+IFERROR(HLOOKUP($B14,'[2]10월'!$F$6:$CP$99,3,),)/1000</f>
        <v>2122.010722</v>
      </c>
      <c r="Q14" s="48">
        <f t="shared" si="3"/>
        <v>250.01072199999999</v>
      </c>
      <c r="R14" s="49">
        <f>+IFERROR(HLOOKUP($B14,'[3]10월'!$F$6:$CC$57,3,),)/1000</f>
        <v>2160.2738999999997</v>
      </c>
      <c r="S14" s="50">
        <f t="shared" si="4"/>
        <v>-38.263177999999698</v>
      </c>
      <c r="T14" s="46">
        <f>+IFERROR(HLOOKUP($B14,'[1]10월'!$D$6:$BN$259,16,),)/1000</f>
        <v>269.83511823641049</v>
      </c>
      <c r="U14" s="47">
        <f>+IFERROR(HLOOKUP($B14,'[2]10월'!$F$6:$CP$99,16,),)/1000</f>
        <v>142.76762600000006</v>
      </c>
      <c r="V14" s="48">
        <f t="shared" si="5"/>
        <v>-127.06749223641043</v>
      </c>
      <c r="W14" s="49">
        <f>+IFERROR(HLOOKUP($B14,'[3]10월'!$F$6:$CC$57,16,),)/1000</f>
        <v>384.15830900000003</v>
      </c>
      <c r="X14" s="50">
        <f t="shared" si="6"/>
        <v>-241.39068299999997</v>
      </c>
      <c r="Y14" s="46">
        <f>+[5]정관!$Q$85</f>
        <v>104000</v>
      </c>
      <c r="Z14" s="47">
        <f>+[5]정관!$R$85</f>
        <v>97536.80465159037</v>
      </c>
      <c r="AA14" s="51">
        <f>+[6]정관!$Q$85</f>
        <v>98863.846048235777</v>
      </c>
      <c r="AB14" s="52">
        <f>+[5]정관!$Q$89</f>
        <v>78304.336110322867</v>
      </c>
      <c r="AC14" s="47">
        <f>+[5]정관!$R$89</f>
        <v>81346.354884661341</v>
      </c>
      <c r="AD14" s="53">
        <f>+[6]정관!$Q$89</f>
        <v>72569.956020319441</v>
      </c>
      <c r="AE14" s="52">
        <f t="shared" si="7"/>
        <v>25695.663889677133</v>
      </c>
      <c r="AF14" s="47">
        <f t="shared" si="7"/>
        <v>16190.449766929029</v>
      </c>
      <c r="AG14" s="53">
        <f t="shared" si="7"/>
        <v>26293.890027916335</v>
      </c>
      <c r="AH14" s="18"/>
      <c r="AI14" s="19"/>
      <c r="AJ14" s="96"/>
    </row>
    <row r="15" spans="2:36" s="8" customFormat="1" ht="19.5" customHeight="1" x14ac:dyDescent="0.3">
      <c r="B15" s="8" t="s">
        <v>29</v>
      </c>
      <c r="G15" s="792" t="str">
        <f t="shared" si="1"/>
        <v>양산</v>
      </c>
      <c r="H15" s="80"/>
      <c r="I15" s="81" t="s">
        <v>29</v>
      </c>
      <c r="J15" s="46">
        <f>+IFERROR(HLOOKUP($B15,'[1]10월'!$D$6:$BN$259,2,),)/1000</f>
        <v>12</v>
      </c>
      <c r="K15" s="47">
        <f>+IFERROR(HLOOKUP($B15,'[2]10월'!$F$6:$CP$99,2,),)/1000</f>
        <v>13.907999999999999</v>
      </c>
      <c r="L15" s="48">
        <f t="shared" si="0"/>
        <v>1.9079999999999995</v>
      </c>
      <c r="M15" s="49">
        <f>+IFERROR(HLOOKUP($B15,'[3]10월'!$F$6:$CC$57,2,),)/1000</f>
        <v>11.728999999999999</v>
      </c>
      <c r="N15" s="50">
        <f t="shared" si="2"/>
        <v>2.1790000000000003</v>
      </c>
      <c r="O15" s="46">
        <f>+IFERROR(HLOOKUP($B15,'[1]10월'!$D$6:$BN$259,3,),)/1000</f>
        <v>1166.5218300000004</v>
      </c>
      <c r="P15" s="47">
        <f>+IFERROR(HLOOKUP($B15,'[2]10월'!$F$6:$CP$99,3,),)/1000</f>
        <v>1309.0971999999999</v>
      </c>
      <c r="Q15" s="48">
        <f t="shared" si="3"/>
        <v>142.57536999999957</v>
      </c>
      <c r="R15" s="49">
        <f>+IFERROR(HLOOKUP($B15,'[3]10월'!$F$6:$CC$57,3,),)/1000</f>
        <v>1101.109909</v>
      </c>
      <c r="S15" s="50">
        <f t="shared" si="4"/>
        <v>207.98729099999991</v>
      </c>
      <c r="T15" s="46">
        <f>+IFERROR(HLOOKUP($B15,'[1]10월'!$D$6:$BN$259,16,),)/1000</f>
        <v>183.28794613261897</v>
      </c>
      <c r="U15" s="47">
        <f>+IFERROR(HLOOKUP($B15,'[2]10월'!$F$6:$CP$99,16,),)/1000</f>
        <v>152.35461799999996</v>
      </c>
      <c r="V15" s="48">
        <f t="shared" si="5"/>
        <v>-30.93332813261901</v>
      </c>
      <c r="W15" s="49">
        <f>+IFERROR(HLOOKUP($B15,'[3]10월'!$F$6:$CC$57,16,),)/1000</f>
        <v>156.70708299999995</v>
      </c>
      <c r="X15" s="50">
        <f t="shared" si="6"/>
        <v>-4.3524649999999951</v>
      </c>
      <c r="Y15" s="46">
        <f>+[5]양산!$Q$85</f>
        <v>97210.152500000026</v>
      </c>
      <c r="Z15" s="47">
        <f>+[5]양산!$R$85</f>
        <v>94125.48173712971</v>
      </c>
      <c r="AA15" s="51">
        <f>+[6]양산!$Q$85</f>
        <v>93879.265836814724</v>
      </c>
      <c r="AB15" s="52">
        <f>+[5]양산!$Q$89</f>
        <v>70800.642896355872</v>
      </c>
      <c r="AC15" s="47">
        <f>+[5]양산!$R$89</f>
        <v>72678.270995110739</v>
      </c>
      <c r="AD15" s="53">
        <f>+[6]양산!$Q$89</f>
        <v>68763.004689231806</v>
      </c>
      <c r="AE15" s="52">
        <f t="shared" si="7"/>
        <v>26409.509603644154</v>
      </c>
      <c r="AF15" s="47">
        <f t="shared" si="7"/>
        <v>21447.210742018971</v>
      </c>
      <c r="AG15" s="53">
        <f t="shared" si="7"/>
        <v>25116.261147582918</v>
      </c>
      <c r="AH15" s="18"/>
      <c r="AI15" s="19"/>
      <c r="AJ15" s="96"/>
    </row>
    <row r="16" spans="2:36" s="8" customFormat="1" ht="19.5" customHeight="1" x14ac:dyDescent="0.3">
      <c r="B16" s="8" t="s">
        <v>30</v>
      </c>
      <c r="G16" s="792" t="str">
        <f t="shared" si="1"/>
        <v>창원</v>
      </c>
      <c r="H16" s="80"/>
      <c r="I16" s="81" t="s">
        <v>30</v>
      </c>
      <c r="J16" s="46">
        <f>+IFERROR(HLOOKUP($B16,'[1]10월'!$D$6:$BN$259,2,),)/1000</f>
        <v>17</v>
      </c>
      <c r="K16" s="47">
        <f>+IFERROR(HLOOKUP($B16,'[2]10월'!$F$6:$CP$99,2,),)/1000</f>
        <v>14.58</v>
      </c>
      <c r="L16" s="48">
        <f t="shared" si="0"/>
        <v>-2.42</v>
      </c>
      <c r="M16" s="49">
        <f>+IFERROR(HLOOKUP($B16,'[3]10월'!$F$6:$CC$57,2,),)/1000</f>
        <v>20.989000000000001</v>
      </c>
      <c r="N16" s="50">
        <f t="shared" si="2"/>
        <v>-6.4090000000000007</v>
      </c>
      <c r="O16" s="46">
        <f>+IFERROR(HLOOKUP($B16,'[1]10월'!$D$6:$BN$259,3,),)/1000</f>
        <v>1729.6669999999999</v>
      </c>
      <c r="P16" s="47">
        <f>+IFERROR(HLOOKUP($B16,'[2]10월'!$F$6:$CP$99,3,),)/1000</f>
        <v>1357.6853000000001</v>
      </c>
      <c r="Q16" s="48">
        <f t="shared" si="3"/>
        <v>-371.98169999999982</v>
      </c>
      <c r="R16" s="49">
        <f>+IFERROR(HLOOKUP($B16,'[3]10월'!$F$6:$CC$57,3,),)/1000</f>
        <v>2019.1504</v>
      </c>
      <c r="S16" s="50">
        <f t="shared" si="4"/>
        <v>-661.46509999999989</v>
      </c>
      <c r="T16" s="46">
        <f>+IFERROR(HLOOKUP($B16,'[1]10월'!$D$6:$BN$259,16,),)/1000</f>
        <v>309.65578880583422</v>
      </c>
      <c r="U16" s="47">
        <f>+IFERROR(HLOOKUP($B16,'[2]10월'!$F$6:$CP$99,16,),)/1000</f>
        <v>76.578861000000131</v>
      </c>
      <c r="V16" s="48">
        <f t="shared" si="5"/>
        <v>-233.07692780583409</v>
      </c>
      <c r="W16" s="49">
        <f>+IFERROR(HLOOKUP($B16,'[3]10월'!$F$6:$CC$57,16,),)/1000</f>
        <v>434.99491399999994</v>
      </c>
      <c r="X16" s="50">
        <f t="shared" si="6"/>
        <v>-358.41605299999981</v>
      </c>
      <c r="Y16" s="46">
        <f>+[5]창원!$Q$85</f>
        <v>101745.11764705883</v>
      </c>
      <c r="Z16" s="47">
        <f>+[5]창원!$R$85</f>
        <v>93119.705075445818</v>
      </c>
      <c r="AA16" s="51">
        <f>+[6]창원!$Q$85</f>
        <v>96200.40973843442</v>
      </c>
      <c r="AB16" s="52">
        <f>+[5]창원!$Q$89</f>
        <v>72531.102360686302</v>
      </c>
      <c r="AC16" s="47">
        <f>+[5]창원!$R$89</f>
        <v>74871.475240054875</v>
      </c>
      <c r="AD16" s="53">
        <f>+[6]창원!$Q$89</f>
        <v>66786.156904660107</v>
      </c>
      <c r="AE16" s="52">
        <f t="shared" si="7"/>
        <v>29214.015286372523</v>
      </c>
      <c r="AF16" s="47">
        <f t="shared" si="7"/>
        <v>18248.229835390943</v>
      </c>
      <c r="AG16" s="53">
        <f t="shared" si="7"/>
        <v>29414.252833774313</v>
      </c>
      <c r="AH16" s="18"/>
      <c r="AI16" s="19"/>
      <c r="AJ16" s="96"/>
    </row>
    <row r="17" spans="2:38" s="8" customFormat="1" ht="19.5" customHeight="1" x14ac:dyDescent="0.3">
      <c r="B17" s="8" t="s">
        <v>87</v>
      </c>
      <c r="G17" s="792" t="str">
        <f t="shared" si="1"/>
        <v>대구</v>
      </c>
      <c r="H17" s="80"/>
      <c r="I17" s="81" t="s">
        <v>87</v>
      </c>
      <c r="J17" s="46">
        <f>+IFERROR(HLOOKUP($B17,'[1]10월'!$D$6:$BN$259,2,),)/1000</f>
        <v>16.5</v>
      </c>
      <c r="K17" s="47">
        <f>+IFERROR(HLOOKUP($B17,'[2]10월'!$F$6:$CP$99,2,),)/1000</f>
        <v>15.64</v>
      </c>
      <c r="L17" s="48">
        <f t="shared" si="0"/>
        <v>-0.85999999999999943</v>
      </c>
      <c r="M17" s="49">
        <f>+IFERROR(HLOOKUP($B17,'[3]10월'!$F$6:$CC$57,2,),)/1000</f>
        <v>20.4465</v>
      </c>
      <c r="N17" s="50">
        <f t="shared" si="2"/>
        <v>-4.8064999999999998</v>
      </c>
      <c r="O17" s="46">
        <f>+IFERROR(HLOOKUP($B17,'[1]10월'!$D$6:$BN$259,3,),)/1000</f>
        <v>1613.04</v>
      </c>
      <c r="P17" s="47">
        <f>+IFERROR(HLOOKUP($B17,'[2]10월'!$F$6:$CP$99,3,),)/1000</f>
        <v>1465.48405</v>
      </c>
      <c r="Q17" s="48">
        <f t="shared" si="3"/>
        <v>-147.55594999999994</v>
      </c>
      <c r="R17" s="49">
        <f>+IFERROR(HLOOKUP($B17,'[3]10월'!$F$6:$CC$57,3,),)/1000</f>
        <v>1901.5033000000001</v>
      </c>
      <c r="S17" s="50">
        <f t="shared" si="4"/>
        <v>-436.01925000000006</v>
      </c>
      <c r="T17" s="46">
        <f>+IFERROR(HLOOKUP($B17,'[1]10월'!$D$6:$BN$259,16,),)/1000</f>
        <v>288.58164505486423</v>
      </c>
      <c r="U17" s="47">
        <f>+IFERROR(HLOOKUP($B17,'[2]10월'!$F$6:$CP$99,16,),)/1000</f>
        <v>100.63415100000014</v>
      </c>
      <c r="V17" s="48">
        <f t="shared" si="5"/>
        <v>-187.94749405486408</v>
      </c>
      <c r="W17" s="49">
        <f>+IFERROR(HLOOKUP($B17,'[3]10월'!$F$6:$CC$57,16,),)/1000</f>
        <v>408.14682799999986</v>
      </c>
      <c r="X17" s="50">
        <f t="shared" si="6"/>
        <v>-307.51267699999971</v>
      </c>
      <c r="Y17" s="46">
        <f>+[5]대구!$Q$85</f>
        <v>97760</v>
      </c>
      <c r="Z17" s="47">
        <f>+[5]대구!$R$85</f>
        <v>93698.609335038374</v>
      </c>
      <c r="AA17" s="51">
        <f>+[6]대구!$Q$85</f>
        <v>93018.593248179663</v>
      </c>
      <c r="AB17" s="52">
        <f>+[5]대구!$Q$89</f>
        <v>70182.877018411702</v>
      </c>
      <c r="AC17" s="47">
        <f>+[5]대구!$R$89</f>
        <v>76355.668606138104</v>
      </c>
      <c r="AD17" s="53">
        <f>+[6]대구!$Q$89</f>
        <v>65323.493392826502</v>
      </c>
      <c r="AE17" s="52">
        <f t="shared" si="7"/>
        <v>27577.122981588298</v>
      </c>
      <c r="AF17" s="47">
        <f t="shared" si="7"/>
        <v>17342.94072890027</v>
      </c>
      <c r="AG17" s="53">
        <f t="shared" si="7"/>
        <v>27695.099855353161</v>
      </c>
      <c r="AH17" s="18"/>
      <c r="AI17" s="19"/>
      <c r="AJ17" s="96"/>
    </row>
    <row r="18" spans="2:38" s="8" customFormat="1" ht="19.5" customHeight="1" x14ac:dyDescent="0.3">
      <c r="B18" s="8" t="s">
        <v>88</v>
      </c>
      <c r="G18" s="794" t="str">
        <f t="shared" si="1"/>
        <v>울산</v>
      </c>
      <c r="H18" s="80"/>
      <c r="I18" s="83" t="s">
        <v>88</v>
      </c>
      <c r="J18" s="10">
        <f>+IFERROR(HLOOKUP($B18,'[1]10월'!$D$6:$BN$259,2,),)/1000</f>
        <v>12</v>
      </c>
      <c r="K18" s="11">
        <f>+IFERROR(HLOOKUP($B18,'[2]10월'!$F$6:$CP$99,2,),)/1000</f>
        <v>14.266999999999999</v>
      </c>
      <c r="L18" s="12">
        <f t="shared" si="0"/>
        <v>2.2669999999999995</v>
      </c>
      <c r="M18" s="13">
        <f>+IFERROR(HLOOKUP($B18,'[3]10월'!$F$6:$CC$57,2,),)/1000</f>
        <v>8.7319999999999993</v>
      </c>
      <c r="N18" s="14">
        <f t="shared" si="2"/>
        <v>5.5350000000000001</v>
      </c>
      <c r="O18" s="10">
        <f>+IFERROR(HLOOKUP($B18,'[1]10월'!$D$6:$BN$259,3,),)/1000</f>
        <v>1213.4894999999999</v>
      </c>
      <c r="P18" s="11">
        <f>+IFERROR(HLOOKUP($B18,'[2]10월'!$F$6:$CP$99,3,),)/1000</f>
        <v>1420.6244999999999</v>
      </c>
      <c r="Q18" s="12">
        <f t="shared" si="3"/>
        <v>207.13499999999999</v>
      </c>
      <c r="R18" s="13">
        <f>+IFERROR(HLOOKUP($B18,'[3]10월'!$F$6:$CC$57,3,),)/1000</f>
        <v>821.18219999999997</v>
      </c>
      <c r="S18" s="14">
        <f t="shared" si="4"/>
        <v>599.44229999999993</v>
      </c>
      <c r="T18" s="10">
        <f>+IFERROR(HLOOKUP($B18,'[1]10월'!$D$6:$BN$259,16,),)/1000</f>
        <v>130.01696896612958</v>
      </c>
      <c r="U18" s="11">
        <f>+IFERROR(HLOOKUP($B18,'[2]10월'!$F$6:$CP$99,16,),)/1000</f>
        <v>157.77048399999995</v>
      </c>
      <c r="V18" s="12">
        <f t="shared" si="5"/>
        <v>27.753515033870372</v>
      </c>
      <c r="W18" s="13">
        <f>+IFERROR(HLOOKUP($B18,'[3]10월'!$F$6:$CC$57,16,),)/1000</f>
        <v>46.276129999999974</v>
      </c>
      <c r="X18" s="14">
        <f t="shared" si="6"/>
        <v>111.49435399999999</v>
      </c>
      <c r="Y18" s="10">
        <f>+[5]울산!$Q$85</f>
        <v>101124.125</v>
      </c>
      <c r="Z18" s="11">
        <f>+[5]울산!$R$85</f>
        <v>99574.157145861085</v>
      </c>
      <c r="AA18" s="15">
        <f>+[6]울산!$Q$85</f>
        <v>93892.309535218024</v>
      </c>
      <c r="AB18" s="16">
        <f>+[5]울산!$Q$89</f>
        <v>79322.962832726233</v>
      </c>
      <c r="AC18" s="11">
        <f>+[5]울산!$R$89</f>
        <v>78942.319363655479</v>
      </c>
      <c r="AD18" s="17">
        <f>+[6]울산!$Q$89</f>
        <v>74121.299832295161</v>
      </c>
      <c r="AE18" s="16">
        <f t="shared" si="7"/>
        <v>21801.162167273767</v>
      </c>
      <c r="AF18" s="11">
        <f t="shared" si="7"/>
        <v>20631.837782205606</v>
      </c>
      <c r="AG18" s="17">
        <f t="shared" si="7"/>
        <v>19771.009702922864</v>
      </c>
      <c r="AH18" s="18"/>
      <c r="AI18" s="19"/>
      <c r="AJ18" s="96"/>
    </row>
    <row r="19" spans="2:38" s="8" customFormat="1" ht="19.5" customHeight="1" x14ac:dyDescent="0.3">
      <c r="B19" s="8" t="s">
        <v>93</v>
      </c>
      <c r="G19" s="794" t="str">
        <f t="shared" si="1"/>
        <v>아산</v>
      </c>
      <c r="H19" s="80"/>
      <c r="I19" s="81" t="s">
        <v>31</v>
      </c>
      <c r="J19" s="46">
        <f>+IFERROR(HLOOKUP($B19,'[1]10월'!$D$6:$BN$259,2,),)/1000</f>
        <v>28</v>
      </c>
      <c r="K19" s="47">
        <f>+IFERROR(HLOOKUP($B19,'[2]10월'!$F$6:$CP$99,2,),)/1000</f>
        <v>35.142499999999998</v>
      </c>
      <c r="L19" s="48">
        <f t="shared" si="0"/>
        <v>7.1424999999999983</v>
      </c>
      <c r="M19" s="49">
        <f>+IFERROR(HLOOKUP($B19,'[3]10월'!$F$6:$CC$57,2,),)/1000</f>
        <v>30.138999999999999</v>
      </c>
      <c r="N19" s="50">
        <f t="shared" si="2"/>
        <v>5.0034999999999989</v>
      </c>
      <c r="O19" s="46">
        <f>+IFERROR(HLOOKUP($B19,'[1]10월'!$D$6:$BN$259,3,),)/1000</f>
        <v>2828.0149999999999</v>
      </c>
      <c r="P19" s="47">
        <f>+IFERROR(HLOOKUP($B19,'[2]10월'!$F$6:$CP$99,3,),)/1000</f>
        <v>3417.0639059999999</v>
      </c>
      <c r="Q19" s="48">
        <f t="shared" si="3"/>
        <v>589.04890599999999</v>
      </c>
      <c r="R19" s="49">
        <f>+IFERROR(HLOOKUP($B19,'[3]10월'!$F$6:$CC$57,3,),)/1000</f>
        <v>2877.9450999999999</v>
      </c>
      <c r="S19" s="50">
        <f t="shared" si="4"/>
        <v>539.11880599999995</v>
      </c>
      <c r="T19" s="46">
        <f>+IFERROR(HLOOKUP($B19,'[1]10월'!$D$6:$BN$259,16,),)/1000</f>
        <v>443.55499477034937</v>
      </c>
      <c r="U19" s="47">
        <f>+IFERROR(HLOOKUP($B19,'[2]10월'!$F$6:$CP$99,16,),)/1000</f>
        <v>518.1411419999996</v>
      </c>
      <c r="V19" s="48">
        <f t="shared" si="5"/>
        <v>74.586147229650237</v>
      </c>
      <c r="W19" s="49">
        <f>+IFERROR(HLOOKUP($B19,'[3]10월'!$F$6:$CC$57,16,),)/1000</f>
        <v>452.27289300000007</v>
      </c>
      <c r="X19" s="50">
        <f t="shared" si="6"/>
        <v>65.868248999999537</v>
      </c>
      <c r="Y19" s="46">
        <f>+[5]아산!$Q$85</f>
        <v>101000.53571428572</v>
      </c>
      <c r="Z19" s="47">
        <f>+[5]아산!$R$85</f>
        <v>97210.458376683528</v>
      </c>
      <c r="AA19" s="51">
        <f>+[6]아산!$Q$85</f>
        <v>95493.306995119681</v>
      </c>
      <c r="AB19" s="52">
        <f>+[5]아산!$Q$89</f>
        <v>77532.350058949887</v>
      </c>
      <c r="AC19" s="47">
        <f>+[5]아산!$R$89</f>
        <v>75321.505155518884</v>
      </c>
      <c r="AD19" s="53">
        <f>+[6]아산!$Q$89</f>
        <v>73816.088308499006</v>
      </c>
      <c r="AE19" s="52">
        <f t="shared" si="7"/>
        <v>23468.185655335838</v>
      </c>
      <c r="AF19" s="47">
        <f t="shared" si="7"/>
        <v>21888.953221164644</v>
      </c>
      <c r="AG19" s="53">
        <f t="shared" si="7"/>
        <v>21677.218686620676</v>
      </c>
      <c r="AH19" s="18"/>
      <c r="AI19" s="19"/>
      <c r="AJ19" s="96"/>
    </row>
    <row r="20" spans="2:38" s="8" customFormat="1" ht="19.5" customHeight="1" x14ac:dyDescent="0.3">
      <c r="B20" s="8" t="s">
        <v>89</v>
      </c>
      <c r="G20" s="794" t="str">
        <f t="shared" si="1"/>
        <v>전주</v>
      </c>
      <c r="H20" s="80"/>
      <c r="I20" s="81" t="s">
        <v>89</v>
      </c>
      <c r="J20" s="46">
        <f>+IFERROR(HLOOKUP($B20,'[1]10월'!$D$6:$BN$259,2,),)/1000</f>
        <v>13</v>
      </c>
      <c r="K20" s="47">
        <f>+IFERROR(HLOOKUP($B20,'[2]10월'!$F$6:$CP$99,2,),)/1000</f>
        <v>9.6694999999999993</v>
      </c>
      <c r="L20" s="48">
        <f t="shared" si="0"/>
        <v>-3.3305000000000007</v>
      </c>
      <c r="M20" s="49">
        <f>+IFERROR(HLOOKUP($B20,'[3]10월'!$F$6:$CC$57,2,),)/1000</f>
        <v>12.439500000000001</v>
      </c>
      <c r="N20" s="50">
        <f t="shared" si="2"/>
        <v>-2.7700000000000014</v>
      </c>
      <c r="O20" s="46">
        <f>+IFERROR(HLOOKUP($B20,'[1]10월'!$D$6:$BN$259,3,),)/1000</f>
        <v>1320.0807600000003</v>
      </c>
      <c r="P20" s="47">
        <f>+IFERROR(HLOOKUP($B20,'[2]10월'!$F$6:$CP$99,3,),)/1000</f>
        <v>921.15986499999997</v>
      </c>
      <c r="Q20" s="48">
        <f t="shared" si="3"/>
        <v>-398.92089500000031</v>
      </c>
      <c r="R20" s="49">
        <f>+IFERROR(HLOOKUP($B20,'[3]10월'!$F$6:$CC$57,3,),)/1000</f>
        <v>1210.6657050000001</v>
      </c>
      <c r="S20" s="50">
        <f t="shared" si="4"/>
        <v>-289.50584000000015</v>
      </c>
      <c r="T20" s="46">
        <f>+IFERROR(HLOOKUP($B20,'[1]10월'!$D$6:$BN$259,16,),)/1000</f>
        <v>228.75891572308012</v>
      </c>
      <c r="U20" s="47">
        <f>+IFERROR(HLOOKUP($B20,'[2]10월'!$F$6:$CP$99,16,),)/1000</f>
        <v>51.295807000000089</v>
      </c>
      <c r="V20" s="48">
        <f t="shared" si="5"/>
        <v>-177.46310872308004</v>
      </c>
      <c r="W20" s="49">
        <f>+IFERROR(HLOOKUP($B20,'[3]10월'!$F$6:$CC$57,16,),)/1000</f>
        <v>248.53374800000006</v>
      </c>
      <c r="X20" s="50">
        <f t="shared" si="6"/>
        <v>-197.23794099999998</v>
      </c>
      <c r="Y20" s="46">
        <f>+[5]전주!$Q$85</f>
        <v>101544.67384615388</v>
      </c>
      <c r="Z20" s="47">
        <f>+[5]전주!$R$85</f>
        <v>95264.477480738409</v>
      </c>
      <c r="AA20" s="51">
        <f>+[6]전주!$Q$85</f>
        <v>97324.306041239615</v>
      </c>
      <c r="AB20" s="52">
        <f>+[5]전주!$Q$89</f>
        <v>73140.012907133292</v>
      </c>
      <c r="AC20" s="47">
        <f>+[5]전주!$R$89</f>
        <v>74505.128703655821</v>
      </c>
      <c r="AD20" s="53">
        <f>+[6]전주!$Q$89</f>
        <v>66110.730575987778</v>
      </c>
      <c r="AE20" s="52">
        <f t="shared" si="7"/>
        <v>28404.660939020585</v>
      </c>
      <c r="AF20" s="47">
        <f t="shared" si="7"/>
        <v>20759.348777082589</v>
      </c>
      <c r="AG20" s="53">
        <f t="shared" si="7"/>
        <v>31213.575465251837</v>
      </c>
      <c r="AH20" s="18"/>
      <c r="AI20" s="19"/>
      <c r="AJ20" s="96"/>
    </row>
    <row r="21" spans="2:38" s="8" customFormat="1" ht="19.5" customHeight="1" x14ac:dyDescent="0.3">
      <c r="B21" s="8" t="s">
        <v>90</v>
      </c>
      <c r="G21" s="794" t="str">
        <f t="shared" si="1"/>
        <v>군산</v>
      </c>
      <c r="H21" s="80"/>
      <c r="I21" s="81" t="s">
        <v>90</v>
      </c>
      <c r="J21" s="46">
        <f>+IFERROR(HLOOKUP($B21,'[1]10월'!$D$6:$BN$259,2,),)/1000</f>
        <v>7</v>
      </c>
      <c r="K21" s="47">
        <f>+IFERROR(HLOOKUP($B21,'[2]10월'!$F$6:$CP$99,2,),)/1000</f>
        <v>9.0229999999999997</v>
      </c>
      <c r="L21" s="48">
        <f t="shared" si="0"/>
        <v>2.0229999999999997</v>
      </c>
      <c r="M21" s="49">
        <f>+IFERROR(HLOOKUP($B21,'[3]10월'!$F$6:$CC$57,2,),)/1000</f>
        <v>8.6054999999999993</v>
      </c>
      <c r="N21" s="50">
        <f t="shared" si="2"/>
        <v>0.41750000000000043</v>
      </c>
      <c r="O21" s="46">
        <f>+IFERROR(HLOOKUP($B21,'[1]10월'!$D$6:$BN$259,3,),)/1000</f>
        <v>761.47220699999991</v>
      </c>
      <c r="P21" s="47">
        <f>+IFERROR(HLOOKUP($B21,'[2]10월'!$F$6:$CP$99,3,),)/1000</f>
        <v>1002.98855</v>
      </c>
      <c r="Q21" s="48">
        <f t="shared" si="3"/>
        <v>241.51634300000012</v>
      </c>
      <c r="R21" s="49">
        <f>+IFERROR(HLOOKUP($B21,'[3]10월'!$F$6:$CC$57,3,),)/1000</f>
        <v>903.96603799999991</v>
      </c>
      <c r="S21" s="50">
        <f t="shared" si="4"/>
        <v>99.02251200000012</v>
      </c>
      <c r="T21" s="46">
        <f>+IFERROR(HLOOKUP($B21,'[1]10월'!$D$6:$BN$259,16,),)/1000</f>
        <v>200.39525161036039</v>
      </c>
      <c r="U21" s="47">
        <f>+IFERROR(HLOOKUP($B21,'[2]10월'!$F$6:$CP$99,16,),)/1000</f>
        <v>268.545388</v>
      </c>
      <c r="V21" s="48">
        <f t="shared" si="5"/>
        <v>68.150136389639613</v>
      </c>
      <c r="W21" s="49">
        <f>+IFERROR(HLOOKUP($B21,'[3]10월'!$F$6:$CC$57,16,),)/1000</f>
        <v>252.05178199999992</v>
      </c>
      <c r="X21" s="50">
        <f t="shared" si="6"/>
        <v>16.493606000000085</v>
      </c>
      <c r="Y21" s="46">
        <f>+[5]군산!$Q$85</f>
        <v>108781.74385714284</v>
      </c>
      <c r="Z21" s="47">
        <f>+[5]군산!$R$85</f>
        <v>111159.09896930068</v>
      </c>
      <c r="AA21" s="51">
        <f>+[6]군산!$Q$85</f>
        <v>105101.35476705442</v>
      </c>
      <c r="AB21" s="52">
        <f>+[5]군산!$Q$89</f>
        <v>69630.379624922789</v>
      </c>
      <c r="AC21" s="47">
        <f>+[5]군산!$R$89</f>
        <v>72170.11958328716</v>
      </c>
      <c r="AD21" s="53">
        <f>+[6]군산!$Q$89</f>
        <v>67141.823347167825</v>
      </c>
      <c r="AE21" s="52">
        <f t="shared" si="7"/>
        <v>39151.364232220047</v>
      </c>
      <c r="AF21" s="47">
        <f t="shared" si="7"/>
        <v>38988.979386013525</v>
      </c>
      <c r="AG21" s="53">
        <f t="shared" si="7"/>
        <v>37959.531419886596</v>
      </c>
      <c r="AH21" s="18"/>
      <c r="AI21" s="19"/>
      <c r="AJ21" s="96"/>
    </row>
    <row r="22" spans="2:38" s="8" customFormat="1" ht="19.5" customHeight="1" x14ac:dyDescent="0.3">
      <c r="B22" s="8" t="s">
        <v>91</v>
      </c>
      <c r="G22" s="794" t="str">
        <f t="shared" si="1"/>
        <v>원주</v>
      </c>
      <c r="H22" s="80"/>
      <c r="I22" s="81" t="s">
        <v>91</v>
      </c>
      <c r="J22" s="46">
        <f>+IFERROR(HLOOKUP($B22,'[1]10월'!$D$6:$BN$259,2,),)/1000</f>
        <v>6</v>
      </c>
      <c r="K22" s="47">
        <f>+IFERROR(HLOOKUP($B22,'[2]10월'!$F$6:$CP$99,2,),)/1000</f>
        <v>5.5439999999999996</v>
      </c>
      <c r="L22" s="48">
        <f t="shared" si="0"/>
        <v>-0.45600000000000041</v>
      </c>
      <c r="M22" s="49">
        <f>+IFERROR(HLOOKUP($B22,'[3]10월'!$F$6:$CC$57,2,),)/1000</f>
        <v>6.4390000000000001</v>
      </c>
      <c r="N22" s="50">
        <f t="shared" si="2"/>
        <v>-0.89500000000000046</v>
      </c>
      <c r="O22" s="46">
        <f>+IFERROR(HLOOKUP($B22,'[1]10월'!$D$6:$BN$259,3,),)/1000</f>
        <v>647.4</v>
      </c>
      <c r="P22" s="47">
        <f>+IFERROR(HLOOKUP($B22,'[2]10월'!$F$6:$CP$99,3,),)/1000</f>
        <v>603.98327700000004</v>
      </c>
      <c r="Q22" s="48">
        <f t="shared" si="3"/>
        <v>-43.416722999999934</v>
      </c>
      <c r="R22" s="49">
        <f>+IFERROR(HLOOKUP($B22,'[3]10월'!$F$6:$CC$57,3,),)/1000</f>
        <v>663.01852800000006</v>
      </c>
      <c r="S22" s="50">
        <f t="shared" si="4"/>
        <v>-59.035251000000017</v>
      </c>
      <c r="T22" s="46">
        <f>+IFERROR(HLOOKUP($B22,'[1]10월'!$D$6:$BN$259,16,),)/1000</f>
        <v>123.06148888333351</v>
      </c>
      <c r="U22" s="47">
        <f>+IFERROR(HLOOKUP($B22,'[2]10월'!$F$6:$CP$99,16,),)/1000</f>
        <v>104.30830999999999</v>
      </c>
      <c r="V22" s="48">
        <f t="shared" si="5"/>
        <v>-18.753178883333518</v>
      </c>
      <c r="W22" s="49">
        <f>+IFERROR(HLOOKUP($B22,'[3]10월'!$F$6:$CC$57,16,),)/1000</f>
        <v>129.33401100000009</v>
      </c>
      <c r="X22" s="50">
        <f t="shared" si="6"/>
        <v>-25.025701000000097</v>
      </c>
      <c r="Y22" s="46">
        <f>+[5]원주!$Q$85</f>
        <v>107900</v>
      </c>
      <c r="Z22" s="47">
        <f>+[5]원주!$R$85</f>
        <v>108943.59253246753</v>
      </c>
      <c r="AA22" s="51">
        <f>+[6]원주!$Q$85</f>
        <v>102998.98732592708</v>
      </c>
      <c r="AB22" s="52">
        <f>+[5]원주!$Q$89</f>
        <v>72860.632782339308</v>
      </c>
      <c r="AC22" s="47">
        <f>+[5]원주!$R$89</f>
        <v>73906.808441558445</v>
      </c>
      <c r="AD22" s="53">
        <f>+[6]원주!$Q$89</f>
        <v>70663.78798310124</v>
      </c>
      <c r="AE22" s="52">
        <f t="shared" si="7"/>
        <v>35039.367217660692</v>
      </c>
      <c r="AF22" s="47">
        <f t="shared" si="7"/>
        <v>35036.784090909088</v>
      </c>
      <c r="AG22" s="53">
        <f t="shared" si="7"/>
        <v>32335.199342825843</v>
      </c>
      <c r="AH22" s="18"/>
      <c r="AI22" s="19"/>
      <c r="AJ22" s="96"/>
    </row>
    <row r="23" spans="2:38" s="8" customFormat="1" ht="19.5" customHeight="1" x14ac:dyDescent="0.3">
      <c r="B23" s="8" t="s">
        <v>92</v>
      </c>
      <c r="G23" s="792" t="str">
        <f t="shared" si="1"/>
        <v>제주</v>
      </c>
      <c r="H23" s="80"/>
      <c r="I23" s="81" t="s">
        <v>92</v>
      </c>
      <c r="J23" s="46">
        <f>+IFERROR(HLOOKUP($B23,'[1]10월'!$D$6:$BN$259,2,),)/1000</f>
        <v>7</v>
      </c>
      <c r="K23" s="47">
        <f>+IFERROR(HLOOKUP($B23,'[2]10월'!$F$6:$CP$99,2,),)/1000</f>
        <v>3.0470000000000002</v>
      </c>
      <c r="L23" s="48">
        <f t="shared" si="0"/>
        <v>-3.9529999999999998</v>
      </c>
      <c r="M23" s="49">
        <f>+IFERROR(HLOOKUP($B23,'[3]10월'!$F$6:$CC$57,2,),)/1000</f>
        <v>7.2104999999999997</v>
      </c>
      <c r="N23" s="50">
        <f t="shared" si="2"/>
        <v>-4.1634999999999991</v>
      </c>
      <c r="O23" s="46">
        <f>+IFERROR(HLOOKUP($B23,'[1]10월'!$D$6:$BN$259,3,),)/1000</f>
        <v>887.6</v>
      </c>
      <c r="P23" s="47">
        <f>+IFERROR(HLOOKUP($B23,'[2]10월'!$F$6:$CP$99,3,),)/1000</f>
        <v>366.41406800000004</v>
      </c>
      <c r="Q23" s="48">
        <f t="shared" si="3"/>
        <v>-521.18593199999998</v>
      </c>
      <c r="R23" s="49">
        <f>+IFERROR(HLOOKUP($B23,'[3]10월'!$F$6:$CC$57,3,),)/1000</f>
        <v>853.32546500000012</v>
      </c>
      <c r="S23" s="50">
        <f t="shared" si="4"/>
        <v>-486.91139700000008</v>
      </c>
      <c r="T23" s="46">
        <f>+IFERROR(HLOOKUP($B23,'[1]10월'!$D$6:$BN$259,16,),)/1000</f>
        <v>161.45188945150892</v>
      </c>
      <c r="U23" s="47">
        <f>+IFERROR(HLOOKUP($B23,'[2]10월'!$F$6:$CP$99,16,),)/1000</f>
        <v>4.7940700000000502</v>
      </c>
      <c r="V23" s="48">
        <f t="shared" si="5"/>
        <v>-156.65781945150886</v>
      </c>
      <c r="W23" s="49">
        <f>+IFERROR(HLOOKUP($B23,'[3]10월'!$F$6:$CC$57,16,),)/1000</f>
        <v>153.81434500000009</v>
      </c>
      <c r="X23" s="50">
        <f t="shared" si="6"/>
        <v>-149.02027500000003</v>
      </c>
      <c r="Y23" s="46">
        <f>+[5]제주!$Q$85</f>
        <v>126800</v>
      </c>
      <c r="Z23" s="47">
        <f>+[5]제주!$R$85</f>
        <v>120254.04266491633</v>
      </c>
      <c r="AA23" s="51">
        <f>+[6]제주!$Q$85</f>
        <v>118440.38096596989</v>
      </c>
      <c r="AB23" s="52">
        <f>+[5]제주!$Q$89</f>
        <v>91213.271815179265</v>
      </c>
      <c r="AC23" s="47">
        <f>+[5]제주!$R$89</f>
        <v>91133.112085769986</v>
      </c>
      <c r="AD23" s="53">
        <f>+[6]제주!$Q$89</f>
        <v>83392.47128486837</v>
      </c>
      <c r="AE23" s="52">
        <f t="shared" si="7"/>
        <v>35586.728184820735</v>
      </c>
      <c r="AF23" s="47">
        <f t="shared" si="7"/>
        <v>29120.930579146341</v>
      </c>
      <c r="AG23" s="53">
        <f t="shared" si="7"/>
        <v>35047.909681101519</v>
      </c>
      <c r="AH23" s="18"/>
      <c r="AI23" s="19"/>
      <c r="AJ23" s="96"/>
    </row>
    <row r="24" spans="2:38" s="8" customFormat="1" ht="19.5" customHeight="1" x14ac:dyDescent="0.3">
      <c r="G24" s="795" t="str">
        <f t="shared" si="1"/>
        <v>수도권</v>
      </c>
      <c r="H24" s="80"/>
      <c r="I24" s="84" t="s">
        <v>55</v>
      </c>
      <c r="J24" s="23">
        <f>SUM(J7:J10)</f>
        <v>121.5</v>
      </c>
      <c r="K24" s="20">
        <f>SUM(K7:K10)</f>
        <v>103.90999999999998</v>
      </c>
      <c r="L24" s="21">
        <f t="shared" si="0"/>
        <v>-17.590000000000018</v>
      </c>
      <c r="M24" s="25">
        <f>SUM(M7:M10)</f>
        <v>136.035</v>
      </c>
      <c r="N24" s="22">
        <f t="shared" si="2"/>
        <v>-32.125000000000014</v>
      </c>
      <c r="O24" s="23">
        <f>SUM(O7:O10)</f>
        <v>12351.260638043987</v>
      </c>
      <c r="P24" s="20">
        <f>SUM(P7:P10)</f>
        <v>9713.520011999999</v>
      </c>
      <c r="Q24" s="21">
        <f t="shared" si="3"/>
        <v>-2637.7406260439875</v>
      </c>
      <c r="R24" s="25">
        <f>SUM(R7:R10)</f>
        <v>13130.312079999998</v>
      </c>
      <c r="S24" s="22">
        <f t="shared" si="4"/>
        <v>-3416.7920679999988</v>
      </c>
      <c r="T24" s="23">
        <f>SUM(T7:T10)</f>
        <v>1890.5423972010115</v>
      </c>
      <c r="U24" s="20">
        <f>SUM(U7:U10)</f>
        <v>363.42567899999938</v>
      </c>
      <c r="V24" s="21">
        <f t="shared" si="5"/>
        <v>-1527.1167182010122</v>
      </c>
      <c r="W24" s="25">
        <f>SUM(W7:W10)</f>
        <v>1897.1382539999991</v>
      </c>
      <c r="X24" s="22">
        <f t="shared" si="6"/>
        <v>-1533.7125749999996</v>
      </c>
      <c r="Y24" s="23">
        <f>+[5]수도권!$Q$85</f>
        <v>101656.46615674063</v>
      </c>
      <c r="Z24" s="20">
        <f>+[5]수도권!$R$85</f>
        <v>93480.665857137355</v>
      </c>
      <c r="AA24" s="24">
        <f>+[6]수도권!$Q$85</f>
        <v>96457.329512639408</v>
      </c>
      <c r="AB24" s="29">
        <f>+[5]수도권!$Q$89</f>
        <v>78142.382558553945</v>
      </c>
      <c r="AC24" s="20">
        <f>+[5]수도권!$R$89</f>
        <v>80496.449431627421</v>
      </c>
      <c r="AD24" s="30">
        <f>+[6]수도권!$Q$89</f>
        <v>75526.78758067431</v>
      </c>
      <c r="AE24" s="29">
        <f t="shared" si="7"/>
        <v>23514.083598186684</v>
      </c>
      <c r="AF24" s="20">
        <f t="shared" si="7"/>
        <v>12984.216425509934</v>
      </c>
      <c r="AG24" s="30">
        <f t="shared" si="7"/>
        <v>20930.541931965097</v>
      </c>
      <c r="AH24" s="18"/>
      <c r="AI24" s="19"/>
      <c r="AJ24" s="96"/>
    </row>
    <row r="25" spans="2:38" s="8" customFormat="1" ht="19.5" customHeight="1" x14ac:dyDescent="0.3">
      <c r="G25" s="792" t="str">
        <f t="shared" si="1"/>
        <v>영남권</v>
      </c>
      <c r="H25" s="80"/>
      <c r="I25" s="84" t="s">
        <v>56</v>
      </c>
      <c r="J25" s="23">
        <f>SUM(J11:J18)</f>
        <v>138.5</v>
      </c>
      <c r="K25" s="20">
        <f>SUM(K11:K18)</f>
        <v>130.221</v>
      </c>
      <c r="L25" s="21">
        <f t="shared" si="0"/>
        <v>-8.2789999999999964</v>
      </c>
      <c r="M25" s="25">
        <f>SUM(M11:M18)</f>
        <v>149.6455</v>
      </c>
      <c r="N25" s="22">
        <f t="shared" si="2"/>
        <v>-19.424499999999995</v>
      </c>
      <c r="O25" s="23">
        <f>SUM(O11:O18)</f>
        <v>14209.125208499998</v>
      </c>
      <c r="P25" s="20">
        <f>SUM(P11:P18)</f>
        <v>12503.421849</v>
      </c>
      <c r="Q25" s="21">
        <f t="shared" si="3"/>
        <v>-1705.7033594999975</v>
      </c>
      <c r="R25" s="25">
        <f>SUM(R11:R18)</f>
        <v>14637.547608999999</v>
      </c>
      <c r="S25" s="22">
        <f t="shared" si="4"/>
        <v>-2134.125759999999</v>
      </c>
      <c r="T25" s="23">
        <f>SUM(T11:T18)</f>
        <v>2263.686683293774</v>
      </c>
      <c r="U25" s="20">
        <f>SUM(U11:U18)</f>
        <v>830.76103799999987</v>
      </c>
      <c r="V25" s="21">
        <f t="shared" si="5"/>
        <v>-1432.9256452937741</v>
      </c>
      <c r="W25" s="25">
        <f>SUM(W11:W18)</f>
        <v>2708.1794749999999</v>
      </c>
      <c r="X25" s="22">
        <f t="shared" si="6"/>
        <v>-1877.418437</v>
      </c>
      <c r="Y25" s="23">
        <f>+[5]영남권!$Q$85</f>
        <v>102592.96179422383</v>
      </c>
      <c r="Z25" s="20">
        <f>+[5]영남권!$R$85</f>
        <v>96016.648996705597</v>
      </c>
      <c r="AA25" s="24">
        <f>+[6]영남권!$Q$85</f>
        <v>97820.439303297506</v>
      </c>
      <c r="AB25" s="29">
        <f>+[5]영남권!$Q$89</f>
        <v>75796.515025055618</v>
      </c>
      <c r="AC25" s="20">
        <f>+[5]영남권!$R$89</f>
        <v>78191.758310460515</v>
      </c>
      <c r="AD25" s="30">
        <f>+[6]영남권!$Q$89</f>
        <v>70291.213915186745</v>
      </c>
      <c r="AE25" s="29">
        <f t="shared" si="7"/>
        <v>26796.446769168208</v>
      </c>
      <c r="AF25" s="20">
        <f t="shared" si="7"/>
        <v>17824.890686245082</v>
      </c>
      <c r="AG25" s="30">
        <f t="shared" si="7"/>
        <v>27529.225388110761</v>
      </c>
      <c r="AH25" s="18"/>
      <c r="AI25" s="19"/>
      <c r="AJ25" s="96"/>
    </row>
    <row r="26" spans="2:38" s="8" customFormat="1" ht="19.5" customHeight="1" x14ac:dyDescent="0.3">
      <c r="G26" s="792" t="str">
        <f t="shared" si="1"/>
        <v>중부권</v>
      </c>
      <c r="H26" s="80"/>
      <c r="I26" s="84" t="s">
        <v>170</v>
      </c>
      <c r="J26" s="23">
        <f>SUM(J19:J23)</f>
        <v>61</v>
      </c>
      <c r="K26" s="20">
        <f>SUM(K19:K23)</f>
        <v>62.425999999999988</v>
      </c>
      <c r="L26" s="21">
        <f t="shared" si="0"/>
        <v>1.4259999999999877</v>
      </c>
      <c r="M26" s="25">
        <f>SUM(M19:M23)</f>
        <v>64.833500000000001</v>
      </c>
      <c r="N26" s="22">
        <f t="shared" si="2"/>
        <v>-2.4075000000000131</v>
      </c>
      <c r="O26" s="23">
        <f>SUM(O19:O23)</f>
        <v>6444.567967</v>
      </c>
      <c r="P26" s="20">
        <f>SUM(P19:P23)</f>
        <v>6311.6096660000003</v>
      </c>
      <c r="Q26" s="21">
        <f t="shared" si="3"/>
        <v>-132.95830099999966</v>
      </c>
      <c r="R26" s="25">
        <f>SUM(R19:R23)</f>
        <v>6508.9208359999993</v>
      </c>
      <c r="S26" s="22">
        <f t="shared" si="4"/>
        <v>-197.31116999999904</v>
      </c>
      <c r="T26" s="23">
        <f>SUM(T19:T23)</f>
        <v>1157.2225404386322</v>
      </c>
      <c r="U26" s="20">
        <f>SUM(U19:U23)</f>
        <v>947.08471699999973</v>
      </c>
      <c r="V26" s="21">
        <f t="shared" si="5"/>
        <v>-210.13782343863249</v>
      </c>
      <c r="W26" s="25">
        <f>SUM(W19:W23)</f>
        <v>1236.0067790000001</v>
      </c>
      <c r="X26" s="22">
        <f t="shared" si="6"/>
        <v>-288.92206200000032</v>
      </c>
      <c r="Y26" s="23">
        <f>+[5]중부권!$Q$85</f>
        <v>105648.6551967213</v>
      </c>
      <c r="Z26" s="20">
        <f>+[5]중부권!$R$85</f>
        <v>101095.65574191067</v>
      </c>
      <c r="AA26" s="24">
        <f>+[6]중부권!$Q$85</f>
        <v>100356.66923977152</v>
      </c>
      <c r="AB26" s="29">
        <f>+[5]중부권!$Q$89</f>
        <v>76799.923380624256</v>
      </c>
      <c r="AC26" s="20">
        <f>+[5]중부권!$R$89</f>
        <v>75393.476845256198</v>
      </c>
      <c r="AD26" s="30">
        <f>+[6]중부권!$Q$89</f>
        <v>72173.8012413697</v>
      </c>
      <c r="AE26" s="29">
        <f t="shared" si="7"/>
        <v>28848.731816097046</v>
      </c>
      <c r="AF26" s="20">
        <f t="shared" si="7"/>
        <v>25702.17889665447</v>
      </c>
      <c r="AG26" s="30">
        <f t="shared" si="7"/>
        <v>28182.867998401824</v>
      </c>
      <c r="AH26" s="18"/>
      <c r="AI26" s="19"/>
      <c r="AJ26" s="96"/>
    </row>
    <row r="27" spans="2:38" s="3" customFormat="1" ht="19.5" customHeight="1" x14ac:dyDescent="0.3">
      <c r="B27" s="26"/>
      <c r="G27" s="794">
        <f>+K27/J27</f>
        <v>0.92385358255451699</v>
      </c>
      <c r="H27" s="629" t="s">
        <v>115</v>
      </c>
      <c r="I27" s="630"/>
      <c r="J27" s="631">
        <f>SUM(J24:J26)</f>
        <v>321</v>
      </c>
      <c r="K27" s="632">
        <f>SUM(K24:K26)</f>
        <v>296.55699999999996</v>
      </c>
      <c r="L27" s="633">
        <f t="shared" si="0"/>
        <v>-24.44300000000004</v>
      </c>
      <c r="M27" s="634">
        <f>SUM(M24:M26)</f>
        <v>350.51400000000001</v>
      </c>
      <c r="N27" s="635">
        <f t="shared" si="2"/>
        <v>-53.95700000000005</v>
      </c>
      <c r="O27" s="631">
        <f>SUM(O24:O26)</f>
        <v>33004.953813543987</v>
      </c>
      <c r="P27" s="632">
        <f>SUM(P24:P26)</f>
        <v>28528.551527</v>
      </c>
      <c r="Q27" s="633">
        <f t="shared" si="3"/>
        <v>-4476.4022865439874</v>
      </c>
      <c r="R27" s="634">
        <f>SUM(R24:R26)</f>
        <v>34276.780524999995</v>
      </c>
      <c r="S27" s="635">
        <f t="shared" si="4"/>
        <v>-5748.228997999995</v>
      </c>
      <c r="T27" s="631">
        <f>SUM(T24:T26)</f>
        <v>5311.4516209334179</v>
      </c>
      <c r="U27" s="632">
        <f>SUM(U24:U26)</f>
        <v>2141.2714339999989</v>
      </c>
      <c r="V27" s="633">
        <f t="shared" si="5"/>
        <v>-3170.180186933419</v>
      </c>
      <c r="W27" s="634">
        <f>SUM(W24:W26)</f>
        <v>5841.3245079999988</v>
      </c>
      <c r="X27" s="635">
        <f t="shared" si="6"/>
        <v>-3700.0530739999999</v>
      </c>
      <c r="Y27" s="631">
        <f>+[5]합계!$Q$85</f>
        <v>102819.17075870401</v>
      </c>
      <c r="Z27" s="632">
        <f>+[5]합계!$R$85</f>
        <v>96197.561428846195</v>
      </c>
      <c r="AA27" s="636">
        <f>+[6]합계!$Q$85</f>
        <v>97761.738206654467</v>
      </c>
      <c r="AB27" s="637">
        <f>+[5]합계!$Q$89</f>
        <v>76875.115694867884</v>
      </c>
      <c r="AC27" s="632">
        <f>+[5]합계!$R$89</f>
        <v>78411.450680820199</v>
      </c>
      <c r="AD27" s="638">
        <f>+[6]합계!$Q$89</f>
        <v>72669.740908628984</v>
      </c>
      <c r="AE27" s="637">
        <f t="shared" si="7"/>
        <v>25944.055063836131</v>
      </c>
      <c r="AF27" s="632">
        <f t="shared" si="7"/>
        <v>17786.110748025996</v>
      </c>
      <c r="AG27" s="638">
        <f t="shared" si="7"/>
        <v>25091.997298025482</v>
      </c>
      <c r="AH27" s="27"/>
      <c r="AI27" s="28"/>
      <c r="AJ27" s="96"/>
      <c r="AL27" s="26"/>
    </row>
    <row r="28" spans="2:38" s="8" customFormat="1" ht="19.5" customHeight="1" x14ac:dyDescent="0.3">
      <c r="B28" s="8" t="s">
        <v>3</v>
      </c>
      <c r="E28" s="8" t="s">
        <v>201</v>
      </c>
      <c r="G28" s="792" t="s">
        <v>3</v>
      </c>
      <c r="H28" s="835" t="s">
        <v>3</v>
      </c>
      <c r="I28" s="836"/>
      <c r="J28" s="167">
        <f>+IFERROR(HLOOKUP($B28,'[1]10월'!$D$6:$BN$259,2,),)</f>
        <v>8900</v>
      </c>
      <c r="K28" s="168">
        <f>+IFERROR(HLOOKUP($E28,'[2]10월'!$F$6:$CP$99,2,),)</f>
        <v>8972.0079999999998</v>
      </c>
      <c r="L28" s="169">
        <f>+K28-J28</f>
        <v>72.007999999999811</v>
      </c>
      <c r="M28" s="170">
        <f>+IFERROR(HLOOKUP($E28,'[3]10월'!$F$6:$CC$57,2,),)</f>
        <v>9070.0450000000001</v>
      </c>
      <c r="N28" s="171">
        <f>+K28-M28</f>
        <v>-98.037000000000262</v>
      </c>
      <c r="O28" s="167">
        <f>+IFERROR(HLOOKUP($B28,'[1]10월'!$D$6:$BN$259,3,),)/1000</f>
        <v>10873.416842105264</v>
      </c>
      <c r="P28" s="168">
        <f>+IFERROR(HLOOKUP($E28,'[2]10월'!$F$6:$CP$99,3,),)/1000</f>
        <v>8678.6852690000014</v>
      </c>
      <c r="Q28" s="169">
        <f>+P28-O28</f>
        <v>-2194.7315731052622</v>
      </c>
      <c r="R28" s="170">
        <f>+IFERROR(HLOOKUP($E28,'[3]10월'!$F$6:$CC$57,3,),)/1000</f>
        <v>11314.060175999999</v>
      </c>
      <c r="S28" s="171">
        <f t="shared" si="4"/>
        <v>-2635.3749069999976</v>
      </c>
      <c r="T28" s="167">
        <f>+IFERROR(HLOOKUP($B28,'[1]10월'!$D$6:$BN$259,16,),)/1000</f>
        <v>155.78427776842057</v>
      </c>
      <c r="U28" s="168">
        <f>+IFERROR(HLOOKUP($E28,'[2]10월'!$F$6:$CP$99,16,),)/1000</f>
        <v>44.005329000002384</v>
      </c>
      <c r="V28" s="169">
        <f t="shared" si="5"/>
        <v>-111.77894876841819</v>
      </c>
      <c r="W28" s="170">
        <f>+IFERROR(HLOOKUP($E28,'[3]10월'!$F$6:$CC$57,16,),)/1000</f>
        <v>85.321436999999108</v>
      </c>
      <c r="X28" s="171">
        <f t="shared" si="6"/>
        <v>-41.316107999996724</v>
      </c>
      <c r="Y28" s="649" t="s">
        <v>174</v>
      </c>
      <c r="Z28" s="650"/>
      <c r="AA28" s="650"/>
      <c r="AB28" s="650"/>
      <c r="AC28" s="650"/>
      <c r="AD28" s="650"/>
      <c r="AE28" s="650"/>
      <c r="AF28" s="650"/>
      <c r="AG28" s="651"/>
      <c r="AH28" s="18"/>
      <c r="AI28" s="19"/>
    </row>
    <row r="29" spans="2:38" s="8" customFormat="1" ht="19.5" customHeight="1" x14ac:dyDescent="0.3">
      <c r="B29" s="8" t="s">
        <v>193</v>
      </c>
      <c r="C29" s="79" t="s">
        <v>61</v>
      </c>
      <c r="G29" s="793" t="str">
        <f>+I29</f>
        <v>부산모래장</v>
      </c>
      <c r="H29" s="86" t="s">
        <v>1</v>
      </c>
      <c r="I29" s="81" t="s">
        <v>193</v>
      </c>
      <c r="J29" s="56">
        <f>+IFERROR(HLOOKUP($B29,'[1]10월'!$D$6:$BN$259,2,),)/1000</f>
        <v>29.254222470020949</v>
      </c>
      <c r="K29" s="57">
        <f>+IFERROR(HLOOKUP($C29,'[2]10월'!$F$6:$CP$99,2,),)/1000</f>
        <v>20.119</v>
      </c>
      <c r="L29" s="38">
        <f t="shared" si="0"/>
        <v>-9.135222470020949</v>
      </c>
      <c r="M29" s="38">
        <f>+IFERROR(HLOOKUP($C29,'[3]10월'!$F$6:$CC$57,2,),)/1000</f>
        <v>29.978000000000002</v>
      </c>
      <c r="N29" s="58">
        <f t="shared" si="2"/>
        <v>-9.8590000000000018</v>
      </c>
      <c r="O29" s="56">
        <f>+IFERROR(HLOOKUP($B29,'[1]10월'!$D$6:$BN$259,3,),)/1000</f>
        <v>832.16380631465995</v>
      </c>
      <c r="P29" s="57">
        <f>+IFERROR(HLOOKUP($C29,'[2]10월'!$F$6:$CP$99,3,),)/1000</f>
        <v>571.11</v>
      </c>
      <c r="Q29" s="38">
        <f t="shared" si="3"/>
        <v>-261.05380631465994</v>
      </c>
      <c r="R29" s="38">
        <f>+IFERROR(HLOOKUP($C29,'[3]10월'!$F$6:$CC$57,3,),)/1000</f>
        <v>855.20500000000004</v>
      </c>
      <c r="S29" s="58">
        <f t="shared" si="4"/>
        <v>-284.09500000000003</v>
      </c>
      <c r="T29" s="56">
        <f>+IFERROR(HLOOKUP($B29,'[1]10월'!$D$6:$BN$259,21,),)/1000</f>
        <v>60.533390826378081</v>
      </c>
      <c r="U29" s="57">
        <f>+IFERROR(HLOOKUP($C29,'[2]10월'!$F$6:$CP$99,21,),)/1000</f>
        <v>53.934357068743452</v>
      </c>
      <c r="V29" s="38">
        <f t="shared" si="5"/>
        <v>-6.5990337576346292</v>
      </c>
      <c r="W29" s="38">
        <f>+IFERROR(HLOOKUP($C29,'[3]10월'!$F$6:$CC$57,16,),)/1000</f>
        <v>31.332617000000006</v>
      </c>
      <c r="X29" s="58">
        <f t="shared" si="6"/>
        <v>22.601740068743446</v>
      </c>
      <c r="Y29" s="628"/>
      <c r="Z29" s="587"/>
      <c r="AA29" s="587"/>
      <c r="AB29" s="587"/>
      <c r="AC29" s="587"/>
      <c r="AD29" s="587"/>
      <c r="AE29" s="587"/>
      <c r="AF29" s="587"/>
      <c r="AG29" s="51"/>
      <c r="AH29" s="18"/>
      <c r="AI29" s="19"/>
    </row>
    <row r="30" spans="2:38" s="8" customFormat="1" ht="19.5" customHeight="1" x14ac:dyDescent="0.3">
      <c r="B30" s="8" t="s">
        <v>194</v>
      </c>
      <c r="C30" s="81" t="s">
        <v>62</v>
      </c>
      <c r="G30" s="793" t="str">
        <f t="shared" ref="G30:G31" si="8">+I30</f>
        <v>서부산CR</v>
      </c>
      <c r="H30" s="85"/>
      <c r="I30" s="81" t="s">
        <v>220</v>
      </c>
      <c r="J30" s="54">
        <f>+IFERROR(HLOOKUP($B30,'[1]10월'!$D$6:$BN$259,2,),)/1000</f>
        <v>51.352963333333335</v>
      </c>
      <c r="K30" s="59">
        <f>+IFERROR(HLOOKUP($C30,'[2]10월'!$F$6:$CP$99,2,),)/1000</f>
        <v>1.36</v>
      </c>
      <c r="L30" s="48">
        <f t="shared" si="0"/>
        <v>-49.992963333333336</v>
      </c>
      <c r="M30" s="48">
        <f>+IFERROR(HLOOKUP($C30,'[3]10월'!$F$6:$CC$57,2,),)/1000</f>
        <v>33.643999999999998</v>
      </c>
      <c r="N30" s="60">
        <f t="shared" si="2"/>
        <v>-32.283999999999999</v>
      </c>
      <c r="O30" s="54">
        <f>+IFERROR(HLOOKUP($B30,'[1]10월'!$D$6:$BN$259,3,),)/1000</f>
        <v>637.54944999999998</v>
      </c>
      <c r="P30" s="59">
        <f>+IFERROR(HLOOKUP($C30,'[2]10월'!$F$6:$CP$99,3,),)/1000</f>
        <v>15.64</v>
      </c>
      <c r="Q30" s="48">
        <f t="shared" si="3"/>
        <v>-621.90944999999999</v>
      </c>
      <c r="R30" s="48">
        <f>+IFERROR(HLOOKUP($C30,'[3]10월'!$F$6:$CC$57,3,),)/1000</f>
        <v>400.76</v>
      </c>
      <c r="S30" s="60">
        <f t="shared" si="4"/>
        <v>-385.12</v>
      </c>
      <c r="T30" s="54">
        <f>+IFERROR(HLOOKUP($B30,'[1]10월'!$D$6:$BN$259,21,),)/1000</f>
        <v>174.00076291832283</v>
      </c>
      <c r="U30" s="59">
        <f>+IFERROR(HLOOKUP($C30,'[2]10월'!$F$6:$CP$99,21,),)/1000</f>
        <v>-83.948514345143408</v>
      </c>
      <c r="V30" s="48">
        <f t="shared" si="5"/>
        <v>-257.94927726346623</v>
      </c>
      <c r="W30" s="48">
        <f>+IFERROR(HLOOKUP($C30,'[3]10월'!$F$6:$CC$57,16,),)/1000</f>
        <v>41.015432000000061</v>
      </c>
      <c r="X30" s="60">
        <f t="shared" si="6"/>
        <v>-124.96394634514347</v>
      </c>
      <c r="Y30" s="628"/>
      <c r="Z30" s="587"/>
      <c r="AA30" s="587"/>
      <c r="AB30" s="587"/>
      <c r="AC30" s="587"/>
      <c r="AD30" s="587"/>
      <c r="AE30" s="587"/>
      <c r="AF30" s="587"/>
      <c r="AG30" s="51"/>
      <c r="AH30" s="18"/>
      <c r="AI30" s="19"/>
      <c r="AJ30" s="784"/>
      <c r="AK30" s="98"/>
      <c r="AL30" s="98"/>
    </row>
    <row r="31" spans="2:38" s="8" customFormat="1" ht="19.5" customHeight="1" x14ac:dyDescent="0.3">
      <c r="B31" s="8" t="s">
        <v>176</v>
      </c>
      <c r="C31" s="83" t="s">
        <v>176</v>
      </c>
      <c r="G31" s="793" t="str">
        <f t="shared" si="8"/>
        <v>부산CR</v>
      </c>
      <c r="H31" s="85"/>
      <c r="I31" s="83" t="s">
        <v>222</v>
      </c>
      <c r="J31" s="54">
        <f>+IFERROR(HLOOKUP($B31,'[1]10월'!$D$6:$BN$259,2,),)/1000</f>
        <v>43.565728071919182</v>
      </c>
      <c r="K31" s="59">
        <f>+IFERROR(HLOOKUP($C31,'[2]10월'!$F$6:$CP$99,2,),)/1000</f>
        <v>38.610999999999997</v>
      </c>
      <c r="L31" s="48">
        <f t="shared" si="0"/>
        <v>-4.9547280719191846</v>
      </c>
      <c r="M31" s="48">
        <f>+IFERROR(HLOOKUP($C31,'[3]10월'!$F$6:$CC$57,2,),)/1000</f>
        <v>34.889000000000003</v>
      </c>
      <c r="N31" s="60">
        <f t="shared" si="2"/>
        <v>3.7219999999999942</v>
      </c>
      <c r="O31" s="54">
        <f>+IFERROR(HLOOKUP($B31,'[1]10월'!$D$6:$BN$259,3,),)/1000</f>
        <v>790.01555908893295</v>
      </c>
      <c r="P31" s="59">
        <f>+IFERROR(HLOOKUP($C31,'[2]10월'!$F$6:$CP$99,3,),)/1000</f>
        <v>659.06849999999997</v>
      </c>
      <c r="Q31" s="48">
        <f t="shared" si="3"/>
        <v>-130.94705908893297</v>
      </c>
      <c r="R31" s="48">
        <f>+IFERROR(HLOOKUP($C31,'[3]10월'!$F$6:$CC$57,3,),)/1000</f>
        <v>596.32799999999997</v>
      </c>
      <c r="S31" s="60">
        <f t="shared" si="4"/>
        <v>62.740499999999997</v>
      </c>
      <c r="T31" s="54">
        <f>+IFERROR(HLOOKUP($B31,'[1]10월'!$D$6:$BN$259,21,),)/1000</f>
        <v>98.617224516841659</v>
      </c>
      <c r="U31" s="59">
        <f>+IFERROR(HLOOKUP($C31,'[2]10월'!$F$6:$CP$99,21,),)/1000</f>
        <v>-119.94369382000009</v>
      </c>
      <c r="V31" s="48">
        <f t="shared" si="5"/>
        <v>-218.56091833684175</v>
      </c>
      <c r="W31" s="48">
        <f>+IFERROR(HLOOKUP($C31,'[3]10월'!$F$6:$CC$57,16,),)/1000</f>
        <v>69.444006999999985</v>
      </c>
      <c r="X31" s="60">
        <f t="shared" si="6"/>
        <v>-189.38770082000008</v>
      </c>
      <c r="Y31" s="586"/>
      <c r="Z31" s="587"/>
      <c r="AA31" s="587"/>
      <c r="AB31" s="587"/>
      <c r="AC31" s="587"/>
      <c r="AD31" s="587"/>
      <c r="AE31" s="587"/>
      <c r="AF31" s="587"/>
      <c r="AG31" s="51"/>
      <c r="AH31" s="18"/>
      <c r="AI31" s="19"/>
      <c r="AJ31" s="784"/>
      <c r="AK31" s="98"/>
      <c r="AL31" s="98"/>
    </row>
    <row r="32" spans="2:38" s="3" customFormat="1" ht="19.5" customHeight="1" x14ac:dyDescent="0.3">
      <c r="G32" s="796"/>
      <c r="H32" s="146" t="s">
        <v>42</v>
      </c>
      <c r="I32" s="147"/>
      <c r="J32" s="148">
        <f>SUM(J29:J31)</f>
        <v>124.17291387527347</v>
      </c>
      <c r="K32" s="152">
        <f>SUM(K29:K31)</f>
        <v>60.089999999999996</v>
      </c>
      <c r="L32" s="150">
        <f t="shared" si="0"/>
        <v>-64.082913875273476</v>
      </c>
      <c r="M32" s="150">
        <f>SUM(M29:M31)</f>
        <v>98.510999999999996</v>
      </c>
      <c r="N32" s="151">
        <f t="shared" si="2"/>
        <v>-38.420999999999999</v>
      </c>
      <c r="O32" s="148">
        <f>SUM(O29:O31)</f>
        <v>2259.7288154035928</v>
      </c>
      <c r="P32" s="152">
        <f>SUM(P29:P31)</f>
        <v>1245.8184999999999</v>
      </c>
      <c r="Q32" s="150">
        <f t="shared" si="3"/>
        <v>-1013.9103154035929</v>
      </c>
      <c r="R32" s="150">
        <f>SUM(R29:R31)</f>
        <v>1852.2930000000001</v>
      </c>
      <c r="S32" s="151">
        <f t="shared" si="4"/>
        <v>-606.47450000000026</v>
      </c>
      <c r="T32" s="148">
        <f>SUM(T29:T31)</f>
        <v>333.15137826154256</v>
      </c>
      <c r="U32" s="152">
        <f>SUM(U29:U31)</f>
        <v>-149.95785109640005</v>
      </c>
      <c r="V32" s="150">
        <f t="shared" si="5"/>
        <v>-483.10922935794258</v>
      </c>
      <c r="W32" s="150">
        <f>SUM(W29:W31)</f>
        <v>141.79205600000006</v>
      </c>
      <c r="X32" s="151">
        <f t="shared" si="6"/>
        <v>-291.74990709640008</v>
      </c>
      <c r="Y32" s="586"/>
      <c r="Z32" s="587"/>
      <c r="AA32" s="587"/>
      <c r="AB32" s="587"/>
      <c r="AC32" s="587"/>
      <c r="AD32" s="587"/>
      <c r="AE32" s="587"/>
      <c r="AF32" s="587"/>
      <c r="AG32" s="51"/>
      <c r="AH32" s="27"/>
      <c r="AI32" s="28"/>
    </row>
    <row r="33" spans="2:38" s="8" customFormat="1" ht="19.5" customHeight="1" x14ac:dyDescent="0.3">
      <c r="B33" s="8" t="s">
        <v>197</v>
      </c>
      <c r="C33" s="8" t="s">
        <v>196</v>
      </c>
      <c r="D33" t="s">
        <v>195</v>
      </c>
      <c r="E33" t="s">
        <v>100</v>
      </c>
      <c r="F33"/>
      <c r="G33" s="792" t="str">
        <f>+I33</f>
        <v>레미콘임대</v>
      </c>
      <c r="H33" s="89" t="s">
        <v>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(IFERROR(HLOOKUP($B33,'[1]10월'!$D$6:$BN$259,3,),)++IFERROR(HLOOKUP($C33,'[1]10월'!$D$6:$BN$259,3,),)+IFERROR(HLOOKUP($D33,'[1]10월'!$D$6:$BN$259,3,),))/1000</f>
        <v>90.84</v>
      </c>
      <c r="P33" s="47">
        <f>+IFERROR(HLOOKUP($E33,'[2]10월'!$F$6:$CP$99,3,),)/1000</f>
        <v>90.84</v>
      </c>
      <c r="Q33" s="49">
        <f t="shared" si="3"/>
        <v>0</v>
      </c>
      <c r="R33" s="48">
        <f>+IFERROR(HLOOKUP($E33,'[3]10월'!$F$6:$CC$57,3,),)/1000</f>
        <v>90.84</v>
      </c>
      <c r="S33" s="60">
        <f t="shared" si="4"/>
        <v>0</v>
      </c>
      <c r="T33" s="46">
        <f>(IFERROR(HLOOKUP($B33,'[1]10월'!$D$6:$BN$259,21,),)++IFERROR(HLOOKUP($C33,'[1]10월'!$D$6:$BN$259,21,),)+IFERROR(HLOOKUP($D33,'[1]10월'!$D$6:$BN$259,21,),))/1000</f>
        <v>72.165959000000001</v>
      </c>
      <c r="U33" s="47">
        <f>+IFERROR(HLOOKUP($E33,'[2]10월'!$F$6:$CP$99,16,),)/1000</f>
        <v>71.167959999999994</v>
      </c>
      <c r="V33" s="49">
        <f t="shared" si="5"/>
        <v>-0.99799900000000719</v>
      </c>
      <c r="W33" s="48">
        <f>+IFERROR(HLOOKUP($E33,'[3]10월'!$F$6:$CC$57,16,),)/1000</f>
        <v>71.889904000000001</v>
      </c>
      <c r="X33" s="60">
        <f t="shared" si="6"/>
        <v>-0.72194400000000769</v>
      </c>
      <c r="Y33" s="628"/>
      <c r="Z33" s="587"/>
      <c r="AA33" s="587"/>
      <c r="AB33" s="587"/>
      <c r="AC33" s="587"/>
      <c r="AD33" s="587"/>
      <c r="AE33" s="587"/>
      <c r="AF33" s="587"/>
      <c r="AG33" s="51"/>
      <c r="AH33" s="18"/>
      <c r="AI33" s="19"/>
    </row>
    <row r="34" spans="2:38" s="8" customFormat="1" ht="19.5" customHeight="1" x14ac:dyDescent="0.3">
      <c r="B34" s="8" t="s">
        <v>198</v>
      </c>
      <c r="C34" s="8" t="s">
        <v>199</v>
      </c>
      <c r="D34"/>
      <c r="E34" t="s">
        <v>40</v>
      </c>
      <c r="F34"/>
      <c r="G34" s="792" t="str">
        <f t="shared" ref="G34:G38" si="9">+I34</f>
        <v>임대</v>
      </c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0" si="10">+K34-M34</f>
        <v>0</v>
      </c>
      <c r="O34" s="46">
        <f>(+IFERROR(HLOOKUP($B34,'[1]10월'!$D$6:$BN$259,3,),)+IFERROR(HLOOKUP($C34,'[1]10월'!$D$6:$BN$259,3,),))/1000</f>
        <v>72.297500333333332</v>
      </c>
      <c r="P34" s="47">
        <f>+IFERROR(HLOOKUP($E34,'[2]10월'!$F$6:$CP$99,3,),)/1000</f>
        <v>73.837421000000006</v>
      </c>
      <c r="Q34" s="49">
        <f>+P34-O34</f>
        <v>1.5399206666666743</v>
      </c>
      <c r="R34" s="48">
        <f>+IFERROR(HLOOKUP($E34,'[3]10월'!$F$6:$CC$57,3,),)/1000</f>
        <v>93.176517000000004</v>
      </c>
      <c r="S34" s="60">
        <f t="shared" si="4"/>
        <v>-19.339095999999998</v>
      </c>
      <c r="T34" s="46">
        <f>(+IFERROR(HLOOKUP($B34,'[1]10월'!$D$6:$BN$259,21,),)+IFERROR(HLOOKUP($C34,'[1]10월'!$D$6:$BN$259,21,),))/1000</f>
        <v>62.030473333333333</v>
      </c>
      <c r="U34" s="47">
        <f>+IFERROR(HLOOKUP($E34,'[2]10월'!$F$6:$CP$99,16,),)/1000</f>
        <v>63.70566500000001</v>
      </c>
      <c r="V34" s="49">
        <f t="shared" si="5"/>
        <v>1.6751916666666773</v>
      </c>
      <c r="W34" s="48">
        <f>+IFERROR(HLOOKUP($E34,'[3]10월'!$F$6:$CC$57,16,),)/1000</f>
        <v>56.287941000000011</v>
      </c>
      <c r="X34" s="60">
        <f t="shared" si="6"/>
        <v>7.4177239999999998</v>
      </c>
      <c r="Y34" s="628"/>
      <c r="Z34" s="587"/>
      <c r="AA34" s="587"/>
      <c r="AB34" s="587"/>
      <c r="AC34" s="587"/>
      <c r="AD34" s="587"/>
      <c r="AE34" s="587"/>
      <c r="AF34" s="587"/>
      <c r="AG34" s="51"/>
      <c r="AH34" s="18"/>
      <c r="AI34" s="19"/>
    </row>
    <row r="35" spans="2:38" s="8" customFormat="1" ht="19.5" customHeight="1" x14ac:dyDescent="0.3">
      <c r="B35" s="8" t="s">
        <v>200</v>
      </c>
      <c r="D35"/>
      <c r="E35"/>
      <c r="F35"/>
      <c r="G35" s="792" t="str">
        <f t="shared" si="9"/>
        <v>공통비</v>
      </c>
      <c r="H35" s="87"/>
      <c r="I35" s="88" t="s">
        <v>38</v>
      </c>
      <c r="J35" s="46"/>
      <c r="K35" s="47"/>
      <c r="L35" s="49">
        <f>+K35-J35</f>
        <v>0</v>
      </c>
      <c r="M35" s="48"/>
      <c r="N35" s="60">
        <f t="shared" si="10"/>
        <v>0</v>
      </c>
      <c r="O35" s="46"/>
      <c r="P35" s="47"/>
      <c r="Q35" s="49">
        <f t="shared" ref="Q35:Q39" si="11">+P35-O35</f>
        <v>0</v>
      </c>
      <c r="R35" s="48"/>
      <c r="S35" s="60">
        <f t="shared" si="4"/>
        <v>0</v>
      </c>
      <c r="T35" s="46">
        <f>-'[1]10월'!$Z$22/1000</f>
        <v>-1239.3304821245667</v>
      </c>
      <c r="U35" s="47">
        <f>+-'[2]10월'!$Z$22/1000</f>
        <v>-1196.5785099009242</v>
      </c>
      <c r="V35" s="49">
        <f t="shared" si="5"/>
        <v>42.751972223642497</v>
      </c>
      <c r="W35" s="48">
        <f>+-'[3]10월'!$Z$22/1000</f>
        <v>-1214.5176319999998</v>
      </c>
      <c r="X35" s="60">
        <f t="shared" si="6"/>
        <v>17.939122099075576</v>
      </c>
      <c r="Y35" s="628"/>
      <c r="Z35" s="587"/>
      <c r="AA35" s="587"/>
      <c r="AB35" s="587"/>
      <c r="AC35" s="587"/>
      <c r="AD35" s="587"/>
      <c r="AE35" s="587"/>
      <c r="AF35" s="587"/>
      <c r="AG35" s="51"/>
      <c r="AH35" s="18"/>
      <c r="AI35" s="19"/>
      <c r="AK35" s="596"/>
      <c r="AL35" s="98"/>
    </row>
    <row r="36" spans="2:38" s="8" customFormat="1" ht="19.5" customHeight="1" x14ac:dyDescent="0.3">
      <c r="D36"/>
      <c r="E36"/>
      <c r="F36"/>
      <c r="G36" s="792" t="str">
        <f t="shared" si="9"/>
        <v>대손</v>
      </c>
      <c r="H36" s="87"/>
      <c r="I36" s="88" t="s">
        <v>117</v>
      </c>
      <c r="J36" s="46"/>
      <c r="K36" s="47"/>
      <c r="L36" s="49"/>
      <c r="M36" s="48"/>
      <c r="N36" s="60">
        <f t="shared" si="10"/>
        <v>0</v>
      </c>
      <c r="O36" s="46"/>
      <c r="P36" s="47"/>
      <c r="Q36" s="49">
        <f t="shared" si="11"/>
        <v>0</v>
      </c>
      <c r="R36" s="48"/>
      <c r="S36" s="60">
        <f t="shared" si="4"/>
        <v>0</v>
      </c>
      <c r="T36" s="46"/>
      <c r="U36" s="47">
        <f>'[2]10월'!$BE$26/1000</f>
        <v>0</v>
      </c>
      <c r="V36" s="49">
        <f t="shared" si="5"/>
        <v>0</v>
      </c>
      <c r="W36" s="48"/>
      <c r="X36" s="60">
        <f t="shared" si="6"/>
        <v>0</v>
      </c>
      <c r="Y36" s="586"/>
      <c r="Z36" s="587"/>
      <c r="AA36" s="587"/>
      <c r="AB36" s="587"/>
      <c r="AC36" s="587"/>
      <c r="AD36" s="587"/>
      <c r="AE36" s="587"/>
      <c r="AF36" s="587"/>
      <c r="AG36" s="51"/>
      <c r="AH36" s="18"/>
      <c r="AI36" s="19"/>
      <c r="AJ36" s="96"/>
      <c r="AK36" s="98"/>
      <c r="AL36" s="98"/>
    </row>
    <row r="37" spans="2:38" s="8" customFormat="1" ht="19.5" customHeight="1" x14ac:dyDescent="0.3">
      <c r="D37"/>
      <c r="E37"/>
      <c r="F37"/>
      <c r="G37" s="792" t="str">
        <f t="shared" si="9"/>
        <v>미운영 공장</v>
      </c>
      <c r="H37" s="87"/>
      <c r="I37" s="88" t="s">
        <v>177</v>
      </c>
      <c r="J37" s="46"/>
      <c r="K37" s="47"/>
      <c r="L37" s="49"/>
      <c r="M37" s="48">
        <f>SUM(M53:M56)</f>
        <v>0</v>
      </c>
      <c r="N37" s="60">
        <f t="shared" si="10"/>
        <v>0</v>
      </c>
      <c r="O37" s="46"/>
      <c r="P37" s="47"/>
      <c r="Q37" s="49">
        <f t="shared" si="11"/>
        <v>0</v>
      </c>
      <c r="R37" s="48">
        <f>+IFERROR(HLOOKUP($I$37,'[3]10월'!$F$6:$BJ$50,3,),)/1000</f>
        <v>0</v>
      </c>
      <c r="S37" s="60">
        <f t="shared" si="4"/>
        <v>0</v>
      </c>
      <c r="T37" s="46">
        <f>SUM('[1]10월'!$AM$26:$AQ$26)/1000</f>
        <v>-35.76748444445964</v>
      </c>
      <c r="U37" s="47">
        <f>+'[2]10월'!$BF$26/1000</f>
        <v>-32.623865999999992</v>
      </c>
      <c r="V37" s="49">
        <f t="shared" si="5"/>
        <v>3.1436184444596478</v>
      </c>
      <c r="W37" s="48">
        <f>+'[3]10월'!$BF$26/1000</f>
        <v>-9.4143399999999993</v>
      </c>
      <c r="X37" s="60">
        <f>+U37-W37</f>
        <v>-23.209525999999993</v>
      </c>
      <c r="Y37" s="586"/>
      <c r="Z37" s="587"/>
      <c r="AA37" s="587"/>
      <c r="AB37" s="587"/>
      <c r="AC37" s="587"/>
      <c r="AD37" s="587"/>
      <c r="AE37" s="587"/>
      <c r="AF37" s="587"/>
      <c r="AG37" s="51"/>
      <c r="AH37" s="18"/>
      <c r="AI37" s="19"/>
      <c r="AK37" s="98"/>
      <c r="AL37" s="98"/>
    </row>
    <row r="38" spans="2:38" s="8" customFormat="1" ht="19.5" customHeight="1" x14ac:dyDescent="0.3">
      <c r="B38" t="s">
        <v>39</v>
      </c>
      <c r="D38"/>
      <c r="G38" s="792" t="str">
        <f t="shared" si="9"/>
        <v>기타</v>
      </c>
      <c r="H38" s="87"/>
      <c r="I38" s="88" t="s">
        <v>4</v>
      </c>
      <c r="J38" s="46"/>
      <c r="K38" s="47"/>
      <c r="L38" s="55">
        <f>+K38-J38</f>
        <v>0</v>
      </c>
      <c r="M38" s="61"/>
      <c r="N38" s="62">
        <f t="shared" si="10"/>
        <v>0</v>
      </c>
      <c r="O38" s="46">
        <f>IFERROR(HLOOKUP($B38,'[1]10월'!$D$6:$BN$259,3,),)/1000</f>
        <v>1.77</v>
      </c>
      <c r="P38" s="47">
        <f>+('[2]10월'!$F$8-SUM('[2]10월'!$Z$8,'[2]10월'!$AH$8,'[2]10월'!$AN$8,'[2]10월'!$AO$8,'[2]10월'!$BA$8,'[2]10월'!$BD$8,'[2]10월'!$BE$8,'[2]10월'!$BF$8))/1000</f>
        <v>1.8182000000029803</v>
      </c>
      <c r="Q38" s="55">
        <f t="shared" si="11"/>
        <v>4.8200000002980303E-2</v>
      </c>
      <c r="R38" s="61">
        <f>+('[3]10월'!$F$8-SUM('[3]10월'!$Z$8,'[3]10월'!$AH$8,'[3]10월'!$AN$8,'[3]10월'!$AO$8,'[3]10월'!$BA$8,'[3]10월'!$BD$8,'[3]10월'!$BE$8,'[3]10월'!$BF$8))/1000</f>
        <v>1.7741000000014902</v>
      </c>
      <c r="S38" s="62">
        <f t="shared" si="4"/>
        <v>4.4100000001490169E-2</v>
      </c>
      <c r="T38" s="46">
        <f>+('[1]10월'!$E$26-'[1]10월'!$Z$26-'[1]10월'!$AA$26-'[1]10월'!$AE$26-'[1]10월'!$AL$26-'[1]10월'!$AM$26-'[1]10월'!$AN$26-'[1]10월'!$AO$26-'[1]10월'!$AP$26-'[1]10월'!$AQ$26-'[1]10월'!$AS$26)/1000</f>
        <v>-79.281807999997753</v>
      </c>
      <c r="U38" s="47">
        <f>+('[2]10월'!$F$26-SUM('[2]10월'!$Z$26,'[2]10월'!$AH$26,'[2]10월'!$AN$26,'[2]10월'!$AO$26,'[2]10월'!$BA$26,'[2]10월'!$BD$26,'[2]10월'!$BE$26,'[2]10월'!$BF$26))/1000+'[2]10월'!$BD$26/1000</f>
        <v>233.24545900000166</v>
      </c>
      <c r="V38" s="49">
        <f t="shared" si="5"/>
        <v>312.52726699999943</v>
      </c>
      <c r="W38" s="61">
        <f>+('[3]10월'!$F$26-SUM('[3]10월'!$Z$26,'[3]10월'!$AH$26,'[3]10월'!$AN$26,'[3]10월'!$AO$26,'[3]10월'!$BA$26,'[3]10월'!$BD$26,'[3]10월'!$BE$26,'[3]10월'!$BF$26))/1000+'[3]10월'!$BE$26/1000</f>
        <v>33.349238000006416</v>
      </c>
      <c r="X38" s="60">
        <f t="shared" si="6"/>
        <v>199.89622099999525</v>
      </c>
      <c r="Y38" s="595"/>
      <c r="Z38" s="587"/>
      <c r="AA38" s="587"/>
      <c r="AB38" s="587"/>
      <c r="AC38" s="587"/>
      <c r="AD38" s="587"/>
      <c r="AE38" s="587"/>
      <c r="AF38" s="587"/>
      <c r="AG38" s="51"/>
      <c r="AH38" s="18"/>
      <c r="AI38" s="19"/>
    </row>
    <row r="39" spans="2:38" s="8" customFormat="1" ht="19.5" customHeight="1" x14ac:dyDescent="0.3">
      <c r="G39" s="792"/>
      <c r="H39" s="87"/>
      <c r="I39" s="88"/>
      <c r="J39" s="46"/>
      <c r="K39" s="47"/>
      <c r="L39" s="55"/>
      <c r="M39" s="61"/>
      <c r="N39" s="62">
        <f t="shared" si="10"/>
        <v>0</v>
      </c>
      <c r="O39" s="46"/>
      <c r="P39" s="47"/>
      <c r="Q39" s="55">
        <f t="shared" si="11"/>
        <v>0</v>
      </c>
      <c r="R39" s="61"/>
      <c r="S39" s="62">
        <f t="shared" si="4"/>
        <v>0</v>
      </c>
      <c r="T39" s="46"/>
      <c r="U39" s="47"/>
      <c r="V39" s="49">
        <f t="shared" si="5"/>
        <v>0</v>
      </c>
      <c r="W39" s="61"/>
      <c r="X39" s="60"/>
      <c r="Y39" s="586"/>
      <c r="Z39" s="587"/>
      <c r="AA39" s="587"/>
      <c r="AB39" s="587"/>
      <c r="AC39" s="587"/>
      <c r="AD39" s="587"/>
      <c r="AE39" s="587"/>
      <c r="AF39" s="587"/>
      <c r="AG39" s="51"/>
      <c r="AH39" s="31"/>
    </row>
    <row r="40" spans="2:38" s="3" customFormat="1" ht="19.5" customHeight="1" x14ac:dyDescent="0.3">
      <c r="D40" s="657"/>
      <c r="G40" s="796"/>
      <c r="H40" s="146" t="s">
        <v>118</v>
      </c>
      <c r="I40" s="147"/>
      <c r="J40" s="646">
        <f>SUM(J33:J39)</f>
        <v>0</v>
      </c>
      <c r="K40" s="647">
        <f>SUM(K33:K39)</f>
        <v>0</v>
      </c>
      <c r="L40" s="647">
        <f>+K40-J40</f>
        <v>0</v>
      </c>
      <c r="M40" s="647">
        <f>SUM(M33:M39)</f>
        <v>0</v>
      </c>
      <c r="N40" s="648">
        <f t="shared" si="10"/>
        <v>0</v>
      </c>
      <c r="O40" s="148">
        <f>SUM(O33:O39)</f>
        <v>164.90750033333333</v>
      </c>
      <c r="P40" s="149">
        <f>SUM(P33:P39)</f>
        <v>166.49562100000298</v>
      </c>
      <c r="Q40" s="153">
        <f t="shared" si="3"/>
        <v>1.5881206666696528</v>
      </c>
      <c r="R40" s="154">
        <f>SUM(R33:R39)</f>
        <v>185.7906170000015</v>
      </c>
      <c r="S40" s="155">
        <f>+P40-R40</f>
        <v>-19.29499599999852</v>
      </c>
      <c r="T40" s="148">
        <f>SUM(T33:T39)</f>
        <v>-1220.1833422356906</v>
      </c>
      <c r="U40" s="149">
        <f>SUM(U33:U39)</f>
        <v>-861.08329190092252</v>
      </c>
      <c r="V40" s="153">
        <f>+U40-T40</f>
        <v>359.10005033476807</v>
      </c>
      <c r="W40" s="154">
        <f>SUM(W33:W39)</f>
        <v>-1062.4048889999935</v>
      </c>
      <c r="X40" s="155">
        <f>+U40-W40</f>
        <v>201.32159709907103</v>
      </c>
      <c r="Y40" s="588"/>
      <c r="Z40" s="589"/>
      <c r="AA40" s="589"/>
      <c r="AB40" s="589"/>
      <c r="AC40" s="589"/>
      <c r="AD40" s="589"/>
      <c r="AE40" s="589"/>
      <c r="AF40" s="589"/>
      <c r="AG40" s="590"/>
      <c r="AH40" s="26"/>
    </row>
    <row r="41" spans="2:38" s="8" customFormat="1" ht="19.5" customHeight="1" x14ac:dyDescent="0.3">
      <c r="G41" s="792"/>
      <c r="J41" s="33"/>
      <c r="K41" s="33"/>
      <c r="L41" s="32"/>
      <c r="M41" s="32"/>
      <c r="N41" s="32"/>
      <c r="O41" s="33"/>
      <c r="P41" s="33"/>
      <c r="Q41" s="32"/>
      <c r="R41" s="32"/>
      <c r="S41" s="32"/>
      <c r="T41" s="33"/>
      <c r="U41" s="33">
        <v>19</v>
      </c>
      <c r="V41" s="32">
        <v>12.4</v>
      </c>
      <c r="W41" s="32"/>
      <c r="X41" s="32"/>
      <c r="Y41" s="33"/>
      <c r="Z41" s="33"/>
      <c r="AA41" s="33"/>
      <c r="AB41" s="33"/>
      <c r="AC41" s="33"/>
      <c r="AD41" s="33"/>
      <c r="AE41" s="33"/>
      <c r="AF41" s="33"/>
      <c r="AG41" s="33"/>
      <c r="AH41" s="31"/>
    </row>
    <row r="42" spans="2:38" s="3" customFormat="1" ht="19.5" customHeight="1" x14ac:dyDescent="0.3">
      <c r="G42" s="797">
        <f>+P42/O42</f>
        <v>0.83406140212158764</v>
      </c>
      <c r="H42" s="639" t="s">
        <v>41</v>
      </c>
      <c r="I42" s="640"/>
      <c r="J42" s="652"/>
      <c r="K42" s="653"/>
      <c r="L42" s="653"/>
      <c r="M42" s="653"/>
      <c r="N42" s="654"/>
      <c r="O42" s="641">
        <f>+O27+O32+O28+O40</f>
        <v>46303.006971386181</v>
      </c>
      <c r="P42" s="642">
        <f>+P27+P32+P28+P40</f>
        <v>38619.550917000008</v>
      </c>
      <c r="Q42" s="643">
        <f t="shared" si="3"/>
        <v>-7683.4560543861735</v>
      </c>
      <c r="R42" s="644">
        <f>+R27+R32+R28+R40</f>
        <v>47628.92431799999</v>
      </c>
      <c r="S42" s="645">
        <f>+P42-R42</f>
        <v>-9009.3734009999826</v>
      </c>
      <c r="T42" s="641">
        <f>+T27+T32+T28+T40</f>
        <v>4580.2039347276914</v>
      </c>
      <c r="U42" s="642">
        <f>+U27+U32+U28+U40</f>
        <v>1174.2356200026788</v>
      </c>
      <c r="V42" s="643">
        <f>+U42-T42</f>
        <v>-3405.9683147250125</v>
      </c>
      <c r="W42" s="644">
        <f>+W27+W32+W28+W40</f>
        <v>5006.0331120000046</v>
      </c>
      <c r="X42" s="645">
        <f>+U42-W42</f>
        <v>-3831.7974919973258</v>
      </c>
      <c r="Y42" s="837"/>
      <c r="Z42" s="838"/>
      <c r="AA42" s="838"/>
      <c r="AB42" s="838"/>
      <c r="AC42" s="838"/>
      <c r="AD42" s="838"/>
      <c r="AE42" s="838"/>
      <c r="AF42" s="838"/>
      <c r="AG42" s="839"/>
      <c r="AH42" s="26"/>
    </row>
    <row r="43" spans="2:38" s="34" customFormat="1" x14ac:dyDescent="0.3">
      <c r="G43" s="794">
        <f>+U42/T42</f>
        <v>0.25637190761299389</v>
      </c>
      <c r="P43" s="661">
        <f>+P42/O42</f>
        <v>0.83406140212158764</v>
      </c>
      <c r="T43" s="661">
        <f>+T42/O42</f>
        <v>9.8918066758776915E-2</v>
      </c>
      <c r="U43" s="661">
        <f>+U42/P42</f>
        <v>3.0405211664069093E-2</v>
      </c>
      <c r="AC43" s="35"/>
      <c r="AF43" s="35"/>
    </row>
    <row r="44" spans="2:38" s="34" customFormat="1" ht="17.25" thickBot="1" x14ac:dyDescent="0.35">
      <c r="G44" s="798"/>
      <c r="AC44" s="35"/>
      <c r="AF44" s="35"/>
    </row>
    <row r="45" spans="2:38" s="34" customFormat="1" x14ac:dyDescent="0.3">
      <c r="G45" s="798"/>
      <c r="I45" s="834" t="s">
        <v>101</v>
      </c>
      <c r="J45" s="138">
        <f>+'[1]10월'!$Z$7/1000</f>
        <v>321</v>
      </c>
      <c r="K45" s="139">
        <f>+'[2]10월'!$AI$7/1000</f>
        <v>296.55700000000002</v>
      </c>
      <c r="L45" s="139"/>
      <c r="M45" s="139">
        <f>+'[3]10월'!$Z$7/1000</f>
        <v>350.51400000000001</v>
      </c>
      <c r="N45" s="139"/>
      <c r="O45" s="139">
        <f>+'[1]10월'!$E$8/1000</f>
        <v>46303.006971386181</v>
      </c>
      <c r="P45" s="139">
        <f>+'[2]10월'!$F$8/1000</f>
        <v>38619.550917</v>
      </c>
      <c r="Q45" s="139"/>
      <c r="R45" s="139">
        <f>+'[3]10월'!$F$8/1000</f>
        <v>47628.924318000005</v>
      </c>
      <c r="S45" s="139"/>
      <c r="T45" s="144">
        <f>+'[1]10월'!$E$26/1000</f>
        <v>4580.2039347276932</v>
      </c>
      <c r="U45" s="139">
        <f>+'[2]10월'!$F$26/1000</f>
        <v>1174.2356200026786</v>
      </c>
      <c r="V45" s="139"/>
      <c r="W45" s="139">
        <f>+'[3]10월'!$F$26/1000</f>
        <v>5006.0331120000055</v>
      </c>
      <c r="X45" s="140"/>
      <c r="AC45" s="35"/>
      <c r="AF45" s="35"/>
    </row>
    <row r="46" spans="2:38" s="34" customFormat="1" ht="17.25" thickBot="1" x14ac:dyDescent="0.35">
      <c r="G46" s="798"/>
      <c r="I46" s="834"/>
      <c r="J46" s="143">
        <f>+J45-J27</f>
        <v>0</v>
      </c>
      <c r="K46" s="141">
        <f>+K45-K27</f>
        <v>0</v>
      </c>
      <c r="L46" s="141"/>
      <c r="M46" s="141">
        <f>+M45-M27</f>
        <v>0</v>
      </c>
      <c r="N46" s="141"/>
      <c r="O46" s="145">
        <f>+O45-O42</f>
        <v>0</v>
      </c>
      <c r="P46" s="145">
        <f>+P45-P42</f>
        <v>0</v>
      </c>
      <c r="Q46" s="141"/>
      <c r="R46" s="145">
        <f>+R45-R42</f>
        <v>0</v>
      </c>
      <c r="S46" s="141"/>
      <c r="T46" s="145">
        <f>+T45-T42</f>
        <v>0</v>
      </c>
      <c r="U46" s="145">
        <f>+U45-U42</f>
        <v>0</v>
      </c>
      <c r="V46" s="141"/>
      <c r="W46" s="141">
        <f>+W45-W42</f>
        <v>0</v>
      </c>
      <c r="X46" s="142"/>
      <c r="AC46" s="35"/>
      <c r="AF46" s="35"/>
      <c r="AG46" s="34" t="s">
        <v>102</v>
      </c>
    </row>
    <row r="47" spans="2:38" x14ac:dyDescent="0.3">
      <c r="T47" s="658"/>
      <c r="U47" s="658"/>
      <c r="V47" s="658"/>
    </row>
    <row r="48" spans="2:38" x14ac:dyDescent="0.3">
      <c r="T48" s="658"/>
      <c r="U48" s="658"/>
      <c r="V48" s="658"/>
      <c r="AC48" s="35"/>
      <c r="AD48" s="34"/>
      <c r="AE48" s="34"/>
      <c r="AF48" s="35"/>
    </row>
    <row r="49" spans="10:33" x14ac:dyDescent="0.3">
      <c r="T49" s="658"/>
      <c r="U49" s="658"/>
      <c r="V49" s="658"/>
      <c r="AC49" s="35"/>
      <c r="AD49" s="34"/>
      <c r="AE49" s="34"/>
      <c r="AF49" s="35"/>
    </row>
    <row r="50" spans="10:33" x14ac:dyDescent="0.3">
      <c r="T50" s="659"/>
      <c r="U50" s="659"/>
      <c r="V50" s="658"/>
      <c r="Y50" s="586" t="s">
        <v>233</v>
      </c>
      <c r="AC50" s="35"/>
      <c r="AD50" s="34"/>
      <c r="AE50" s="34"/>
      <c r="AF50" s="35"/>
    </row>
    <row r="51" spans="10:33" x14ac:dyDescent="0.3">
      <c r="T51" s="659"/>
      <c r="U51" s="659"/>
      <c r="V51" s="658"/>
      <c r="AC51" s="35"/>
      <c r="AD51" s="34"/>
      <c r="AE51" s="34"/>
      <c r="AF51" s="35"/>
    </row>
    <row r="52" spans="10:33" x14ac:dyDescent="0.3">
      <c r="AC52" s="35"/>
      <c r="AD52" s="34"/>
      <c r="AE52" s="34"/>
      <c r="AF52" s="35"/>
    </row>
    <row r="53" spans="10:33" x14ac:dyDescent="0.3">
      <c r="J53" s="598"/>
      <c r="K53" s="598"/>
      <c r="L53" s="598"/>
      <c r="M53" s="598"/>
      <c r="N53" s="598"/>
      <c r="O53" s="598"/>
      <c r="P53" s="598"/>
      <c r="Q53" s="598"/>
      <c r="R53" s="598"/>
      <c r="S53" s="598"/>
      <c r="T53" s="598"/>
      <c r="U53" s="598"/>
      <c r="V53" s="598"/>
      <c r="W53" s="598"/>
      <c r="X53" s="598"/>
      <c r="Y53" s="598"/>
      <c r="Z53" s="598"/>
      <c r="AA53" s="598"/>
      <c r="AB53" s="598"/>
      <c r="AC53" s="598"/>
      <c r="AD53" s="598"/>
      <c r="AE53" s="598"/>
      <c r="AF53" s="598"/>
      <c r="AG53" s="598"/>
    </row>
    <row r="54" spans="10:33" x14ac:dyDescent="0.3">
      <c r="J54" s="598"/>
      <c r="K54" s="598"/>
      <c r="L54" s="598"/>
      <c r="M54" s="598"/>
      <c r="N54" s="598"/>
      <c r="O54" s="598"/>
      <c r="P54" s="598"/>
      <c r="Q54" s="598"/>
      <c r="R54" s="598"/>
      <c r="S54" s="598"/>
      <c r="T54" s="598"/>
      <c r="U54" s="598"/>
      <c r="V54" s="598"/>
      <c r="W54" s="598"/>
      <c r="X54" s="598"/>
      <c r="Y54" s="598"/>
      <c r="Z54" s="598"/>
      <c r="AA54" s="598"/>
      <c r="AB54" s="598"/>
      <c r="AC54" s="598"/>
      <c r="AD54" s="598"/>
      <c r="AE54" s="598"/>
      <c r="AF54" s="598"/>
      <c r="AG54" s="598"/>
    </row>
    <row r="55" spans="10:33" x14ac:dyDescent="0.3">
      <c r="J55" s="598"/>
      <c r="K55" s="598"/>
      <c r="L55" s="598"/>
      <c r="M55" s="598"/>
      <c r="N55" s="598"/>
      <c r="O55" s="598"/>
      <c r="P55" s="598"/>
      <c r="Q55" s="598"/>
      <c r="R55" s="598"/>
      <c r="S55" s="598"/>
      <c r="T55" s="598"/>
      <c r="U55" s="598"/>
      <c r="V55" s="598"/>
      <c r="W55" s="598"/>
      <c r="X55" s="598"/>
      <c r="Y55" s="598"/>
      <c r="Z55" s="598"/>
      <c r="AA55" s="598"/>
      <c r="AB55" s="598"/>
      <c r="AC55" s="598"/>
      <c r="AD55" s="598"/>
      <c r="AE55" s="598"/>
      <c r="AF55" s="598"/>
      <c r="AG55" s="598"/>
    </row>
    <row r="56" spans="10:33" x14ac:dyDescent="0.3">
      <c r="J56" s="598"/>
      <c r="K56" s="598"/>
      <c r="L56" s="598"/>
      <c r="M56" s="598"/>
      <c r="N56" s="598"/>
      <c r="O56" s="598"/>
      <c r="P56" s="598"/>
      <c r="Q56" s="598"/>
      <c r="R56" s="598"/>
      <c r="S56" s="598"/>
      <c r="T56" s="598"/>
      <c r="U56" s="598"/>
      <c r="V56" s="598"/>
      <c r="W56" s="598"/>
      <c r="X56" s="598"/>
      <c r="Y56" s="598"/>
      <c r="Z56" s="598"/>
      <c r="AA56" s="598"/>
      <c r="AB56" s="598"/>
      <c r="AC56" s="598"/>
      <c r="AD56" s="598"/>
      <c r="AE56" s="598"/>
      <c r="AF56" s="598"/>
      <c r="AG56" s="598"/>
    </row>
    <row r="57" spans="10:33" x14ac:dyDescent="0.3">
      <c r="AC57" s="598"/>
      <c r="AD57" s="598"/>
      <c r="AE57" s="598"/>
      <c r="AF57" s="598"/>
    </row>
    <row r="58" spans="10:33" x14ac:dyDescent="0.3">
      <c r="AC58" s="598"/>
      <c r="AD58" s="598"/>
      <c r="AE58" s="598"/>
    </row>
    <row r="59" spans="10:33" x14ac:dyDescent="0.3">
      <c r="AC59" s="598"/>
      <c r="AD59" s="598"/>
      <c r="AE59" s="598"/>
    </row>
    <row r="60" spans="10:33" x14ac:dyDescent="0.3">
      <c r="AC60" s="598"/>
      <c r="AE60" s="598"/>
    </row>
    <row r="61" spans="10:33" x14ac:dyDescent="0.3">
      <c r="AC61" s="598"/>
      <c r="AE61" s="598"/>
    </row>
    <row r="62" spans="10:33" x14ac:dyDescent="0.3">
      <c r="AC62" s="598"/>
      <c r="AE62" s="598"/>
    </row>
    <row r="63" spans="10:33" x14ac:dyDescent="0.3">
      <c r="AC63" s="598"/>
      <c r="AE63" s="598"/>
    </row>
    <row r="64" spans="10:33" x14ac:dyDescent="0.3">
      <c r="AC64" s="598"/>
      <c r="AE64" s="598"/>
    </row>
    <row r="65" spans="29:31" x14ac:dyDescent="0.3">
      <c r="AC65" s="598"/>
      <c r="AE65" s="598"/>
    </row>
    <row r="66" spans="29:31" x14ac:dyDescent="0.3">
      <c r="AC66" s="598"/>
      <c r="AE66" s="598"/>
    </row>
    <row r="67" spans="29:31" x14ac:dyDescent="0.3">
      <c r="AC67" s="598"/>
      <c r="AE67" s="598"/>
    </row>
    <row r="68" spans="29:31" x14ac:dyDescent="0.3">
      <c r="AC68" s="598"/>
      <c r="AE68" s="598"/>
    </row>
    <row r="69" spans="29:31" x14ac:dyDescent="0.3">
      <c r="AC69" s="598"/>
      <c r="AE69" s="598"/>
    </row>
    <row r="70" spans="29:31" x14ac:dyDescent="0.3">
      <c r="AC70" s="598"/>
      <c r="AE70" s="598"/>
    </row>
    <row r="71" spans="29:31" x14ac:dyDescent="0.3">
      <c r="AC71" s="598"/>
      <c r="AE71" s="598"/>
    </row>
    <row r="72" spans="29:31" x14ac:dyDescent="0.3">
      <c r="AC72" s="598"/>
      <c r="AE72" s="598"/>
    </row>
    <row r="73" spans="29:31" x14ac:dyDescent="0.3">
      <c r="AC73" s="598"/>
      <c r="AE73" s="598"/>
    </row>
    <row r="74" spans="29:31" x14ac:dyDescent="0.3">
      <c r="AC74" s="598"/>
      <c r="AE74" s="598"/>
    </row>
    <row r="75" spans="29:31" x14ac:dyDescent="0.3">
      <c r="AC75" s="598"/>
    </row>
  </sheetData>
  <mergeCells count="4">
    <mergeCell ref="H5:I6"/>
    <mergeCell ref="H28:I28"/>
    <mergeCell ref="Y42:AG42"/>
    <mergeCell ref="I45:I46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C39B-D92B-4405-9B00-FD6FD6AA4685}">
  <sheetPr>
    <tabColor rgb="FF008000"/>
    <pageSetUpPr fitToPage="1"/>
  </sheetPr>
  <dimension ref="A1:AL60"/>
  <sheetViews>
    <sheetView showGridLines="0" showZeros="0" view="pageBreakPreview" topLeftCell="F19" zoomScale="85" zoomScaleNormal="85" zoomScaleSheetLayoutView="85" workbookViewId="0">
      <selection activeCell="J19" sqref="J19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5" max="35" width="16.625" bestFit="1" customWidth="1"/>
    <col min="36" max="36" width="12.875" bestFit="1" customWidth="1"/>
    <col min="37" max="37" width="14.875" bestFit="1" customWidth="1"/>
    <col min="38" max="38" width="9.125" bestFit="1" customWidth="1"/>
  </cols>
  <sheetData>
    <row r="1" spans="2:36" ht="18" customHeight="1" x14ac:dyDescent="0.3">
      <c r="H1" s="4"/>
      <c r="K1" s="6"/>
      <c r="L1" s="6"/>
      <c r="P1" s="6"/>
      <c r="Q1" s="6"/>
    </row>
    <row r="2" spans="2:36" ht="18" customHeight="1" x14ac:dyDescent="0.3">
      <c r="H2" s="7"/>
      <c r="AD2" s="5"/>
      <c r="AG2" s="5"/>
    </row>
    <row r="3" spans="2:36" ht="26.25" x14ac:dyDescent="0.3">
      <c r="H3" s="4" t="s">
        <v>246</v>
      </c>
      <c r="AD3" s="5"/>
      <c r="AG3" s="5"/>
    </row>
    <row r="4" spans="2:36" ht="18" customHeight="1" x14ac:dyDescent="0.3">
      <c r="H4" s="7"/>
      <c r="AD4" s="5"/>
      <c r="AG4" s="5" t="s">
        <v>94</v>
      </c>
    </row>
    <row r="5" spans="2:36" s="8" customFormat="1" ht="19.5" customHeight="1" x14ac:dyDescent="0.3">
      <c r="G5" s="792"/>
      <c r="H5" s="830" t="s">
        <v>11</v>
      </c>
      <c r="I5" s="831"/>
      <c r="J5" s="172" t="s">
        <v>0</v>
      </c>
      <c r="K5" s="173"/>
      <c r="L5" s="173"/>
      <c r="M5" s="173"/>
      <c r="N5" s="174"/>
      <c r="O5" s="172" t="s">
        <v>2</v>
      </c>
      <c r="P5" s="173"/>
      <c r="Q5" s="173"/>
      <c r="R5" s="173"/>
      <c r="S5" s="174"/>
      <c r="T5" s="172" t="s">
        <v>119</v>
      </c>
      <c r="U5" s="173"/>
      <c r="V5" s="173"/>
      <c r="W5" s="173"/>
      <c r="X5" s="174"/>
      <c r="Y5" s="172" t="s">
        <v>21</v>
      </c>
      <c r="Z5" s="173"/>
      <c r="AA5" s="174"/>
      <c r="AB5" s="172" t="s">
        <v>44</v>
      </c>
      <c r="AC5" s="173"/>
      <c r="AD5" s="174"/>
      <c r="AE5" s="172" t="s">
        <v>69</v>
      </c>
      <c r="AF5" s="173"/>
      <c r="AG5" s="174"/>
    </row>
    <row r="6" spans="2:36" s="8" customFormat="1" ht="19.5" customHeight="1" x14ac:dyDescent="0.3">
      <c r="G6" s="792"/>
      <c r="H6" s="832"/>
      <c r="I6" s="833"/>
      <c r="J6" s="175" t="s">
        <v>12</v>
      </c>
      <c r="K6" s="176" t="s">
        <v>13</v>
      </c>
      <c r="L6" s="177" t="s">
        <v>37</v>
      </c>
      <c r="M6" s="176" t="s">
        <v>14</v>
      </c>
      <c r="N6" s="178" t="s">
        <v>37</v>
      </c>
      <c r="O6" s="175" t="s">
        <v>15</v>
      </c>
      <c r="P6" s="176" t="s">
        <v>16</v>
      </c>
      <c r="Q6" s="177" t="s">
        <v>36</v>
      </c>
      <c r="R6" s="176" t="s">
        <v>17</v>
      </c>
      <c r="S6" s="178" t="s">
        <v>36</v>
      </c>
      <c r="T6" s="175" t="s">
        <v>15</v>
      </c>
      <c r="U6" s="176" t="s">
        <v>16</v>
      </c>
      <c r="V6" s="177" t="s">
        <v>36</v>
      </c>
      <c r="W6" s="176" t="s">
        <v>17</v>
      </c>
      <c r="X6" s="178" t="s">
        <v>36</v>
      </c>
      <c r="Y6" s="179" t="s">
        <v>15</v>
      </c>
      <c r="Z6" s="180" t="s">
        <v>16</v>
      </c>
      <c r="AA6" s="181" t="s">
        <v>17</v>
      </c>
      <c r="AB6" s="182" t="s">
        <v>15</v>
      </c>
      <c r="AC6" s="180" t="s">
        <v>16</v>
      </c>
      <c r="AD6" s="178" t="s">
        <v>17</v>
      </c>
      <c r="AE6" s="182" t="s">
        <v>15</v>
      </c>
      <c r="AF6" s="180" t="s">
        <v>16</v>
      </c>
      <c r="AG6" s="178" t="s">
        <v>17</v>
      </c>
    </row>
    <row r="7" spans="2:36" s="8" customFormat="1" ht="19.5" customHeight="1" x14ac:dyDescent="0.3">
      <c r="B7" s="8" t="s">
        <v>22</v>
      </c>
      <c r="F7" s="9">
        <f>+U7/T7</f>
        <v>0.61185955957209059</v>
      </c>
      <c r="G7" s="794">
        <f t="shared" ref="G7:G22" si="0">+K7/J7</f>
        <v>0.90477239709443114</v>
      </c>
      <c r="H7" s="78" t="s">
        <v>53</v>
      </c>
      <c r="I7" s="79" t="s">
        <v>22</v>
      </c>
      <c r="J7" s="36">
        <f>+'사업장별(당월)'!J7+'[4]사업장별(누계)'!J7</f>
        <v>413</v>
      </c>
      <c r="K7" s="37">
        <f>+'사업장별(당월)'!K7+'[4]사업장별(누계)'!K7</f>
        <v>373.67100000000005</v>
      </c>
      <c r="L7" s="38">
        <f t="shared" ref="L7:L32" si="1">+K7-J7</f>
        <v>-39.328999999999951</v>
      </c>
      <c r="M7" s="39">
        <f>+'사업장별(당월)'!M7+'[4]사업장별(누계)'!M7</f>
        <v>451.31800000000004</v>
      </c>
      <c r="N7" s="40">
        <f>+K7-M7</f>
        <v>-77.646999999999991</v>
      </c>
      <c r="O7" s="36">
        <f>+'사업장별(당월)'!O7+'[4]사업장별(누계)'!O7</f>
        <v>41395.914499999999</v>
      </c>
      <c r="P7" s="37">
        <f>+'사업장별(당월)'!P7+'[4]사업장별(누계)'!P7</f>
        <v>37039.865332000001</v>
      </c>
      <c r="Q7" s="38">
        <f>+P7-O7</f>
        <v>-4356.0491679999977</v>
      </c>
      <c r="R7" s="39">
        <f>+'사업장별(당월)'!R7+'[4]사업장별(누계)'!R7</f>
        <v>42064.132579000005</v>
      </c>
      <c r="S7" s="40">
        <f>+P7-R7</f>
        <v>-5024.2672470000034</v>
      </c>
      <c r="T7" s="36">
        <f>+'사업장별(당월)'!T7+'[4]사업장별(누계)'!T7</f>
        <v>5712.3422153351075</v>
      </c>
      <c r="U7" s="37">
        <f>+'사업장별(당월)'!U7+'[4]사업장별(누계)'!U7</f>
        <v>3495.1511919999989</v>
      </c>
      <c r="V7" s="41">
        <f>+U7-T7</f>
        <v>-2217.1910233351086</v>
      </c>
      <c r="W7" s="42">
        <f>+'사업장별(당월)'!W7+'[4]사업장별(누계)'!W7</f>
        <v>6228.1904159799997</v>
      </c>
      <c r="X7" s="40">
        <f>+U7-W7</f>
        <v>-2733.0392239800008</v>
      </c>
      <c r="Y7" s="36">
        <f>+[11]안양!$Q$85</f>
        <v>100232.23849878937</v>
      </c>
      <c r="Z7" s="37">
        <f>+[11]안양!$R$85</f>
        <v>99119.962067949979</v>
      </c>
      <c r="AA7" s="43">
        <f>+[12]안양!$Q$85</f>
        <v>93178.953852403152</v>
      </c>
      <c r="AB7" s="44">
        <f>+[11]안양!$Q$89</f>
        <v>78982.697059584447</v>
      </c>
      <c r="AC7" s="37">
        <f>+[11]안양!$R$89</f>
        <v>81575.39945770007</v>
      </c>
      <c r="AD7" s="45">
        <f>+[12]안양!$Q$89</f>
        <v>72902.644479104041</v>
      </c>
      <c r="AE7" s="44">
        <f>+Y7-AB7</f>
        <v>21249.541439204928</v>
      </c>
      <c r="AF7" s="37">
        <f>+Z7-AC7</f>
        <v>17544.562610249908</v>
      </c>
      <c r="AG7" s="45">
        <f>+AA7-AD7</f>
        <v>20276.309373299111</v>
      </c>
      <c r="AH7" s="18"/>
      <c r="AI7" s="791"/>
      <c r="AJ7" s="9"/>
    </row>
    <row r="8" spans="2:36" s="8" customFormat="1" ht="19.5" customHeight="1" x14ac:dyDescent="0.3">
      <c r="B8" s="8" t="s">
        <v>23</v>
      </c>
      <c r="F8" s="9">
        <f t="shared" ref="F8:F27" si="2">+U8/T8</f>
        <v>0.48025182002917749</v>
      </c>
      <c r="G8" s="794">
        <f t="shared" si="0"/>
        <v>0.86712662337662338</v>
      </c>
      <c r="H8" s="80" t="s">
        <v>54</v>
      </c>
      <c r="I8" s="81" t="s">
        <v>23</v>
      </c>
      <c r="J8" s="46">
        <f>+'사업장별(당월)'!J8+'[4]사업장별(누계)'!J8</f>
        <v>308</v>
      </c>
      <c r="K8" s="47">
        <f>+'사업장별(당월)'!K8+'[4]사업장별(누계)'!K8</f>
        <v>267.07499999999999</v>
      </c>
      <c r="L8" s="48">
        <f t="shared" si="1"/>
        <v>-40.925000000000011</v>
      </c>
      <c r="M8" s="49">
        <f>+'사업장별(당월)'!M8+'[4]사업장별(누계)'!M8</f>
        <v>371.923</v>
      </c>
      <c r="N8" s="50">
        <f t="shared" ref="N8:N32" si="3">+K8-M8</f>
        <v>-104.84800000000001</v>
      </c>
      <c r="O8" s="46">
        <f>+'사업장별(당월)'!O8+'[4]사업장별(누계)'!O8</f>
        <v>31452.615660569601</v>
      </c>
      <c r="P8" s="47">
        <f>+'사업장별(당월)'!P8+'[4]사업장별(누계)'!P8</f>
        <v>26610.639729999999</v>
      </c>
      <c r="Q8" s="48">
        <f t="shared" ref="Q8:Q42" si="4">+P8-O8</f>
        <v>-4841.9759305696025</v>
      </c>
      <c r="R8" s="49">
        <f>+'사업장별(당월)'!R8+'[4]사업장별(누계)'!R8</f>
        <v>35784.889636</v>
      </c>
      <c r="S8" s="50">
        <f t="shared" ref="S8:S39" si="5">+P8-R8</f>
        <v>-9174.2499060000009</v>
      </c>
      <c r="T8" s="46">
        <f>+'사업장별(당월)'!T8+'[4]사업장별(누계)'!T8</f>
        <v>3461.4375119057377</v>
      </c>
      <c r="U8" s="47">
        <f>+'사업장별(당월)'!U8+'[4]사업장별(누계)'!U8</f>
        <v>1662.3616650099982</v>
      </c>
      <c r="V8" s="48">
        <f t="shared" ref="V8:V39" si="6">+U8-T8</f>
        <v>-1799.0758468957395</v>
      </c>
      <c r="W8" s="49">
        <f>+'사업장별(당월)'!W8+'[4]사업장별(누계)'!W8</f>
        <v>4468.8093489999992</v>
      </c>
      <c r="X8" s="50">
        <f t="shared" ref="X8:X38" si="7">+U8-W8</f>
        <v>-2806.4476839900008</v>
      </c>
      <c r="Y8" s="46">
        <f>+[11]인천!$Q$85</f>
        <v>102118.88201483636</v>
      </c>
      <c r="Z8" s="47">
        <f>+[11]인천!$R$85</f>
        <v>99641.374010630694</v>
      </c>
      <c r="AA8" s="51">
        <f>+[12]인천!$Q$85</f>
        <v>96189.948957219545</v>
      </c>
      <c r="AB8" s="52">
        <f>+[11]인천!$Q$89</f>
        <v>81179.76715740771</v>
      </c>
      <c r="AC8" s="47">
        <f>+[11]인천!$R$89</f>
        <v>82366.896822904993</v>
      </c>
      <c r="AD8" s="53">
        <f>+[12]인천!$Q$89</f>
        <v>76069.848659011594</v>
      </c>
      <c r="AE8" s="52">
        <f t="shared" ref="AE8:AG27" si="8">+Y8-AB8</f>
        <v>20939.114857428649</v>
      </c>
      <c r="AF8" s="47">
        <f t="shared" si="8"/>
        <v>17274.477187725701</v>
      </c>
      <c r="AG8" s="53">
        <f t="shared" si="8"/>
        <v>20120.100298207952</v>
      </c>
      <c r="AH8" s="18"/>
      <c r="AI8" s="791"/>
      <c r="AJ8" s="96"/>
    </row>
    <row r="9" spans="2:36" s="8" customFormat="1" ht="19.5" customHeight="1" x14ac:dyDescent="0.3">
      <c r="B9" s="8" t="s">
        <v>24</v>
      </c>
      <c r="F9" s="9">
        <f t="shared" si="2"/>
        <v>0.52020313840867338</v>
      </c>
      <c r="G9" s="794">
        <f t="shared" si="0"/>
        <v>0.99469387755102046</v>
      </c>
      <c r="H9" s="80"/>
      <c r="I9" s="81" t="s">
        <v>24</v>
      </c>
      <c r="J9" s="46">
        <f>+'사업장별(당월)'!J9+'[4]사업장별(누계)'!J9</f>
        <v>245</v>
      </c>
      <c r="K9" s="47">
        <f>+'사업장별(당월)'!K9+'[4]사업장별(누계)'!K9</f>
        <v>243.70000000000002</v>
      </c>
      <c r="L9" s="48">
        <f t="shared" si="1"/>
        <v>-1.2999999999999829</v>
      </c>
      <c r="M9" s="49">
        <f>+'사업장별(당월)'!M9+'[4]사업장별(누계)'!M9</f>
        <v>263.18900000000002</v>
      </c>
      <c r="N9" s="50">
        <f t="shared" si="3"/>
        <v>-19.489000000000004</v>
      </c>
      <c r="O9" s="46">
        <f>+'사업장별(당월)'!O9+'[4]사업장별(누계)'!O9</f>
        <v>24188.765288140887</v>
      </c>
      <c r="P9" s="47">
        <f>+'사업장별(당월)'!P9+'[4]사업장별(누계)'!P9</f>
        <v>23555.595879</v>
      </c>
      <c r="Q9" s="48">
        <f t="shared" si="4"/>
        <v>-633.16940914088627</v>
      </c>
      <c r="R9" s="49">
        <f>+'사업장별(당월)'!R9+'[4]사업장별(누계)'!R9</f>
        <v>24364.543943999994</v>
      </c>
      <c r="S9" s="50">
        <f t="shared" si="5"/>
        <v>-808.94806499999322</v>
      </c>
      <c r="T9" s="46">
        <f>+'사업장별(당월)'!T9+'[4]사업장별(누계)'!T9</f>
        <v>3256.3599465815064</v>
      </c>
      <c r="U9" s="47">
        <f>+'사업장별(당월)'!U9+'[4]사업장별(누계)'!U9</f>
        <v>1693.9686639999998</v>
      </c>
      <c r="V9" s="48">
        <f t="shared" si="6"/>
        <v>-1562.3912825815066</v>
      </c>
      <c r="W9" s="49">
        <f>+'사업장별(당월)'!W9+'[4]사업장별(누계)'!W9</f>
        <v>2646.2449880099985</v>
      </c>
      <c r="X9" s="50">
        <f t="shared" si="7"/>
        <v>-952.27632400999869</v>
      </c>
      <c r="Y9" s="46">
        <f>+[11]파주!$Q$85</f>
        <v>98729.654237309776</v>
      </c>
      <c r="Z9" s="47">
        <f>+[11]파주!$R$85</f>
        <v>96666.953368455972</v>
      </c>
      <c r="AA9" s="51">
        <f>+[12]파주!$Q$85</f>
        <v>92543.76963565145</v>
      </c>
      <c r="AB9" s="52">
        <f>+[11]파주!$Q$89</f>
        <v>76349.328219547941</v>
      </c>
      <c r="AC9" s="47">
        <f>+[11]파주!$R$89</f>
        <v>80272.138118544943</v>
      </c>
      <c r="AD9" s="53">
        <f>+[12]파주!$Q$89</f>
        <v>74064.364283661926</v>
      </c>
      <c r="AE9" s="52">
        <f t="shared" si="8"/>
        <v>22380.326017761836</v>
      </c>
      <c r="AF9" s="47">
        <f t="shared" si="8"/>
        <v>16394.815249911029</v>
      </c>
      <c r="AG9" s="53">
        <f t="shared" si="8"/>
        <v>18479.405351989524</v>
      </c>
      <c r="AH9" s="18"/>
      <c r="AI9" s="791"/>
      <c r="AJ9" s="96"/>
    </row>
    <row r="10" spans="2:36" s="8" customFormat="1" ht="19.5" customHeight="1" x14ac:dyDescent="0.3">
      <c r="B10" s="8" t="s">
        <v>175</v>
      </c>
      <c r="F10" s="9">
        <f t="shared" si="2"/>
        <v>0.46215024325057008</v>
      </c>
      <c r="G10" s="794">
        <f t="shared" si="0"/>
        <v>0.7449448051948051</v>
      </c>
      <c r="H10" s="80"/>
      <c r="I10" s="81" t="s">
        <v>172</v>
      </c>
      <c r="J10" s="46">
        <f>+'사업장별(당월)'!J10+'[4]사업장별(누계)'!J10</f>
        <v>154</v>
      </c>
      <c r="K10" s="47">
        <f>+'사업장별(당월)'!K10+'[4]사업장별(누계)'!K10</f>
        <v>114.72149999999998</v>
      </c>
      <c r="L10" s="48">
        <f t="shared" si="1"/>
        <v>-39.278500000000022</v>
      </c>
      <c r="M10" s="49">
        <f>+'사업장별(당월)'!M10+'[4]사업장별(누계)'!M10</f>
        <v>163.70000000000002</v>
      </c>
      <c r="N10" s="50">
        <f t="shared" si="3"/>
        <v>-48.978500000000039</v>
      </c>
      <c r="O10" s="46">
        <f>+'사업장별(당월)'!O10+'[4]사업장별(누계)'!O10</f>
        <v>14742.255499999999</v>
      </c>
      <c r="P10" s="47">
        <f>+'사업장별(당월)'!P10+'[4]사업장별(누계)'!P10</f>
        <v>11196.539796000001</v>
      </c>
      <c r="Q10" s="48">
        <f t="shared" si="4"/>
        <v>-3545.7157039999984</v>
      </c>
      <c r="R10" s="49">
        <f>+'사업장별(당월)'!R10+'[4]사업장별(누계)'!R10</f>
        <v>14767.582275000001</v>
      </c>
      <c r="S10" s="50">
        <f t="shared" si="5"/>
        <v>-3571.0424789999997</v>
      </c>
      <c r="T10" s="46">
        <f>+'사업장별(당월)'!T10+'[4]사업장별(누계)'!T10</f>
        <v>2024.8810330986362</v>
      </c>
      <c r="U10" s="47">
        <f>+'사업장별(당월)'!U10+'[4]사업장별(누계)'!U10</f>
        <v>935.79926200000034</v>
      </c>
      <c r="V10" s="48">
        <f t="shared" si="6"/>
        <v>-1089.0817710986357</v>
      </c>
      <c r="W10" s="49">
        <f>+'사업장별(당월)'!W10+'[4]사업장별(누계)'!W10</f>
        <v>1880.7956440000005</v>
      </c>
      <c r="X10" s="50">
        <f t="shared" si="7"/>
        <v>-944.99638200000015</v>
      </c>
      <c r="Y10" s="46">
        <f>+[11]김포!$Q$85</f>
        <v>95728.931818181823</v>
      </c>
      <c r="Z10" s="47">
        <f>+[11]김포!$R$85</f>
        <v>97610.856292393801</v>
      </c>
      <c r="AA10" s="51">
        <f>+[12]김포!$Q$85</f>
        <v>90183.567360384215</v>
      </c>
      <c r="AB10" s="52">
        <f>+[11]김포!$Q$89</f>
        <v>71808.956495030492</v>
      </c>
      <c r="AC10" s="47">
        <f>+[11]김포!$R$89</f>
        <v>75418.587197998728</v>
      </c>
      <c r="AD10" s="53">
        <f>+[12]김포!$Q$89</f>
        <v>68439.452292166636</v>
      </c>
      <c r="AE10" s="52">
        <f t="shared" si="8"/>
        <v>23919.975323151331</v>
      </c>
      <c r="AF10" s="47">
        <f t="shared" si="8"/>
        <v>22192.269094395073</v>
      </c>
      <c r="AG10" s="53">
        <f t="shared" si="8"/>
        <v>21744.115068217579</v>
      </c>
      <c r="AH10" s="18"/>
      <c r="AI10" s="791"/>
      <c r="AJ10" s="96"/>
    </row>
    <row r="11" spans="2:36" s="8" customFormat="1" ht="19.5" customHeight="1" x14ac:dyDescent="0.3">
      <c r="B11" s="8" t="s">
        <v>25</v>
      </c>
      <c r="F11" s="9">
        <f t="shared" si="2"/>
        <v>0.64076431250785582</v>
      </c>
      <c r="G11" s="794">
        <f t="shared" si="0"/>
        <v>0.97644801980198026</v>
      </c>
      <c r="H11" s="80"/>
      <c r="I11" s="82" t="s">
        <v>25</v>
      </c>
      <c r="J11" s="63">
        <f>+'사업장별(당월)'!J11+'[4]사업장별(누계)'!J11</f>
        <v>202</v>
      </c>
      <c r="K11" s="64">
        <f>+'사업장별(당월)'!K11+'[4]사업장별(누계)'!K11</f>
        <v>197.24250000000001</v>
      </c>
      <c r="L11" s="65">
        <f t="shared" si="1"/>
        <v>-4.7574999999999932</v>
      </c>
      <c r="M11" s="66">
        <f>+'사업장별(당월)'!M11+'[4]사업장별(누계)'!M11</f>
        <v>232.63749999999999</v>
      </c>
      <c r="N11" s="67">
        <f t="shared" si="3"/>
        <v>-35.394999999999982</v>
      </c>
      <c r="O11" s="63">
        <f>+'사업장별(당월)'!O11+'[4]사업장별(누계)'!O11</f>
        <v>21735.209947749998</v>
      </c>
      <c r="P11" s="64">
        <f>+'사업장별(당월)'!P11+'[4]사업장별(누계)'!P11</f>
        <v>21243.855800999998</v>
      </c>
      <c r="Q11" s="65">
        <f t="shared" si="4"/>
        <v>-491.35414674999993</v>
      </c>
      <c r="R11" s="66">
        <f>+'사업장별(당월)'!R11+'[4]사업장별(누계)'!R11</f>
        <v>24056.45262</v>
      </c>
      <c r="S11" s="67">
        <f t="shared" si="5"/>
        <v>-2812.5968190000021</v>
      </c>
      <c r="T11" s="63">
        <f>+'사업장별(당월)'!T11+'[4]사업장별(누계)'!T11</f>
        <v>3200.7174369200766</v>
      </c>
      <c r="U11" s="64">
        <f>+'사업장별(당월)'!U11+'[4]사업장별(누계)'!U11</f>
        <v>2050.9055079999994</v>
      </c>
      <c r="V11" s="65">
        <f t="shared" si="6"/>
        <v>-1149.8119289200772</v>
      </c>
      <c r="W11" s="66">
        <f>+'사업장별(당월)'!W11+'[4]사업장별(누계)'!W11</f>
        <v>4218.1703369999996</v>
      </c>
      <c r="X11" s="67">
        <f t="shared" si="7"/>
        <v>-2167.2648290000002</v>
      </c>
      <c r="Y11" s="63">
        <f>+[11]부산!$Q$85</f>
        <v>107600.04924628713</v>
      </c>
      <c r="Z11" s="64">
        <f>+[11]부산!$R$85</f>
        <v>107704.25137077457</v>
      </c>
      <c r="AA11" s="68">
        <f>+[12]부산!$Q$85</f>
        <v>103407.45847079682</v>
      </c>
      <c r="AB11" s="69">
        <f>+[11]부산!$Q$89</f>
        <v>78480.034066675391</v>
      </c>
      <c r="AC11" s="64">
        <f>+[11]부산!$R$89</f>
        <v>83958.150600023713</v>
      </c>
      <c r="AD11" s="70">
        <f>+[12]부산!$Q$89</f>
        <v>74478.5025486292</v>
      </c>
      <c r="AE11" s="69">
        <f t="shared" si="8"/>
        <v>29120.015179611742</v>
      </c>
      <c r="AF11" s="64">
        <f t="shared" si="8"/>
        <v>23746.100770750854</v>
      </c>
      <c r="AG11" s="70">
        <f t="shared" si="8"/>
        <v>28928.955922167617</v>
      </c>
      <c r="AH11" s="18"/>
      <c r="AI11" s="791"/>
      <c r="AJ11" s="96"/>
    </row>
    <row r="12" spans="2:36" s="8" customFormat="1" ht="19.5" customHeight="1" x14ac:dyDescent="0.3">
      <c r="B12" s="8" t="s">
        <v>26</v>
      </c>
      <c r="F12" s="9">
        <f t="shared" si="2"/>
        <v>0.53622785420428376</v>
      </c>
      <c r="G12" s="794">
        <f t="shared" si="0"/>
        <v>0.87047058823529422</v>
      </c>
      <c r="H12" s="80"/>
      <c r="I12" s="81" t="s">
        <v>26</v>
      </c>
      <c r="J12" s="46">
        <f>+'사업장별(당월)'!J12+'[4]사업장별(누계)'!J12</f>
        <v>238</v>
      </c>
      <c r="K12" s="47">
        <f>+'사업장별(당월)'!K12+'[4]사업장별(누계)'!K12</f>
        <v>207.17200000000003</v>
      </c>
      <c r="L12" s="48">
        <f t="shared" si="1"/>
        <v>-30.827999999999975</v>
      </c>
      <c r="M12" s="49">
        <f>+'사업장별(당월)'!M12+'[4]사업장별(누계)'!M12</f>
        <v>220.24399999999997</v>
      </c>
      <c r="N12" s="50">
        <f t="shared" si="3"/>
        <v>-13.071999999999946</v>
      </c>
      <c r="O12" s="46">
        <f>+'사업장별(당월)'!O12+'[4]사업장별(누계)'!O12</f>
        <v>24721.990760000001</v>
      </c>
      <c r="P12" s="47">
        <f>+'사업장별(당월)'!P12+'[4]사업장별(누계)'!P12</f>
        <v>20831.233748000002</v>
      </c>
      <c r="Q12" s="48">
        <f t="shared" si="4"/>
        <v>-3890.7570119999982</v>
      </c>
      <c r="R12" s="49">
        <f>+'사업장별(당월)'!R12+'[4]사업장별(누계)'!R12</f>
        <v>22118.105192000003</v>
      </c>
      <c r="S12" s="50">
        <f t="shared" si="5"/>
        <v>-1286.8714440000003</v>
      </c>
      <c r="T12" s="46">
        <f>+'사업장별(당월)'!T12+'[4]사업장별(누계)'!T12</f>
        <v>4271.6991816828686</v>
      </c>
      <c r="U12" s="47">
        <f>+'사업장별(당월)'!U12+'[4]사업장별(누계)'!U12</f>
        <v>2290.6040859999994</v>
      </c>
      <c r="V12" s="48">
        <f t="shared" si="6"/>
        <v>-1981.0950956828692</v>
      </c>
      <c r="W12" s="49">
        <f>+'사업장별(당월)'!W12+'[4]사업장별(누계)'!W12</f>
        <v>3903.0732449999996</v>
      </c>
      <c r="X12" s="50">
        <f t="shared" si="7"/>
        <v>-1612.4691590000002</v>
      </c>
      <c r="Y12" s="46">
        <f>+[11]서부산!$Q$85</f>
        <v>103873.9107563025</v>
      </c>
      <c r="Z12" s="47">
        <f>+[11]서부산!$R$85</f>
        <v>100551.51680250299</v>
      </c>
      <c r="AA12" s="51">
        <f>+[12]서부산!$Q$85</f>
        <v>100425.46081618569</v>
      </c>
      <c r="AB12" s="52">
        <f>+[11]서부산!$Q$89</f>
        <v>76880.295013937546</v>
      </c>
      <c r="AC12" s="47">
        <f>+[11]서부산!$R$89</f>
        <v>78733.007216251877</v>
      </c>
      <c r="AD12" s="53">
        <f>+[12]서부산!$Q$89</f>
        <v>73431.154393738543</v>
      </c>
      <c r="AE12" s="52">
        <f t="shared" si="8"/>
        <v>26993.615742364957</v>
      </c>
      <c r="AF12" s="47">
        <f t="shared" si="8"/>
        <v>21818.509586251108</v>
      </c>
      <c r="AG12" s="53">
        <f t="shared" si="8"/>
        <v>26994.306422447145</v>
      </c>
      <c r="AH12" s="18"/>
      <c r="AI12" s="791"/>
      <c r="AJ12" s="96"/>
    </row>
    <row r="13" spans="2:36" s="8" customFormat="1" ht="19.5" customHeight="1" x14ac:dyDescent="0.3">
      <c r="B13" s="8" t="s">
        <v>27</v>
      </c>
      <c r="F13" s="9">
        <f t="shared" si="2"/>
        <v>0.50415234374587203</v>
      </c>
      <c r="G13" s="794">
        <f t="shared" si="0"/>
        <v>1.1477179487179485</v>
      </c>
      <c r="H13" s="80"/>
      <c r="I13" s="81" t="s">
        <v>27</v>
      </c>
      <c r="J13" s="46">
        <f>+'사업장별(당월)'!J13+'[4]사업장별(누계)'!J13</f>
        <v>117</v>
      </c>
      <c r="K13" s="47">
        <f>+'사업장별(당월)'!K13+'[4]사업장별(누계)'!K13</f>
        <v>134.28299999999999</v>
      </c>
      <c r="L13" s="48">
        <f t="shared" si="1"/>
        <v>17.282999999999987</v>
      </c>
      <c r="M13" s="49">
        <f>+'사업장별(당월)'!M13+'[4]사업장별(누계)'!M13</f>
        <v>132.46800000000002</v>
      </c>
      <c r="N13" s="50">
        <f t="shared" si="3"/>
        <v>1.8149999999999693</v>
      </c>
      <c r="O13" s="46">
        <f>+'사업장별(당월)'!O13+'[4]사업장별(누계)'!O13</f>
        <v>11816.988999999998</v>
      </c>
      <c r="P13" s="47">
        <f>+'사업장별(당월)'!P13+'[4]사업장별(누계)'!P13</f>
        <v>12777.261899999998</v>
      </c>
      <c r="Q13" s="48">
        <f t="shared" si="4"/>
        <v>960.27289999999994</v>
      </c>
      <c r="R13" s="49">
        <f>+'사업장별(당월)'!R13+'[4]사업장별(누계)'!R13</f>
        <v>12949.898897999999</v>
      </c>
      <c r="S13" s="50">
        <f t="shared" si="5"/>
        <v>-172.63699800000177</v>
      </c>
      <c r="T13" s="46">
        <f>+'사업장별(당월)'!T13+'[4]사업장별(누계)'!T13</f>
        <v>1428.2501448866774</v>
      </c>
      <c r="U13" s="47">
        <f>+'사업장별(당월)'!U13+'[4]사업장별(누계)'!U13</f>
        <v>720.05565799999977</v>
      </c>
      <c r="V13" s="48">
        <f t="shared" si="6"/>
        <v>-708.19448688667762</v>
      </c>
      <c r="W13" s="49">
        <f>+'사업장별(당월)'!W13+'[4]사업장별(누계)'!W13</f>
        <v>1735.7423830000002</v>
      </c>
      <c r="X13" s="50">
        <f t="shared" si="7"/>
        <v>-1015.6867250000005</v>
      </c>
      <c r="Y13" s="46">
        <f>+[11]김해!$Q$85</f>
        <v>100999.905982906</v>
      </c>
      <c r="Z13" s="47">
        <f>+[11]김해!$R$85</f>
        <v>95232.380110062877</v>
      </c>
      <c r="AA13" s="51">
        <f>+[12]김해!$Q$85</f>
        <v>97774.204878417731</v>
      </c>
      <c r="AB13" s="52">
        <f>+[11]김해!$Q$89</f>
        <v>76467.756131131086</v>
      </c>
      <c r="AC13" s="47">
        <f>+[11]김해!$R$89</f>
        <v>78745.257671957661</v>
      </c>
      <c r="AD13" s="53">
        <f>+[12]김해!$Q$89</f>
        <v>74007.21512687669</v>
      </c>
      <c r="AE13" s="52">
        <f t="shared" si="8"/>
        <v>24532.149851774913</v>
      </c>
      <c r="AF13" s="47">
        <f t="shared" si="8"/>
        <v>16487.122438105216</v>
      </c>
      <c r="AG13" s="53">
        <f t="shared" si="8"/>
        <v>23766.989751541041</v>
      </c>
      <c r="AH13" s="18"/>
      <c r="AI13" s="791"/>
      <c r="AJ13" s="96"/>
    </row>
    <row r="14" spans="2:36" s="8" customFormat="1" ht="19.5" customHeight="1" x14ac:dyDescent="0.3">
      <c r="B14" s="8" t="s">
        <v>28</v>
      </c>
      <c r="F14" s="9">
        <f t="shared" si="2"/>
        <v>0.71403704557706804</v>
      </c>
      <c r="G14" s="794">
        <f t="shared" si="0"/>
        <v>1.1464505813953489</v>
      </c>
      <c r="H14" s="80"/>
      <c r="I14" s="81" t="s">
        <v>28</v>
      </c>
      <c r="J14" s="46">
        <f>+'사업장별(당월)'!J14+'[4]사업장별(누계)'!J14</f>
        <v>172</v>
      </c>
      <c r="K14" s="47">
        <f>+'사업장별(당월)'!K14+'[4]사업장별(누계)'!K14</f>
        <v>197.18950000000001</v>
      </c>
      <c r="L14" s="48">
        <f t="shared" si="1"/>
        <v>25.18950000000001</v>
      </c>
      <c r="M14" s="49">
        <f>+'사업장별(당월)'!M14+'[4]사업장별(누계)'!M14</f>
        <v>189.31599999999997</v>
      </c>
      <c r="N14" s="50">
        <f t="shared" si="3"/>
        <v>7.8735000000000355</v>
      </c>
      <c r="O14" s="46">
        <f>+'사업장별(당월)'!O14+'[4]사업장별(누계)'!O14</f>
        <v>17888</v>
      </c>
      <c r="P14" s="47">
        <f>+'사업장별(당월)'!P14+'[4]사업장별(누계)'!P14</f>
        <v>19917.169071999997</v>
      </c>
      <c r="Q14" s="48">
        <f t="shared" si="4"/>
        <v>2029.169071999997</v>
      </c>
      <c r="R14" s="49">
        <f>+'사업장별(당월)'!R14+'[4]사업장별(누계)'!R14</f>
        <v>19042.668819999999</v>
      </c>
      <c r="S14" s="50">
        <f t="shared" si="5"/>
        <v>874.500251999998</v>
      </c>
      <c r="T14" s="46">
        <f>+'사업장별(당월)'!T14+'[4]사업장별(누계)'!T14</f>
        <v>2441.0758374466868</v>
      </c>
      <c r="U14" s="47">
        <f>+'사업장별(당월)'!U14+'[4]사업장별(누계)'!U14</f>
        <v>1743.0185789999994</v>
      </c>
      <c r="V14" s="48">
        <f t="shared" si="6"/>
        <v>-698.05725844668746</v>
      </c>
      <c r="W14" s="49">
        <f>+'사업장별(당월)'!W14+'[4]사업장별(누계)'!W14</f>
        <v>2961.7645830000006</v>
      </c>
      <c r="X14" s="50">
        <f t="shared" si="7"/>
        <v>-1218.7460040000012</v>
      </c>
      <c r="Y14" s="46">
        <f>+[11]정관!$Q$85</f>
        <v>104000</v>
      </c>
      <c r="Z14" s="47">
        <f>+[11]정관!$R$85</f>
        <v>101005.2212313536</v>
      </c>
      <c r="AA14" s="51">
        <f>+[12]정관!$Q$85</f>
        <v>100586.68480212976</v>
      </c>
      <c r="AB14" s="52">
        <f>+[11]정관!$Q$89</f>
        <v>78239.792990943053</v>
      </c>
      <c r="AC14" s="47">
        <f>+[11]정관!$R$89</f>
        <v>81770.401864067055</v>
      </c>
      <c r="AD14" s="53">
        <f>+[12]정관!$Q$89</f>
        <v>74886.824484515659</v>
      </c>
      <c r="AE14" s="52">
        <f t="shared" si="8"/>
        <v>25760.207009056947</v>
      </c>
      <c r="AF14" s="47">
        <f t="shared" si="8"/>
        <v>19234.819367286545</v>
      </c>
      <c r="AG14" s="53">
        <f t="shared" si="8"/>
        <v>25699.860317614104</v>
      </c>
      <c r="AH14" s="18"/>
      <c r="AI14" s="791"/>
      <c r="AJ14" s="96"/>
    </row>
    <row r="15" spans="2:36" s="8" customFormat="1" ht="19.5" customHeight="1" x14ac:dyDescent="0.3">
      <c r="B15" s="8" t="s">
        <v>29</v>
      </c>
      <c r="F15" s="9">
        <f t="shared" si="2"/>
        <v>0.78357699009259529</v>
      </c>
      <c r="G15" s="794">
        <f t="shared" si="0"/>
        <v>1.195179245283019</v>
      </c>
      <c r="H15" s="80"/>
      <c r="I15" s="81" t="s">
        <v>214</v>
      </c>
      <c r="J15" s="46">
        <f>+'사업장별(당월)'!J15+'[4]사업장별(누계)'!J15</f>
        <v>106</v>
      </c>
      <c r="K15" s="47">
        <f>+'사업장별(당월)'!K15+'[4]사업장별(누계)'!K15</f>
        <v>126.68900000000002</v>
      </c>
      <c r="L15" s="48">
        <f t="shared" si="1"/>
        <v>20.689000000000021</v>
      </c>
      <c r="M15" s="49">
        <f>+'사업장별(당월)'!M15+'[4]사업장별(누계)'!M15</f>
        <v>136.34500000000003</v>
      </c>
      <c r="N15" s="50">
        <f t="shared" si="3"/>
        <v>-9.6560000000000059</v>
      </c>
      <c r="O15" s="46">
        <f>+'사업장별(당월)'!O15+'[4]사업장별(누계)'!O15</f>
        <v>10252.732994</v>
      </c>
      <c r="P15" s="47">
        <f>+'사업장별(당월)'!P15+'[4]사업장별(누계)'!P15</f>
        <v>11748.749418000001</v>
      </c>
      <c r="Q15" s="48">
        <f t="shared" si="4"/>
        <v>1496.0164240000013</v>
      </c>
      <c r="R15" s="49">
        <f>+'사업장별(당월)'!R15+'[4]사업장별(누계)'!R15</f>
        <v>12767.742821</v>
      </c>
      <c r="S15" s="50">
        <f t="shared" si="5"/>
        <v>-1018.9934029999986</v>
      </c>
      <c r="T15" s="46">
        <f>+'사업장별(당월)'!T15+'[4]사업장별(누계)'!T15</f>
        <v>1386.1495982311185</v>
      </c>
      <c r="U15" s="47">
        <f>+'사업장별(당월)'!U15+'[4]사업장별(누계)'!U15</f>
        <v>1086.1549300000001</v>
      </c>
      <c r="V15" s="48">
        <f t="shared" si="6"/>
        <v>-299.99466823111834</v>
      </c>
      <c r="W15" s="49">
        <f>+'사업장별(당월)'!W15+'[4]사업장별(누계)'!W15</f>
        <v>1954.830375</v>
      </c>
      <c r="X15" s="50">
        <f t="shared" si="7"/>
        <v>-868.67544499999985</v>
      </c>
      <c r="Y15" s="46">
        <f>+[11]양산!$Q$85</f>
        <v>96723.896169811327</v>
      </c>
      <c r="Z15" s="47">
        <f>+[11]양산!$R$85</f>
        <v>92736.9338932346</v>
      </c>
      <c r="AA15" s="51">
        <f>+[12]양산!$Q$85</f>
        <v>93644.463509647117</v>
      </c>
      <c r="AB15" s="52">
        <f>+[11]양산!$Q$89</f>
        <v>70375.11659006284</v>
      </c>
      <c r="AC15" s="47">
        <f>+[11]양산!$R$89</f>
        <v>72990.590046963174</v>
      </c>
      <c r="AD15" s="53">
        <f>+[12]양산!$Q$89</f>
        <v>68617.621862484797</v>
      </c>
      <c r="AE15" s="52">
        <f t="shared" si="8"/>
        <v>26348.779579748487</v>
      </c>
      <c r="AF15" s="47">
        <f t="shared" si="8"/>
        <v>19746.343846271426</v>
      </c>
      <c r="AG15" s="53">
        <f t="shared" si="8"/>
        <v>25026.84164716232</v>
      </c>
      <c r="AH15" s="18"/>
      <c r="AI15" s="791"/>
      <c r="AJ15" s="96"/>
    </row>
    <row r="16" spans="2:36" s="8" customFormat="1" ht="19.5" customHeight="1" x14ac:dyDescent="0.3">
      <c r="B16" s="8" t="s">
        <v>30</v>
      </c>
      <c r="F16" s="9">
        <f t="shared" si="2"/>
        <v>0.9358812963857247</v>
      </c>
      <c r="G16" s="794">
        <f t="shared" si="0"/>
        <v>1.0732672955974845</v>
      </c>
      <c r="H16" s="80"/>
      <c r="I16" s="81" t="s">
        <v>30</v>
      </c>
      <c r="J16" s="46">
        <f>+'사업장별(당월)'!J16+'[4]사업장별(누계)'!J16</f>
        <v>159</v>
      </c>
      <c r="K16" s="47">
        <f>+'사업장별(당월)'!K16+'[4]사업장별(누계)'!K16</f>
        <v>170.64950000000002</v>
      </c>
      <c r="L16" s="48">
        <f t="shared" si="1"/>
        <v>11.649500000000018</v>
      </c>
      <c r="M16" s="49">
        <f>+'사업장별(당월)'!M16+'[4]사업장별(누계)'!M16</f>
        <v>197.64500000000001</v>
      </c>
      <c r="N16" s="50">
        <f t="shared" si="3"/>
        <v>-26.995499999999993</v>
      </c>
      <c r="O16" s="46">
        <f>+'사업장별(당월)'!O16+'[4]사업장별(누계)'!O16</f>
        <v>16038.0185</v>
      </c>
      <c r="P16" s="47">
        <f>+'사업장별(당월)'!P16+'[4]사업장별(누계)'!P16</f>
        <v>17191.816299999999</v>
      </c>
      <c r="Q16" s="48">
        <f t="shared" si="4"/>
        <v>1153.7977999999985</v>
      </c>
      <c r="R16" s="49">
        <f>+'사업장별(당월)'!R16+'[4]사업장별(누계)'!R16</f>
        <v>18897.740919999997</v>
      </c>
      <c r="S16" s="50">
        <f t="shared" si="5"/>
        <v>-1705.924619999998</v>
      </c>
      <c r="T16" s="46">
        <f>+'사업장별(당월)'!T16+'[4]사업장별(누계)'!T16</f>
        <v>2605.8540355686923</v>
      </c>
      <c r="U16" s="47">
        <f>+'사업장별(당월)'!U16+'[4]사업장별(누계)'!U16</f>
        <v>2438.7700530000002</v>
      </c>
      <c r="V16" s="48">
        <f t="shared" si="6"/>
        <v>-167.08398256869214</v>
      </c>
      <c r="W16" s="49">
        <f>+'사업장별(당월)'!W16+'[4]사업장별(누계)'!W16</f>
        <v>3716.2957239999987</v>
      </c>
      <c r="X16" s="50">
        <f t="shared" si="7"/>
        <v>-1277.5256709999985</v>
      </c>
      <c r="Y16" s="46">
        <f>+[11]창원!$Q$85</f>
        <v>100868.04088050315</v>
      </c>
      <c r="Z16" s="47">
        <f>+[11]창원!$R$85</f>
        <v>100743.43200536774</v>
      </c>
      <c r="AA16" s="51">
        <f>+[12]창원!$Q$85</f>
        <v>95614.566116016082</v>
      </c>
      <c r="AB16" s="52">
        <f>+[11]창원!$Q$89</f>
        <v>72318.707383128509</v>
      </c>
      <c r="AC16" s="47">
        <f>+[11]창원!$R$89</f>
        <v>74908.31970491122</v>
      </c>
      <c r="AD16" s="53">
        <f>+[12]창원!$Q$89</f>
        <v>67438.475871591654</v>
      </c>
      <c r="AE16" s="52">
        <f t="shared" si="8"/>
        <v>28549.333497374639</v>
      </c>
      <c r="AF16" s="47">
        <f t="shared" si="8"/>
        <v>25835.112300456516</v>
      </c>
      <c r="AG16" s="53">
        <f t="shared" si="8"/>
        <v>28176.090244424428</v>
      </c>
      <c r="AH16" s="18"/>
      <c r="AI16" s="791"/>
      <c r="AJ16" s="96"/>
    </row>
    <row r="17" spans="2:38" s="8" customFormat="1" ht="19.5" customHeight="1" x14ac:dyDescent="0.3">
      <c r="B17" s="8" t="s">
        <v>87</v>
      </c>
      <c r="F17" s="9">
        <f t="shared" si="2"/>
        <v>0.82351154614638966</v>
      </c>
      <c r="G17" s="794">
        <f t="shared" si="0"/>
        <v>0.98973333333333324</v>
      </c>
      <c r="H17" s="80"/>
      <c r="I17" s="81" t="s">
        <v>87</v>
      </c>
      <c r="J17" s="46">
        <f>+'사업장별(당월)'!J17+'[4]사업장별(누계)'!J17</f>
        <v>157.5</v>
      </c>
      <c r="K17" s="47">
        <f>+'사업장별(당월)'!K17+'[4]사업장별(누계)'!K17</f>
        <v>155.88299999999998</v>
      </c>
      <c r="L17" s="48">
        <f t="shared" si="1"/>
        <v>-1.6170000000000186</v>
      </c>
      <c r="M17" s="49">
        <f>+'사업장별(당월)'!M17+'[4]사업장별(누계)'!M17</f>
        <v>196.53749999999997</v>
      </c>
      <c r="N17" s="50">
        <f t="shared" si="3"/>
        <v>-40.654499999999985</v>
      </c>
      <c r="O17" s="46">
        <f>+'사업장별(당월)'!O17+'[4]사업장별(누계)'!O17</f>
        <v>15399.580000000002</v>
      </c>
      <c r="P17" s="47">
        <f>+'사업장별(당월)'!P17+'[4]사업장별(누계)'!P17</f>
        <v>15602.772502</v>
      </c>
      <c r="Q17" s="48">
        <f t="shared" si="4"/>
        <v>203.19250199999806</v>
      </c>
      <c r="R17" s="49">
        <f>+'사업장별(당월)'!R17+'[4]사업장별(누계)'!R17</f>
        <v>18322.760300000002</v>
      </c>
      <c r="S17" s="50">
        <f t="shared" si="5"/>
        <v>-2719.9877980000019</v>
      </c>
      <c r="T17" s="46">
        <f>+'사업장별(당월)'!T17+'[4]사업장별(누계)'!T17</f>
        <v>2691.7702142405092</v>
      </c>
      <c r="U17" s="47">
        <f>+'사업장별(당월)'!U17+'[4]사업장별(누계)'!U17</f>
        <v>2216.7038510000002</v>
      </c>
      <c r="V17" s="48">
        <f t="shared" si="6"/>
        <v>-475.06636324050896</v>
      </c>
      <c r="W17" s="49">
        <f>+'사업장별(당월)'!W17+'[4]사업장별(누계)'!W17</f>
        <v>3478.8907820000004</v>
      </c>
      <c r="X17" s="50">
        <f t="shared" si="7"/>
        <v>-1262.1869310000002</v>
      </c>
      <c r="Y17" s="46">
        <f>+[11]대구!$Q$85</f>
        <v>97775.111111111109</v>
      </c>
      <c r="Z17" s="47">
        <f>+[11]대구!$R$85</f>
        <v>100092.59959071867</v>
      </c>
      <c r="AA17" s="51">
        <f>+[12]대구!$Q$85</f>
        <v>93226.218680963066</v>
      </c>
      <c r="AB17" s="52">
        <f>+[11]대구!$Q$89</f>
        <v>69700.835923184859</v>
      </c>
      <c r="AC17" s="47">
        <f>+[11]대구!$R$89</f>
        <v>74637.952341555399</v>
      </c>
      <c r="AD17" s="53">
        <f>+[12]대구!$Q$89</f>
        <v>66869.782901928018</v>
      </c>
      <c r="AE17" s="52">
        <f t="shared" si="8"/>
        <v>28074.275187926251</v>
      </c>
      <c r="AF17" s="47">
        <f t="shared" si="8"/>
        <v>25454.647249163274</v>
      </c>
      <c r="AG17" s="53">
        <f t="shared" si="8"/>
        <v>26356.435779035048</v>
      </c>
      <c r="AH17" s="18"/>
      <c r="AI17" s="791"/>
      <c r="AJ17" s="96"/>
    </row>
    <row r="18" spans="2:38" s="8" customFormat="1" ht="19.5" customHeight="1" x14ac:dyDescent="0.3">
      <c r="B18" s="8" t="s">
        <v>88</v>
      </c>
      <c r="F18" s="9">
        <f t="shared" si="2"/>
        <v>2.3218620011562034</v>
      </c>
      <c r="G18" s="794">
        <f t="shared" si="0"/>
        <v>1.264813953488372</v>
      </c>
      <c r="H18" s="80"/>
      <c r="I18" s="83" t="s">
        <v>88</v>
      </c>
      <c r="J18" s="10">
        <f>+'사업장별(당월)'!J18+'[4]사업장별(누계)'!J18</f>
        <v>86</v>
      </c>
      <c r="K18" s="11">
        <f>+'사업장별(당월)'!K18+'[4]사업장별(누계)'!K18</f>
        <v>108.774</v>
      </c>
      <c r="L18" s="12">
        <f t="shared" si="1"/>
        <v>22.774000000000001</v>
      </c>
      <c r="M18" s="13">
        <f>+'사업장별(당월)'!M18+'[4]사업장별(누계)'!M18</f>
        <v>87.673500000000004</v>
      </c>
      <c r="N18" s="14">
        <f t="shared" si="3"/>
        <v>21.100499999999997</v>
      </c>
      <c r="O18" s="10">
        <f>+'사업장별(당월)'!O18+'[4]사업장별(누계)'!O18</f>
        <v>8626.7117400000006</v>
      </c>
      <c r="P18" s="11">
        <f>+'사업장별(당월)'!P18+'[4]사업장별(누계)'!P18</f>
        <v>11248.414042</v>
      </c>
      <c r="Q18" s="12">
        <f t="shared" si="4"/>
        <v>2621.7023019999997</v>
      </c>
      <c r="R18" s="13">
        <f>+'사업장별(당월)'!R18+'[4]사업장별(누계)'!R18</f>
        <v>8324.3358499999995</v>
      </c>
      <c r="S18" s="14">
        <f t="shared" si="5"/>
        <v>2924.0781920000009</v>
      </c>
      <c r="T18" s="10">
        <f>+'사업장별(당월)'!T18+'[4]사업장별(누계)'!T18</f>
        <v>533.27451518799421</v>
      </c>
      <c r="U18" s="11">
        <f>+'사업장별(당월)'!U18+'[4]사업장별(누계)'!U18</f>
        <v>1238.1898330000004</v>
      </c>
      <c r="V18" s="12">
        <f t="shared" si="6"/>
        <v>704.91531781200615</v>
      </c>
      <c r="W18" s="13">
        <f>+'사업장별(당월)'!W18+'[4]사업장별(누계)'!W18</f>
        <v>562.4173340000001</v>
      </c>
      <c r="X18" s="14">
        <f t="shared" si="7"/>
        <v>675.77249900000027</v>
      </c>
      <c r="Y18" s="10">
        <f>+[11]울산!$Q$85</f>
        <v>100310.60162790696</v>
      </c>
      <c r="Z18" s="11">
        <f>+[11]울산!$R$85</f>
        <v>103410.8706308493</v>
      </c>
      <c r="AA18" s="15">
        <f>+[12]울산!$Q$85</f>
        <v>94955.037484633911</v>
      </c>
      <c r="AB18" s="16">
        <f>+[11]울산!$Q$89</f>
        <v>78507.322682950966</v>
      </c>
      <c r="AC18" s="11">
        <f>+[11]울산!$R$89</f>
        <v>80071.378177975814</v>
      </c>
      <c r="AD18" s="17">
        <f>+[12]울산!$Q$89</f>
        <v>73992.920311446404</v>
      </c>
      <c r="AE18" s="16">
        <f t="shared" si="8"/>
        <v>21803.278944955993</v>
      </c>
      <c r="AF18" s="11">
        <f t="shared" si="8"/>
        <v>23339.492452873485</v>
      </c>
      <c r="AG18" s="17">
        <f t="shared" si="8"/>
        <v>20962.117173187507</v>
      </c>
      <c r="AH18" s="18"/>
      <c r="AI18" s="791"/>
      <c r="AJ18" s="9"/>
    </row>
    <row r="19" spans="2:38" s="8" customFormat="1" ht="19.5" customHeight="1" x14ac:dyDescent="0.3">
      <c r="B19" s="8" t="s">
        <v>93</v>
      </c>
      <c r="F19" s="9">
        <f t="shared" si="2"/>
        <v>1.166717121314965</v>
      </c>
      <c r="G19" s="794">
        <f t="shared" si="0"/>
        <v>1.1869399999999999</v>
      </c>
      <c r="H19" s="80"/>
      <c r="I19" s="81" t="s">
        <v>31</v>
      </c>
      <c r="J19" s="46">
        <f>+'사업장별(당월)'!J19+'[4]사업장별(누계)'!J19</f>
        <v>225</v>
      </c>
      <c r="K19" s="47">
        <f>+'사업장별(당월)'!K19+'[4]사업장별(누계)'!K19</f>
        <v>267.06149999999997</v>
      </c>
      <c r="L19" s="48">
        <f t="shared" si="1"/>
        <v>42.061499999999967</v>
      </c>
      <c r="M19" s="49">
        <f>+'사업장별(당월)'!M19+'[4]사업장별(누계)'!M19</f>
        <v>253.79000000000002</v>
      </c>
      <c r="N19" s="50">
        <f t="shared" si="3"/>
        <v>13.271499999999946</v>
      </c>
      <c r="O19" s="46">
        <f>+'사업장별(당월)'!O19+'[4]사업장별(누계)'!O19</f>
        <v>22725.008399999999</v>
      </c>
      <c r="P19" s="47">
        <f>+'사업장별(당월)'!P19+'[4]사업장별(누계)'!P19</f>
        <v>26913.525007</v>
      </c>
      <c r="Q19" s="48">
        <f t="shared" si="4"/>
        <v>4188.5166070000014</v>
      </c>
      <c r="R19" s="49">
        <f>+'사업장별(당월)'!R19+'[4]사업장별(누계)'!R19</f>
        <v>24269.712783000003</v>
      </c>
      <c r="S19" s="50">
        <f t="shared" si="5"/>
        <v>2643.8122239999975</v>
      </c>
      <c r="T19" s="46">
        <f>+'사업장별(당월)'!T19+'[4]사업장별(누계)'!T19</f>
        <v>3327.8563484385872</v>
      </c>
      <c r="U19" s="47">
        <f>+'사업장별(당월)'!U19+'[4]사업장별(누계)'!U19</f>
        <v>3882.6669789999992</v>
      </c>
      <c r="V19" s="48">
        <f t="shared" si="6"/>
        <v>554.81063056141193</v>
      </c>
      <c r="W19" s="49">
        <f>+'사업장별(당월)'!W19+'[4]사업장별(누계)'!W19</f>
        <v>4029.9734799999997</v>
      </c>
      <c r="X19" s="50">
        <f t="shared" si="7"/>
        <v>-147.30650100000048</v>
      </c>
      <c r="Y19" s="46">
        <f>+[11]아산!$Q$85</f>
        <v>101000.03733333333</v>
      </c>
      <c r="Z19" s="47">
        <f>+[11]아산!$R$85</f>
        <v>100725.63408039347</v>
      </c>
      <c r="AA19" s="51">
        <f>+[12]아산!$Q$85</f>
        <v>95701.368582119132</v>
      </c>
      <c r="AB19" s="52">
        <f>+[11]아산!$Q$89</f>
        <v>76666.503941697694</v>
      </c>
      <c r="AC19" s="47">
        <f>+[11]아산!$R$89</f>
        <v>76735.5377352285</v>
      </c>
      <c r="AD19" s="53">
        <f>+[12]아산!$Q$89</f>
        <v>70878.996040723985</v>
      </c>
      <c r="AE19" s="52">
        <f t="shared" si="8"/>
        <v>24333.533391635632</v>
      </c>
      <c r="AF19" s="47">
        <f t="shared" si="8"/>
        <v>23990.096345164973</v>
      </c>
      <c r="AG19" s="53">
        <f t="shared" si="8"/>
        <v>24822.372541395147</v>
      </c>
      <c r="AH19" s="18"/>
      <c r="AI19" s="791"/>
      <c r="AJ19" s="9"/>
    </row>
    <row r="20" spans="2:38" s="8" customFormat="1" ht="19.5" customHeight="1" x14ac:dyDescent="0.3">
      <c r="B20" s="8" t="s">
        <v>89</v>
      </c>
      <c r="F20" s="9">
        <f t="shared" si="2"/>
        <v>0.29197048872347275</v>
      </c>
      <c r="G20" s="794">
        <f t="shared" si="0"/>
        <v>0.72777777777777763</v>
      </c>
      <c r="H20" s="80"/>
      <c r="I20" s="81" t="s">
        <v>89</v>
      </c>
      <c r="J20" s="46">
        <f>+'사업장별(당월)'!J20+'[4]사업장별(누계)'!J20</f>
        <v>117</v>
      </c>
      <c r="K20" s="47">
        <f>+'사업장별(당월)'!K20+'[4]사업장별(누계)'!K20</f>
        <v>85.149999999999977</v>
      </c>
      <c r="L20" s="48">
        <f t="shared" si="1"/>
        <v>-31.850000000000023</v>
      </c>
      <c r="M20" s="49">
        <f>+'사업장별(당월)'!M20+'[4]사업장별(누계)'!M20</f>
        <v>106.8875</v>
      </c>
      <c r="N20" s="50">
        <f t="shared" si="3"/>
        <v>-21.737500000000026</v>
      </c>
      <c r="O20" s="46">
        <f>+'사업장별(당월)'!O20+'[4]사업장별(누계)'!O20</f>
        <v>12000.543737000002</v>
      </c>
      <c r="P20" s="47">
        <f>+'사업장별(당월)'!P20+'[4]사업장별(누계)'!P20</f>
        <v>8192.7088019999992</v>
      </c>
      <c r="Q20" s="48">
        <f t="shared" si="4"/>
        <v>-3807.8349350000026</v>
      </c>
      <c r="R20" s="49">
        <f>+'사업장별(당월)'!R20+'[4]사업장별(누계)'!R20</f>
        <v>10523.994306000001</v>
      </c>
      <c r="S20" s="50">
        <f t="shared" si="5"/>
        <v>-2331.2855040000013</v>
      </c>
      <c r="T20" s="46">
        <f>+'사업장별(당월)'!T20+'[4]사업장별(누계)'!T20</f>
        <v>1935.5284962900018</v>
      </c>
      <c r="U20" s="47">
        <f>+'사업장별(당월)'!U20+'[4]사업장별(누계)'!U20</f>
        <v>565.11720100000014</v>
      </c>
      <c r="V20" s="48">
        <f t="shared" si="6"/>
        <v>-1370.4112952900018</v>
      </c>
      <c r="W20" s="49">
        <f>+'사업장별(당월)'!W20+'[4]사업장별(누계)'!W20</f>
        <v>1711.9862740000001</v>
      </c>
      <c r="X20" s="50">
        <f t="shared" si="7"/>
        <v>-1146.8690729999998</v>
      </c>
      <c r="Y20" s="46">
        <f>+[11]전주!$Q$85</f>
        <v>102568.74988888889</v>
      </c>
      <c r="Z20" s="47">
        <f>+[11]전주!$R$85</f>
        <v>96216.462650092813</v>
      </c>
      <c r="AA20" s="51">
        <f>+[12]전주!$Q$85</f>
        <v>98558.928687081367</v>
      </c>
      <c r="AB20" s="52">
        <f>+[11]전주!$Q$89</f>
        <v>73535.696797543322</v>
      </c>
      <c r="AC20" s="47">
        <f>+[11]전주!$R$89</f>
        <v>72048.068991028238</v>
      </c>
      <c r="AD20" s="53">
        <f>+[12]전주!$Q$89</f>
        <v>69161.80069198925</v>
      </c>
      <c r="AE20" s="52">
        <f t="shared" si="8"/>
        <v>29033.053091345573</v>
      </c>
      <c r="AF20" s="47">
        <f t="shared" si="8"/>
        <v>24168.393659064575</v>
      </c>
      <c r="AG20" s="53">
        <f t="shared" si="8"/>
        <v>29397.127995092116</v>
      </c>
      <c r="AH20" s="18"/>
      <c r="AI20" s="791"/>
      <c r="AJ20" s="9"/>
    </row>
    <row r="21" spans="2:38" s="8" customFormat="1" ht="19.5" customHeight="1" x14ac:dyDescent="0.3">
      <c r="B21" s="8" t="s">
        <v>90</v>
      </c>
      <c r="F21" s="9">
        <f t="shared" si="2"/>
        <v>1.4932692350392973</v>
      </c>
      <c r="G21" s="794">
        <f t="shared" si="0"/>
        <v>1.2967651515151513</v>
      </c>
      <c r="H21" s="80"/>
      <c r="I21" s="81" t="s">
        <v>90</v>
      </c>
      <c r="J21" s="46">
        <f>+'사업장별(당월)'!J21+'[4]사업장별(누계)'!J21</f>
        <v>66</v>
      </c>
      <c r="K21" s="47">
        <f>+'사업장별(당월)'!K21+'[4]사업장별(누계)'!K21</f>
        <v>85.586499999999987</v>
      </c>
      <c r="L21" s="48">
        <f t="shared" si="1"/>
        <v>19.586499999999987</v>
      </c>
      <c r="M21" s="49">
        <f>+'사업장별(당월)'!M21+'[4]사업장별(누계)'!M21</f>
        <v>79.293499999999995</v>
      </c>
      <c r="N21" s="50">
        <f t="shared" si="3"/>
        <v>6.2929999999999922</v>
      </c>
      <c r="O21" s="46">
        <f>+'사업장별(당월)'!O21+'[4]사업장별(누계)'!O21</f>
        <v>7194.0116049999988</v>
      </c>
      <c r="P21" s="47">
        <f>+'사업장별(당월)'!P21+'[4]사업장별(누계)'!P21</f>
        <v>9687.7000860000007</v>
      </c>
      <c r="Q21" s="48">
        <f t="shared" si="4"/>
        <v>2493.688481000002</v>
      </c>
      <c r="R21" s="49">
        <f>+'사업장별(당월)'!R21+'[4]사업장별(누계)'!R21</f>
        <v>7868.0584580000004</v>
      </c>
      <c r="S21" s="50">
        <f t="shared" si="5"/>
        <v>1819.6416280000003</v>
      </c>
      <c r="T21" s="46">
        <f>+'사업장별(당월)'!T21+'[4]사업장별(누계)'!T21</f>
        <v>1801.833611692397</v>
      </c>
      <c r="U21" s="47">
        <f>+'사업장별(당월)'!U21+'[4]사업장별(누계)'!U21</f>
        <v>2690.622699</v>
      </c>
      <c r="V21" s="48">
        <f t="shared" si="6"/>
        <v>888.78908730760304</v>
      </c>
      <c r="W21" s="49">
        <f>+'사업장별(당월)'!W21+'[4]사업장별(누계)'!W21</f>
        <v>1858.4387099999999</v>
      </c>
      <c r="X21" s="50">
        <f t="shared" si="7"/>
        <v>832.18398900000011</v>
      </c>
      <c r="Y21" s="46">
        <f>+[11]군산!$Q$85</f>
        <v>109000.17583333331</v>
      </c>
      <c r="Z21" s="47">
        <f>+[11]군산!$R$85</f>
        <v>113207.38480075337</v>
      </c>
      <c r="AA21" s="51">
        <f>+[12]군산!$Q$85</f>
        <v>99099.075514577809</v>
      </c>
      <c r="AB21" s="52">
        <f>+[11]군산!$Q$89</f>
        <v>69674.672254885911</v>
      </c>
      <c r="AC21" s="47">
        <f>+[11]군산!$R$89</f>
        <v>72302.133567271987</v>
      </c>
      <c r="AD21" s="53">
        <f>+[12]군산!$Q$89</f>
        <v>65120.757015335024</v>
      </c>
      <c r="AE21" s="52">
        <f t="shared" si="8"/>
        <v>39325.503578447402</v>
      </c>
      <c r="AF21" s="47">
        <f t="shared" si="8"/>
        <v>40905.25123348138</v>
      </c>
      <c r="AG21" s="53">
        <f t="shared" si="8"/>
        <v>33978.318499242785</v>
      </c>
      <c r="AH21" s="18"/>
      <c r="AI21" s="791"/>
      <c r="AJ21" s="9"/>
    </row>
    <row r="22" spans="2:38" s="8" customFormat="1" ht="19.5" customHeight="1" x14ac:dyDescent="0.3">
      <c r="B22" s="8" t="s">
        <v>91</v>
      </c>
      <c r="F22" s="9">
        <f t="shared" si="2"/>
        <v>1.3721453637043406</v>
      </c>
      <c r="G22" s="794">
        <f t="shared" si="0"/>
        <v>1.0964117647058822</v>
      </c>
      <c r="H22" s="80"/>
      <c r="I22" s="81" t="s">
        <v>91</v>
      </c>
      <c r="J22" s="46">
        <f>+'사업장별(당월)'!J22+'[4]사업장별(누계)'!J22</f>
        <v>51</v>
      </c>
      <c r="K22" s="47">
        <f>+'사업장별(당월)'!K22+'[4]사업장별(누계)'!K22</f>
        <v>55.916999999999994</v>
      </c>
      <c r="L22" s="48">
        <f t="shared" si="1"/>
        <v>4.9169999999999945</v>
      </c>
      <c r="M22" s="49">
        <f>+'사업장별(당월)'!M22+'[4]사업장별(누계)'!M22</f>
        <v>46.862499999999997</v>
      </c>
      <c r="N22" s="50">
        <f t="shared" si="3"/>
        <v>9.0544999999999973</v>
      </c>
      <c r="O22" s="46">
        <f>+'사업장별(당월)'!O22+'[4]사업장별(누계)'!O22</f>
        <v>5502.9</v>
      </c>
      <c r="P22" s="47">
        <f>+'사업장별(당월)'!P22+'[4]사업장별(누계)'!P22</f>
        <v>6269.2926670000006</v>
      </c>
      <c r="Q22" s="48">
        <f t="shared" si="4"/>
        <v>766.39266700000098</v>
      </c>
      <c r="R22" s="49">
        <f>+'사업장별(당월)'!R22+'[4]사업장별(누계)'!R22</f>
        <v>4762.4040459999997</v>
      </c>
      <c r="S22" s="50">
        <f t="shared" si="5"/>
        <v>1506.888621000001</v>
      </c>
      <c r="T22" s="46">
        <f>+'사업장별(당월)'!T22+'[4]사업장별(누계)'!T22</f>
        <v>898.60092277051172</v>
      </c>
      <c r="U22" s="47">
        <f>+'사업장별(당월)'!U22+'[4]사업장별(누계)'!U22</f>
        <v>1233.01109</v>
      </c>
      <c r="V22" s="48">
        <f t="shared" si="6"/>
        <v>334.41016722948825</v>
      </c>
      <c r="W22" s="49">
        <f>+'사업장별(당월)'!W22+'[4]사업장별(누계)'!W22</f>
        <v>787.38374700000008</v>
      </c>
      <c r="X22" s="50">
        <f t="shared" si="7"/>
        <v>445.62734299999988</v>
      </c>
      <c r="Y22" s="46">
        <f>+[11]원주!$Q$85</f>
        <v>107900</v>
      </c>
      <c r="Z22" s="47">
        <f>+[11]원주!$R$85</f>
        <v>112123.11157039581</v>
      </c>
      <c r="AA22" s="51">
        <f>+[12]원주!$Q$85</f>
        <v>101631.96785718118</v>
      </c>
      <c r="AB22" s="52">
        <f>+[11]원주!$Q$89</f>
        <v>73308.323675443651</v>
      </c>
      <c r="AC22" s="47">
        <f>+[11]원주!$R$89</f>
        <v>73820.926222174516</v>
      </c>
      <c r="AD22" s="53">
        <f>+[12]원주!$Q$89</f>
        <v>67795.495671576151</v>
      </c>
      <c r="AE22" s="52">
        <f t="shared" si="8"/>
        <v>34591.676324556349</v>
      </c>
      <c r="AF22" s="47">
        <f t="shared" si="8"/>
        <v>38302.18534822129</v>
      </c>
      <c r="AG22" s="53">
        <f t="shared" si="8"/>
        <v>33836.472185605031</v>
      </c>
      <c r="AH22" s="18"/>
      <c r="AI22" s="791"/>
      <c r="AJ22" s="9"/>
    </row>
    <row r="23" spans="2:38" s="8" customFormat="1" ht="19.5" customHeight="1" x14ac:dyDescent="0.3">
      <c r="B23" s="8" t="s">
        <v>92</v>
      </c>
      <c r="F23" s="9">
        <f t="shared" si="2"/>
        <v>0.30317586933923457</v>
      </c>
      <c r="G23" s="794">
        <f>+K23/J23</f>
        <v>0.61616964285714282</v>
      </c>
      <c r="H23" s="80"/>
      <c r="I23" s="81" t="s">
        <v>92</v>
      </c>
      <c r="J23" s="46">
        <f>+'사업장별(당월)'!J23+'[4]사업장별(누계)'!J23</f>
        <v>56</v>
      </c>
      <c r="K23" s="47">
        <f>+'사업장별(당월)'!K23+'[4]사업장별(누계)'!K23</f>
        <v>34.505499999999998</v>
      </c>
      <c r="L23" s="48">
        <f t="shared" si="1"/>
        <v>-21.494500000000002</v>
      </c>
      <c r="M23" s="49">
        <f>+'사업장별(당월)'!M23+'[4]사업장별(누계)'!M23</f>
        <v>70.688999999999993</v>
      </c>
      <c r="N23" s="50">
        <f t="shared" si="3"/>
        <v>-36.183499999999995</v>
      </c>
      <c r="O23" s="46">
        <f>+'사업장별(당월)'!O23+'[4]사업장별(누계)'!O23</f>
        <v>7099.0000000000018</v>
      </c>
      <c r="P23" s="47">
        <f>+'사업장별(당월)'!P23+'[4]사업장별(누계)'!P23</f>
        <v>4295.7206310000001</v>
      </c>
      <c r="Q23" s="48">
        <f t="shared" si="4"/>
        <v>-2803.2793690000017</v>
      </c>
      <c r="R23" s="49">
        <f>+'사업장별(당월)'!R23+'[4]사업장별(누계)'!R23</f>
        <v>8431.171330000001</v>
      </c>
      <c r="S23" s="50">
        <f t="shared" si="5"/>
        <v>-4135.4506990000009</v>
      </c>
      <c r="T23" s="46">
        <f>+'사업장별(당월)'!T23+'[4]사업장별(누계)'!T23</f>
        <v>1088.5941771002599</v>
      </c>
      <c r="U23" s="47">
        <f>+'사업장별(당월)'!U23+'[4]사업장별(누계)'!U23</f>
        <v>330.03548599999999</v>
      </c>
      <c r="V23" s="48">
        <f t="shared" si="6"/>
        <v>-758.55869110025992</v>
      </c>
      <c r="W23" s="49">
        <f>+'사업장별(당월)'!W23+'[4]사업장별(누계)'!W23</f>
        <v>1657.3817610000001</v>
      </c>
      <c r="X23" s="50">
        <f t="shared" si="7"/>
        <v>-1327.3462750000001</v>
      </c>
      <c r="Y23" s="46">
        <f>+[11]제주!$Q$85</f>
        <v>126767.85714285714</v>
      </c>
      <c r="Z23" s="47">
        <f>+[11]제주!$R$85</f>
        <v>124493.79464143398</v>
      </c>
      <c r="AA23" s="51">
        <f>+[12]제주!$Q$85</f>
        <v>119315.54289757906</v>
      </c>
      <c r="AB23" s="52">
        <f>+[11]제주!$Q$89</f>
        <v>90729.147433127771</v>
      </c>
      <c r="AC23" s="47">
        <f>+[11]제주!$R$89</f>
        <v>89288.003928705541</v>
      </c>
      <c r="AD23" s="53">
        <f>+[12]제주!$Q$89</f>
        <v>83798.376691928017</v>
      </c>
      <c r="AE23" s="52">
        <f t="shared" si="8"/>
        <v>36038.709709729374</v>
      </c>
      <c r="AF23" s="47">
        <f t="shared" si="8"/>
        <v>35205.790712728442</v>
      </c>
      <c r="AG23" s="53">
        <f t="shared" si="8"/>
        <v>35517.166205651039</v>
      </c>
      <c r="AH23" s="18"/>
      <c r="AI23" s="791"/>
      <c r="AJ23" s="9"/>
    </row>
    <row r="24" spans="2:38" s="8" customFormat="1" ht="19.5" customHeight="1" x14ac:dyDescent="0.3">
      <c r="F24" s="9">
        <f t="shared" si="2"/>
        <v>0.53872498288995796</v>
      </c>
      <c r="G24" s="794">
        <f t="shared" ref="G24:G26" si="9">+K24/J24</f>
        <v>0.89211383928571442</v>
      </c>
      <c r="H24" s="80"/>
      <c r="I24" s="84" t="s">
        <v>55</v>
      </c>
      <c r="J24" s="23">
        <f>SUM(J7:J10)</f>
        <v>1120</v>
      </c>
      <c r="K24" s="20">
        <f>SUM(K7:K10)</f>
        <v>999.16750000000013</v>
      </c>
      <c r="L24" s="21">
        <f t="shared" si="1"/>
        <v>-120.83249999999987</v>
      </c>
      <c r="M24" s="25">
        <f>SUM(M7:M10)</f>
        <v>1250.1300000000001</v>
      </c>
      <c r="N24" s="22">
        <f t="shared" si="3"/>
        <v>-250.96249999999998</v>
      </c>
      <c r="O24" s="23">
        <f>SUM(O7:O10)</f>
        <v>111779.55094871049</v>
      </c>
      <c r="P24" s="20">
        <f>SUM(P7:P10)</f>
        <v>98402.640736999994</v>
      </c>
      <c r="Q24" s="21">
        <f t="shared" si="4"/>
        <v>-13376.910211710492</v>
      </c>
      <c r="R24" s="25">
        <f>SUM(R7:R10)</f>
        <v>116981.148434</v>
      </c>
      <c r="S24" s="22">
        <f t="shared" si="5"/>
        <v>-18578.507697000008</v>
      </c>
      <c r="T24" s="23">
        <f>SUM(T7:T10)</f>
        <v>14455.020706920988</v>
      </c>
      <c r="U24" s="20">
        <f>SUM(U7:U10)</f>
        <v>7787.2807830099973</v>
      </c>
      <c r="V24" s="21">
        <f t="shared" si="6"/>
        <v>-6667.7399239109909</v>
      </c>
      <c r="W24" s="25">
        <f>SUM(W7:W10)</f>
        <v>15224.040396989998</v>
      </c>
      <c r="X24" s="22">
        <f t="shared" si="7"/>
        <v>-7436.7596139800007</v>
      </c>
      <c r="Y24" s="23">
        <f>+[11]수도권!$Q$85</f>
        <v>99803.170489920085</v>
      </c>
      <c r="Z24" s="20">
        <f>+[11]수도권!$R$85</f>
        <v>98493.09848149601</v>
      </c>
      <c r="AA24" s="24">
        <f>+[12]수도권!$Q$85</f>
        <v>93556.64405330352</v>
      </c>
      <c r="AB24" s="29">
        <f>+[11]수도권!$Q$89</f>
        <v>78024.452575101706</v>
      </c>
      <c r="AC24" s="20">
        <f>+[11]수도권!$R$89</f>
        <v>80768.41748770143</v>
      </c>
      <c r="AD24" s="30">
        <f>+[12]수도권!$Q$89</f>
        <v>73503.886594778334</v>
      </c>
      <c r="AE24" s="29">
        <f t="shared" si="8"/>
        <v>21778.717914818379</v>
      </c>
      <c r="AF24" s="20">
        <f t="shared" si="8"/>
        <v>17724.68099379458</v>
      </c>
      <c r="AG24" s="30">
        <f t="shared" si="8"/>
        <v>20052.757458525186</v>
      </c>
      <c r="AH24" s="18"/>
      <c r="AI24" s="791"/>
      <c r="AJ24" s="96"/>
    </row>
    <row r="25" spans="2:38" s="8" customFormat="1" ht="19.5" customHeight="1" x14ac:dyDescent="0.3">
      <c r="F25" s="9">
        <f t="shared" si="2"/>
        <v>0.74274248385126262</v>
      </c>
      <c r="G25" s="794">
        <f t="shared" si="9"/>
        <v>1.0487939393939396</v>
      </c>
      <c r="H25" s="80"/>
      <c r="I25" s="84" t="s">
        <v>56</v>
      </c>
      <c r="J25" s="23">
        <f>SUM(J11:J18)</f>
        <v>1237.5</v>
      </c>
      <c r="K25" s="20">
        <f>SUM(K11:K18)</f>
        <v>1297.8825000000002</v>
      </c>
      <c r="L25" s="21">
        <f t="shared" si="1"/>
        <v>60.382500000000164</v>
      </c>
      <c r="M25" s="25">
        <f>SUM(M11:M18)</f>
        <v>1392.8665000000001</v>
      </c>
      <c r="N25" s="22">
        <f t="shared" si="3"/>
        <v>-94.983999999999924</v>
      </c>
      <c r="O25" s="23">
        <f>SUM(O11:O18)</f>
        <v>126479.23294175002</v>
      </c>
      <c r="P25" s="20">
        <f>SUM(P11:P18)</f>
        <v>130561.27278300001</v>
      </c>
      <c r="Q25" s="21">
        <f t="shared" si="4"/>
        <v>4082.0398412499926</v>
      </c>
      <c r="R25" s="25">
        <f>SUM(R11:R18)</f>
        <v>136479.70542099999</v>
      </c>
      <c r="S25" s="22">
        <f t="shared" si="5"/>
        <v>-5918.4326379999839</v>
      </c>
      <c r="T25" s="23">
        <f>SUM(T11:T18)</f>
        <v>18558.790964164622</v>
      </c>
      <c r="U25" s="20">
        <f>SUM(U11:U18)</f>
        <v>13784.402497999999</v>
      </c>
      <c r="V25" s="21">
        <f t="shared" si="6"/>
        <v>-4774.3884661646225</v>
      </c>
      <c r="W25" s="25">
        <f>SUM(W11:W18)</f>
        <v>22531.184763000001</v>
      </c>
      <c r="X25" s="22">
        <f t="shared" si="7"/>
        <v>-8746.7822650000016</v>
      </c>
      <c r="Y25" s="23">
        <f>+[11]영남권!$Q$85</f>
        <v>102205.44076101009</v>
      </c>
      <c r="Z25" s="20">
        <f>+[11]영남권!$R$85</f>
        <v>100612.36251198559</v>
      </c>
      <c r="AA25" s="24">
        <f>+[12]영남권!$Q$85</f>
        <v>97990.153760396817</v>
      </c>
      <c r="AB25" s="29">
        <f>+[11]영남권!$Q$89</f>
        <v>75347.391674884522</v>
      </c>
      <c r="AC25" s="20">
        <f>+[11]영남권!$R$89</f>
        <v>78551.337188436839</v>
      </c>
      <c r="AD25" s="30">
        <f>+[12]영남권!$Q$89</f>
        <v>71653.220434005256</v>
      </c>
      <c r="AE25" s="29">
        <f t="shared" si="8"/>
        <v>26858.049086125568</v>
      </c>
      <c r="AF25" s="20">
        <f t="shared" si="8"/>
        <v>22061.025323548747</v>
      </c>
      <c r="AG25" s="30">
        <f t="shared" si="8"/>
        <v>26336.933326391561</v>
      </c>
      <c r="AH25" s="18"/>
      <c r="AI25" s="791"/>
      <c r="AJ25" s="96"/>
    </row>
    <row r="26" spans="2:38" s="8" customFormat="1" ht="19.5" customHeight="1" x14ac:dyDescent="0.3">
      <c r="F26" s="9">
        <f t="shared" si="2"/>
        <v>0.96123021787401353</v>
      </c>
      <c r="G26" s="794">
        <f t="shared" si="9"/>
        <v>1.0256708737864075</v>
      </c>
      <c r="H26" s="80"/>
      <c r="I26" s="84" t="s">
        <v>170</v>
      </c>
      <c r="J26" s="23">
        <f>SUM(J19:J23)</f>
        <v>515</v>
      </c>
      <c r="K26" s="20">
        <f>SUM(K19:K23)</f>
        <v>528.2204999999999</v>
      </c>
      <c r="L26" s="21">
        <f t="shared" si="1"/>
        <v>13.220499999999902</v>
      </c>
      <c r="M26" s="25">
        <f>SUM(M19:M23)</f>
        <v>557.52250000000004</v>
      </c>
      <c r="N26" s="22">
        <f t="shared" si="3"/>
        <v>-29.302000000000135</v>
      </c>
      <c r="O26" s="23">
        <f>SUM(O19:O23)</f>
        <v>54521.463742</v>
      </c>
      <c r="P26" s="20">
        <f>SUM(P19:P23)</f>
        <v>55358.947193</v>
      </c>
      <c r="Q26" s="21">
        <f t="shared" si="4"/>
        <v>837.48345100000006</v>
      </c>
      <c r="R26" s="25">
        <f>SUM(R19:R23)</f>
        <v>55855.340922999996</v>
      </c>
      <c r="S26" s="22">
        <f t="shared" si="5"/>
        <v>-496.39372999999614</v>
      </c>
      <c r="T26" s="23">
        <f>SUM(T19:T23)</f>
        <v>9052.4135562917581</v>
      </c>
      <c r="U26" s="20">
        <f>SUM(U19:U23)</f>
        <v>8701.4534550000008</v>
      </c>
      <c r="V26" s="21">
        <f t="shared" si="6"/>
        <v>-350.96010129175738</v>
      </c>
      <c r="W26" s="25">
        <f>SUM(W19:W23)</f>
        <v>10045.163972</v>
      </c>
      <c r="X26" s="22">
        <f t="shared" si="7"/>
        <v>-1343.7105169999995</v>
      </c>
      <c r="Y26" s="23">
        <f>+[11]중부권!$Q$85</f>
        <v>105866.91988737864</v>
      </c>
      <c r="Z26" s="20">
        <f>+[11]중부권!$R$85</f>
        <v>104789.04081212259</v>
      </c>
      <c r="AA26" s="24">
        <f>+[12]중부권!$Q$85</f>
        <v>100302.93906643338</v>
      </c>
      <c r="AB26" s="29">
        <f>+[11]중부권!$Q$89</f>
        <v>76255.776785863694</v>
      </c>
      <c r="AC26" s="20">
        <f>+[11]중부권!$R$89</f>
        <v>75774.714353729374</v>
      </c>
      <c r="AD26" s="30">
        <f>+[12]중부권!$Q$89</f>
        <v>71126.195315094577</v>
      </c>
      <c r="AE26" s="29">
        <f t="shared" si="8"/>
        <v>29611.143101514943</v>
      </c>
      <c r="AF26" s="20">
        <f t="shared" si="8"/>
        <v>29014.326458393218</v>
      </c>
      <c r="AG26" s="30">
        <f t="shared" si="8"/>
        <v>29176.743751338799</v>
      </c>
      <c r="AH26" s="18"/>
      <c r="AI26" s="791"/>
      <c r="AJ26" s="96"/>
    </row>
    <row r="27" spans="2:38" s="3" customFormat="1" ht="19.5" customHeight="1" x14ac:dyDescent="0.3">
      <c r="B27" s="26"/>
      <c r="F27" s="9">
        <f t="shared" si="2"/>
        <v>0.71965422550696934</v>
      </c>
      <c r="G27" s="794">
        <f>+K27/J27</f>
        <v>0.98355805047867717</v>
      </c>
      <c r="H27" s="629" t="s">
        <v>115</v>
      </c>
      <c r="I27" s="630"/>
      <c r="J27" s="631">
        <f>SUM(J24:J26)</f>
        <v>2872.5</v>
      </c>
      <c r="K27" s="632">
        <f>SUM(K24:K26)</f>
        <v>2825.2705000000001</v>
      </c>
      <c r="L27" s="633">
        <f t="shared" si="1"/>
        <v>-47.229499999999916</v>
      </c>
      <c r="M27" s="634">
        <f>SUM(M24:M26)</f>
        <v>3200.5190000000002</v>
      </c>
      <c r="N27" s="635">
        <f t="shared" si="3"/>
        <v>-375.24850000000015</v>
      </c>
      <c r="O27" s="631">
        <f>SUM(O24:O26)</f>
        <v>292780.24763246049</v>
      </c>
      <c r="P27" s="632">
        <f>SUM(P24:P26)</f>
        <v>284322.860713</v>
      </c>
      <c r="Q27" s="633">
        <f t="shared" si="4"/>
        <v>-8457.3869194604922</v>
      </c>
      <c r="R27" s="634">
        <f>SUM(R24:R26)</f>
        <v>309316.194778</v>
      </c>
      <c r="S27" s="635">
        <f t="shared" si="5"/>
        <v>-24993.334065000003</v>
      </c>
      <c r="T27" s="631">
        <f>SUM(T24:T26)</f>
        <v>42066.22522737737</v>
      </c>
      <c r="U27" s="632">
        <f>SUM(U24:U26)</f>
        <v>30273.136736009998</v>
      </c>
      <c r="V27" s="633">
        <f t="shared" si="6"/>
        <v>-11793.088491367373</v>
      </c>
      <c r="W27" s="634">
        <f>SUM(W24:W26)</f>
        <v>47800.389131989999</v>
      </c>
      <c r="X27" s="635">
        <f t="shared" si="7"/>
        <v>-17527.252395980002</v>
      </c>
      <c r="Y27" s="631">
        <f>+[11]합계!$Q$85</f>
        <v>101925.23851434657</v>
      </c>
      <c r="Z27" s="632">
        <f>+[11]합계!$R$85</f>
        <v>100644.43346398899</v>
      </c>
      <c r="AA27" s="636">
        <f>+[12]합계!$Q$85</f>
        <v>96655.163699046534</v>
      </c>
      <c r="AB27" s="637">
        <f>+[11]합계!$Q$89</f>
        <v>76554.050174587741</v>
      </c>
      <c r="AC27" s="632">
        <f>+[11]합계!$R$89</f>
        <v>78814.918034747985</v>
      </c>
      <c r="AD27" s="638">
        <f>+[12]합계!$Q$89</f>
        <v>72284.89120703665</v>
      </c>
      <c r="AE27" s="637">
        <f t="shared" si="8"/>
        <v>25371.188339758824</v>
      </c>
      <c r="AF27" s="632">
        <f t="shared" si="8"/>
        <v>21829.515429241001</v>
      </c>
      <c r="AG27" s="638">
        <f t="shared" si="8"/>
        <v>24370.272492009884</v>
      </c>
      <c r="AH27" s="27"/>
      <c r="AI27" s="791"/>
      <c r="AJ27" s="96"/>
      <c r="AL27" s="26"/>
    </row>
    <row r="28" spans="2:38" s="8" customFormat="1" ht="19.5" customHeight="1" x14ac:dyDescent="0.3">
      <c r="B28" s="8" t="s">
        <v>3</v>
      </c>
      <c r="E28" s="8" t="s">
        <v>201</v>
      </c>
      <c r="G28" s="794">
        <f>+K28/J28</f>
        <v>1.2041461495844876</v>
      </c>
      <c r="H28" s="835" t="s">
        <v>3</v>
      </c>
      <c r="I28" s="836"/>
      <c r="J28" s="167">
        <f>+'사업장별(당월)'!J28+'[4]사업장별(누계)'!J28</f>
        <v>72200</v>
      </c>
      <c r="K28" s="168">
        <f>+'사업장별(당월)'!K28+'[4]사업장별(누계)'!K28</f>
        <v>86939.351999999999</v>
      </c>
      <c r="L28" s="169">
        <f>+K28-J28</f>
        <v>14739.351999999999</v>
      </c>
      <c r="M28" s="170">
        <f>+'사업장별(당월)'!M28+'[4]사업장별(누계)'!M28</f>
        <v>78625.76400000001</v>
      </c>
      <c r="N28" s="171">
        <f>+K28-M28</f>
        <v>8313.5879999999888</v>
      </c>
      <c r="O28" s="167">
        <f>+'사업장별(당월)'!O28+'[4]사업장별(누계)'!O28</f>
        <v>88286.96</v>
      </c>
      <c r="P28" s="168">
        <f>+'사업장별(당월)'!P28+'[4]사업장별(누계)'!P28</f>
        <v>86611.076326000009</v>
      </c>
      <c r="Q28" s="169">
        <f>+P28-O28</f>
        <v>-1675.883673999997</v>
      </c>
      <c r="R28" s="170">
        <f>+'사업장별(당월)'!R28+'[4]사업장별(누계)'!R28</f>
        <v>96340.743948999996</v>
      </c>
      <c r="S28" s="171">
        <f t="shared" si="5"/>
        <v>-9729.6676229999866</v>
      </c>
      <c r="T28" s="167">
        <f>+'사업장별(당월)'!T28+'[4]사업장별(누계)'!T28</f>
        <v>995.65509880000991</v>
      </c>
      <c r="U28" s="168">
        <f>+'사업장별(당월)'!U28+'[4]사업장별(누계)'!U28</f>
        <v>483.50369900000305</v>
      </c>
      <c r="V28" s="169">
        <f t="shared" si="6"/>
        <v>-512.15139980000686</v>
      </c>
      <c r="W28" s="170">
        <f>+'사업장별(당월)'!W28+'[4]사업장별(누계)'!W28</f>
        <v>770.09028300000193</v>
      </c>
      <c r="X28" s="171">
        <f t="shared" si="7"/>
        <v>-286.58658399999888</v>
      </c>
      <c r="Y28" s="649" t="s">
        <v>174</v>
      </c>
      <c r="Z28" s="650"/>
      <c r="AA28" s="650"/>
      <c r="AB28" s="650"/>
      <c r="AC28" s="650"/>
      <c r="AD28" s="650"/>
      <c r="AE28" s="650"/>
      <c r="AF28" s="650"/>
      <c r="AG28" s="651"/>
      <c r="AH28" s="18"/>
      <c r="AI28" s="19"/>
    </row>
    <row r="29" spans="2:38" s="8" customFormat="1" ht="19.5" customHeight="1" x14ac:dyDescent="0.3">
      <c r="B29" s="8" t="s">
        <v>193</v>
      </c>
      <c r="C29" s="79" t="s">
        <v>61</v>
      </c>
      <c r="G29" s="794">
        <f>+P28/O28</f>
        <v>0.98101776667811424</v>
      </c>
      <c r="H29" s="86" t="s">
        <v>1</v>
      </c>
      <c r="I29" s="79" t="s">
        <v>223</v>
      </c>
      <c r="J29" s="56">
        <f>+'사업장별(당월)'!J29+'[4]사업장별(누계)'!J29</f>
        <v>241.69907001943503</v>
      </c>
      <c r="K29" s="57">
        <f>+'사업장별(당월)'!K29+'[4]사업장별(누계)'!K29</f>
        <v>189.82599999999999</v>
      </c>
      <c r="L29" s="38">
        <f t="shared" si="1"/>
        <v>-51.873070019435033</v>
      </c>
      <c r="M29" s="38">
        <f>+'사업장별(당월)'!M29+'[4]사업장별(누계)'!M29</f>
        <v>253.22</v>
      </c>
      <c r="N29" s="58">
        <f t="shared" si="3"/>
        <v>-63.394000000000005</v>
      </c>
      <c r="O29" s="56">
        <f>+'사업장별(당월)'!O29+'[4]사업장별(누계)'!O29</f>
        <v>7064.4799663017311</v>
      </c>
      <c r="P29" s="57">
        <f>+'사업장별(당월)'!P29+'[4]사업장별(누계)'!P29</f>
        <v>5582.8735799999995</v>
      </c>
      <c r="Q29" s="38">
        <f t="shared" si="4"/>
        <v>-1481.6063863017316</v>
      </c>
      <c r="R29" s="38">
        <f>+'사업장별(당월)'!R29+'[4]사업장별(누계)'!R29</f>
        <v>7404.1349</v>
      </c>
      <c r="S29" s="58">
        <f t="shared" si="5"/>
        <v>-1821.2613200000005</v>
      </c>
      <c r="T29" s="56">
        <f>+'사업장별(당월)'!T29+'[4]사업장별(누계)'!T29</f>
        <v>373.11916645935872</v>
      </c>
      <c r="U29" s="57">
        <f>+'사업장별(당월)'!U29+'[4]사업장별(누계)'!U29</f>
        <v>359.15471935601562</v>
      </c>
      <c r="V29" s="38">
        <f t="shared" si="6"/>
        <v>-13.964447103343105</v>
      </c>
      <c r="W29" s="38">
        <f>+'사업장별(당월)'!W29+'[4]사업장별(누계)'!W29</f>
        <v>314.73467102000001</v>
      </c>
      <c r="X29" s="58">
        <f t="shared" si="7"/>
        <v>44.420048336015611</v>
      </c>
      <c r="Y29" s="800" t="s">
        <v>235</v>
      </c>
      <c r="Z29" s="587"/>
      <c r="AA29" s="587"/>
      <c r="AB29" s="587"/>
      <c r="AC29" s="799"/>
      <c r="AD29" s="587"/>
      <c r="AE29" s="587"/>
      <c r="AF29" s="587"/>
      <c r="AG29" s="51"/>
      <c r="AH29" s="18"/>
      <c r="AI29" s="782"/>
      <c r="AJ29" s="782"/>
      <c r="AK29" s="782"/>
    </row>
    <row r="30" spans="2:38" s="8" customFormat="1" ht="19.5" customHeight="1" x14ac:dyDescent="0.3">
      <c r="B30" s="8" t="s">
        <v>194</v>
      </c>
      <c r="C30" s="81" t="s">
        <v>62</v>
      </c>
      <c r="G30" s="792"/>
      <c r="H30" s="85"/>
      <c r="I30" s="81" t="s">
        <v>219</v>
      </c>
      <c r="J30" s="54">
        <f>+'사업장별(당월)'!J30+'[4]사업장별(누계)'!J30</f>
        <v>324.18405688000001</v>
      </c>
      <c r="K30" s="59">
        <f>+'사업장별(당월)'!K30+'[4]사업장별(누계)'!K30</f>
        <v>169.89000000000001</v>
      </c>
      <c r="L30" s="48">
        <f t="shared" si="1"/>
        <v>-154.29405688</v>
      </c>
      <c r="M30" s="48">
        <f>+'사업장별(당월)'!M30+'[4]사업장별(누계)'!M30</f>
        <v>335.34399999999999</v>
      </c>
      <c r="N30" s="60">
        <f t="shared" si="3"/>
        <v>-165.45399999999998</v>
      </c>
      <c r="O30" s="54">
        <f>+'사업장별(당월)'!O30+'[4]사업장별(누계)'!O30</f>
        <v>4073.7045198666669</v>
      </c>
      <c r="P30" s="59">
        <f>+'사업장별(당월)'!P30+'[4]사업장별(누계)'!P30</f>
        <v>2387.739</v>
      </c>
      <c r="Q30" s="48">
        <f t="shared" si="4"/>
        <v>-1685.9655198666669</v>
      </c>
      <c r="R30" s="48">
        <f>+'사업장별(당월)'!R30+'[4]사업장별(누계)'!R30</f>
        <v>3999.7240000000002</v>
      </c>
      <c r="S30" s="60">
        <f t="shared" si="5"/>
        <v>-1611.9850000000001</v>
      </c>
      <c r="T30" s="54">
        <f>+'사업장별(당월)'!T30+'[4]사업장별(누계)'!T30</f>
        <v>833.30819495356661</v>
      </c>
      <c r="U30" s="59">
        <f>+'사업장별(당월)'!U30+'[4]사업장별(누계)'!U30</f>
        <v>-56.57352440336831</v>
      </c>
      <c r="V30" s="48">
        <f t="shared" si="6"/>
        <v>-889.88171935693492</v>
      </c>
      <c r="W30" s="48">
        <f>+'사업장별(당월)'!W30+'[4]사업장별(누계)'!W30</f>
        <v>698.14652700000022</v>
      </c>
      <c r="X30" s="60">
        <f t="shared" si="7"/>
        <v>-754.72005140336853</v>
      </c>
      <c r="Y30" s="628" t="s">
        <v>236</v>
      </c>
      <c r="Z30" s="587"/>
      <c r="AA30" s="587"/>
      <c r="AB30" s="799"/>
      <c r="AC30" s="587"/>
      <c r="AD30" s="799"/>
      <c r="AE30" s="587"/>
      <c r="AF30" s="587"/>
      <c r="AG30" s="51"/>
      <c r="AH30" s="18"/>
      <c r="AI30" s="782"/>
      <c r="AJ30" s="782"/>
      <c r="AK30" s="782"/>
      <c r="AL30" s="98"/>
    </row>
    <row r="31" spans="2:38" s="8" customFormat="1" ht="19.5" customHeight="1" x14ac:dyDescent="0.3">
      <c r="B31" s="8" t="s">
        <v>176</v>
      </c>
      <c r="C31" s="83" t="s">
        <v>176</v>
      </c>
      <c r="G31" s="792"/>
      <c r="H31" s="85"/>
      <c r="I31" s="83" t="s">
        <v>221</v>
      </c>
      <c r="J31" s="54">
        <f>+'사업장별(당월)'!J31+'[4]사업장별(누계)'!J31</f>
        <v>414.57653564530023</v>
      </c>
      <c r="K31" s="59">
        <f>+'사업장별(당월)'!K31+'[4]사업장별(누계)'!K31</f>
        <v>354.589</v>
      </c>
      <c r="L31" s="48">
        <f t="shared" si="1"/>
        <v>-59.987535645300227</v>
      </c>
      <c r="M31" s="48">
        <f>+'사업장별(당월)'!M31+'[4]사업장별(누계)'!M31</f>
        <v>83.829000000000008</v>
      </c>
      <c r="N31" s="60">
        <f t="shared" si="3"/>
        <v>270.76</v>
      </c>
      <c r="O31" s="54">
        <f>+'사업장별(당월)'!O31+'[4]사업장별(누계)'!O31</f>
        <v>7464.3104030888571</v>
      </c>
      <c r="P31" s="59">
        <f>+'사업장별(당월)'!P31+'[4]사업장별(누계)'!P31</f>
        <v>6404.9915000000001</v>
      </c>
      <c r="Q31" s="48">
        <f t="shared" si="4"/>
        <v>-1059.318903088857</v>
      </c>
      <c r="R31" s="48">
        <f>+'사업장별(당월)'!R31+'[4]사업장별(누계)'!R31</f>
        <v>1454.364</v>
      </c>
      <c r="S31" s="60">
        <f t="shared" si="5"/>
        <v>4950.6275000000005</v>
      </c>
      <c r="T31" s="54">
        <f>+'사업장별(당월)'!T31+'[4]사업장별(누계)'!T31</f>
        <v>340.63942062312219</v>
      </c>
      <c r="U31" s="59">
        <f>+'사업장별(당월)'!U31+'[4]사업장별(누계)'!U31</f>
        <v>-306.57644768999995</v>
      </c>
      <c r="V31" s="48">
        <f t="shared" si="6"/>
        <v>-647.2158683131222</v>
      </c>
      <c r="W31" s="48">
        <f>+'사업장별(당월)'!W31+'[4]사업장별(누계)'!W31</f>
        <v>-249.31505899000001</v>
      </c>
      <c r="X31" s="60">
        <f t="shared" si="7"/>
        <v>-57.261388699999941</v>
      </c>
      <c r="Y31" s="586" t="s">
        <v>237</v>
      </c>
      <c r="Z31" s="587"/>
      <c r="AA31" s="587"/>
      <c r="AB31" s="587"/>
      <c r="AC31" s="587"/>
      <c r="AD31" s="587"/>
      <c r="AE31" s="587"/>
      <c r="AF31" s="587"/>
      <c r="AG31" s="51"/>
      <c r="AH31" s="18"/>
      <c r="AI31" s="782"/>
      <c r="AJ31" s="782"/>
      <c r="AK31" s="782"/>
      <c r="AL31" s="98"/>
    </row>
    <row r="32" spans="2:38" s="3" customFormat="1" ht="19.5" customHeight="1" x14ac:dyDescent="0.3">
      <c r="G32" s="794">
        <f>+K32/J32</f>
        <v>0.72854093573422107</v>
      </c>
      <c r="H32" s="146" t="s">
        <v>42</v>
      </c>
      <c r="I32" s="147"/>
      <c r="J32" s="148">
        <f>SUM(J29:J31)</f>
        <v>980.45966254473524</v>
      </c>
      <c r="K32" s="152">
        <f>SUM(K29:K31)</f>
        <v>714.30500000000006</v>
      </c>
      <c r="L32" s="150">
        <f t="shared" si="1"/>
        <v>-266.15466254473517</v>
      </c>
      <c r="M32" s="150">
        <f>SUM(M29:M31)</f>
        <v>672.39300000000003</v>
      </c>
      <c r="N32" s="151">
        <f t="shared" si="3"/>
        <v>41.912000000000035</v>
      </c>
      <c r="O32" s="148">
        <f>SUM(O29:O31)</f>
        <v>18602.494889257257</v>
      </c>
      <c r="P32" s="152">
        <f>SUM(P29:P31)</f>
        <v>14375.604079999999</v>
      </c>
      <c r="Q32" s="150">
        <f t="shared" si="4"/>
        <v>-4226.8908092572583</v>
      </c>
      <c r="R32" s="150">
        <f>SUM(R29:R31)</f>
        <v>12858.222899999999</v>
      </c>
      <c r="S32" s="151">
        <f t="shared" si="5"/>
        <v>1517.3811800000003</v>
      </c>
      <c r="T32" s="148">
        <f>SUM(T29:T31)</f>
        <v>1547.0667820360477</v>
      </c>
      <c r="U32" s="152">
        <f>SUM(U29:U31)</f>
        <v>-3.9952527373526436</v>
      </c>
      <c r="V32" s="150">
        <f t="shared" si="6"/>
        <v>-1551.0620347734002</v>
      </c>
      <c r="W32" s="150">
        <f>SUM(W29:W31)</f>
        <v>763.56613903000027</v>
      </c>
      <c r="X32" s="151">
        <f t="shared" si="7"/>
        <v>-767.56139176735292</v>
      </c>
      <c r="Y32" s="586" t="s">
        <v>238</v>
      </c>
      <c r="Z32" s="587"/>
      <c r="AA32" s="587"/>
      <c r="AB32" s="587"/>
      <c r="AC32" s="587"/>
      <c r="AD32" s="587"/>
      <c r="AE32" s="587"/>
      <c r="AF32" s="587"/>
      <c r="AG32" s="51"/>
      <c r="AH32" s="27"/>
      <c r="AI32" s="783"/>
      <c r="AJ32" s="783"/>
      <c r="AK32" s="783"/>
    </row>
    <row r="33" spans="2:38" s="8" customFormat="1" ht="19.5" customHeight="1" x14ac:dyDescent="0.3">
      <c r="B33" s="8" t="s">
        <v>197</v>
      </c>
      <c r="C33" s="8" t="s">
        <v>196</v>
      </c>
      <c r="D33" t="s">
        <v>195</v>
      </c>
      <c r="E33" t="s">
        <v>100</v>
      </c>
      <c r="F33"/>
      <c r="G33" s="792"/>
      <c r="H33" s="89" t="s">
        <v>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+'사업장별(당월)'!O33+'[4]사업장별(누계)'!O33</f>
        <v>908.4000000000002</v>
      </c>
      <c r="P33" s="47">
        <f>+'사업장별(당월)'!P33+'[4]사업장별(누계)'!P33</f>
        <v>908.4000000000002</v>
      </c>
      <c r="Q33" s="49">
        <f t="shared" si="4"/>
        <v>0</v>
      </c>
      <c r="R33" s="48">
        <f>+'사업장별(당월)'!R33+'[4]사업장별(누계)'!R33</f>
        <v>839.6500000000002</v>
      </c>
      <c r="S33" s="60">
        <f t="shared" si="5"/>
        <v>68.75</v>
      </c>
      <c r="T33" s="46">
        <f>+'사업장별(당월)'!T33+'[4]사업장별(누계)'!T33</f>
        <v>670.00437100000011</v>
      </c>
      <c r="U33" s="47">
        <f>+'사업장별(당월)'!U33+'[4]사업장별(누계)'!U33</f>
        <v>627.95594499999993</v>
      </c>
      <c r="V33" s="49">
        <f t="shared" si="6"/>
        <v>-42.048426000000177</v>
      </c>
      <c r="W33" s="48">
        <f>+'사업장별(당월)'!W33+'[4]사업장별(누계)'!W33</f>
        <v>546.95234000000005</v>
      </c>
      <c r="X33" s="60">
        <f t="shared" si="7"/>
        <v>81.00360499999988</v>
      </c>
      <c r="Y33" s="628"/>
      <c r="Z33" s="799"/>
      <c r="AA33" s="587"/>
      <c r="AB33" s="587"/>
      <c r="AC33" s="587"/>
      <c r="AD33" s="587"/>
      <c r="AE33" s="587"/>
      <c r="AF33" s="587"/>
      <c r="AG33" s="51"/>
      <c r="AH33" s="18"/>
      <c r="AI33" s="19"/>
    </row>
    <row r="34" spans="2:38" s="8" customFormat="1" ht="19.5" customHeight="1" x14ac:dyDescent="0.3">
      <c r="B34" s="8" t="s">
        <v>198</v>
      </c>
      <c r="C34" s="8" t="s">
        <v>199</v>
      </c>
      <c r="D34"/>
      <c r="E34" t="s">
        <v>40</v>
      </c>
      <c r="F34"/>
      <c r="G34" s="792"/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0" si="10">+K34-M34</f>
        <v>0</v>
      </c>
      <c r="O34" s="46">
        <f>+'사업장별(당월)'!O34+'[4]사업장별(누계)'!O34</f>
        <v>723.57500333333337</v>
      </c>
      <c r="P34" s="47">
        <f>+'사업장별(당월)'!P34+'[4]사업장별(누계)'!P34</f>
        <v>730.48656200000005</v>
      </c>
      <c r="Q34" s="49">
        <f>+P34-O34</f>
        <v>6.9115586666666786</v>
      </c>
      <c r="R34" s="48">
        <f>+'사업장별(당월)'!R34+'[4]사업장별(누계)'!R34</f>
        <v>943.72003200000006</v>
      </c>
      <c r="S34" s="60">
        <f t="shared" si="5"/>
        <v>-213.23347000000001</v>
      </c>
      <c r="T34" s="46">
        <f>+'사업장별(당월)'!T34+'[4]사업장별(누계)'!T34</f>
        <v>658.75848633333328</v>
      </c>
      <c r="U34" s="47">
        <f>+'사업장별(당월)'!U34+'[4]사업장별(누계)'!U34</f>
        <v>667.10723099999996</v>
      </c>
      <c r="V34" s="49">
        <f t="shared" si="6"/>
        <v>8.3487446666666756</v>
      </c>
      <c r="W34" s="48">
        <f>+'사업장별(당월)'!W34+'[4]사업장별(누계)'!W34</f>
        <v>643.72625400000004</v>
      </c>
      <c r="X34" s="60">
        <f t="shared" si="7"/>
        <v>23.380976999999916</v>
      </c>
      <c r="Y34" s="628"/>
      <c r="Z34" s="799"/>
      <c r="AA34" s="587"/>
      <c r="AB34" s="799"/>
      <c r="AC34" s="799"/>
      <c r="AD34" s="799"/>
      <c r="AE34" s="587"/>
      <c r="AF34" s="587"/>
      <c r="AG34" s="51"/>
      <c r="AH34" s="18"/>
      <c r="AI34" s="19"/>
    </row>
    <row r="35" spans="2:38" s="8" customFormat="1" ht="19.5" customHeight="1" x14ac:dyDescent="0.3">
      <c r="B35" s="8" t="s">
        <v>200</v>
      </c>
      <c r="D35"/>
      <c r="E35"/>
      <c r="F35"/>
      <c r="G35" s="5" t="s">
        <v>224</v>
      </c>
      <c r="H35" s="87"/>
      <c r="I35" s="88" t="s">
        <v>38</v>
      </c>
      <c r="J35" s="46"/>
      <c r="K35" s="47"/>
      <c r="L35" s="49">
        <f>+K35-J35</f>
        <v>0</v>
      </c>
      <c r="M35" s="48"/>
      <c r="N35" s="60">
        <f t="shared" si="10"/>
        <v>0</v>
      </c>
      <c r="O35" s="46">
        <f>+'사업장별(당월)'!O35+'[4]사업장별(누계)'!O35</f>
        <v>0</v>
      </c>
      <c r="P35" s="47">
        <f>+'사업장별(당월)'!P35+'[4]사업장별(누계)'!P35</f>
        <v>0</v>
      </c>
      <c r="Q35" s="49">
        <f t="shared" ref="Q35:Q39" si="11">+P35-O35</f>
        <v>0</v>
      </c>
      <c r="R35" s="48">
        <f>+'사업장별(당월)'!R35+'[4]사업장별(누계)'!R35</f>
        <v>0</v>
      </c>
      <c r="S35" s="60">
        <f t="shared" si="5"/>
        <v>0</v>
      </c>
      <c r="T35" s="46">
        <f>+'사업장별(당월)'!T35+'[4]사업장별(누계)'!T35</f>
        <v>-13797.862885331293</v>
      </c>
      <c r="U35" s="47">
        <f>+'사업장별(당월)'!U35+'[4]사업장별(누계)'!U35</f>
        <v>-14088.417163258409</v>
      </c>
      <c r="V35" s="49">
        <f t="shared" si="6"/>
        <v>-290.55427792711635</v>
      </c>
      <c r="W35" s="48">
        <f>+'사업장별(당월)'!W35+'[4]사업장별(누계)'!W35</f>
        <v>-11727.202179999998</v>
      </c>
      <c r="X35" s="60">
        <f t="shared" si="7"/>
        <v>-2361.2149832584109</v>
      </c>
      <c r="Y35" s="628"/>
      <c r="Z35" s="587"/>
      <c r="AA35" s="587"/>
      <c r="AB35" s="587"/>
      <c r="AC35" s="587"/>
      <c r="AD35" s="799"/>
      <c r="AE35" s="587"/>
      <c r="AF35" s="587"/>
      <c r="AG35" s="51"/>
      <c r="AH35" s="18"/>
      <c r="AK35" s="596"/>
      <c r="AL35" s="98"/>
    </row>
    <row r="36" spans="2:38" s="8" customFormat="1" ht="19.5" customHeight="1" x14ac:dyDescent="0.3">
      <c r="D36"/>
      <c r="E36"/>
      <c r="F36"/>
      <c r="G36" s="5"/>
      <c r="H36" s="87"/>
      <c r="I36" s="88" t="s">
        <v>117</v>
      </c>
      <c r="J36" s="46"/>
      <c r="K36" s="47"/>
      <c r="L36" s="49"/>
      <c r="M36" s="48"/>
      <c r="N36" s="60">
        <f t="shared" si="10"/>
        <v>0</v>
      </c>
      <c r="O36" s="46">
        <f>+'사업장별(당월)'!O37+'[4]사업장별(누계)'!O37</f>
        <v>0</v>
      </c>
      <c r="P36" s="47">
        <f>+'사업장별(당월)'!P37+'[4]사업장별(누계)'!P37</f>
        <v>0</v>
      </c>
      <c r="Q36" s="49">
        <f t="shared" si="11"/>
        <v>0</v>
      </c>
      <c r="R36" s="48">
        <f>+'사업장별(당월)'!R37+'[4]사업장별(누계)'!R37</f>
        <v>0</v>
      </c>
      <c r="S36" s="60">
        <f t="shared" si="5"/>
        <v>0</v>
      </c>
      <c r="T36" s="46">
        <f>+'사업장별(당월)'!T37+'[4]사업장별(누계)'!T37</f>
        <v>0</v>
      </c>
      <c r="U36" s="47">
        <f>+'사업장별(당월)'!U37+'[4]사업장별(누계)'!U37</f>
        <v>-573.85933299999999</v>
      </c>
      <c r="V36" s="49">
        <f t="shared" si="6"/>
        <v>-573.85933299999999</v>
      </c>
      <c r="W36" s="48">
        <f>+'사업장별(당월)'!W37+'[4]사업장별(누계)'!W37</f>
        <v>-1974.2219769999999</v>
      </c>
      <c r="X36" s="60">
        <f t="shared" si="7"/>
        <v>1400.3626439999998</v>
      </c>
      <c r="Y36" s="586"/>
      <c r="Z36" s="799"/>
      <c r="AA36" s="587"/>
      <c r="AB36" s="799"/>
      <c r="AC36" s="587"/>
      <c r="AD36" s="587"/>
      <c r="AE36" s="587"/>
      <c r="AF36" s="587"/>
      <c r="AG36" s="51"/>
      <c r="AH36" s="18"/>
      <c r="AI36" s="19"/>
      <c r="AK36" s="98"/>
      <c r="AL36" s="98"/>
    </row>
    <row r="37" spans="2:38" s="8" customFormat="1" ht="19.5" customHeight="1" x14ac:dyDescent="0.3">
      <c r="D37"/>
      <c r="E37"/>
      <c r="F37"/>
      <c r="G37" s="5"/>
      <c r="H37" s="87"/>
      <c r="I37" s="88" t="s">
        <v>177</v>
      </c>
      <c r="J37" s="46"/>
      <c r="K37" s="47"/>
      <c r="L37" s="49"/>
      <c r="M37" s="48">
        <f>SUM(M53:M56)</f>
        <v>0</v>
      </c>
      <c r="N37" s="60">
        <f t="shared" si="10"/>
        <v>0</v>
      </c>
      <c r="O37" s="46">
        <f>+'사업장별(당월)'!O38+'[4]사업장별(누계)'!O38</f>
        <v>0</v>
      </c>
      <c r="P37" s="47">
        <f>+'사업장별(당월)'!P38+'[4]사업장별(누계)'!P38</f>
        <v>0</v>
      </c>
      <c r="Q37" s="49">
        <f t="shared" si="11"/>
        <v>0</v>
      </c>
      <c r="R37" s="48">
        <f>+'사업장별(당월)'!R38+'[4]사업장별(누계)'!R38</f>
        <v>188.626</v>
      </c>
      <c r="S37" s="60">
        <f t="shared" si="5"/>
        <v>-188.626</v>
      </c>
      <c r="T37" s="46">
        <f>+'사업장별(당월)'!T38+'[4]사업장별(누계)'!T38</f>
        <v>-307.40348944459635</v>
      </c>
      <c r="U37" s="47">
        <f>+'사업장별(당월)'!U38+'[4]사업장별(누계)'!U38</f>
        <v>-372.14426900000001</v>
      </c>
      <c r="V37" s="49">
        <f t="shared" si="6"/>
        <v>-64.740779555403662</v>
      </c>
      <c r="W37" s="48">
        <f>+'사업장별(당월)'!W38+'[4]사업장별(누계)'!W38</f>
        <v>-126.57776</v>
      </c>
      <c r="X37" s="60">
        <f>+U37-W37</f>
        <v>-245.566509</v>
      </c>
      <c r="Y37" s="586"/>
      <c r="Z37" s="587"/>
      <c r="AA37" s="587"/>
      <c r="AB37" s="587"/>
      <c r="AC37" s="587"/>
      <c r="AD37" s="587"/>
      <c r="AE37" s="587"/>
      <c r="AF37" s="587"/>
      <c r="AG37" s="51"/>
      <c r="AH37" s="18"/>
      <c r="AI37" s="19"/>
      <c r="AK37" s="98"/>
      <c r="AL37" s="98"/>
    </row>
    <row r="38" spans="2:38" s="8" customFormat="1" ht="19.5" customHeight="1" x14ac:dyDescent="0.3">
      <c r="B38" t="s">
        <v>39</v>
      </c>
      <c r="D38"/>
      <c r="G38" s="792"/>
      <c r="H38" s="87"/>
      <c r="I38" s="88" t="s">
        <v>4</v>
      </c>
      <c r="J38" s="46"/>
      <c r="K38" s="47"/>
      <c r="L38" s="55">
        <f>+K38-J38</f>
        <v>0</v>
      </c>
      <c r="M38" s="61"/>
      <c r="N38" s="62">
        <f t="shared" si="10"/>
        <v>0</v>
      </c>
      <c r="O38" s="46">
        <f>+'사업장별(당월)'!O39+'[4]사업장별(누계)'!O39</f>
        <v>17.7</v>
      </c>
      <c r="P38" s="47">
        <f>+'사업장별(당월)'!P39+'[4]사업장별(누계)'!P39</f>
        <v>17.484400000002239</v>
      </c>
      <c r="Q38" s="55">
        <f t="shared" si="11"/>
        <v>-0.21559999999776025</v>
      </c>
      <c r="R38" s="61">
        <f>+'사업장별(당월)'!R39+'[4]사업장별(누계)'!R39</f>
        <v>-16.495799999989575</v>
      </c>
      <c r="S38" s="62">
        <f t="shared" si="5"/>
        <v>33.980199999991811</v>
      </c>
      <c r="T38" s="46">
        <f>+'사업장별(당월)'!T39+'[4]사업장별(누계)'!T39++'사업장별(당월)'!T36+'[4]사업장별(누계)'!T36</f>
        <v>697.05335699999614</v>
      </c>
      <c r="U38" s="47">
        <f>+'사업장별(당월)'!U39+'[4]사업장별(누계)'!U39+'사업장별(당월)'!U36+'[4]사업장별(누계)'!U36</f>
        <v>533.81317800000181</v>
      </c>
      <c r="V38" s="49">
        <f t="shared" si="6"/>
        <v>-163.24017899999433</v>
      </c>
      <c r="W38" s="61">
        <f>+'사업장별(당월)'!W39+'[4]사업장별(누계)'!W39</f>
        <v>-224.82613699998521</v>
      </c>
      <c r="X38" s="60">
        <f t="shared" si="7"/>
        <v>758.63931499998705</v>
      </c>
      <c r="Y38" s="595"/>
      <c r="Z38" s="799"/>
      <c r="AA38" s="587"/>
      <c r="AB38" s="587"/>
      <c r="AC38" s="587"/>
      <c r="AD38" s="587"/>
      <c r="AE38" s="587"/>
      <c r="AF38" s="587"/>
      <c r="AG38" s="51"/>
      <c r="AH38" s="18"/>
      <c r="AI38" s="19"/>
    </row>
    <row r="39" spans="2:38" s="8" customFormat="1" ht="19.5" customHeight="1" x14ac:dyDescent="0.3">
      <c r="G39" s="792"/>
      <c r="H39" s="87"/>
      <c r="I39" s="88"/>
      <c r="J39" s="46"/>
      <c r="K39" s="47"/>
      <c r="L39" s="55"/>
      <c r="M39" s="61"/>
      <c r="N39" s="62">
        <f t="shared" si="10"/>
        <v>0</v>
      </c>
      <c r="O39" s="46">
        <f>+'사업장별(당월)'!O40+'[4]사업장별(누계)'!O40</f>
        <v>0</v>
      </c>
      <c r="P39" s="47">
        <f>+'사업장별(당월)'!P40+'[4]사업장별(누계)'!P40</f>
        <v>0</v>
      </c>
      <c r="Q39" s="55">
        <f t="shared" si="11"/>
        <v>0</v>
      </c>
      <c r="R39" s="61">
        <f>+'사업장별(당월)'!R40+'[4]사업장별(누계)'!R40</f>
        <v>0</v>
      </c>
      <c r="S39" s="62">
        <f t="shared" si="5"/>
        <v>0</v>
      </c>
      <c r="T39" s="46">
        <f>+'사업장별(당월)'!T40+'[4]사업장별(누계)'!T40</f>
        <v>0</v>
      </c>
      <c r="U39" s="47">
        <f>+'사업장별(당월)'!U40+'[4]사업장별(누계)'!U40</f>
        <v>0</v>
      </c>
      <c r="V39" s="49">
        <f t="shared" si="6"/>
        <v>0</v>
      </c>
      <c r="W39" s="61">
        <f>+'사업장별(당월)'!W40+'[4]사업장별(누계)'!W40</f>
        <v>0</v>
      </c>
      <c r="X39" s="60"/>
      <c r="Y39" s="786"/>
      <c r="Z39" s="587"/>
      <c r="AA39" s="587"/>
      <c r="AB39" s="587"/>
      <c r="AC39" s="587"/>
      <c r="AD39" s="587"/>
      <c r="AE39" s="587"/>
      <c r="AF39" s="587"/>
      <c r="AG39" s="51"/>
      <c r="AH39" s="31"/>
    </row>
    <row r="40" spans="2:38" s="3" customFormat="1" ht="19.5" customHeight="1" x14ac:dyDescent="0.3">
      <c r="D40" s="657"/>
      <c r="G40" s="796"/>
      <c r="H40" s="146" t="s">
        <v>118</v>
      </c>
      <c r="I40" s="147"/>
      <c r="J40" s="646">
        <f>SUM(J33:J39)</f>
        <v>0</v>
      </c>
      <c r="K40" s="647">
        <f>SUM(K33:K39)</f>
        <v>0</v>
      </c>
      <c r="L40" s="647">
        <f>+K40-J40</f>
        <v>0</v>
      </c>
      <c r="M40" s="647">
        <f>SUM(M33:M39)</f>
        <v>0</v>
      </c>
      <c r="N40" s="648">
        <f t="shared" si="10"/>
        <v>0</v>
      </c>
      <c r="O40" s="148">
        <f>SUM(O33:O39)</f>
        <v>1649.6750033333335</v>
      </c>
      <c r="P40" s="149">
        <f>SUM(P33:P39)</f>
        <v>1656.3709620000025</v>
      </c>
      <c r="Q40" s="153">
        <f t="shared" si="4"/>
        <v>6.6959586666689574</v>
      </c>
      <c r="R40" s="154">
        <f>SUM(R33:R39)</f>
        <v>1955.5002320000106</v>
      </c>
      <c r="S40" s="155">
        <f>+P40-R40</f>
        <v>-299.12927000000809</v>
      </c>
      <c r="T40" s="148">
        <f>SUM(T33:T39)</f>
        <v>-12079.45016044256</v>
      </c>
      <c r="U40" s="149">
        <f>SUM(U33:U39)</f>
        <v>-13205.544411258408</v>
      </c>
      <c r="V40" s="153">
        <f>+U40-T40</f>
        <v>-1126.0942508158478</v>
      </c>
      <c r="W40" s="154">
        <f>SUM(W33:W39)</f>
        <v>-12862.149459999984</v>
      </c>
      <c r="X40" s="155">
        <f>+U40-W40</f>
        <v>-343.39495125842404</v>
      </c>
      <c r="Y40" s="787"/>
      <c r="Z40" s="589"/>
      <c r="AA40" s="589"/>
      <c r="AB40" s="589"/>
      <c r="AC40" s="589"/>
      <c r="AD40" s="589"/>
      <c r="AE40" s="589"/>
      <c r="AF40" s="589"/>
      <c r="AG40" s="590"/>
      <c r="AH40" s="26"/>
    </row>
    <row r="41" spans="2:38" s="8" customFormat="1" ht="19.5" customHeight="1" x14ac:dyDescent="0.3">
      <c r="G41" s="792"/>
      <c r="J41" s="33"/>
      <c r="K41" s="33"/>
      <c r="L41" s="32"/>
      <c r="M41" s="32"/>
      <c r="N41" s="32"/>
      <c r="O41" s="33"/>
      <c r="P41" s="33"/>
      <c r="Q41" s="32"/>
      <c r="R41" s="32"/>
      <c r="S41" s="32"/>
      <c r="T41" s="33"/>
      <c r="U41" s="33"/>
      <c r="V41" s="32"/>
      <c r="W41" s="32"/>
      <c r="X41" s="32"/>
      <c r="Y41" s="33"/>
      <c r="Z41" s="33"/>
      <c r="AA41" s="33"/>
      <c r="AB41" s="33"/>
      <c r="AC41" s="33"/>
      <c r="AD41" s="33"/>
      <c r="AE41" s="33"/>
      <c r="AF41" s="33"/>
      <c r="AG41" s="33"/>
      <c r="AH41" s="31"/>
      <c r="AI41" s="19"/>
    </row>
    <row r="42" spans="2:38" s="3" customFormat="1" ht="19.5" customHeight="1" x14ac:dyDescent="0.3">
      <c r="G42" s="797">
        <f>+P42/O42</f>
        <v>0.9642343075169475</v>
      </c>
      <c r="H42" s="639" t="s">
        <v>41</v>
      </c>
      <c r="I42" s="640"/>
      <c r="J42" s="652"/>
      <c r="K42" s="653"/>
      <c r="L42" s="653"/>
      <c r="M42" s="653"/>
      <c r="N42" s="654"/>
      <c r="O42" s="641">
        <f>+O27+O32+O28+O40</f>
        <v>401319.37752505107</v>
      </c>
      <c r="P42" s="642">
        <f>+P27+P32+P28+P40</f>
        <v>386965.91208100005</v>
      </c>
      <c r="Q42" s="643">
        <f t="shared" si="4"/>
        <v>-14353.46544405102</v>
      </c>
      <c r="R42" s="644">
        <f>+R27+R32+R28+R40</f>
        <v>420470.66185899999</v>
      </c>
      <c r="S42" s="645">
        <f>+P42-R42</f>
        <v>-33504.749777999939</v>
      </c>
      <c r="T42" s="641">
        <f>+T27+T32+T28+T40</f>
        <v>32529.496947770866</v>
      </c>
      <c r="U42" s="642">
        <f>+U27+U32+U28+U40</f>
        <v>17547.10077101424</v>
      </c>
      <c r="V42" s="643">
        <f>+U42-T42</f>
        <v>-14982.396176756625</v>
      </c>
      <c r="W42" s="644">
        <f>+W27+W32+W28+W40</f>
        <v>36471.89609402002</v>
      </c>
      <c r="X42" s="645">
        <f>+U42-W42</f>
        <v>-18924.795323005779</v>
      </c>
      <c r="Y42" s="837"/>
      <c r="Z42" s="838"/>
      <c r="AA42" s="838"/>
      <c r="AB42" s="838"/>
      <c r="AC42" s="838"/>
      <c r="AD42" s="838"/>
      <c r="AE42" s="838"/>
      <c r="AF42" s="838"/>
      <c r="AG42" s="839"/>
      <c r="AH42" s="26"/>
      <c r="AI42" s="785"/>
      <c r="AK42" s="785"/>
    </row>
    <row r="43" spans="2:38" s="34" customFormat="1" x14ac:dyDescent="0.3">
      <c r="G43" s="794">
        <f>+U42/T42</f>
        <v>0.53942121512631269</v>
      </c>
      <c r="P43" s="661">
        <f>+P42/O42</f>
        <v>0.9642343075169475</v>
      </c>
      <c r="T43" s="788">
        <f>+T42/O42</f>
        <v>8.1056382446273278E-2</v>
      </c>
      <c r="U43" s="788">
        <f>+U42/P42</f>
        <v>4.5345339791431724E-2</v>
      </c>
      <c r="AC43" s="35"/>
      <c r="AF43" s="35"/>
    </row>
    <row r="44" spans="2:38" s="34" customFormat="1" ht="17.25" thickBot="1" x14ac:dyDescent="0.35">
      <c r="G44" s="798"/>
      <c r="AC44" s="35"/>
      <c r="AF44" s="35"/>
    </row>
    <row r="45" spans="2:38" s="34" customFormat="1" x14ac:dyDescent="0.3">
      <c r="G45" s="798"/>
      <c r="I45" s="834" t="s">
        <v>101</v>
      </c>
      <c r="J45" s="138">
        <f>+'사업장별(당월)'!J46+'[4]사업장별(누계)'!J46</f>
        <v>2872.5</v>
      </c>
      <c r="K45" s="139">
        <f>+'사업장별(당월)'!K46+'[4]사업장별(누계)'!K46</f>
        <v>2825.2704999999996</v>
      </c>
      <c r="L45" s="139"/>
      <c r="M45" s="139">
        <f>+'사업장별(당월)'!M46+'[4]사업장별(누계)'!M46</f>
        <v>3200.5190000000002</v>
      </c>
      <c r="N45" s="139"/>
      <c r="O45" s="139">
        <f>+'사업장별(당월)'!O46+'[4]사업장별(누계)'!O46</f>
        <v>401319.37752505112</v>
      </c>
      <c r="P45" s="139">
        <f>+'사업장별(당월)'!P46+'[4]사업장별(누계)'!P46</f>
        <v>386965.91208099999</v>
      </c>
      <c r="Q45" s="139"/>
      <c r="R45" s="139">
        <f>+'사업장별(당월)'!R46+'[4]사업장별(누계)'!R46</f>
        <v>420470.6618590001</v>
      </c>
      <c r="S45" s="139"/>
      <c r="T45" s="144">
        <f>+'사업장별(당월)'!T46+'[4]사업장별(누계)'!T46</f>
        <v>32529.496947770851</v>
      </c>
      <c r="U45" s="139">
        <f>+'사업장별(당월)'!U46+'[4]사업장별(누계)'!U46</f>
        <v>17547.100771014233</v>
      </c>
      <c r="V45" s="139"/>
      <c r="W45" s="139">
        <f>+'사업장별(당월)'!W46+'[4]사업장별(누계)'!W46</f>
        <v>36471.896094020012</v>
      </c>
      <c r="X45" s="140"/>
      <c r="AC45" s="35"/>
      <c r="AF45" s="35"/>
    </row>
    <row r="46" spans="2:38" s="34" customFormat="1" ht="17.25" thickBot="1" x14ac:dyDescent="0.35">
      <c r="G46" s="798"/>
      <c r="I46" s="834"/>
      <c r="J46" s="143">
        <f>+J45-J27</f>
        <v>0</v>
      </c>
      <c r="K46" s="141">
        <f>+K45-K27</f>
        <v>0</v>
      </c>
      <c r="L46" s="141"/>
      <c r="M46" s="141">
        <f>+M45-M27</f>
        <v>0</v>
      </c>
      <c r="N46" s="141"/>
      <c r="O46" s="145">
        <f>+O45-O42</f>
        <v>0</v>
      </c>
      <c r="P46" s="145">
        <f>+P45-P42</f>
        <v>0</v>
      </c>
      <c r="Q46" s="141"/>
      <c r="R46" s="145">
        <f>+R45-R42</f>
        <v>0</v>
      </c>
      <c r="S46" s="141"/>
      <c r="T46" s="145">
        <f>+T45-T42</f>
        <v>0</v>
      </c>
      <c r="U46" s="145">
        <f>+U45-U42</f>
        <v>0</v>
      </c>
      <c r="V46" s="141"/>
      <c r="W46" s="141">
        <f>+W45-W42</f>
        <v>0</v>
      </c>
      <c r="X46" s="142"/>
      <c r="AC46" s="35"/>
      <c r="AF46" s="35"/>
      <c r="AG46" s="34" t="s">
        <v>102</v>
      </c>
    </row>
    <row r="47" spans="2:38" x14ac:dyDescent="0.3">
      <c r="T47" s="658"/>
      <c r="U47" s="658"/>
      <c r="V47" s="658"/>
    </row>
    <row r="48" spans="2:38" x14ac:dyDescent="0.3">
      <c r="P48" s="98"/>
      <c r="T48" s="658"/>
      <c r="U48" s="658"/>
      <c r="V48" s="658"/>
    </row>
    <row r="49" spans="10:33" x14ac:dyDescent="0.3">
      <c r="S49" t="s">
        <v>53</v>
      </c>
      <c r="T49" s="598">
        <f>(+T27+T35)/100</f>
        <v>282.68362342046078</v>
      </c>
      <c r="U49" s="598">
        <f>(+U27+U35)/100</f>
        <v>161.8471957275159</v>
      </c>
      <c r="V49" s="598">
        <f>+U49-T49</f>
        <v>-120.83642769294488</v>
      </c>
      <c r="W49" s="597">
        <f>+U49/T49-1</f>
        <v>-0.42746171932717159</v>
      </c>
    </row>
    <row r="50" spans="10:33" x14ac:dyDescent="0.3">
      <c r="S50" t="s">
        <v>3</v>
      </c>
      <c r="T50" s="6">
        <f>+T28/100</f>
        <v>9.9565509880000995</v>
      </c>
      <c r="U50" s="6">
        <f>+U28/100</f>
        <v>4.835036990000031</v>
      </c>
      <c r="V50" s="598">
        <f t="shared" ref="V50:V53" si="12">+U50-T50</f>
        <v>-5.1215139980000686</v>
      </c>
    </row>
    <row r="51" spans="10:33" x14ac:dyDescent="0.3">
      <c r="S51" t="s">
        <v>1</v>
      </c>
      <c r="T51" s="6">
        <f>+T32/100</f>
        <v>15.470667820360477</v>
      </c>
      <c r="U51" s="6">
        <f>+U32/100</f>
        <v>-3.9952527373526434E-2</v>
      </c>
      <c r="V51" s="598">
        <f t="shared" si="12"/>
        <v>-15.510620347734003</v>
      </c>
    </row>
    <row r="52" spans="10:33" x14ac:dyDescent="0.3">
      <c r="S52" t="s">
        <v>59</v>
      </c>
      <c r="T52" s="6">
        <f>(T33+T34)/100</f>
        <v>13.287628573333334</v>
      </c>
      <c r="U52" s="6">
        <f>(U33+U34)/100</f>
        <v>12.950631759999998</v>
      </c>
      <c r="V52" s="598">
        <f t="shared" si="12"/>
        <v>-0.33699681333333587</v>
      </c>
    </row>
    <row r="53" spans="10:33" x14ac:dyDescent="0.3">
      <c r="J53" s="598"/>
      <c r="K53" s="598"/>
      <c r="L53" s="598"/>
      <c r="M53" s="598"/>
      <c r="N53" s="598"/>
      <c r="O53" s="598"/>
      <c r="P53" s="598"/>
      <c r="Q53" s="598"/>
      <c r="R53" s="598"/>
      <c r="S53" s="598" t="s">
        <v>4</v>
      </c>
      <c r="T53" s="598">
        <f>(T45/100)-T49-T50-T51-T52</f>
        <v>3.8964986755538025</v>
      </c>
      <c r="U53" s="598">
        <f>(U45/100)-U49-U50-U51-U52</f>
        <v>-4.1219042400000827</v>
      </c>
      <c r="V53" s="598">
        <f t="shared" si="12"/>
        <v>-8.0184029155538852</v>
      </c>
      <c r="W53" s="598"/>
      <c r="X53" s="598"/>
      <c r="Y53" s="598"/>
      <c r="Z53" s="598"/>
      <c r="AA53" s="598"/>
      <c r="AB53" s="598"/>
      <c r="AC53" s="598"/>
      <c r="AD53" s="598"/>
      <c r="AE53" s="598"/>
      <c r="AF53" s="598"/>
      <c r="AG53" s="598"/>
    </row>
    <row r="54" spans="10:33" x14ac:dyDescent="0.3">
      <c r="J54" s="598"/>
      <c r="K54" s="598"/>
      <c r="L54" s="598"/>
      <c r="M54" s="598"/>
      <c r="N54" s="598"/>
      <c r="O54" s="598"/>
      <c r="P54" s="598"/>
      <c r="Q54" s="598"/>
      <c r="R54" s="598"/>
      <c r="S54" s="598"/>
      <c r="T54" s="598"/>
      <c r="U54" s="598"/>
      <c r="V54" s="598"/>
      <c r="W54" s="598"/>
      <c r="X54" s="598"/>
      <c r="Y54" s="598"/>
      <c r="Z54" s="598"/>
      <c r="AA54" s="598"/>
      <c r="AB54" s="598"/>
      <c r="AC54" s="598"/>
      <c r="AD54" s="598"/>
      <c r="AE54" s="598"/>
      <c r="AF54" s="598"/>
      <c r="AG54" s="598"/>
    </row>
    <row r="55" spans="10:33" x14ac:dyDescent="0.3">
      <c r="J55" s="598"/>
      <c r="K55" s="598"/>
      <c r="L55" s="598"/>
      <c r="M55" s="598"/>
      <c r="N55" s="598"/>
      <c r="O55" s="598"/>
      <c r="P55" s="598"/>
      <c r="Q55" s="598"/>
      <c r="R55" s="598"/>
      <c r="S55" s="598"/>
      <c r="T55" s="658"/>
      <c r="U55" s="658"/>
      <c r="V55" s="598"/>
      <c r="W55" s="598"/>
      <c r="X55" s="598"/>
      <c r="Y55" s="598"/>
      <c r="Z55" s="598"/>
      <c r="AA55" s="598"/>
      <c r="AB55" s="598"/>
      <c r="AC55" s="598"/>
      <c r="AD55" s="598"/>
      <c r="AE55" s="598"/>
      <c r="AF55" s="598"/>
      <c r="AG55" s="598"/>
    </row>
    <row r="56" spans="10:33" x14ac:dyDescent="0.3">
      <c r="J56" s="598"/>
      <c r="K56" s="598"/>
      <c r="L56" s="598"/>
      <c r="M56" s="598"/>
      <c r="N56" s="598"/>
      <c r="O56" s="598"/>
      <c r="P56" s="598"/>
      <c r="Q56" s="598"/>
      <c r="R56" s="598"/>
      <c r="S56" s="598"/>
      <c r="T56" s="598"/>
      <c r="U56" s="598"/>
      <c r="V56" s="598"/>
      <c r="W56" s="598"/>
      <c r="X56" s="598"/>
      <c r="Y56" s="598"/>
      <c r="Z56" s="598"/>
      <c r="AA56" s="598"/>
      <c r="AB56" s="598"/>
      <c r="AC56" s="598"/>
      <c r="AD56" s="598"/>
      <c r="AE56" s="598"/>
      <c r="AF56" s="598"/>
      <c r="AG56" s="598"/>
    </row>
    <row r="57" spans="10:33" x14ac:dyDescent="0.3">
      <c r="S57" s="598"/>
      <c r="T57" s="598"/>
      <c r="U57" s="598"/>
      <c r="V57" s="598"/>
    </row>
    <row r="58" spans="10:33" x14ac:dyDescent="0.3">
      <c r="S58" s="598"/>
      <c r="T58" s="598"/>
      <c r="U58" s="598"/>
      <c r="V58" s="598"/>
    </row>
    <row r="59" spans="10:33" x14ac:dyDescent="0.3">
      <c r="S59" s="598"/>
      <c r="T59" s="598"/>
      <c r="U59" s="598"/>
      <c r="V59" s="598"/>
    </row>
    <row r="60" spans="10:33" x14ac:dyDescent="0.3">
      <c r="T60" s="6"/>
      <c r="U60" s="6"/>
      <c r="V60" s="6"/>
    </row>
  </sheetData>
  <mergeCells count="4">
    <mergeCell ref="H5:I6"/>
    <mergeCell ref="H28:I28"/>
    <mergeCell ref="Y42:AG42"/>
    <mergeCell ref="I45:I46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B5C6-6B54-4BD2-9BBC-FD101DF49F35}">
  <sheetPr codeName="Sheet5">
    <tabColor theme="1" tint="0.249977111117893"/>
    <pageSetUpPr fitToPage="1"/>
  </sheetPr>
  <dimension ref="D1:Z52"/>
  <sheetViews>
    <sheetView showGridLines="0" showZeros="0" view="pageBreakPreview" zoomScale="60" zoomScaleNormal="85" workbookViewId="0">
      <pane xSplit="4" ySplit="7" topLeftCell="E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RowHeight="16.5" x14ac:dyDescent="0.3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4:26" ht="9.9499999999999993" customHeight="1" x14ac:dyDescent="0.3"/>
    <row r="2" spans="4:26" ht="9.9499999999999993" hidden="1" customHeight="1" x14ac:dyDescent="0.3"/>
    <row r="3" spans="4:26" ht="9.9499999999999993" customHeight="1" x14ac:dyDescent="0.3"/>
    <row r="4" spans="4:26" ht="31.5" x14ac:dyDescent="0.3">
      <c r="D4" s="183" t="s">
        <v>250</v>
      </c>
      <c r="F4" s="183"/>
      <c r="I4" s="183"/>
      <c r="J4" s="183"/>
    </row>
    <row r="5" spans="4:26" ht="21.95" customHeight="1" x14ac:dyDescent="0.3">
      <c r="W5" s="185" t="s">
        <v>149</v>
      </c>
    </row>
    <row r="6" spans="4:26" ht="24" customHeight="1" thickBot="1" x14ac:dyDescent="0.35">
      <c r="D6" s="840" t="s">
        <v>11</v>
      </c>
      <c r="E6" s="438" t="s">
        <v>143</v>
      </c>
      <c r="F6" s="439"/>
      <c r="G6" s="440"/>
      <c r="H6" s="438" t="s">
        <v>144</v>
      </c>
      <c r="I6" s="439"/>
      <c r="J6" s="439"/>
      <c r="K6" s="440"/>
      <c r="L6" s="438" t="s">
        <v>145</v>
      </c>
      <c r="M6" s="439"/>
      <c r="N6" s="439"/>
      <c r="O6" s="440"/>
      <c r="P6" s="438" t="s">
        <v>146</v>
      </c>
      <c r="Q6" s="439"/>
      <c r="R6" s="439"/>
      <c r="S6" s="440"/>
      <c r="T6" s="438" t="s">
        <v>147</v>
      </c>
      <c r="U6" s="439"/>
      <c r="V6" s="439"/>
      <c r="W6" s="440"/>
    </row>
    <row r="7" spans="4:26" ht="24" customHeight="1" x14ac:dyDescent="0.3">
      <c r="D7" s="841"/>
      <c r="E7" s="441" t="s">
        <v>12</v>
      </c>
      <c r="F7" s="442" t="s">
        <v>13</v>
      </c>
      <c r="G7" s="443" t="s">
        <v>37</v>
      </c>
      <c r="H7" s="441" t="s">
        <v>15</v>
      </c>
      <c r="I7" s="442" t="s">
        <v>16</v>
      </c>
      <c r="J7" s="444" t="s">
        <v>37</v>
      </c>
      <c r="K7" s="445" t="s">
        <v>148</v>
      </c>
      <c r="L7" s="441" t="s">
        <v>15</v>
      </c>
      <c r="M7" s="442" t="s">
        <v>16</v>
      </c>
      <c r="N7" s="444" t="s">
        <v>37</v>
      </c>
      <c r="O7" s="445" t="s">
        <v>148</v>
      </c>
      <c r="P7" s="441" t="s">
        <v>15</v>
      </c>
      <c r="Q7" s="442" t="s">
        <v>16</v>
      </c>
      <c r="R7" s="444" t="s">
        <v>37</v>
      </c>
      <c r="S7" s="445" t="s">
        <v>148</v>
      </c>
      <c r="T7" s="441" t="s">
        <v>15</v>
      </c>
      <c r="U7" s="442" t="s">
        <v>16</v>
      </c>
      <c r="V7" s="444" t="s">
        <v>37</v>
      </c>
      <c r="W7" s="445" t="s">
        <v>148</v>
      </c>
    </row>
    <row r="8" spans="4:26" ht="24" customHeight="1" x14ac:dyDescent="0.3">
      <c r="D8" s="469" t="s">
        <v>41</v>
      </c>
      <c r="E8" s="459">
        <f>+[5]합계!$H$86/1000</f>
        <v>5311.4516209334206</v>
      </c>
      <c r="F8" s="461">
        <f>+[5]합계!$I$86/1000</f>
        <v>2141.2714339999875</v>
      </c>
      <c r="G8" s="460">
        <f>+F8-E8</f>
        <v>-3170.1801869334331</v>
      </c>
      <c r="H8" s="459">
        <f>+[5]합계!$T$5/1000</f>
        <v>321</v>
      </c>
      <c r="I8" s="461">
        <f>+[5]합계!$U$5/1000</f>
        <v>296.55700000000002</v>
      </c>
      <c r="J8" s="460">
        <f>+I8-H8</f>
        <v>-24.442999999999984</v>
      </c>
      <c r="K8" s="463">
        <f>+[5]합계!$M$86/1000</f>
        <v>-483.5842929003241</v>
      </c>
      <c r="L8" s="459">
        <f>+[5]합계!$Q$85</f>
        <v>102819.17075870401</v>
      </c>
      <c r="M8" s="461">
        <f>+[5]합계!$R$85</f>
        <v>96197.561428846195</v>
      </c>
      <c r="N8" s="460">
        <f>+M8-L8</f>
        <v>-6621.6093298578198</v>
      </c>
      <c r="O8" s="463">
        <f>+[5]합계!$K$86/1000</f>
        <v>-1962.3205465126948</v>
      </c>
      <c r="P8" s="459">
        <f>+[5]합계!$Q$50</f>
        <v>83166.92957649281</v>
      </c>
      <c r="Q8" s="461">
        <f>+[5]합계!$R$50</f>
        <v>85311.291201708096</v>
      </c>
      <c r="R8" s="460">
        <f>+Q8-P8</f>
        <v>2144.361625215286</v>
      </c>
      <c r="S8" s="463">
        <f>+[5]합계!$L$56/1000</f>
        <v>-586.09309021679076</v>
      </c>
      <c r="T8" s="459">
        <f>+([5]합계!$H$80+[5]합계!$H$85)/1000</f>
        <v>996.91779855637924</v>
      </c>
      <c r="U8" s="461">
        <f>+([5]합계!$I$80+[5]합계!$I$85)/1000</f>
        <v>1135.1000558599999</v>
      </c>
      <c r="V8" s="460">
        <f>+U8-T8</f>
        <v>138.18225730362064</v>
      </c>
      <c r="W8" s="468">
        <f>+([5]합계!$L$80+[5]합계!$L$85)/1000</f>
        <v>-138.18225730362076</v>
      </c>
      <c r="Y8" s="6">
        <f>+G8-K8-O8-S8-W8</f>
        <v>-2.5011104298755527E-12</v>
      </c>
      <c r="Z8" s="6">
        <f>+Y8*1000000</f>
        <v>-2.5011104298755527E-6</v>
      </c>
    </row>
    <row r="9" spans="4:26" ht="24" customHeight="1" x14ac:dyDescent="0.3">
      <c r="D9" s="470" t="s">
        <v>19</v>
      </c>
      <c r="E9" s="464">
        <f>+[5]수도권!$H$86/1000</f>
        <v>1890.542397201011</v>
      </c>
      <c r="F9" s="478">
        <f>+[5]수도권!$I$86/1000</f>
        <v>363.42567899999273</v>
      </c>
      <c r="G9" s="465">
        <f t="shared" ref="G9:G28" si="0">+F9-E9</f>
        <v>-1527.1167182010183</v>
      </c>
      <c r="H9" s="464">
        <f>+[5]수도권!$T$5/1000</f>
        <v>121.5</v>
      </c>
      <c r="I9" s="478">
        <f>+[5]수도권!$U$5/1000</f>
        <v>103.91</v>
      </c>
      <c r="J9" s="465">
        <f t="shared" ref="J9:J28" si="1">+I9-H9</f>
        <v>-17.590000000000003</v>
      </c>
      <c r="K9" s="481">
        <f>+[5]수도권!$M$86/1000</f>
        <v>-320.92230480745388</v>
      </c>
      <c r="L9" s="464">
        <f>+[5]수도권!$Q$85</f>
        <v>101656.46615674063</v>
      </c>
      <c r="M9" s="478">
        <f>+[5]수도권!$R$85</f>
        <v>93480.665857137355</v>
      </c>
      <c r="N9" s="465">
        <f t="shared" ref="N9:N28" si="2">+M9-L9</f>
        <v>-8175.8002996032737</v>
      </c>
      <c r="O9" s="481">
        <f>+[5]수도권!$K$86/1000</f>
        <v>-848.35374228803403</v>
      </c>
      <c r="P9" s="464">
        <f>+[5]수도권!$Q$50</f>
        <v>83538.04572330277</v>
      </c>
      <c r="Q9" s="478">
        <f>+[5]수도권!$R$50</f>
        <v>86818.903218379797</v>
      </c>
      <c r="R9" s="465">
        <f t="shared" ref="R9:R28" si="3">+Q9-P9</f>
        <v>3280.8574950770271</v>
      </c>
      <c r="S9" s="481">
        <f>+[5]수도권!$L$56/1000</f>
        <v>-339.23901297721915</v>
      </c>
      <c r="T9" s="464">
        <f>+([5]수도권!$H$80+[5]수도권!$H$85)/1000</f>
        <v>310.8456854616889</v>
      </c>
      <c r="U9" s="478">
        <f>+([5]수도권!$I$80+[5]수도권!$I$85)/1000</f>
        <v>329.44734359</v>
      </c>
      <c r="V9" s="465">
        <f t="shared" ref="V9:V28" si="4">+U9-T9</f>
        <v>18.601658128311101</v>
      </c>
      <c r="W9" s="481">
        <f>+([5]수도권!$L$80+[5]수도권!$L$85)/1000</f>
        <v>-18.601658128311072</v>
      </c>
      <c r="Y9" s="6">
        <f t="shared" ref="Y9:Y28" si="5">+G9-K9-O9-S9-W9</f>
        <v>-1.9895196601282805E-13</v>
      </c>
      <c r="Z9" s="6">
        <f t="shared" ref="Z9:Z28" si="6">+Y9*1000000</f>
        <v>-1.9895196601282805E-7</v>
      </c>
    </row>
    <row r="10" spans="4:26" ht="24" customHeight="1" x14ac:dyDescent="0.3">
      <c r="D10" s="471" t="s">
        <v>20</v>
      </c>
      <c r="E10" s="466">
        <f>+[5]영남권!$H$86/1000</f>
        <v>2263.6866832937744</v>
      </c>
      <c r="F10" s="479">
        <f>+[5]영남권!$I$86/1000</f>
        <v>830.76103799999885</v>
      </c>
      <c r="G10" s="476">
        <f t="shared" si="0"/>
        <v>-1432.9256452937757</v>
      </c>
      <c r="H10" s="466">
        <f>+[5]영남권!$T$5/1000</f>
        <v>138.5</v>
      </c>
      <c r="I10" s="479">
        <f>+[5]영남권!$U$5/1000</f>
        <v>130.221</v>
      </c>
      <c r="J10" s="476">
        <f t="shared" si="1"/>
        <v>-8.2789999999999964</v>
      </c>
      <c r="K10" s="482">
        <f>+[5]영남권!$M$86/1000</f>
        <v>-165.35284945286648</v>
      </c>
      <c r="L10" s="466">
        <f>+[5]영남권!$Q$85</f>
        <v>102592.96179422383</v>
      </c>
      <c r="M10" s="479">
        <f>+[5]영남권!$R$85</f>
        <v>96016.648996705597</v>
      </c>
      <c r="N10" s="476">
        <f t="shared" si="2"/>
        <v>-6576.3127975182288</v>
      </c>
      <c r="O10" s="482">
        <f>+[5]영남권!$K$86/1000</f>
        <v>-856.37402880562126</v>
      </c>
      <c r="P10" s="466">
        <f>+[5]영남권!$Q$50</f>
        <v>82615.832980011182</v>
      </c>
      <c r="Q10" s="479">
        <f>+[5]영남권!$R$50</f>
        <v>85405.232189691989</v>
      </c>
      <c r="R10" s="476">
        <f t="shared" si="3"/>
        <v>2789.399209680807</v>
      </c>
      <c r="S10" s="482">
        <f>+[5]영남권!$L$56/1000</f>
        <v>-315.87399253996648</v>
      </c>
      <c r="T10" s="466">
        <f>+([5]영남권!$H$80+[5]영남권!$H$85)/1000</f>
        <v>503.14565747467628</v>
      </c>
      <c r="U10" s="479">
        <f>+([5]영남권!$I$80+[5]영남권!$I$85)/1000</f>
        <v>598.47043197000005</v>
      </c>
      <c r="V10" s="476">
        <f t="shared" si="4"/>
        <v>95.324774495323766</v>
      </c>
      <c r="W10" s="482">
        <f>+([5]영남권!$L$80+[5]영남권!$L$85)/1000</f>
        <v>-95.324774495323751</v>
      </c>
      <c r="Y10" s="6">
        <f t="shared" si="5"/>
        <v>2.2026824808563106E-12</v>
      </c>
      <c r="Z10" s="6">
        <f t="shared" si="6"/>
        <v>2.2026824808563106E-6</v>
      </c>
    </row>
    <row r="11" spans="4:26" ht="24" customHeight="1" x14ac:dyDescent="0.3">
      <c r="D11" s="472" t="s">
        <v>57</v>
      </c>
      <c r="E11" s="467">
        <f>+[5]중부권!$H$86/1000</f>
        <v>1157.2225404386324</v>
      </c>
      <c r="F11" s="480">
        <f>+[5]중부권!$I$86/1000</f>
        <v>947.08471699999996</v>
      </c>
      <c r="G11" s="477">
        <f t="shared" si="0"/>
        <v>-210.13782343863249</v>
      </c>
      <c r="H11" s="467">
        <f>+[5]중부권!$T$5/1000</f>
        <v>61</v>
      </c>
      <c r="I11" s="480">
        <f>+[5]중부권!$U$5/1000</f>
        <v>62.426000000000002</v>
      </c>
      <c r="J11" s="477">
        <f t="shared" si="1"/>
        <v>1.4260000000000019</v>
      </c>
      <c r="K11" s="483">
        <f>+[5]중부권!$M$86/1000</f>
        <v>30.370549649444424</v>
      </c>
      <c r="L11" s="467">
        <f>+[5]중부권!$Q$85</f>
        <v>105648.6551967213</v>
      </c>
      <c r="M11" s="480">
        <f>+[5]중부권!$R$85</f>
        <v>101095.65574191067</v>
      </c>
      <c r="N11" s="477">
        <f t="shared" si="2"/>
        <v>-4552.9994548106333</v>
      </c>
      <c r="O11" s="483">
        <f>+[5]중부권!$K$86/1000</f>
        <v>-283.95236399871993</v>
      </c>
      <c r="P11" s="467">
        <f>+[5]중부권!$Q$50</f>
        <v>83678.999523628765</v>
      </c>
      <c r="Q11" s="480">
        <f>+[5]중부권!$R$50</f>
        <v>82598.315346320698</v>
      </c>
      <c r="R11" s="477">
        <f t="shared" si="3"/>
        <v>-1080.6841773080669</v>
      </c>
      <c r="S11" s="483">
        <f>+[5]중부권!$L$56/1000</f>
        <v>67.699815590630493</v>
      </c>
      <c r="T11" s="467">
        <f>+([5]중부권!$H$80+[5]중부권!$H$85)/1000</f>
        <v>182.92645562001411</v>
      </c>
      <c r="U11" s="480">
        <f>+([5]중부권!$I$80+[5]중부권!$I$85)/1000</f>
        <v>207.1822803</v>
      </c>
      <c r="V11" s="477">
        <f t="shared" si="4"/>
        <v>24.255824679985892</v>
      </c>
      <c r="W11" s="483">
        <f>+([5]중부권!$L$80+[5]중부권!$L$85)/1000</f>
        <v>-24.255824679985913</v>
      </c>
      <c r="Y11" s="6">
        <f t="shared" si="5"/>
        <v>-1.5702994460298214E-12</v>
      </c>
      <c r="Z11" s="6">
        <f t="shared" si="6"/>
        <v>-1.5702994460298214E-6</v>
      </c>
    </row>
    <row r="12" spans="4:26" ht="24" customHeight="1" x14ac:dyDescent="0.3">
      <c r="D12" s="473" t="s">
        <v>22</v>
      </c>
      <c r="E12" s="446">
        <f>+[5]안양!$H$86/1000</f>
        <v>642.15368659842306</v>
      </c>
      <c r="F12" s="447">
        <f>+[5]안양!$I$86/1000</f>
        <v>151.42127199999197</v>
      </c>
      <c r="G12" s="448">
        <f t="shared" si="0"/>
        <v>-490.73241459843109</v>
      </c>
      <c r="H12" s="446">
        <f>+[5]안양!$T$5/1000</f>
        <v>43</v>
      </c>
      <c r="I12" s="447">
        <f>+[5]안양!$U$5/1000</f>
        <v>39.055</v>
      </c>
      <c r="J12" s="449">
        <f t="shared" si="1"/>
        <v>-3.9450000000000003</v>
      </c>
      <c r="K12" s="74">
        <f>+[5]안양!$M$86/1000</f>
        <v>-67.695440820793337</v>
      </c>
      <c r="L12" s="446">
        <f>+[5]안양!$Q$85</f>
        <v>100603.65581395349</v>
      </c>
      <c r="M12" s="447">
        <f>+[5]안양!$R$85</f>
        <v>94288.242529765717</v>
      </c>
      <c r="N12" s="449">
        <f t="shared" si="2"/>
        <v>-6315.4132841877727</v>
      </c>
      <c r="O12" s="74">
        <f>+[5]안양!$K$86/1000</f>
        <v>-246.64846581395346</v>
      </c>
      <c r="P12" s="446">
        <f>+[5]안양!$Q$50</f>
        <v>83443.848254817029</v>
      </c>
      <c r="Q12" s="447">
        <f>+[5]안양!$R$50</f>
        <v>87662.819698559339</v>
      </c>
      <c r="R12" s="449">
        <f t="shared" si="3"/>
        <v>4218.9714437423099</v>
      </c>
      <c r="S12" s="74">
        <f>+[5]안양!$L$56/1000</f>
        <v>-164.81464749812847</v>
      </c>
      <c r="T12" s="446">
        <f>+([5]안양!$H$80+[5]안양!$H$85)/1000</f>
        <v>95.718038444444431</v>
      </c>
      <c r="U12" s="447">
        <f>+([5]안양!$I$80+[5]안양!$I$85)/1000</f>
        <v>107.29189891</v>
      </c>
      <c r="V12" s="449">
        <f t="shared" si="4"/>
        <v>11.573860465555569</v>
      </c>
      <c r="W12" s="74">
        <f>+([5]안양!$L$80+[5]안양!$L$85)/1000</f>
        <v>-11.573860465555565</v>
      </c>
      <c r="Y12" s="6">
        <f t="shared" si="5"/>
        <v>-2.4513724383723456E-13</v>
      </c>
      <c r="Z12" s="6">
        <f t="shared" si="6"/>
        <v>-2.4513724383723456E-7</v>
      </c>
    </row>
    <row r="13" spans="4:26" ht="24" customHeight="1" x14ac:dyDescent="0.3">
      <c r="D13" s="474" t="s">
        <v>23</v>
      </c>
      <c r="E13" s="451">
        <f>+[5]인천!$H$86/1000</f>
        <v>599.2495768617307</v>
      </c>
      <c r="F13" s="452">
        <f>+[5]인천!$I$86/1000</f>
        <v>63.89365999999972</v>
      </c>
      <c r="G13" s="188">
        <f t="shared" si="0"/>
        <v>-535.35591686173098</v>
      </c>
      <c r="H13" s="451">
        <f>+[5]인천!$T$5/1000</f>
        <v>35</v>
      </c>
      <c r="I13" s="452">
        <f>+[5]인천!$U$5/1000</f>
        <v>26.460999999999999</v>
      </c>
      <c r="J13" s="164">
        <f t="shared" si="1"/>
        <v>-8.5390000000000015</v>
      </c>
      <c r="K13" s="453">
        <f>+[5]인천!$M$86/1000</f>
        <v>-169.51262174746381</v>
      </c>
      <c r="L13" s="451">
        <f>+[5]인천!$Q$85</f>
        <v>106575.59171428572</v>
      </c>
      <c r="M13" s="452">
        <f>+[5]인천!$R$85</f>
        <v>96693.589131174173</v>
      </c>
      <c r="N13" s="164">
        <f t="shared" si="2"/>
        <v>-9882.002583111549</v>
      </c>
      <c r="O13" s="453">
        <f>+[5]인천!$K$86/1000</f>
        <v>-261.48767035171471</v>
      </c>
      <c r="P13" s="451">
        <f>+[5]인천!$Q$50</f>
        <v>86724.01404155312</v>
      </c>
      <c r="Q13" s="452">
        <f>+[5]인천!$R$50</f>
        <v>90571.869455383028</v>
      </c>
      <c r="R13" s="164">
        <f t="shared" si="3"/>
        <v>3847.8554138299078</v>
      </c>
      <c r="S13" s="453">
        <f>+[5]인천!$L$56/1000</f>
        <v>-102.31485676646348</v>
      </c>
      <c r="T13" s="451">
        <f>+([5]인천!$H$80+[5]인천!$H$85)/1000</f>
        <v>95.555641683911119</v>
      </c>
      <c r="U13" s="452">
        <f>+([5]인천!$I$80+[5]인천!$I$85)/1000</f>
        <v>97.596409680000008</v>
      </c>
      <c r="V13" s="164">
        <f t="shared" si="4"/>
        <v>2.0407679960888885</v>
      </c>
      <c r="W13" s="453">
        <f>+([5]인천!$L$80+[5]인천!$L$85)/1000</f>
        <v>-2.0407679960888783</v>
      </c>
      <c r="Y13" s="6">
        <f t="shared" si="5"/>
        <v>-9.5479180117763462E-14</v>
      </c>
      <c r="Z13" s="6">
        <f t="shared" si="6"/>
        <v>-9.5479180117763462E-8</v>
      </c>
    </row>
    <row r="14" spans="4:26" ht="24" customHeight="1" x14ac:dyDescent="0.3">
      <c r="D14" s="474" t="s">
        <v>24</v>
      </c>
      <c r="E14" s="451">
        <f>+[5]파주!$H$86/1000</f>
        <v>344.80582693650706</v>
      </c>
      <c r="F14" s="452">
        <f>+[5]파주!$I$86/1000</f>
        <v>73.44867799999983</v>
      </c>
      <c r="G14" s="188">
        <f t="shared" si="0"/>
        <v>-271.3571489365072</v>
      </c>
      <c r="H14" s="451">
        <f>+[5]파주!$T$5/1000</f>
        <v>24</v>
      </c>
      <c r="I14" s="452">
        <f>+[5]파주!$U$5/1000</f>
        <v>26.27</v>
      </c>
      <c r="J14" s="164">
        <f t="shared" si="1"/>
        <v>2.2699999999999996</v>
      </c>
      <c r="K14" s="453">
        <f>+[5]파주!$M$86/1000</f>
        <v>36.715605052547531</v>
      </c>
      <c r="L14" s="451">
        <f>+[5]파주!$Q$85</f>
        <v>100349.30116849944</v>
      </c>
      <c r="M14" s="452">
        <f>+[5]파주!$R$85</f>
        <v>88417.961797580763</v>
      </c>
      <c r="N14" s="164">
        <f t="shared" si="2"/>
        <v>-11931.339370918678</v>
      </c>
      <c r="O14" s="453">
        <f>+[5]파주!$K$86/1000</f>
        <v>-311.69430972587958</v>
      </c>
      <c r="P14" s="451">
        <f>+[5]파주!$Q$50</f>
        <v>83263.799731330146</v>
      </c>
      <c r="Q14" s="452">
        <f>+[5]파주!$R$50</f>
        <v>82953.745980707419</v>
      </c>
      <c r="R14" s="164">
        <f t="shared" si="3"/>
        <v>-310.05375062272651</v>
      </c>
      <c r="S14" s="453">
        <f>+[5]파주!$L$56/1000</f>
        <v>8.0998328912690098</v>
      </c>
      <c r="T14" s="451">
        <f>+([5]파주!$H$80+[5]파주!$H$85)/1000</f>
        <v>65.246207555555557</v>
      </c>
      <c r="U14" s="452">
        <f>+([5]파주!$I$80+[5]파주!$I$85)/1000</f>
        <v>69.724484709999999</v>
      </c>
      <c r="V14" s="164">
        <f t="shared" si="4"/>
        <v>4.4782771544444415</v>
      </c>
      <c r="W14" s="453">
        <f>+([5]파주!$L$80+[5]파주!$L$85)/1000</f>
        <v>-4.4782771544444477</v>
      </c>
      <c r="Y14" s="6">
        <f t="shared" si="5"/>
        <v>2.9753977059954195E-13</v>
      </c>
      <c r="Z14" s="6">
        <f t="shared" si="6"/>
        <v>2.9753977059954195E-7</v>
      </c>
    </row>
    <row r="15" spans="4:26" ht="24" customHeight="1" x14ac:dyDescent="0.3">
      <c r="D15" s="474" t="s">
        <v>178</v>
      </c>
      <c r="E15" s="451">
        <f>+[5]김포!$H$86/1000</f>
        <v>304.33330680435051</v>
      </c>
      <c r="F15" s="452">
        <f>+[5]김포!$I$86/1000</f>
        <v>74.662069000000059</v>
      </c>
      <c r="G15" s="188">
        <f t="shared" si="0"/>
        <v>-229.67123780435045</v>
      </c>
      <c r="H15" s="451">
        <f>+[5]김포!$T$5/1000</f>
        <v>19.5</v>
      </c>
      <c r="I15" s="452">
        <f>+[5]김포!$U$5/1000</f>
        <v>12.124000000000001</v>
      </c>
      <c r="J15" s="164">
        <f t="shared" si="1"/>
        <v>-7.3759999999999994</v>
      </c>
      <c r="K15" s="453">
        <f>+[5]김포!$M$86/1000</f>
        <v>-135.66510540501423</v>
      </c>
      <c r="L15" s="451">
        <f>+[5]김포!$Q$85</f>
        <v>96757.666666666672</v>
      </c>
      <c r="M15" s="452">
        <f>+[5]김포!$R$85</f>
        <v>94775.701418673707</v>
      </c>
      <c r="N15" s="164">
        <f t="shared" si="2"/>
        <v>-1981.9652479929646</v>
      </c>
      <c r="O15" s="453">
        <f>+[5]김포!$K$86/1000</f>
        <v>-24.029346666666701</v>
      </c>
      <c r="P15" s="451">
        <f>+[5]김포!$Q$50</f>
        <v>78364.892072711373</v>
      </c>
      <c r="Q15" s="462">
        <f>+[5]김포!$R$50</f>
        <v>84094.687644341815</v>
      </c>
      <c r="R15" s="164">
        <f t="shared" si="3"/>
        <v>5729.7955716304423</v>
      </c>
      <c r="S15" s="453">
        <f>+[5]김포!$L$56/1000</f>
        <v>-69.468033220447268</v>
      </c>
      <c r="T15" s="451">
        <f>+([5]김포!$H$80+[5]김포!$H$85)/1000</f>
        <v>54.325797777777773</v>
      </c>
      <c r="U15" s="452">
        <f>+([5]김포!$I$80+[5]김포!$I$85)/1000</f>
        <v>54.834550289999996</v>
      </c>
      <c r="V15" s="164">
        <f t="shared" si="4"/>
        <v>0.50875251222222317</v>
      </c>
      <c r="W15" s="453">
        <f>+([5]김포!$L$80+[5]김포!$L$85)/1000</f>
        <v>-0.50875251222222184</v>
      </c>
      <c r="Y15" s="6">
        <f t="shared" si="5"/>
        <v>-3.6859404417555197E-14</v>
      </c>
      <c r="Z15" s="6">
        <f t="shared" si="6"/>
        <v>-3.6859404417555197E-8</v>
      </c>
    </row>
    <row r="16" spans="4:26" ht="24" customHeight="1" x14ac:dyDescent="0.3">
      <c r="D16" s="475" t="s">
        <v>25</v>
      </c>
      <c r="E16" s="454">
        <f>+[5]부산!$H$86/1000</f>
        <v>419.18794379081339</v>
      </c>
      <c r="F16" s="455">
        <f>+[5]부산!$I$86/1000</f>
        <v>57.651192999999957</v>
      </c>
      <c r="G16" s="456">
        <f t="shared" si="0"/>
        <v>-361.53675079081341</v>
      </c>
      <c r="H16" s="454">
        <f>+[5]부산!$T$5/1000</f>
        <v>24</v>
      </c>
      <c r="I16" s="455">
        <f>+[5]부산!$U$5/1000</f>
        <v>16.751999999999999</v>
      </c>
      <c r="J16" s="457">
        <f t="shared" si="1"/>
        <v>-7.2480000000000011</v>
      </c>
      <c r="K16" s="458">
        <f>+[5]부산!$M$86/1000</f>
        <v>-156.97575346349237</v>
      </c>
      <c r="L16" s="454">
        <f>+[5]부산!$Q$85</f>
        <v>107600.1399375</v>
      </c>
      <c r="M16" s="455">
        <f>+[5]부산!$R$85</f>
        <v>103210.43218720151</v>
      </c>
      <c r="N16" s="457">
        <f t="shared" si="2"/>
        <v>-4389.7077502984903</v>
      </c>
      <c r="O16" s="458">
        <f>+[5]부산!$K$86/1000</f>
        <v>-73.536384233000305</v>
      </c>
      <c r="P16" s="454">
        <f>+[5]부산!$Q$50</f>
        <v>85942.337307327238</v>
      </c>
      <c r="Q16" s="455">
        <f>+[5]부산!$R$50</f>
        <v>93574.291450390781</v>
      </c>
      <c r="R16" s="457">
        <f t="shared" si="3"/>
        <v>7631.9541430635436</v>
      </c>
      <c r="S16" s="458">
        <f>+[5]부산!$L$56/1000</f>
        <v>-102.06910121765442</v>
      </c>
      <c r="T16" s="454">
        <f>+([5]부산!$H$80+[5]부산!$H$85)/1000</f>
        <v>100.59931933333334</v>
      </c>
      <c r="U16" s="455">
        <f>+([5]부산!$I$80+[5]부산!$I$85)/1000</f>
        <v>129.55483120999997</v>
      </c>
      <c r="V16" s="457">
        <f t="shared" si="4"/>
        <v>28.955511876666634</v>
      </c>
      <c r="W16" s="458">
        <f>+([5]부산!$L$80+[5]부산!$L$85)/1000</f>
        <v>-28.955511876666655</v>
      </c>
      <c r="Y16" s="6">
        <f t="shared" si="5"/>
        <v>3.4816594052244909E-13</v>
      </c>
      <c r="Z16" s="6">
        <f t="shared" si="6"/>
        <v>3.4816594052244909E-7</v>
      </c>
    </row>
    <row r="17" spans="4:26" ht="24" customHeight="1" x14ac:dyDescent="0.3">
      <c r="D17" s="474" t="s">
        <v>26</v>
      </c>
      <c r="E17" s="451">
        <f>+[5]서부산!$H$86/1000</f>
        <v>490.26668348662434</v>
      </c>
      <c r="F17" s="452">
        <f>+[5]서부산!$I$86/1000</f>
        <v>132.60605799999979</v>
      </c>
      <c r="G17" s="188">
        <f t="shared" si="0"/>
        <v>-357.66062548662455</v>
      </c>
      <c r="H17" s="451">
        <f>+[5]서부산!$T$5/1000</f>
        <v>26</v>
      </c>
      <c r="I17" s="452">
        <f>+[5]서부산!$U$5/1000</f>
        <v>19.663</v>
      </c>
      <c r="J17" s="164">
        <f t="shared" si="1"/>
        <v>-6.3369999999999997</v>
      </c>
      <c r="K17" s="453">
        <f>+[5]서부산!$M$86/1000</f>
        <v>-138.50289788944286</v>
      </c>
      <c r="L17" s="451">
        <f>+[5]서부산!$Q$85</f>
        <v>104577.05846153846</v>
      </c>
      <c r="M17" s="452">
        <f>+[5]서부산!$R$85</f>
        <v>94876.26084524233</v>
      </c>
      <c r="N17" s="164">
        <f t="shared" si="2"/>
        <v>-9700.7976162961277</v>
      </c>
      <c r="O17" s="453">
        <f>+[5]서부산!$K$86/1000</f>
        <v>-190.74678352923075</v>
      </c>
      <c r="P17" s="451">
        <f>+[5]서부산!$Q$50</f>
        <v>82720.833451369137</v>
      </c>
      <c r="Q17" s="452">
        <f>+[5]서부산!$R$50</f>
        <v>83492.103279086718</v>
      </c>
      <c r="R17" s="164">
        <f t="shared" si="3"/>
        <v>771.26982771758048</v>
      </c>
      <c r="S17" s="453">
        <f>+[5]서부산!$L$56/1000</f>
        <v>-3.0360354957285396</v>
      </c>
      <c r="T17" s="451">
        <f>+([5]서부산!$H$80+[5]서부산!$H$85)/1000</f>
        <v>77.995166777777783</v>
      </c>
      <c r="U17" s="452">
        <f>+([5]서부산!$I$80+[5]서부산!$I$85)/1000</f>
        <v>103.37007534999999</v>
      </c>
      <c r="V17" s="164">
        <f t="shared" si="4"/>
        <v>25.374908572222211</v>
      </c>
      <c r="W17" s="453">
        <f>+([5]서부산!$L$80+[5]서부산!$L$85)/1000</f>
        <v>-25.374908572222221</v>
      </c>
      <c r="Y17" s="6">
        <f t="shared" si="5"/>
        <v>-1.7408297026122455E-13</v>
      </c>
      <c r="Z17" s="6">
        <f t="shared" si="6"/>
        <v>-1.7408297026122455E-7</v>
      </c>
    </row>
    <row r="18" spans="4:26" ht="24" customHeight="1" x14ac:dyDescent="0.3">
      <c r="D18" s="474" t="s">
        <v>27</v>
      </c>
      <c r="E18" s="451">
        <f>+[5]김해!$H$86/1000</f>
        <v>172.8545888204782</v>
      </c>
      <c r="F18" s="452">
        <f>+[5]김해!$I$86/1000</f>
        <v>10.39804699999997</v>
      </c>
      <c r="G18" s="188">
        <f t="shared" si="0"/>
        <v>-162.45654182047824</v>
      </c>
      <c r="H18" s="451">
        <f>+[5]김해!$T$5/1000</f>
        <v>13</v>
      </c>
      <c r="I18" s="452">
        <f>+[5]김해!$U$5/1000</f>
        <v>13.654999999999999</v>
      </c>
      <c r="J18" s="164">
        <f t="shared" si="1"/>
        <v>0.65499999999999936</v>
      </c>
      <c r="K18" s="453">
        <f>+[5]김해!$M$86/1000</f>
        <v>11.127724648433498</v>
      </c>
      <c r="L18" s="451">
        <f>+[5]김해!$Q$85</f>
        <v>101000</v>
      </c>
      <c r="M18" s="452">
        <f>+[5]김해!$R$85</f>
        <v>90368.87586964482</v>
      </c>
      <c r="N18" s="164">
        <f t="shared" si="2"/>
        <v>-10631.12413035518</v>
      </c>
      <c r="O18" s="453">
        <f>+[5]김해!$K$86/1000</f>
        <v>-145.16799999999998</v>
      </c>
      <c r="P18" s="451">
        <f>+[5]김해!$Q$50</f>
        <v>84011.107406971743</v>
      </c>
      <c r="Q18" s="452">
        <f>+[5]김해!$R$50</f>
        <v>85670.301720981312</v>
      </c>
      <c r="R18" s="164">
        <f t="shared" si="3"/>
        <v>1659.1943140095682</v>
      </c>
      <c r="S18" s="453">
        <f>+[5]김해!$L$56/1000</f>
        <v>-18.576577657800652</v>
      </c>
      <c r="T18" s="451">
        <f>+([5]김해!$H$80+[5]김해!$H$85)/1000</f>
        <v>48.001014888888889</v>
      </c>
      <c r="U18" s="452">
        <f>+([5]김해!$I$80+[5]김해!$I$85)/1000</f>
        <v>57.840703700000006</v>
      </c>
      <c r="V18" s="164">
        <f t="shared" si="4"/>
        <v>9.8396888111111167</v>
      </c>
      <c r="W18" s="453">
        <f>+([5]김해!$L$80+[5]김해!$L$85)/1000</f>
        <v>-9.8396888111111114</v>
      </c>
      <c r="Y18" s="6">
        <f t="shared" si="5"/>
        <v>1.9539925233402755E-14</v>
      </c>
      <c r="Z18" s="6">
        <f t="shared" si="6"/>
        <v>1.9539925233402755E-8</v>
      </c>
    </row>
    <row r="19" spans="4:26" ht="24" customHeight="1" x14ac:dyDescent="0.3">
      <c r="D19" s="474" t="s">
        <v>28</v>
      </c>
      <c r="E19" s="451">
        <f>+[5]정관!$H$86/1000</f>
        <v>269.83511823641049</v>
      </c>
      <c r="F19" s="452">
        <f>+[5]정관!$I$86/1000</f>
        <v>142.76762600000006</v>
      </c>
      <c r="G19" s="188">
        <f t="shared" si="0"/>
        <v>-127.06749223641043</v>
      </c>
      <c r="H19" s="451">
        <f>+[5]정관!$T$5/1000</f>
        <v>18</v>
      </c>
      <c r="I19" s="452">
        <f>+[5]정관!$U$5/1000</f>
        <v>21.756</v>
      </c>
      <c r="J19" s="164">
        <f t="shared" si="1"/>
        <v>3.7560000000000002</v>
      </c>
      <c r="K19" s="453">
        <f>+[5]정관!$M$86/1000</f>
        <v>71.070928921627228</v>
      </c>
      <c r="L19" s="451">
        <f>+[5]정관!$Q$85</f>
        <v>104000</v>
      </c>
      <c r="M19" s="452">
        <f>+[5]정관!$R$85</f>
        <v>97536.80465159037</v>
      </c>
      <c r="N19" s="164">
        <f t="shared" si="2"/>
        <v>-6463.1953484096302</v>
      </c>
      <c r="O19" s="453">
        <f>+[5]정관!$K$86/1000</f>
        <v>-140.61327799999989</v>
      </c>
      <c r="P19" s="451">
        <f>+[5]정관!$Q$50</f>
        <v>85078.027443656203</v>
      </c>
      <c r="Q19" s="452">
        <f>+[5]정관!$R$50</f>
        <v>87376.99940262844</v>
      </c>
      <c r="R19" s="164">
        <f t="shared" si="3"/>
        <v>2298.9719589722372</v>
      </c>
      <c r="S19" s="453">
        <f>+[5]정관!$L$56/1000</f>
        <v>-42.96471694581539</v>
      </c>
      <c r="T19" s="451">
        <f>+([5]정관!$H$80+[5]정관!$H$85)/1000</f>
        <v>70.76038777777778</v>
      </c>
      <c r="U19" s="452">
        <f>+([5]정관!$I$80+[5]정관!$I$85)/1000</f>
        <v>85.320813989999991</v>
      </c>
      <c r="V19" s="164">
        <f t="shared" si="4"/>
        <v>14.560426212222211</v>
      </c>
      <c r="W19" s="453">
        <f>+([5]정관!$L$80+[5]정관!$L$85)/1000</f>
        <v>-14.560426212222218</v>
      </c>
      <c r="Y19" s="6">
        <f t="shared" si="5"/>
        <v>-1.5631940186722204E-13</v>
      </c>
      <c r="Z19" s="6">
        <f t="shared" si="6"/>
        <v>-1.5631940186722204E-7</v>
      </c>
    </row>
    <row r="20" spans="4:26" ht="24" customHeight="1" x14ac:dyDescent="0.3">
      <c r="D20" s="474" t="s">
        <v>29</v>
      </c>
      <c r="E20" s="451">
        <f>+[5]양산!$H$86/1000</f>
        <v>183.28794613261897</v>
      </c>
      <c r="F20" s="452">
        <f>+[5]양산!$I$86/1000</f>
        <v>152.35461799999996</v>
      </c>
      <c r="G20" s="188">
        <f t="shared" si="0"/>
        <v>-30.93332813261901</v>
      </c>
      <c r="H20" s="451">
        <f>+[5]양산!$T$5/1000</f>
        <v>12</v>
      </c>
      <c r="I20" s="452">
        <f>+[5]양산!$U$5/1000</f>
        <v>13.907999999999999</v>
      </c>
      <c r="J20" s="164">
        <f t="shared" si="1"/>
        <v>1.9079999999999995</v>
      </c>
      <c r="K20" s="453">
        <f>+[5]양산!$M$86/1000</f>
        <v>36.453407564753086</v>
      </c>
      <c r="L20" s="451">
        <f>+[5]양산!$Q$85</f>
        <v>97210.152500000026</v>
      </c>
      <c r="M20" s="452">
        <f>+[5]양산!$R$85</f>
        <v>94125.48173712971</v>
      </c>
      <c r="N20" s="164">
        <f t="shared" si="2"/>
        <v>-3084.6707628703152</v>
      </c>
      <c r="O20" s="453">
        <f>+[5]양산!$K$86/1000</f>
        <v>-42.901600970000338</v>
      </c>
      <c r="P20" s="451">
        <f>+[5]양산!$Q$50</f>
        <v>78104.592979689201</v>
      </c>
      <c r="Q20" s="452">
        <f>+[5]양산!$R$50</f>
        <v>79882.262870290491</v>
      </c>
      <c r="R20" s="164">
        <f t="shared" si="3"/>
        <v>1777.6698906012898</v>
      </c>
      <c r="S20" s="453">
        <f>+[5]양산!$L$56/1000</f>
        <v>-24.723808548482761</v>
      </c>
      <c r="T20" s="451">
        <f>+([5]양산!$H$80+[5]양산!$H$85)/1000</f>
        <v>45.978768111111116</v>
      </c>
      <c r="U20" s="452">
        <f>+([5]양산!$I$80+[5]양산!$I$85)/1000</f>
        <v>45.740094289999995</v>
      </c>
      <c r="V20" s="164">
        <f t="shared" si="4"/>
        <v>-0.23867382111112079</v>
      </c>
      <c r="W20" s="453">
        <f>+([5]양산!$L$80+[5]양산!$L$85)/1000</f>
        <v>0.23867382111111271</v>
      </c>
      <c r="Y20" s="6">
        <f t="shared" si="5"/>
        <v>-1.1626810625386952E-13</v>
      </c>
      <c r="Z20" s="6">
        <f t="shared" si="6"/>
        <v>-1.1626810625386952E-7</v>
      </c>
    </row>
    <row r="21" spans="4:26" ht="24" customHeight="1" x14ac:dyDescent="0.3">
      <c r="D21" s="474" t="s">
        <v>30</v>
      </c>
      <c r="E21" s="451">
        <f>+[5]창원!$H$86/1000</f>
        <v>309.65578880583422</v>
      </c>
      <c r="F21" s="452">
        <f>+[5]창원!$I$86/1000</f>
        <v>76.578861000000131</v>
      </c>
      <c r="G21" s="188">
        <f t="shared" si="0"/>
        <v>-233.07692780583409</v>
      </c>
      <c r="H21" s="451">
        <f>+[5]창원!$T$5/1000</f>
        <v>17</v>
      </c>
      <c r="I21" s="452">
        <f>+[5]창원!$U$5/1000</f>
        <v>14.58</v>
      </c>
      <c r="J21" s="164">
        <f t="shared" si="1"/>
        <v>-2.42</v>
      </c>
      <c r="K21" s="453">
        <f>+[5]창원!$M$86/1000</f>
        <v>-54.338747004778241</v>
      </c>
      <c r="L21" s="451">
        <f>+[5]창원!$Q$85</f>
        <v>101745.11764705883</v>
      </c>
      <c r="M21" s="452">
        <f>+[5]창원!$R$85</f>
        <v>93119.705075445818</v>
      </c>
      <c r="N21" s="164">
        <f t="shared" si="2"/>
        <v>-8625.4125716130075</v>
      </c>
      <c r="O21" s="453">
        <f>+[5]창원!$K$86/1000</f>
        <v>-125.75851529411764</v>
      </c>
      <c r="P21" s="451">
        <f>+[5]창원!$Q$50</f>
        <v>79291.08995913394</v>
      </c>
      <c r="Q21" s="452">
        <f>+[5]창원!$R$50</f>
        <v>82382.022359396418</v>
      </c>
      <c r="R21" s="164">
        <f t="shared" si="3"/>
        <v>3090.932400262478</v>
      </c>
      <c r="S21" s="453">
        <f>+[5]창원!$L$56/1000</f>
        <v>-45.065781915826868</v>
      </c>
      <c r="T21" s="451">
        <f>+([5]창원!$H$80+[5]창원!$H$85)/1000</f>
        <v>72.062681888888875</v>
      </c>
      <c r="U21" s="452">
        <f>+([5]창원!$I$80+[5]창원!$I$85)/1000</f>
        <v>79.976565480000005</v>
      </c>
      <c r="V21" s="164">
        <f t="shared" si="4"/>
        <v>7.91388359111113</v>
      </c>
      <c r="W21" s="453">
        <f>+([5]창원!$L$80+[5]창원!$L$85)/1000</f>
        <v>-7.9138835911111105</v>
      </c>
      <c r="Y21" s="6">
        <f t="shared" si="5"/>
        <v>-2.2559731860383181E-13</v>
      </c>
      <c r="Z21" s="6">
        <f t="shared" si="6"/>
        <v>-2.2559731860383181E-7</v>
      </c>
    </row>
    <row r="22" spans="4:26" ht="24" customHeight="1" x14ac:dyDescent="0.3">
      <c r="D22" s="474" t="s">
        <v>95</v>
      </c>
      <c r="E22" s="451">
        <f>+[5]대구!$H$86/1000</f>
        <v>288.58164505486423</v>
      </c>
      <c r="F22" s="452">
        <f>+[5]대구!$I$86/1000</f>
        <v>100.63415100000014</v>
      </c>
      <c r="G22" s="188">
        <f t="shared" si="0"/>
        <v>-187.94749405486408</v>
      </c>
      <c r="H22" s="451">
        <f>+[5]대구!$T$5/1000</f>
        <v>16.5</v>
      </c>
      <c r="I22" s="452">
        <f>+[5]대구!$U$5/1000</f>
        <v>15.64</v>
      </c>
      <c r="J22" s="164">
        <f t="shared" si="1"/>
        <v>-0.85999999999999943</v>
      </c>
      <c r="K22" s="453">
        <f>+[5]대구!$M$86/1000</f>
        <v>-17.569113457903338</v>
      </c>
      <c r="L22" s="451">
        <f>+[5]대구!$Q$85</f>
        <v>97760</v>
      </c>
      <c r="M22" s="452">
        <f>+[5]대구!$R$85</f>
        <v>93698.609335038374</v>
      </c>
      <c r="N22" s="164">
        <f t="shared" si="2"/>
        <v>-4061.3906649616256</v>
      </c>
      <c r="O22" s="453">
        <f>+[5]대구!$K$86/1000</f>
        <v>-63.520149999999816</v>
      </c>
      <c r="P22" s="451">
        <f>+[5]대구!$Q$50</f>
        <v>77286.844816391487</v>
      </c>
      <c r="Q22" s="452">
        <f>+[5]대구!$R$50</f>
        <v>83818.868925831193</v>
      </c>
      <c r="R22" s="164">
        <f t="shared" si="3"/>
        <v>6532.0241094397061</v>
      </c>
      <c r="S22" s="453">
        <f>+[5]대구!$L$56/1000</f>
        <v>-102.16087432163711</v>
      </c>
      <c r="T22" s="451">
        <f>+([5]대구!$H$80+[5]대구!$H$85)/1000</f>
        <v>49.225415474676311</v>
      </c>
      <c r="U22" s="452">
        <f>+([5]대구!$I$80+[5]대구!$I$85)/1000</f>
        <v>53.922771750000003</v>
      </c>
      <c r="V22" s="164">
        <f t="shared" si="4"/>
        <v>4.6973562753236919</v>
      </c>
      <c r="W22" s="453">
        <f>+([5]대구!$L$80+[5]대구!$L$85)/1000</f>
        <v>-4.6973562753236937</v>
      </c>
      <c r="Y22" s="6">
        <f t="shared" si="5"/>
        <v>-1.1901590823981678E-13</v>
      </c>
      <c r="Z22" s="6">
        <f t="shared" si="6"/>
        <v>-1.1901590823981678E-7</v>
      </c>
    </row>
    <row r="23" spans="4:26" ht="24" customHeight="1" x14ac:dyDescent="0.3">
      <c r="D23" s="474" t="s">
        <v>97</v>
      </c>
      <c r="E23" s="451">
        <f>+[5]울산!$H$86/1000</f>
        <v>130.01696896612958</v>
      </c>
      <c r="F23" s="452">
        <f>+[5]울산!$I$86/1000</f>
        <v>157.77048399999995</v>
      </c>
      <c r="G23" s="188">
        <f t="shared" si="0"/>
        <v>27.753515033870372</v>
      </c>
      <c r="H23" s="451">
        <f>+[5]울산!$T$5/1000</f>
        <v>12</v>
      </c>
      <c r="I23" s="452">
        <f>+[5]울산!$U$5/1000</f>
        <v>14.266999999999999</v>
      </c>
      <c r="J23" s="164">
        <f t="shared" si="1"/>
        <v>2.2669999999999995</v>
      </c>
      <c r="K23" s="453">
        <f>+[5]울산!$M$86/1000</f>
        <v>31.839990854249482</v>
      </c>
      <c r="L23" s="451">
        <f>+[5]울산!$Q$85</f>
        <v>101124.125</v>
      </c>
      <c r="M23" s="452">
        <f>+[5]울산!$R$85</f>
        <v>99574.157145861085</v>
      </c>
      <c r="N23" s="164">
        <f t="shared" si="2"/>
        <v>-1549.9678541389148</v>
      </c>
      <c r="O23" s="453">
        <f>+[5]울산!$K$86/1000</f>
        <v>-22.1133913749999</v>
      </c>
      <c r="P23" s="451">
        <f>+[5]울산!$Q$50</f>
        <v>87079.135650970682</v>
      </c>
      <c r="Q23" s="452">
        <f>+[5]울산!$R$50</f>
        <v>85519.718971196315</v>
      </c>
      <c r="R23" s="164">
        <f t="shared" si="3"/>
        <v>-1559.4166797743674</v>
      </c>
      <c r="S23" s="453">
        <f>+[5]울산!$L$56/1000</f>
        <v>22.248588532398774</v>
      </c>
      <c r="T23" s="451">
        <f>+([5]울산!$H$80+[5]울산!$H$85)/1000</f>
        <v>38.522903222222226</v>
      </c>
      <c r="U23" s="452">
        <f>+([5]울산!$I$80+[5]울산!$I$85)/1000</f>
        <v>42.744576199999997</v>
      </c>
      <c r="V23" s="164">
        <f t="shared" si="4"/>
        <v>4.2216729777777715</v>
      </c>
      <c r="W23" s="453">
        <f>+([5]울산!$L$80+[5]울산!$L$85)/1000</f>
        <v>-4.2216729777777724</v>
      </c>
      <c r="Y23" s="6">
        <f t="shared" si="5"/>
        <v>-2.1227464230832993E-13</v>
      </c>
      <c r="Z23" s="6">
        <f t="shared" si="6"/>
        <v>-2.1227464230832993E-7</v>
      </c>
    </row>
    <row r="24" spans="4:26" ht="24" customHeight="1" x14ac:dyDescent="0.3">
      <c r="D24" s="475" t="s">
        <v>31</v>
      </c>
      <c r="E24" s="454">
        <f>+[5]아산!$H$86/1000</f>
        <v>443.55499477034937</v>
      </c>
      <c r="F24" s="455">
        <f>+[5]아산!$I$86/1000</f>
        <v>518.1411419999996</v>
      </c>
      <c r="G24" s="456">
        <f t="shared" si="0"/>
        <v>74.586147229650237</v>
      </c>
      <c r="H24" s="454">
        <f>+[5]아산!$T$5/1000</f>
        <v>28</v>
      </c>
      <c r="I24" s="455">
        <f>+[5]아산!$U$5/1000</f>
        <v>35.142499999999998</v>
      </c>
      <c r="J24" s="457">
        <f t="shared" si="1"/>
        <v>7.1424999999999983</v>
      </c>
      <c r="K24" s="458">
        <f>+[5]아산!$M$86/1000</f>
        <v>131.35064677651388</v>
      </c>
      <c r="L24" s="454">
        <f>+[5]아산!$Q$85</f>
        <v>101000.53571428572</v>
      </c>
      <c r="M24" s="455">
        <f>+[5]아산!$R$85</f>
        <v>97210.458376683528</v>
      </c>
      <c r="N24" s="457">
        <f t="shared" si="2"/>
        <v>-3790.0773376021971</v>
      </c>
      <c r="O24" s="458">
        <f>+[5]아산!$K$86/1000</f>
        <v>-132.96538819642907</v>
      </c>
      <c r="P24" s="454">
        <f>+[5]아산!$Q$50</f>
        <v>82505.562643122452</v>
      </c>
      <c r="Q24" s="455">
        <f>+[5]아산!$R$50</f>
        <v>80054.419524127821</v>
      </c>
      <c r="R24" s="457">
        <f t="shared" si="3"/>
        <v>-2451.1431189946306</v>
      </c>
      <c r="S24" s="458">
        <f>+[5]아산!$L$56/1000</f>
        <v>86.060964857343436</v>
      </c>
      <c r="T24" s="454">
        <f>+([5]아산!$H$80+[5]아산!$H$85)/1000</f>
        <v>74.30425122222222</v>
      </c>
      <c r="U24" s="455">
        <f>+([5]아산!$I$80+[5]아산!$I$85)/1000</f>
        <v>84.164327429999986</v>
      </c>
      <c r="V24" s="457">
        <f t="shared" si="4"/>
        <v>9.8600762077777659</v>
      </c>
      <c r="W24" s="458">
        <f>+([5]아산!$L$80+[5]아산!$L$85)/1000</f>
        <v>-9.8600762077777784</v>
      </c>
      <c r="Y24" s="6">
        <f t="shared" si="5"/>
        <v>-2.2915003228263231E-13</v>
      </c>
      <c r="Z24" s="6">
        <f t="shared" si="6"/>
        <v>-2.2915003228263231E-7</v>
      </c>
    </row>
    <row r="25" spans="4:26" ht="24" customHeight="1" x14ac:dyDescent="0.3">
      <c r="D25" s="474" t="s">
        <v>34</v>
      </c>
      <c r="E25" s="451">
        <f>+[5]전주!$H$86/1000</f>
        <v>228.75891572308012</v>
      </c>
      <c r="F25" s="452">
        <f>+[5]전주!$I$86/1000</f>
        <v>51.295807000000089</v>
      </c>
      <c r="G25" s="188">
        <f t="shared" si="0"/>
        <v>-177.46310872308004</v>
      </c>
      <c r="H25" s="451">
        <f>+[5]전주!$T$5/1000</f>
        <v>13</v>
      </c>
      <c r="I25" s="452">
        <f>+[5]전주!$U$5/1000</f>
        <v>9.6694999999999993</v>
      </c>
      <c r="J25" s="164">
        <f t="shared" si="1"/>
        <v>-3.3305000000000007</v>
      </c>
      <c r="K25" s="453">
        <f>+[5]전주!$M$86/1000</f>
        <v>-70.942224320157891</v>
      </c>
      <c r="L25" s="451">
        <f>+[5]전주!$Q$85</f>
        <v>101544.67384615388</v>
      </c>
      <c r="M25" s="452">
        <f>+[5]전주!$R$85</f>
        <v>95264.477480738409</v>
      </c>
      <c r="N25" s="164">
        <f t="shared" si="2"/>
        <v>-6280.1963654154679</v>
      </c>
      <c r="O25" s="453">
        <f>+[5]전주!$K$86/1000</f>
        <v>-60.726358755384872</v>
      </c>
      <c r="P25" s="451">
        <f>+[5]전주!$Q$50</f>
        <v>80243.900893096419</v>
      </c>
      <c r="Q25" s="452">
        <f>+[5]전주!$R$50</f>
        <v>84115.648482341378</v>
      </c>
      <c r="R25" s="164">
        <f t="shared" si="3"/>
        <v>3871.7475892449584</v>
      </c>
      <c r="S25" s="453">
        <f>+[5]전주!$L$56/1000</f>
        <v>-37.437849994204072</v>
      </c>
      <c r="T25" s="451">
        <f>+([5]전주!$H$80+[5]전주!$H$85)/1000</f>
        <v>48.151132666666669</v>
      </c>
      <c r="U25" s="452">
        <f>+([5]전주!$I$80+[5]전주!$I$85)/1000</f>
        <v>56.507808320000009</v>
      </c>
      <c r="V25" s="164">
        <f t="shared" si="4"/>
        <v>8.3566756533333404</v>
      </c>
      <c r="W25" s="453">
        <f>+([5]전주!$L$80+[5]전주!$L$85)/1000</f>
        <v>-8.3566756533333333</v>
      </c>
      <c r="Y25" s="6">
        <f t="shared" si="5"/>
        <v>1.2789769243681803E-13</v>
      </c>
      <c r="Z25" s="6">
        <f t="shared" si="6"/>
        <v>1.2789769243681803E-7</v>
      </c>
    </row>
    <row r="26" spans="4:26" ht="24" customHeight="1" x14ac:dyDescent="0.3">
      <c r="D26" s="450" t="s">
        <v>33</v>
      </c>
      <c r="E26" s="451">
        <f>+[5]군산!$H$86/1000</f>
        <v>200.39525161036039</v>
      </c>
      <c r="F26" s="452">
        <f>+[5]군산!$I$86/1000</f>
        <v>268.545388</v>
      </c>
      <c r="G26" s="188">
        <f t="shared" si="0"/>
        <v>68.150136389639613</v>
      </c>
      <c r="H26" s="451">
        <f>+[5]군산!$T$5/1000</f>
        <v>7</v>
      </c>
      <c r="I26" s="452">
        <f>+[5]군산!$U$5/1000</f>
        <v>9.0229999999999997</v>
      </c>
      <c r="J26" s="164">
        <f t="shared" si="1"/>
        <v>2.0229999999999997</v>
      </c>
      <c r="K26" s="453">
        <f>+[5]군산!$M$86/1000</f>
        <v>63.756095422505226</v>
      </c>
      <c r="L26" s="451">
        <f>+[5]군산!$Q$85</f>
        <v>108781.74385714284</v>
      </c>
      <c r="M26" s="452">
        <f>+[5]군산!$R$85</f>
        <v>111159.09896930068</v>
      </c>
      <c r="N26" s="164">
        <f t="shared" si="2"/>
        <v>2377.3551121578494</v>
      </c>
      <c r="O26" s="453">
        <f>+[5]군산!$K$86/1000</f>
        <v>21.450875177000274</v>
      </c>
      <c r="P26" s="451">
        <f>+[5]군산!$Q$50</f>
        <v>77266.125754075489</v>
      </c>
      <c r="Q26" s="452">
        <f>+[5]군산!$R$50</f>
        <v>78897.720270420046</v>
      </c>
      <c r="R26" s="164">
        <f t="shared" si="3"/>
        <v>1631.5945163445576</v>
      </c>
      <c r="S26" s="453">
        <f>+[5]군산!$L$56/1000</f>
        <v>-14.721869650976871</v>
      </c>
      <c r="T26" s="451">
        <f>+([5]군산!$H$80+[5]군산!$H$85)/1000</f>
        <v>20.214075111111111</v>
      </c>
      <c r="U26" s="452">
        <f>+([5]군산!$I$80+[5]군산!$I$85)/1000</f>
        <v>22.549039669999999</v>
      </c>
      <c r="V26" s="164">
        <f t="shared" si="4"/>
        <v>2.3349645588888883</v>
      </c>
      <c r="W26" s="453">
        <f>+([5]군산!$L$80+[5]군산!$L$85)/1000</f>
        <v>-2.3349645588888892</v>
      </c>
      <c r="Y26" s="6">
        <f t="shared" si="5"/>
        <v>-1.2700951401711791E-13</v>
      </c>
      <c r="Z26" s="6">
        <f t="shared" si="6"/>
        <v>-1.2700951401711791E-7</v>
      </c>
    </row>
    <row r="27" spans="4:26" ht="24" customHeight="1" x14ac:dyDescent="0.3">
      <c r="D27" s="450" t="s">
        <v>32</v>
      </c>
      <c r="E27" s="451">
        <f>+[5]원주!$H$86/1000</f>
        <v>123.06148888333351</v>
      </c>
      <c r="F27" s="452">
        <f>+[5]원주!$I$86/1000</f>
        <v>104.30830999999999</v>
      </c>
      <c r="G27" s="188">
        <f t="shared" si="0"/>
        <v>-18.753178883333518</v>
      </c>
      <c r="H27" s="451">
        <f>+[5]원주!$T$5/1000</f>
        <v>6</v>
      </c>
      <c r="I27" s="452">
        <f>+[5]원주!$U$5/1000</f>
        <v>5.5439999999999996</v>
      </c>
      <c r="J27" s="164">
        <f t="shared" si="1"/>
        <v>-0.45600000000000041</v>
      </c>
      <c r="K27" s="453">
        <f>+[5]원주!$M$86/1000</f>
        <v>-10.512784486244454</v>
      </c>
      <c r="L27" s="451">
        <f>+[5]원주!$Q$85</f>
        <v>107900</v>
      </c>
      <c r="M27" s="452">
        <f>+[5]원주!$R$85</f>
        <v>108943.59253246753</v>
      </c>
      <c r="N27" s="164">
        <f t="shared" si="2"/>
        <v>1043.5925324675336</v>
      </c>
      <c r="O27" s="453">
        <f>+[5]원주!$K$86/1000</f>
        <v>5.7856770000000068</v>
      </c>
      <c r="P27" s="451">
        <f>+[5]원주!$Q$50</f>
        <v>84845.648056481426</v>
      </c>
      <c r="Q27" s="452">
        <f>+[5]원주!$R$50</f>
        <v>86961.322510822516</v>
      </c>
      <c r="R27" s="164">
        <f t="shared" si="3"/>
        <v>2115.6744543410896</v>
      </c>
      <c r="S27" s="453">
        <f>+[5]원주!$L$56/1000</f>
        <v>-11.72928960486678</v>
      </c>
      <c r="T27" s="451">
        <f>+([5]원주!$H$80+[5]원주!$H$85)/1000</f>
        <v>15.264622777777779</v>
      </c>
      <c r="U27" s="452">
        <f>+([5]원주!$I$80+[5]원주!$I$85)/1000</f>
        <v>17.561404570000001</v>
      </c>
      <c r="V27" s="164">
        <f t="shared" si="4"/>
        <v>2.2967817922222213</v>
      </c>
      <c r="W27" s="453">
        <f>+([5]원주!$L$80+[5]원주!$L$85)/1000</f>
        <v>-2.2967817922222222</v>
      </c>
      <c r="Y27" s="6">
        <f t="shared" si="5"/>
        <v>-6.8389738316909643E-14</v>
      </c>
      <c r="Z27" s="6">
        <f t="shared" si="6"/>
        <v>-6.8389738316909643E-8</v>
      </c>
    </row>
    <row r="28" spans="4:26" ht="24" customHeight="1" thickBot="1" x14ac:dyDescent="0.35">
      <c r="D28" s="499" t="s">
        <v>35</v>
      </c>
      <c r="E28" s="522">
        <f>+[5]제주!$H$86/1000</f>
        <v>161.45188945150892</v>
      </c>
      <c r="F28" s="655">
        <f>+[5]제주!$I$86/1000</f>
        <v>4.7940700000000502</v>
      </c>
      <c r="G28" s="197">
        <f t="shared" si="0"/>
        <v>-156.65781945150886</v>
      </c>
      <c r="H28" s="522">
        <f>+[5]제주!$T$5/1000</f>
        <v>7</v>
      </c>
      <c r="I28" s="655">
        <f>+[5]제주!$U$5/1000</f>
        <v>3.0470000000000002</v>
      </c>
      <c r="J28" s="198">
        <f t="shared" si="1"/>
        <v>-3.9529999999999998</v>
      </c>
      <c r="K28" s="656">
        <f>+[5]제주!$M$86/1000</f>
        <v>-105.28773897145356</v>
      </c>
      <c r="L28" s="522">
        <f>+[5]제주!$Q$85</f>
        <v>126800</v>
      </c>
      <c r="M28" s="655">
        <f>+[5]제주!$R$85</f>
        <v>120254.04266491633</v>
      </c>
      <c r="N28" s="198">
        <f t="shared" si="2"/>
        <v>-6545.9573350836727</v>
      </c>
      <c r="O28" s="656">
        <f>+[5]제주!$K$86/1000</f>
        <v>-19.94553199999995</v>
      </c>
      <c r="P28" s="522">
        <f>+[5]제주!$Q$50</f>
        <v>100165.1052437507</v>
      </c>
      <c r="Q28" s="655">
        <f>+[5]제주!$R$50</f>
        <v>109877.25568551008</v>
      </c>
      <c r="R28" s="198">
        <f t="shared" si="3"/>
        <v>9712.1504417593824</v>
      </c>
      <c r="S28" s="656">
        <f>+[5]제주!$L$56/1000</f>
        <v>-30.017222012291636</v>
      </c>
      <c r="T28" s="522">
        <f>+([5]제주!$H$80+[5]제주!$H$85)/1000</f>
        <v>24.992373842236315</v>
      </c>
      <c r="U28" s="655">
        <f>+([5]제주!$I$80+[5]제주!$I$85)/1000</f>
        <v>26.39970031</v>
      </c>
      <c r="V28" s="198">
        <f t="shared" si="4"/>
        <v>1.407326467763685</v>
      </c>
      <c r="W28" s="656">
        <f>+([5]제주!$L$80+[5]제주!$L$85)/1000</f>
        <v>-1.4073264677636848</v>
      </c>
      <c r="Y28" s="6">
        <f t="shared" si="5"/>
        <v>-2.1538326677728037E-14</v>
      </c>
      <c r="Z28" s="6">
        <f t="shared" si="6"/>
        <v>-2.1538326677728037E-8</v>
      </c>
    </row>
    <row r="29" spans="4:26" ht="24" customHeight="1" x14ac:dyDescent="0.3"/>
    <row r="30" spans="4:26" ht="24" customHeight="1" x14ac:dyDescent="0.3"/>
    <row r="31" spans="4:26" ht="24" customHeight="1" x14ac:dyDescent="0.3"/>
    <row r="32" spans="4:26" ht="21.95" customHeight="1" x14ac:dyDescent="0.3">
      <c r="F32" s="591"/>
    </row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EF1B-105D-4AB3-9604-2DF289878442}">
  <sheetPr codeName="Sheet6">
    <tabColor theme="1" tint="0.249977111117893"/>
    <pageSetUpPr fitToPage="1"/>
  </sheetPr>
  <dimension ref="D1:V52"/>
  <sheetViews>
    <sheetView showGridLines="0" showZeros="0" view="pageBreakPreview" zoomScale="60" zoomScaleNormal="85" workbookViewId="0">
      <pane xSplit="4" ySplit="7" topLeftCell="E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183" t="s">
        <v>249</v>
      </c>
      <c r="F4" s="183"/>
      <c r="I4" s="183"/>
    </row>
    <row r="5" spans="4:22" ht="21.95" customHeight="1" x14ac:dyDescent="0.3">
      <c r="V5" s="185" t="s">
        <v>150</v>
      </c>
    </row>
    <row r="6" spans="4:22" ht="24" customHeight="1" thickBot="1" x14ac:dyDescent="0.35">
      <c r="D6" s="840" t="s">
        <v>11</v>
      </c>
      <c r="E6" s="438" t="s">
        <v>21</v>
      </c>
      <c r="F6" s="439"/>
      <c r="G6" s="440"/>
      <c r="H6" s="438" t="s">
        <v>45</v>
      </c>
      <c r="I6" s="439"/>
      <c r="J6" s="440"/>
      <c r="K6" s="438" t="s">
        <v>46</v>
      </c>
      <c r="L6" s="439"/>
      <c r="M6" s="440"/>
      <c r="N6" s="438" t="s">
        <v>103</v>
      </c>
      <c r="O6" s="439"/>
      <c r="P6" s="440"/>
      <c r="Q6" s="438" t="s">
        <v>104</v>
      </c>
      <c r="R6" s="439"/>
      <c r="S6" s="440"/>
      <c r="T6" s="438" t="s">
        <v>69</v>
      </c>
      <c r="U6" s="439"/>
      <c r="V6" s="440"/>
    </row>
    <row r="7" spans="4:22" ht="24" customHeight="1" x14ac:dyDescent="0.3">
      <c r="D7" s="841"/>
      <c r="E7" s="441" t="s">
        <v>12</v>
      </c>
      <c r="F7" s="442" t="s">
        <v>13</v>
      </c>
      <c r="G7" s="443" t="s">
        <v>36</v>
      </c>
      <c r="H7" s="441" t="s">
        <v>15</v>
      </c>
      <c r="I7" s="442" t="s">
        <v>16</v>
      </c>
      <c r="J7" s="443" t="s">
        <v>36</v>
      </c>
      <c r="K7" s="441" t="s">
        <v>15</v>
      </c>
      <c r="L7" s="442" t="s">
        <v>16</v>
      </c>
      <c r="M7" s="443" t="s">
        <v>36</v>
      </c>
      <c r="N7" s="441" t="s">
        <v>15</v>
      </c>
      <c r="O7" s="442" t="s">
        <v>16</v>
      </c>
      <c r="P7" s="443" t="s">
        <v>36</v>
      </c>
      <c r="Q7" s="441" t="s">
        <v>15</v>
      </c>
      <c r="R7" s="442" t="s">
        <v>16</v>
      </c>
      <c r="S7" s="443" t="s">
        <v>36</v>
      </c>
      <c r="T7" s="441" t="s">
        <v>15</v>
      </c>
      <c r="U7" s="442" t="s">
        <v>16</v>
      </c>
      <c r="V7" s="443" t="s">
        <v>36</v>
      </c>
    </row>
    <row r="8" spans="4:22" ht="24" customHeight="1" x14ac:dyDescent="0.3">
      <c r="D8" s="469" t="s">
        <v>47</v>
      </c>
      <c r="E8" s="459">
        <f>+[5]합계!$Q$85</f>
        <v>102819.17075870401</v>
      </c>
      <c r="F8" s="461">
        <f>+[5]합계!$R$85</f>
        <v>96197.561428846195</v>
      </c>
      <c r="G8" s="486">
        <f>+F8-E8</f>
        <v>-6621.6093298578198</v>
      </c>
      <c r="H8" s="459">
        <f>+[5]합계!$Q$20</f>
        <v>58676.852358245655</v>
      </c>
      <c r="I8" s="461">
        <f>+[5]합계!$R$20</f>
        <v>60753.463014811525</v>
      </c>
      <c r="J8" s="486">
        <f>+I8-H8</f>
        <v>2076.6106565658702</v>
      </c>
      <c r="K8" s="459">
        <f>+[5]합계!$Q$21</f>
        <v>18011.884831949319</v>
      </c>
      <c r="L8" s="461">
        <f>+[5]합계!$R$21</f>
        <v>17481.307255368014</v>
      </c>
      <c r="M8" s="486">
        <f>+L8-K8</f>
        <v>-530.57757658130504</v>
      </c>
      <c r="N8" s="459">
        <f>+[5]합계!$Q$22</f>
        <v>186.37850467289718</v>
      </c>
      <c r="O8" s="461">
        <f>+[5]합계!$R$22</f>
        <v>176.68041064066929</v>
      </c>
      <c r="P8" s="486">
        <f>+O8-N8</f>
        <v>-9.6980940322278855</v>
      </c>
      <c r="Q8" s="459">
        <f>H8+K8+N8</f>
        <v>76875.115694867884</v>
      </c>
      <c r="R8" s="461">
        <f>I8+L8+O8</f>
        <v>78411.450680820199</v>
      </c>
      <c r="S8" s="486">
        <f>+R8-Q8</f>
        <v>1536.334985952315</v>
      </c>
      <c r="T8" s="459">
        <f>+E8-Q8</f>
        <v>25944.055063836131</v>
      </c>
      <c r="U8" s="461">
        <f>+F8-R8</f>
        <v>17786.110748025996</v>
      </c>
      <c r="V8" s="486">
        <f>+U8-T8</f>
        <v>-8157.9443158101349</v>
      </c>
    </row>
    <row r="9" spans="4:22" ht="24" customHeight="1" x14ac:dyDescent="0.3">
      <c r="D9" s="470" t="s">
        <v>19</v>
      </c>
      <c r="E9" s="464">
        <f>+[5]수도권!$Q$85</f>
        <v>101656.46615674063</v>
      </c>
      <c r="F9" s="478">
        <f>+[5]수도권!$R$85</f>
        <v>93480.665857137355</v>
      </c>
      <c r="G9" s="487">
        <f t="shared" ref="G9:G28" si="0">+F9-E9</f>
        <v>-8175.8002996032737</v>
      </c>
      <c r="H9" s="464">
        <f>+[5]수도권!$Q$20</f>
        <v>60155.953458395932</v>
      </c>
      <c r="I9" s="478">
        <f>+[5]수도권!$R$20</f>
        <v>62383.295352295085</v>
      </c>
      <c r="J9" s="487">
        <f t="shared" ref="J9:J28" si="1">+I9-H9</f>
        <v>2227.3418938991526</v>
      </c>
      <c r="K9" s="464">
        <f>+[5]수도권!$Q$21</f>
        <v>17773.198647483117</v>
      </c>
      <c r="L9" s="478">
        <f>+[5]수도권!$R$21</f>
        <v>17931.829776008442</v>
      </c>
      <c r="M9" s="487">
        <f t="shared" ref="M9:M28" si="2">+L9-K9</f>
        <v>158.63112852532504</v>
      </c>
      <c r="N9" s="464">
        <f>+[5]수도권!$Q$22</f>
        <v>213.23045267489712</v>
      </c>
      <c r="O9" s="478">
        <f>+[5]수도권!$R$22</f>
        <v>181.32430332390047</v>
      </c>
      <c r="P9" s="487">
        <f t="shared" ref="P9:P28" si="3">+O9-N9</f>
        <v>-31.906149350996657</v>
      </c>
      <c r="Q9" s="464">
        <f t="shared" ref="Q9:Q28" si="4">H9+K9+N9</f>
        <v>78142.382558553945</v>
      </c>
      <c r="R9" s="478">
        <f t="shared" ref="R9:R28" si="5">I9+L9+O9</f>
        <v>80496.449431627421</v>
      </c>
      <c r="S9" s="487">
        <f t="shared" ref="S9:S28" si="6">+R9-Q9</f>
        <v>2354.066873073476</v>
      </c>
      <c r="T9" s="464">
        <f t="shared" ref="T9:T28" si="7">+E9-Q9</f>
        <v>23514.083598186684</v>
      </c>
      <c r="U9" s="478">
        <f t="shared" ref="U9:U28" si="8">+F9-R9</f>
        <v>12984.216425509934</v>
      </c>
      <c r="V9" s="487">
        <f t="shared" ref="V9:V28" si="9">+U9-T9</f>
        <v>-10529.86717267675</v>
      </c>
    </row>
    <row r="10" spans="4:22" ht="24" customHeight="1" x14ac:dyDescent="0.3">
      <c r="D10" s="471" t="s">
        <v>20</v>
      </c>
      <c r="E10" s="466">
        <f>+[5]영남권!$Q$85</f>
        <v>102592.96179422383</v>
      </c>
      <c r="F10" s="479">
        <f>+[5]영남권!$R$85</f>
        <v>96016.648996705597</v>
      </c>
      <c r="G10" s="488">
        <f t="shared" si="0"/>
        <v>-6576.3127975182288</v>
      </c>
      <c r="H10" s="466">
        <f>+[5]영남권!$Q$20</f>
        <v>57536.289172714489</v>
      </c>
      <c r="I10" s="479">
        <f>+[5]영남권!$R$20</f>
        <v>59233.844045440695</v>
      </c>
      <c r="J10" s="488">
        <f t="shared" si="1"/>
        <v>1697.5548727262067</v>
      </c>
      <c r="K10" s="466">
        <f>+[5]영남권!$Q$21</f>
        <v>18094.377476889873</v>
      </c>
      <c r="L10" s="479">
        <f>+[5]영남권!$R$21</f>
        <v>18788.641659042394</v>
      </c>
      <c r="M10" s="488">
        <f t="shared" si="2"/>
        <v>694.26418215252124</v>
      </c>
      <c r="N10" s="466">
        <f>+[5]영남권!$Q$22</f>
        <v>165.84837545126354</v>
      </c>
      <c r="O10" s="479">
        <f>+[5]영남권!$R$22</f>
        <v>169.27260597743214</v>
      </c>
      <c r="P10" s="488">
        <f t="shared" si="3"/>
        <v>3.4242305261685999</v>
      </c>
      <c r="Q10" s="466">
        <f t="shared" si="4"/>
        <v>75796.515025055618</v>
      </c>
      <c r="R10" s="479">
        <f t="shared" si="5"/>
        <v>78191.758310460515</v>
      </c>
      <c r="S10" s="488">
        <f t="shared" si="6"/>
        <v>2395.2432854048966</v>
      </c>
      <c r="T10" s="466">
        <f t="shared" si="7"/>
        <v>26796.446769168208</v>
      </c>
      <c r="U10" s="479">
        <f t="shared" si="8"/>
        <v>17824.890686245082</v>
      </c>
      <c r="V10" s="488">
        <f t="shared" si="9"/>
        <v>-8971.5560829231254</v>
      </c>
    </row>
    <row r="11" spans="4:22" ht="24" customHeight="1" x14ac:dyDescent="0.3">
      <c r="D11" s="472" t="s">
        <v>57</v>
      </c>
      <c r="E11" s="467">
        <f>+[5]중부권!$Q$85</f>
        <v>105648.6551967213</v>
      </c>
      <c r="F11" s="480">
        <f>+[5]중부권!$R$85</f>
        <v>101095.65574191067</v>
      </c>
      <c r="G11" s="489">
        <f t="shared" si="0"/>
        <v>-4552.9994548106333</v>
      </c>
      <c r="H11" s="467">
        <f>+[5]중부권!$Q$20</f>
        <v>58320.413301324486</v>
      </c>
      <c r="I11" s="480">
        <f>+[5]중부권!$R$20</f>
        <v>61224.263098077514</v>
      </c>
      <c r="J11" s="489">
        <f t="shared" si="1"/>
        <v>2903.8497967530275</v>
      </c>
      <c r="K11" s="467">
        <f>+[5]중부권!$Q$21</f>
        <v>18300.001882578465</v>
      </c>
      <c r="L11" s="480">
        <f>+[5]중부권!$R$21</f>
        <v>13984.729634550431</v>
      </c>
      <c r="M11" s="489">
        <f t="shared" si="2"/>
        <v>-4315.2722480280336</v>
      </c>
      <c r="N11" s="467">
        <f>+[5]중부권!$Q$22</f>
        <v>179.50819672131146</v>
      </c>
      <c r="O11" s="480">
        <f>+[5]중부권!$R$22</f>
        <v>184.48411262825951</v>
      </c>
      <c r="P11" s="489">
        <f t="shared" si="3"/>
        <v>4.9759159069480461</v>
      </c>
      <c r="Q11" s="467">
        <f t="shared" si="4"/>
        <v>76799.923380624256</v>
      </c>
      <c r="R11" s="480">
        <f t="shared" si="5"/>
        <v>75393.476845256198</v>
      </c>
      <c r="S11" s="489">
        <f t="shared" si="6"/>
        <v>-1406.4465353680571</v>
      </c>
      <c r="T11" s="467">
        <f t="shared" si="7"/>
        <v>28848.731816097046</v>
      </c>
      <c r="U11" s="480">
        <f t="shared" si="8"/>
        <v>25702.17889665447</v>
      </c>
      <c r="V11" s="489">
        <f t="shared" si="9"/>
        <v>-3146.5529194425762</v>
      </c>
    </row>
    <row r="12" spans="4:22" ht="24" customHeight="1" x14ac:dyDescent="0.3">
      <c r="D12" s="484" t="s">
        <v>22</v>
      </c>
      <c r="E12" s="490">
        <f>+[5]안양!$Q$85</f>
        <v>100603.65581395349</v>
      </c>
      <c r="F12" s="491">
        <f>+[5]안양!$R$85</f>
        <v>94288.242529765717</v>
      </c>
      <c r="G12" s="492">
        <f t="shared" si="0"/>
        <v>-6315.4132841877727</v>
      </c>
      <c r="H12" s="490">
        <f>+[5]안양!$Q$20</f>
        <v>61296.130483870969</v>
      </c>
      <c r="I12" s="491">
        <f>+[5]안양!$R$20</f>
        <v>64357.861280994912</v>
      </c>
      <c r="J12" s="492">
        <f t="shared" si="1"/>
        <v>3061.7307971239425</v>
      </c>
      <c r="K12" s="490">
        <f>+[5]안양!$Q$21</f>
        <v>17102.679320685435</v>
      </c>
      <c r="L12" s="491">
        <f>+[5]안양!$R$21</f>
        <v>18177.096036234296</v>
      </c>
      <c r="M12" s="492">
        <f t="shared" si="2"/>
        <v>1074.4167155488612</v>
      </c>
      <c r="N12" s="490">
        <f>+[5]안양!$Q$22</f>
        <v>186.04651162790697</v>
      </c>
      <c r="O12" s="491">
        <f>+[5]안양!$R$22</f>
        <v>185.80073696870443</v>
      </c>
      <c r="P12" s="492">
        <f t="shared" si="3"/>
        <v>-0.24577465920253871</v>
      </c>
      <c r="Q12" s="490">
        <f t="shared" si="4"/>
        <v>78584.856316184305</v>
      </c>
      <c r="R12" s="491">
        <f t="shared" si="5"/>
        <v>82720.758054197926</v>
      </c>
      <c r="S12" s="492">
        <f t="shared" si="6"/>
        <v>4135.9017380136211</v>
      </c>
      <c r="T12" s="490">
        <f t="shared" si="7"/>
        <v>22018.799497769185</v>
      </c>
      <c r="U12" s="491">
        <f t="shared" si="8"/>
        <v>11567.484475567791</v>
      </c>
      <c r="V12" s="492">
        <f t="shared" si="9"/>
        <v>-10451.315022201394</v>
      </c>
    </row>
    <row r="13" spans="4:22" ht="24" customHeight="1" x14ac:dyDescent="0.3">
      <c r="D13" s="450" t="s">
        <v>23</v>
      </c>
      <c r="E13" s="493">
        <f>+[5]인천!$Q$85</f>
        <v>106575.59171428572</v>
      </c>
      <c r="F13" s="494">
        <f>+[5]인천!$R$85</f>
        <v>96693.589131174173</v>
      </c>
      <c r="G13" s="495">
        <f t="shared" si="0"/>
        <v>-9882.002583111549</v>
      </c>
      <c r="H13" s="493">
        <f>+[5]인천!$Q$20</f>
        <v>63476.241636707447</v>
      </c>
      <c r="I13" s="494">
        <f>+[5]인천!$R$20</f>
        <v>64645.172709710983</v>
      </c>
      <c r="J13" s="495">
        <f t="shared" si="1"/>
        <v>1168.9310730035359</v>
      </c>
      <c r="K13" s="493">
        <f>+[5]인천!$Q$21</f>
        <v>17607.206425135006</v>
      </c>
      <c r="L13" s="494">
        <f>+[5]인천!$R$21</f>
        <v>17646.290994873318</v>
      </c>
      <c r="M13" s="495">
        <f t="shared" si="2"/>
        <v>39.084569738311984</v>
      </c>
      <c r="N13" s="493">
        <f>+[5]인천!$Q$22</f>
        <v>314.28571428571428</v>
      </c>
      <c r="O13" s="494">
        <f>+[5]인천!$R$22</f>
        <v>266.67088936770932</v>
      </c>
      <c r="P13" s="495">
        <f t="shared" si="3"/>
        <v>-47.614824918004956</v>
      </c>
      <c r="Q13" s="493">
        <f t="shared" si="4"/>
        <v>81397.733776128167</v>
      </c>
      <c r="R13" s="494">
        <f t="shared" si="5"/>
        <v>82558.134593952011</v>
      </c>
      <c r="S13" s="495">
        <f t="shared" si="6"/>
        <v>1160.4008178238437</v>
      </c>
      <c r="T13" s="493">
        <f t="shared" si="7"/>
        <v>25177.857938157555</v>
      </c>
      <c r="U13" s="494">
        <f t="shared" si="8"/>
        <v>14135.454537222162</v>
      </c>
      <c r="V13" s="495">
        <f t="shared" si="9"/>
        <v>-11042.403400935393</v>
      </c>
    </row>
    <row r="14" spans="4:22" ht="24" customHeight="1" x14ac:dyDescent="0.3">
      <c r="D14" s="450" t="s">
        <v>24</v>
      </c>
      <c r="E14" s="493">
        <f>+[5]파주!$Q$85</f>
        <v>100349.30116849944</v>
      </c>
      <c r="F14" s="494">
        <f>+[5]파주!$R$85</f>
        <v>88417.961797580763</v>
      </c>
      <c r="G14" s="495">
        <f t="shared" si="0"/>
        <v>-11931.339370918678</v>
      </c>
      <c r="H14" s="493">
        <f>+[5]파주!$Q$20</f>
        <v>58112.062542473119</v>
      </c>
      <c r="I14" s="494">
        <f>+[5]파주!$R$20</f>
        <v>59116.1391058031</v>
      </c>
      <c r="J14" s="495">
        <f t="shared" si="1"/>
        <v>1004.0765633299816</v>
      </c>
      <c r="K14" s="493">
        <f>+[5]파주!$Q$21</f>
        <v>18617.623749999999</v>
      </c>
      <c r="L14" s="494">
        <f>+[5]파주!$R$21</f>
        <v>18061.029589649366</v>
      </c>
      <c r="M14" s="495">
        <f t="shared" si="2"/>
        <v>-556.59416035063259</v>
      </c>
      <c r="N14" s="493">
        <f>+[5]파주!$Q$22</f>
        <v>202.5</v>
      </c>
      <c r="O14" s="494">
        <f>+[5]파주!$R$22</f>
        <v>142.73889909661614</v>
      </c>
      <c r="P14" s="495">
        <f t="shared" si="3"/>
        <v>-59.761100903383863</v>
      </c>
      <c r="Q14" s="493">
        <f t="shared" si="4"/>
        <v>76932.18629247311</v>
      </c>
      <c r="R14" s="494">
        <f t="shared" si="5"/>
        <v>77319.907594549077</v>
      </c>
      <c r="S14" s="495">
        <f t="shared" si="6"/>
        <v>387.72130207596638</v>
      </c>
      <c r="T14" s="493">
        <f t="shared" si="7"/>
        <v>23417.114876026331</v>
      </c>
      <c r="U14" s="494">
        <f t="shared" si="8"/>
        <v>11098.054203031686</v>
      </c>
      <c r="V14" s="495">
        <f t="shared" si="9"/>
        <v>-12319.060672994645</v>
      </c>
    </row>
    <row r="15" spans="4:22" ht="24" customHeight="1" x14ac:dyDescent="0.3">
      <c r="D15" s="450" t="s">
        <v>178</v>
      </c>
      <c r="E15" s="493">
        <f>+[5]김포!$Q$85</f>
        <v>96757.666666666672</v>
      </c>
      <c r="F15" s="494">
        <f>+[5]김포!$R$85</f>
        <v>94775.701418673707</v>
      </c>
      <c r="G15" s="495">
        <f t="shared" si="0"/>
        <v>-1981.9652479929646</v>
      </c>
      <c r="H15" s="493">
        <f>+[5]김포!$Q$20</f>
        <v>54197.783388950687</v>
      </c>
      <c r="I15" s="494">
        <f>+[5]김포!$R$20</f>
        <v>58036.70290333224</v>
      </c>
      <c r="J15" s="495">
        <f t="shared" si="1"/>
        <v>3838.9195143815523</v>
      </c>
      <c r="K15" s="493">
        <f>+[5]김포!$Q$21</f>
        <v>18510.422051282054</v>
      </c>
      <c r="L15" s="494">
        <f>+[5]김포!$R$21</f>
        <v>17496.837759815244</v>
      </c>
      <c r="M15" s="495">
        <f t="shared" si="2"/>
        <v>-1013.5842914668101</v>
      </c>
      <c r="N15" s="493">
        <f>+[5]김포!$Q$22</f>
        <v>105</v>
      </c>
      <c r="O15" s="494">
        <f>+[5]김포!$R$22</f>
        <v>60.548251402177499</v>
      </c>
      <c r="P15" s="495">
        <f t="shared" si="3"/>
        <v>-44.451748597822501</v>
      </c>
      <c r="Q15" s="493">
        <f t="shared" si="4"/>
        <v>72813.205440232734</v>
      </c>
      <c r="R15" s="494">
        <f t="shared" si="5"/>
        <v>75594.088914549662</v>
      </c>
      <c r="S15" s="495">
        <f t="shared" si="6"/>
        <v>2780.8834743169282</v>
      </c>
      <c r="T15" s="493">
        <f t="shared" si="7"/>
        <v>23944.461226433938</v>
      </c>
      <c r="U15" s="494">
        <f t="shared" si="8"/>
        <v>19181.612504124045</v>
      </c>
      <c r="V15" s="495">
        <f t="shared" si="9"/>
        <v>-4762.8487223098928</v>
      </c>
    </row>
    <row r="16" spans="4:22" ht="24" customHeight="1" x14ac:dyDescent="0.3">
      <c r="D16" s="485" t="s">
        <v>25</v>
      </c>
      <c r="E16" s="496">
        <f>+[5]부산!$Q$85</f>
        <v>107600.1399375</v>
      </c>
      <c r="F16" s="497">
        <f>+[5]부산!$R$85</f>
        <v>103210.43218720151</v>
      </c>
      <c r="G16" s="498">
        <f t="shared" si="0"/>
        <v>-4389.7077502984903</v>
      </c>
      <c r="H16" s="496">
        <f>+[5]부산!$Q$20</f>
        <v>59859.497355358042</v>
      </c>
      <c r="I16" s="497">
        <f>+[5]부산!$R$20</f>
        <v>63883.489469602049</v>
      </c>
      <c r="J16" s="498">
        <f t="shared" si="1"/>
        <v>4023.9921142440071</v>
      </c>
      <c r="K16" s="496">
        <f>+[5]부산!$Q$21</f>
        <v>19636.118055555555</v>
      </c>
      <c r="L16" s="497">
        <f>+[5]부산!$R$21</f>
        <v>19943.530338285302</v>
      </c>
      <c r="M16" s="498">
        <f t="shared" si="2"/>
        <v>307.41228272974695</v>
      </c>
      <c r="N16" s="496">
        <f>+[5]부산!$Q$22</f>
        <v>41.666666666666664</v>
      </c>
      <c r="O16" s="497">
        <f>+[5]부산!$R$22</f>
        <v>0</v>
      </c>
      <c r="P16" s="498">
        <f t="shared" si="3"/>
        <v>-41.666666666666664</v>
      </c>
      <c r="Q16" s="496">
        <f t="shared" si="4"/>
        <v>79537.282077580268</v>
      </c>
      <c r="R16" s="497">
        <f t="shared" si="5"/>
        <v>83827.019807887351</v>
      </c>
      <c r="S16" s="498">
        <f t="shared" si="6"/>
        <v>4289.7377303070825</v>
      </c>
      <c r="T16" s="496">
        <f t="shared" si="7"/>
        <v>28062.857859919735</v>
      </c>
      <c r="U16" s="497">
        <f t="shared" si="8"/>
        <v>19383.412379314163</v>
      </c>
      <c r="V16" s="498">
        <f t="shared" si="9"/>
        <v>-8679.4454806055728</v>
      </c>
    </row>
    <row r="17" spans="4:22" ht="24" customHeight="1" x14ac:dyDescent="0.3">
      <c r="D17" s="450" t="s">
        <v>26</v>
      </c>
      <c r="E17" s="493">
        <f>+[5]서부산!$Q$85</f>
        <v>104577.05846153846</v>
      </c>
      <c r="F17" s="494">
        <f>+[5]서부산!$R$85</f>
        <v>94876.26084524233</v>
      </c>
      <c r="G17" s="495">
        <f t="shared" si="0"/>
        <v>-9700.7976162961277</v>
      </c>
      <c r="H17" s="493">
        <f>+[5]서부산!$Q$20</f>
        <v>59984.081569264992</v>
      </c>
      <c r="I17" s="494">
        <f>+[5]서부산!$R$20</f>
        <v>59792.598931260625</v>
      </c>
      <c r="J17" s="495">
        <f t="shared" si="1"/>
        <v>-191.48263800436689</v>
      </c>
      <c r="K17" s="493">
        <f>+[5]서부산!$Q$21</f>
        <v>16266.590087232355</v>
      </c>
      <c r="L17" s="494">
        <f>+[5]서부산!$R$21</f>
        <v>17086.244449842121</v>
      </c>
      <c r="M17" s="495">
        <f t="shared" si="2"/>
        <v>819.65436260976639</v>
      </c>
      <c r="N17" s="493">
        <f>+[5]서부산!$Q$22</f>
        <v>76.923076923076934</v>
      </c>
      <c r="O17" s="494">
        <f>+[5]서부산!$R$22</f>
        <v>213.52275929074568</v>
      </c>
      <c r="P17" s="495">
        <f t="shared" si="3"/>
        <v>136.59968236766875</v>
      </c>
      <c r="Q17" s="493">
        <f t="shared" si="4"/>
        <v>76327.594733420425</v>
      </c>
      <c r="R17" s="494">
        <f t="shared" si="5"/>
        <v>77092.366140393497</v>
      </c>
      <c r="S17" s="495">
        <f t="shared" si="6"/>
        <v>764.77140697307186</v>
      </c>
      <c r="T17" s="493">
        <f t="shared" si="7"/>
        <v>28249.463728118033</v>
      </c>
      <c r="U17" s="494">
        <f t="shared" si="8"/>
        <v>17783.894704848833</v>
      </c>
      <c r="V17" s="495">
        <f t="shared" si="9"/>
        <v>-10465.5690232692</v>
      </c>
    </row>
    <row r="18" spans="4:22" ht="24" customHeight="1" x14ac:dyDescent="0.3">
      <c r="D18" s="450" t="s">
        <v>27</v>
      </c>
      <c r="E18" s="493">
        <f>+[5]김해!$Q$85</f>
        <v>101000</v>
      </c>
      <c r="F18" s="494">
        <f>+[5]김해!$R$85</f>
        <v>90368.87586964482</v>
      </c>
      <c r="G18" s="495">
        <f t="shared" si="0"/>
        <v>-10631.12413035518</v>
      </c>
      <c r="H18" s="493">
        <f>+[5]김해!$Q$20</f>
        <v>58566.199658620935</v>
      </c>
      <c r="I18" s="494">
        <f>+[5]김해!$R$20</f>
        <v>57656.867813987541</v>
      </c>
      <c r="J18" s="495">
        <f t="shared" si="1"/>
        <v>-909.33184463339421</v>
      </c>
      <c r="K18" s="493">
        <f>+[5]김해!$Q$21</f>
        <v>18164.382523616736</v>
      </c>
      <c r="L18" s="494">
        <f>+[5]김해!$R$21</f>
        <v>20367.212010252657</v>
      </c>
      <c r="M18" s="495">
        <f t="shared" si="2"/>
        <v>2202.8294866359211</v>
      </c>
      <c r="N18" s="493">
        <f>+[5]김해!$Q$22</f>
        <v>376.92307692307691</v>
      </c>
      <c r="O18" s="494">
        <f>+[5]김해!$R$22</f>
        <v>359.99157817649211</v>
      </c>
      <c r="P18" s="495">
        <f t="shared" si="3"/>
        <v>-16.931498746584793</v>
      </c>
      <c r="Q18" s="493">
        <f t="shared" si="4"/>
        <v>77107.505259160753</v>
      </c>
      <c r="R18" s="494">
        <f t="shared" si="5"/>
        <v>78384.071402416681</v>
      </c>
      <c r="S18" s="495">
        <f t="shared" si="6"/>
        <v>1276.5661432559282</v>
      </c>
      <c r="T18" s="493">
        <f t="shared" si="7"/>
        <v>23892.494740839247</v>
      </c>
      <c r="U18" s="494">
        <f t="shared" si="8"/>
        <v>11984.804467228139</v>
      </c>
      <c r="V18" s="495">
        <f t="shared" si="9"/>
        <v>-11907.690273611108</v>
      </c>
    </row>
    <row r="19" spans="4:22" ht="24" customHeight="1" x14ac:dyDescent="0.3">
      <c r="D19" s="450" t="s">
        <v>28</v>
      </c>
      <c r="E19" s="493">
        <f>+[5]정관!$Q$85</f>
        <v>104000</v>
      </c>
      <c r="F19" s="494">
        <f>+[5]정관!$R$85</f>
        <v>97536.80465159037</v>
      </c>
      <c r="G19" s="495">
        <f t="shared" si="0"/>
        <v>-6463.1953484096302</v>
      </c>
      <c r="H19" s="493">
        <f>+[5]정관!$Q$20</f>
        <v>59004.333332545095</v>
      </c>
      <c r="I19" s="494">
        <f>+[5]정관!$R$20</f>
        <v>62156.107940446651</v>
      </c>
      <c r="J19" s="495">
        <f t="shared" si="1"/>
        <v>3151.774607901556</v>
      </c>
      <c r="K19" s="493">
        <f>+[5]정관!$Q$21</f>
        <v>19050.002777777776</v>
      </c>
      <c r="L19" s="494">
        <f>+[5]정관!$R$21</f>
        <v>18957.587813620074</v>
      </c>
      <c r="M19" s="495">
        <f t="shared" si="2"/>
        <v>-92.414964157702343</v>
      </c>
      <c r="N19" s="493">
        <f>+[5]정관!$Q$22</f>
        <v>250</v>
      </c>
      <c r="O19" s="494">
        <f>+[5]정관!$R$22</f>
        <v>232.65913059461445</v>
      </c>
      <c r="P19" s="495">
        <f t="shared" si="3"/>
        <v>-17.340869405385547</v>
      </c>
      <c r="Q19" s="493">
        <f t="shared" si="4"/>
        <v>78304.336110322867</v>
      </c>
      <c r="R19" s="494">
        <f t="shared" si="5"/>
        <v>81346.354884661341</v>
      </c>
      <c r="S19" s="495">
        <f t="shared" si="6"/>
        <v>3042.018774338474</v>
      </c>
      <c r="T19" s="493">
        <f t="shared" si="7"/>
        <v>25695.663889677133</v>
      </c>
      <c r="U19" s="494">
        <f t="shared" si="8"/>
        <v>16190.449766929029</v>
      </c>
      <c r="V19" s="495">
        <f t="shared" si="9"/>
        <v>-9505.2141227481043</v>
      </c>
    </row>
    <row r="20" spans="4:22" ht="24" customHeight="1" x14ac:dyDescent="0.3">
      <c r="D20" s="450" t="s">
        <v>29</v>
      </c>
      <c r="E20" s="493">
        <f>+[5]양산!$Q$85</f>
        <v>97210.152500000026</v>
      </c>
      <c r="F20" s="494">
        <f>+[5]양산!$R$85</f>
        <v>94125.48173712971</v>
      </c>
      <c r="G20" s="495">
        <f t="shared" si="0"/>
        <v>-3084.6707628703152</v>
      </c>
      <c r="H20" s="493">
        <f>+[5]양산!$Q$20</f>
        <v>53089.407150741834</v>
      </c>
      <c r="I20" s="494">
        <f>+[5]양산!$R$20</f>
        <v>55712.762366983035</v>
      </c>
      <c r="J20" s="495">
        <f t="shared" si="1"/>
        <v>2623.3552162412016</v>
      </c>
      <c r="K20" s="493">
        <f>+[5]양산!$Q$21</f>
        <v>17632.069078947367</v>
      </c>
      <c r="L20" s="494">
        <f>+[5]양산!$R$21</f>
        <v>16965.508628127696</v>
      </c>
      <c r="M20" s="495">
        <f t="shared" si="2"/>
        <v>-666.56045081967022</v>
      </c>
      <c r="N20" s="493">
        <f>+[5]양산!$Q$22</f>
        <v>79.166666666666657</v>
      </c>
      <c r="O20" s="494">
        <f>+[5]양산!$R$22</f>
        <v>0</v>
      </c>
      <c r="P20" s="495">
        <f t="shared" si="3"/>
        <v>-79.166666666666657</v>
      </c>
      <c r="Q20" s="493">
        <f t="shared" si="4"/>
        <v>70800.642896355872</v>
      </c>
      <c r="R20" s="494">
        <f t="shared" si="5"/>
        <v>72678.270995110739</v>
      </c>
      <c r="S20" s="495">
        <f t="shared" si="6"/>
        <v>1877.6280987548671</v>
      </c>
      <c r="T20" s="493">
        <f t="shared" si="7"/>
        <v>26409.509603644154</v>
      </c>
      <c r="U20" s="494">
        <f t="shared" si="8"/>
        <v>21447.210742018971</v>
      </c>
      <c r="V20" s="495">
        <f t="shared" si="9"/>
        <v>-4962.2988616251823</v>
      </c>
    </row>
    <row r="21" spans="4:22" ht="24" customHeight="1" x14ac:dyDescent="0.3">
      <c r="D21" s="450" t="s">
        <v>30</v>
      </c>
      <c r="E21" s="493">
        <f>+[5]창원!$Q$85</f>
        <v>101745.11764705883</v>
      </c>
      <c r="F21" s="494">
        <f>+[5]창원!$R$85</f>
        <v>93119.705075445818</v>
      </c>
      <c r="G21" s="495">
        <f t="shared" si="0"/>
        <v>-8625.4125716130075</v>
      </c>
      <c r="H21" s="493">
        <f>+[5]창원!$Q$20</f>
        <v>55737.794304783092</v>
      </c>
      <c r="I21" s="494">
        <f>+[5]창원!$R$20</f>
        <v>57021.583539094652</v>
      </c>
      <c r="J21" s="495">
        <f t="shared" si="1"/>
        <v>1283.78923431156</v>
      </c>
      <c r="K21" s="493">
        <f>+[5]창원!$Q$21</f>
        <v>16722.719820609098</v>
      </c>
      <c r="L21" s="494">
        <f>+[5]창원!$R$21</f>
        <v>17771.900137174209</v>
      </c>
      <c r="M21" s="495">
        <f t="shared" si="2"/>
        <v>1049.1803165651108</v>
      </c>
      <c r="N21" s="493">
        <f>+[5]창원!$Q$22</f>
        <v>70.588235294117652</v>
      </c>
      <c r="O21" s="494">
        <f>+[5]창원!$R$22</f>
        <v>77.991563786008228</v>
      </c>
      <c r="P21" s="495">
        <f t="shared" si="3"/>
        <v>7.4033284918905764</v>
      </c>
      <c r="Q21" s="493">
        <f t="shared" si="4"/>
        <v>72531.102360686302</v>
      </c>
      <c r="R21" s="494">
        <f t="shared" si="5"/>
        <v>74871.475240054875</v>
      </c>
      <c r="S21" s="495">
        <f t="shared" si="6"/>
        <v>2340.3728793685732</v>
      </c>
      <c r="T21" s="493">
        <f t="shared" si="7"/>
        <v>29214.015286372523</v>
      </c>
      <c r="U21" s="494">
        <f t="shared" si="8"/>
        <v>18248.229835390943</v>
      </c>
      <c r="V21" s="495">
        <f t="shared" si="9"/>
        <v>-10965.785450981581</v>
      </c>
    </row>
    <row r="22" spans="4:22" ht="24" customHeight="1" x14ac:dyDescent="0.3">
      <c r="D22" s="450" t="s">
        <v>95</v>
      </c>
      <c r="E22" s="493">
        <f>+[5]대구!$Q$85</f>
        <v>97760</v>
      </c>
      <c r="F22" s="494">
        <f>+[5]대구!$R$85</f>
        <v>93698.609335038374</v>
      </c>
      <c r="G22" s="495">
        <f t="shared" si="0"/>
        <v>-4061.3906649616256</v>
      </c>
      <c r="H22" s="493">
        <f>+[5]대구!$Q$20</f>
        <v>52503.967056290479</v>
      </c>
      <c r="I22" s="494">
        <f>+[5]대구!$R$20</f>
        <v>56790.307033248078</v>
      </c>
      <c r="J22" s="495">
        <f t="shared" si="1"/>
        <v>4286.339976957599</v>
      </c>
      <c r="K22" s="493">
        <f>+[5]대구!$Q$21</f>
        <v>17357.697840909092</v>
      </c>
      <c r="L22" s="494">
        <f>+[5]대구!$R$21</f>
        <v>19322.014258312021</v>
      </c>
      <c r="M22" s="495">
        <f t="shared" si="2"/>
        <v>1964.3164174029298</v>
      </c>
      <c r="N22" s="493">
        <f>+[5]대구!$Q$22</f>
        <v>321.21212121212125</v>
      </c>
      <c r="O22" s="494">
        <f>+[5]대구!$R$22</f>
        <v>243.34731457800513</v>
      </c>
      <c r="P22" s="495">
        <f t="shared" si="3"/>
        <v>-77.864806634116121</v>
      </c>
      <c r="Q22" s="493">
        <f t="shared" si="4"/>
        <v>70182.877018411702</v>
      </c>
      <c r="R22" s="494">
        <f t="shared" si="5"/>
        <v>76355.668606138104</v>
      </c>
      <c r="S22" s="495">
        <f t="shared" si="6"/>
        <v>6172.7915877264022</v>
      </c>
      <c r="T22" s="493">
        <f t="shared" si="7"/>
        <v>27577.122981588298</v>
      </c>
      <c r="U22" s="494">
        <f t="shared" si="8"/>
        <v>17342.94072890027</v>
      </c>
      <c r="V22" s="495">
        <f t="shared" si="9"/>
        <v>-10234.182252688028</v>
      </c>
    </row>
    <row r="23" spans="4:22" ht="24" customHeight="1" x14ac:dyDescent="0.3">
      <c r="D23" s="450" t="s">
        <v>97</v>
      </c>
      <c r="E23" s="493">
        <f>+[5]울산!$Q$85</f>
        <v>101124.125</v>
      </c>
      <c r="F23" s="494">
        <f>+[5]울산!$R$85</f>
        <v>99574.157145861085</v>
      </c>
      <c r="G23" s="495">
        <f t="shared" si="0"/>
        <v>-1549.9678541389148</v>
      </c>
      <c r="H23" s="493">
        <f>+[5]울산!$Q$20</f>
        <v>58182.712677048577</v>
      </c>
      <c r="I23" s="494">
        <f>+[5]울산!$R$20</f>
        <v>58389.181372205487</v>
      </c>
      <c r="J23" s="495">
        <f t="shared" si="1"/>
        <v>206.46869515690923</v>
      </c>
      <c r="K23" s="493">
        <f>+[5]울산!$Q$21</f>
        <v>20880.250155677655</v>
      </c>
      <c r="L23" s="494">
        <f>+[5]울산!$R$21</f>
        <v>20350.983180320978</v>
      </c>
      <c r="M23" s="495">
        <f t="shared" si="2"/>
        <v>-529.26697535667699</v>
      </c>
      <c r="N23" s="493">
        <f>+[5]울산!$Q$22</f>
        <v>260</v>
      </c>
      <c r="O23" s="494">
        <f>+[5]울산!$R$22</f>
        <v>202.15481112902094</v>
      </c>
      <c r="P23" s="495">
        <f t="shared" si="3"/>
        <v>-57.845188870979058</v>
      </c>
      <c r="Q23" s="493">
        <f t="shared" si="4"/>
        <v>79322.962832726233</v>
      </c>
      <c r="R23" s="494">
        <f t="shared" si="5"/>
        <v>78942.319363655479</v>
      </c>
      <c r="S23" s="495">
        <f t="shared" si="6"/>
        <v>-380.64346907075378</v>
      </c>
      <c r="T23" s="493">
        <f t="shared" si="7"/>
        <v>21801.162167273767</v>
      </c>
      <c r="U23" s="494">
        <f t="shared" si="8"/>
        <v>20631.837782205606</v>
      </c>
      <c r="V23" s="495">
        <f t="shared" si="9"/>
        <v>-1169.3243850681611</v>
      </c>
    </row>
    <row r="24" spans="4:22" ht="24" customHeight="1" x14ac:dyDescent="0.3">
      <c r="D24" s="485" t="s">
        <v>31</v>
      </c>
      <c r="E24" s="496">
        <f>+[5]아산!$Q$85</f>
        <v>101000.53571428572</v>
      </c>
      <c r="F24" s="497">
        <f>+[5]아산!$R$85</f>
        <v>97210.458376683528</v>
      </c>
      <c r="G24" s="498">
        <f t="shared" si="0"/>
        <v>-3790.0773376021971</v>
      </c>
      <c r="H24" s="496">
        <f>+[5]아산!$Q$20</f>
        <v>56318.920043752318</v>
      </c>
      <c r="I24" s="497">
        <f>+[5]아산!$R$20</f>
        <v>62010.063885767915</v>
      </c>
      <c r="J24" s="498">
        <f t="shared" si="1"/>
        <v>5691.1438420155973</v>
      </c>
      <c r="K24" s="496">
        <f>+[5]아산!$Q$21</f>
        <v>20999.144300911856</v>
      </c>
      <c r="L24" s="497">
        <f>+[5]아산!$R$21</f>
        <v>13132.673844097109</v>
      </c>
      <c r="M24" s="498">
        <f t="shared" si="2"/>
        <v>-7866.4704568147463</v>
      </c>
      <c r="N24" s="496">
        <f>+[5]아산!$Q$22</f>
        <v>214.28571428571428</v>
      </c>
      <c r="O24" s="497">
        <f>+[5]아산!$R$22</f>
        <v>178.76742565386203</v>
      </c>
      <c r="P24" s="498">
        <f t="shared" si="3"/>
        <v>-35.518288631852243</v>
      </c>
      <c r="Q24" s="496">
        <f t="shared" si="4"/>
        <v>77532.350058949887</v>
      </c>
      <c r="R24" s="497">
        <f t="shared" si="5"/>
        <v>75321.505155518884</v>
      </c>
      <c r="S24" s="498">
        <f t="shared" si="6"/>
        <v>-2210.8449034310033</v>
      </c>
      <c r="T24" s="496">
        <f t="shared" si="7"/>
        <v>23468.185655335838</v>
      </c>
      <c r="U24" s="497">
        <f t="shared" si="8"/>
        <v>21888.953221164644</v>
      </c>
      <c r="V24" s="498">
        <f t="shared" si="9"/>
        <v>-1579.2324341711937</v>
      </c>
    </row>
    <row r="25" spans="4:22" ht="24" customHeight="1" x14ac:dyDescent="0.3">
      <c r="D25" s="450" t="s">
        <v>34</v>
      </c>
      <c r="E25" s="493">
        <f>+[5]전주!$Q$85</f>
        <v>101544.67384615388</v>
      </c>
      <c r="F25" s="494">
        <f>+[5]전주!$R$85</f>
        <v>95264.477480738409</v>
      </c>
      <c r="G25" s="495">
        <f t="shared" si="0"/>
        <v>-6280.1963654154679</v>
      </c>
      <c r="H25" s="493">
        <f>+[5]전주!$Q$20</f>
        <v>55781.645070077866</v>
      </c>
      <c r="I25" s="494">
        <f>+[5]전주!$R$20</f>
        <v>57842.732509436886</v>
      </c>
      <c r="J25" s="495">
        <f t="shared" si="1"/>
        <v>2061.0874393590202</v>
      </c>
      <c r="K25" s="493">
        <f>+[5]전주!$Q$21</f>
        <v>17127.598606286188</v>
      </c>
      <c r="L25" s="494">
        <f>+[5]전주!$R$21</f>
        <v>16454.346863850253</v>
      </c>
      <c r="M25" s="495">
        <f t="shared" si="2"/>
        <v>-673.25174243593574</v>
      </c>
      <c r="N25" s="493">
        <f>+[5]전주!$Q$22</f>
        <v>230.76923076923077</v>
      </c>
      <c r="O25" s="494">
        <f>+[5]전주!$R$22</f>
        <v>208.04933036868502</v>
      </c>
      <c r="P25" s="495">
        <f t="shared" si="3"/>
        <v>-22.719900400545754</v>
      </c>
      <c r="Q25" s="493">
        <f t="shared" si="4"/>
        <v>73140.012907133292</v>
      </c>
      <c r="R25" s="494">
        <f t="shared" si="5"/>
        <v>74505.128703655821</v>
      </c>
      <c r="S25" s="495">
        <f t="shared" si="6"/>
        <v>1365.1157965225284</v>
      </c>
      <c r="T25" s="493">
        <f t="shared" si="7"/>
        <v>28404.660939020585</v>
      </c>
      <c r="U25" s="494">
        <f t="shared" si="8"/>
        <v>20759.348777082589</v>
      </c>
      <c r="V25" s="495">
        <f t="shared" si="9"/>
        <v>-7645.3121619379963</v>
      </c>
    </row>
    <row r="26" spans="4:22" ht="24" customHeight="1" x14ac:dyDescent="0.3">
      <c r="D26" s="450" t="s">
        <v>33</v>
      </c>
      <c r="E26" s="493">
        <f>+[5]군산!$Q$85</f>
        <v>108781.74385714284</v>
      </c>
      <c r="F26" s="494">
        <f>+[5]군산!$R$85</f>
        <v>111159.09896930068</v>
      </c>
      <c r="G26" s="495">
        <f t="shared" si="0"/>
        <v>2377.3551121578494</v>
      </c>
      <c r="H26" s="493">
        <f>+[5]군산!$Q$20</f>
        <v>56404.536559139786</v>
      </c>
      <c r="I26" s="494">
        <f>+[5]군산!$R$20</f>
        <v>58684.488196830323</v>
      </c>
      <c r="J26" s="495">
        <f t="shared" si="1"/>
        <v>2279.9516376905376</v>
      </c>
      <c r="K26" s="493">
        <f>+[5]군산!$Q$21</f>
        <v>13161.557351497297</v>
      </c>
      <c r="L26" s="494">
        <f>+[5]군산!$R$21</f>
        <v>13433.346780449961</v>
      </c>
      <c r="M26" s="495">
        <f t="shared" si="2"/>
        <v>271.78942895266482</v>
      </c>
      <c r="N26" s="493">
        <f>+[5]군산!$Q$22</f>
        <v>64.285714285714278</v>
      </c>
      <c r="O26" s="494">
        <f>+[5]군산!$R$22</f>
        <v>52.284606006871329</v>
      </c>
      <c r="P26" s="495">
        <f t="shared" si="3"/>
        <v>-12.001108278842949</v>
      </c>
      <c r="Q26" s="493">
        <f t="shared" si="4"/>
        <v>69630.379624922789</v>
      </c>
      <c r="R26" s="494">
        <f t="shared" si="5"/>
        <v>72170.11958328716</v>
      </c>
      <c r="S26" s="495">
        <f t="shared" si="6"/>
        <v>2539.739958364371</v>
      </c>
      <c r="T26" s="493">
        <f t="shared" si="7"/>
        <v>39151.364232220047</v>
      </c>
      <c r="U26" s="494">
        <f t="shared" si="8"/>
        <v>38988.979386013525</v>
      </c>
      <c r="V26" s="495">
        <f t="shared" si="9"/>
        <v>-162.38484620652162</v>
      </c>
    </row>
    <row r="27" spans="4:22" ht="24" customHeight="1" x14ac:dyDescent="0.3">
      <c r="D27" s="450" t="s">
        <v>32</v>
      </c>
      <c r="E27" s="493">
        <f>+[5]원주!$Q$85</f>
        <v>107900</v>
      </c>
      <c r="F27" s="494">
        <f>+[5]원주!$R$85</f>
        <v>108943.59253246753</v>
      </c>
      <c r="G27" s="495">
        <f t="shared" si="0"/>
        <v>1043.5925324675336</v>
      </c>
      <c r="H27" s="493">
        <f>+[5]원주!$Q$20</f>
        <v>56419.046236559137</v>
      </c>
      <c r="I27" s="494">
        <f>+[5]원주!$R$20</f>
        <v>59221.25505050506</v>
      </c>
      <c r="J27" s="495">
        <f t="shared" si="1"/>
        <v>2802.2088139459229</v>
      </c>
      <c r="K27" s="493">
        <f>+[5]원주!$Q$21</f>
        <v>16191.586545780165</v>
      </c>
      <c r="L27" s="494">
        <f>+[5]원주!$R$21</f>
        <v>14362.286796536797</v>
      </c>
      <c r="M27" s="495">
        <f t="shared" si="2"/>
        <v>-1829.2997492433678</v>
      </c>
      <c r="N27" s="493">
        <f>+[5]원주!$Q$22</f>
        <v>250</v>
      </c>
      <c r="O27" s="494">
        <f>+[5]원주!$R$22</f>
        <v>323.26659451659452</v>
      </c>
      <c r="P27" s="495">
        <f t="shared" si="3"/>
        <v>73.266594516594523</v>
      </c>
      <c r="Q27" s="493">
        <f t="shared" si="4"/>
        <v>72860.632782339308</v>
      </c>
      <c r="R27" s="494">
        <f t="shared" si="5"/>
        <v>73906.808441558445</v>
      </c>
      <c r="S27" s="495">
        <f t="shared" si="6"/>
        <v>1046.1756592191377</v>
      </c>
      <c r="T27" s="493">
        <f t="shared" si="7"/>
        <v>35039.367217660692</v>
      </c>
      <c r="U27" s="494">
        <f t="shared" si="8"/>
        <v>35036.784090909088</v>
      </c>
      <c r="V27" s="495">
        <f t="shared" si="9"/>
        <v>-2.5831267516041407</v>
      </c>
    </row>
    <row r="28" spans="4:22" ht="24" customHeight="1" x14ac:dyDescent="0.3">
      <c r="D28" s="499" t="s">
        <v>35</v>
      </c>
      <c r="E28" s="500">
        <f>+[5]제주!$Q$85</f>
        <v>126800</v>
      </c>
      <c r="F28" s="501">
        <f>+[5]제주!$R$85</f>
        <v>120254.04266491633</v>
      </c>
      <c r="G28" s="502">
        <f t="shared" si="0"/>
        <v>-6545.9573350836727</v>
      </c>
      <c r="H28" s="500">
        <f>+[5]제주!$Q$20</f>
        <v>74586.861558769</v>
      </c>
      <c r="I28" s="501">
        <f>+[5]제주!$R$20</f>
        <v>73924.96816114361</v>
      </c>
      <c r="J28" s="502">
        <f t="shared" si="1"/>
        <v>-661.89339762539021</v>
      </c>
      <c r="K28" s="500">
        <f>+[5]제주!$Q$21</f>
        <v>16626.410256410258</v>
      </c>
      <c r="L28" s="501">
        <f>+[5]제주!$R$21</f>
        <v>16894.829109811566</v>
      </c>
      <c r="M28" s="502">
        <f t="shared" si="2"/>
        <v>268.4188534013083</v>
      </c>
      <c r="N28" s="500">
        <f>+[5]제주!$Q$22</f>
        <v>0</v>
      </c>
      <c r="O28" s="501">
        <f>+[5]제주!$R$22</f>
        <v>313.31481481481484</v>
      </c>
      <c r="P28" s="502">
        <f t="shared" si="3"/>
        <v>313.31481481481484</v>
      </c>
      <c r="Q28" s="500">
        <f t="shared" si="4"/>
        <v>91213.271815179265</v>
      </c>
      <c r="R28" s="501">
        <f t="shared" si="5"/>
        <v>91133.112085769986</v>
      </c>
      <c r="S28" s="502">
        <f t="shared" si="6"/>
        <v>-80.159729409278953</v>
      </c>
      <c r="T28" s="500">
        <f t="shared" si="7"/>
        <v>35586.728184820735</v>
      </c>
      <c r="U28" s="501">
        <f t="shared" si="8"/>
        <v>29120.930579146341</v>
      </c>
      <c r="V28" s="502">
        <f t="shared" si="9"/>
        <v>-6465.7976056743937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5750-7275-4690-9C21-6D0EA41DA14A}">
  <sheetPr codeName="Sheet7">
    <tabColor theme="1" tint="0.249977111117893"/>
    <pageSetUpPr fitToPage="1"/>
  </sheetPr>
  <dimension ref="D1:Y52"/>
  <sheetViews>
    <sheetView showGridLines="0" showZeros="0" view="pageBreakPreview" zoomScale="60" zoomScaleNormal="85" workbookViewId="0">
      <pane xSplit="4" ySplit="7" topLeftCell="E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183" t="s">
        <v>248</v>
      </c>
      <c r="F4" s="183"/>
      <c r="I4" s="183"/>
    </row>
    <row r="5" spans="4:22" ht="21.95" customHeight="1" x14ac:dyDescent="0.3"/>
    <row r="6" spans="4:22" ht="24" customHeight="1" thickBot="1" x14ac:dyDescent="0.35">
      <c r="D6" s="840" t="s">
        <v>11</v>
      </c>
      <c r="E6" s="438" t="s">
        <v>156</v>
      </c>
      <c r="F6" s="439"/>
      <c r="G6" s="440"/>
      <c r="H6" s="438" t="s">
        <v>155</v>
      </c>
      <c r="I6" s="439"/>
      <c r="J6" s="440"/>
      <c r="K6" s="438" t="s">
        <v>154</v>
      </c>
      <c r="L6" s="439"/>
      <c r="M6" s="440"/>
      <c r="N6" s="438" t="s">
        <v>153</v>
      </c>
      <c r="O6" s="439"/>
      <c r="P6" s="440"/>
      <c r="Q6" s="438" t="s">
        <v>152</v>
      </c>
      <c r="R6" s="439"/>
      <c r="S6" s="440"/>
      <c r="T6" s="438" t="s">
        <v>151</v>
      </c>
      <c r="U6" s="439"/>
      <c r="V6" s="440"/>
    </row>
    <row r="7" spans="4:22" ht="24" customHeight="1" x14ac:dyDescent="0.3">
      <c r="D7" s="841"/>
      <c r="E7" s="441" t="s">
        <v>12</v>
      </c>
      <c r="F7" s="442" t="s">
        <v>13</v>
      </c>
      <c r="G7" s="443" t="s">
        <v>36</v>
      </c>
      <c r="H7" s="441" t="s">
        <v>15</v>
      </c>
      <c r="I7" s="442" t="s">
        <v>16</v>
      </c>
      <c r="J7" s="443" t="s">
        <v>36</v>
      </c>
      <c r="K7" s="441" t="s">
        <v>15</v>
      </c>
      <c r="L7" s="442" t="s">
        <v>16</v>
      </c>
      <c r="M7" s="443" t="s">
        <v>36</v>
      </c>
      <c r="N7" s="441" t="s">
        <v>15</v>
      </c>
      <c r="O7" s="442" t="s">
        <v>16</v>
      </c>
      <c r="P7" s="443" t="s">
        <v>36</v>
      </c>
      <c r="Q7" s="441" t="s">
        <v>15</v>
      </c>
      <c r="R7" s="442" t="s">
        <v>16</v>
      </c>
      <c r="S7" s="443" t="s">
        <v>36</v>
      </c>
      <c r="T7" s="441" t="s">
        <v>15</v>
      </c>
      <c r="U7" s="442" t="s">
        <v>16</v>
      </c>
      <c r="V7" s="443" t="s">
        <v>36</v>
      </c>
    </row>
    <row r="8" spans="4:22" ht="24" customHeight="1" x14ac:dyDescent="0.3">
      <c r="D8" s="469" t="s">
        <v>47</v>
      </c>
      <c r="E8" s="543">
        <f>+[5]합계!$G$9</f>
        <v>100529.44147639998</v>
      </c>
      <c r="F8" s="544">
        <f>+[5]합계!$H$9</f>
        <v>100083.1447341376</v>
      </c>
      <c r="G8" s="545">
        <f>+F8-E8</f>
        <v>-446.29674226237694</v>
      </c>
      <c r="H8" s="543">
        <f>+[5]합계!$G$10</f>
        <v>91188.390132820816</v>
      </c>
      <c r="I8" s="544">
        <f>+[5]합계!$H$10</f>
        <v>95557.998916118173</v>
      </c>
      <c r="J8" s="545">
        <f>+I8-H8</f>
        <v>4369.6087832973571</v>
      </c>
      <c r="K8" s="543">
        <f>+[5]합계!$G$12</f>
        <v>64063.192508325468</v>
      </c>
      <c r="L8" s="544">
        <f>+[5]합계!$H$12</f>
        <v>63533.181073219726</v>
      </c>
      <c r="M8" s="545">
        <f>+L8-K8</f>
        <v>-530.01143510574184</v>
      </c>
      <c r="N8" s="543">
        <f>+[5]합계!$G$13</f>
        <v>40422.025833734282</v>
      </c>
      <c r="O8" s="544">
        <f>+[5]합계!$H$13</f>
        <v>39120.396756172471</v>
      </c>
      <c r="P8" s="545">
        <f>+O8-N8</f>
        <v>-1301.6290775618108</v>
      </c>
      <c r="Q8" s="543">
        <f>+[5]합계!$G$16</f>
        <v>12728.001462424991</v>
      </c>
      <c r="R8" s="544">
        <f>+[5]합계!$H$16</f>
        <v>13084.926974360789</v>
      </c>
      <c r="S8" s="545">
        <f>+R8-Q8</f>
        <v>356.92551193579857</v>
      </c>
      <c r="T8" s="543">
        <f>+[5]합계!$G$17</f>
        <v>15872.297408474051</v>
      </c>
      <c r="U8" s="544">
        <f>+[5]합계!$H$17</f>
        <v>15634.162602923752</v>
      </c>
      <c r="V8" s="545">
        <f>+U8-T8</f>
        <v>-238.13480555029855</v>
      </c>
    </row>
    <row r="9" spans="4:22" ht="24" customHeight="1" x14ac:dyDescent="0.3">
      <c r="D9" s="470" t="s">
        <v>19</v>
      </c>
      <c r="E9" s="546">
        <f>+[5]수도권!$G$9</f>
        <v>100000.00000000001</v>
      </c>
      <c r="F9" s="547">
        <f>+[5]수도권!$H$9</f>
        <v>99848.076642042332</v>
      </c>
      <c r="G9" s="548">
        <f t="shared" ref="G9:G28" si="0">+F9-E9</f>
        <v>-151.92335795768304</v>
      </c>
      <c r="H9" s="546">
        <f>+[5]수도권!$G$10</f>
        <v>92954.014204249004</v>
      </c>
      <c r="I9" s="547">
        <f>+[5]수도권!$H$10</f>
        <v>99582.697366991313</v>
      </c>
      <c r="J9" s="548">
        <f t="shared" ref="J9:J28" si="1">+I9-H9</f>
        <v>6628.6831627423089</v>
      </c>
      <c r="K9" s="546">
        <f>+[5]수도권!$G$12</f>
        <v>64295.549777899949</v>
      </c>
      <c r="L9" s="547">
        <f>+[5]수도권!$H$12</f>
        <v>64081.084621194008</v>
      </c>
      <c r="M9" s="548">
        <f t="shared" ref="M9:M28" si="2">+L9-K9</f>
        <v>-214.4651567059409</v>
      </c>
      <c r="N9" s="546">
        <f>+[5]수도권!$G$13</f>
        <v>45167.93677826209</v>
      </c>
      <c r="O9" s="547">
        <f>+[5]수도권!$H$13</f>
        <v>42507.278930359316</v>
      </c>
      <c r="P9" s="548">
        <f t="shared" ref="P9:P28" si="3">+O9-N9</f>
        <v>-2660.6578479027739</v>
      </c>
      <c r="Q9" s="546">
        <f>+[5]수도권!$G$16</f>
        <v>15346.714756356647</v>
      </c>
      <c r="R9" s="547">
        <f>+[5]수도권!$H$16</f>
        <v>15782.285357737919</v>
      </c>
      <c r="S9" s="548">
        <f t="shared" ref="S9:S28" si="4">+R9-Q9</f>
        <v>435.57060138127235</v>
      </c>
      <c r="T9" s="546">
        <f>+[5]수도권!$G$17</f>
        <v>14785.672294438436</v>
      </c>
      <c r="U9" s="547">
        <f>+[5]수도권!$H$17</f>
        <v>14159.991718529456</v>
      </c>
      <c r="V9" s="548">
        <f t="shared" ref="V9:V28" si="5">+U9-T9</f>
        <v>-625.68057590898025</v>
      </c>
    </row>
    <row r="10" spans="4:22" ht="24" customHeight="1" x14ac:dyDescent="0.3">
      <c r="D10" s="471" t="s">
        <v>20</v>
      </c>
      <c r="E10" s="549">
        <f>+[5]영남권!$G$9</f>
        <v>100000</v>
      </c>
      <c r="F10" s="550">
        <f>+[5]영남권!$H$9</f>
        <v>100009.58219565557</v>
      </c>
      <c r="G10" s="551">
        <f t="shared" si="0"/>
        <v>9.5821956555737415</v>
      </c>
      <c r="H10" s="549">
        <f>+[5]영남권!$G$10</f>
        <v>92100.000000000015</v>
      </c>
      <c r="I10" s="550">
        <f>+[5]영남권!$H$10</f>
        <v>93212.809509646657</v>
      </c>
      <c r="J10" s="551">
        <f t="shared" si="1"/>
        <v>1112.8095096466423</v>
      </c>
      <c r="K10" s="549">
        <f>+[5]영남권!$G$12</f>
        <v>63640.67716602001</v>
      </c>
      <c r="L10" s="550">
        <f>+[5]영남권!$H$12</f>
        <v>62762.717301798599</v>
      </c>
      <c r="M10" s="551">
        <f t="shared" si="2"/>
        <v>-877.95986422141141</v>
      </c>
      <c r="N10" s="549">
        <f>+[5]영남권!$G$13</f>
        <v>35486.585023291307</v>
      </c>
      <c r="O10" s="550">
        <f>+[5]영남권!$H$13</f>
        <v>35509.951201362805</v>
      </c>
      <c r="P10" s="551">
        <f t="shared" si="3"/>
        <v>23.366178071497416</v>
      </c>
      <c r="Q10" s="549">
        <f>+[5]영남권!$G$16</f>
        <v>10396.175958329173</v>
      </c>
      <c r="R10" s="550">
        <f>+[5]영남권!$H$16</f>
        <v>11140.279380799466</v>
      </c>
      <c r="S10" s="551">
        <f t="shared" si="4"/>
        <v>744.10342247029257</v>
      </c>
      <c r="T10" s="549">
        <f>+[5]영남권!$G$17</f>
        <v>17381.837951896458</v>
      </c>
      <c r="U10" s="550">
        <f>+[5]영남권!$H$17</f>
        <v>17494.927185674318</v>
      </c>
      <c r="V10" s="551">
        <f t="shared" si="5"/>
        <v>113.0892337778605</v>
      </c>
    </row>
    <row r="11" spans="4:22" ht="24" customHeight="1" x14ac:dyDescent="0.3">
      <c r="D11" s="472" t="s">
        <v>57</v>
      </c>
      <c r="E11" s="552">
        <f>+[5]중부권!$G$9</f>
        <v>102709.45565026473</v>
      </c>
      <c r="F11" s="553">
        <f>+[5]중부권!$H$9</f>
        <v>100571.44093256269</v>
      </c>
      <c r="G11" s="554">
        <f t="shared" si="0"/>
        <v>-2138.0147177020408</v>
      </c>
      <c r="H11" s="552">
        <f>+[5]중부권!$G$10</f>
        <v>87899.341030911979</v>
      </c>
      <c r="I11" s="553">
        <f>+[5]중부권!$H$10</f>
        <v>104649.39058245539</v>
      </c>
      <c r="J11" s="554">
        <f t="shared" si="1"/>
        <v>16750.049551543416</v>
      </c>
      <c r="K11" s="552">
        <f>+[5]중부권!$G$12</f>
        <v>64695.477681689612</v>
      </c>
      <c r="L11" s="553">
        <f>+[5]중부권!$H$12</f>
        <v>64661.368747878769</v>
      </c>
      <c r="M11" s="554">
        <f t="shared" si="2"/>
        <v>-34.108933810843155</v>
      </c>
      <c r="N11" s="552">
        <f>+[5]중부권!$G$13</f>
        <v>41265.068107486433</v>
      </c>
      <c r="O11" s="553">
        <f>+[5]중부권!$H$13</f>
        <v>40301.276047465777</v>
      </c>
      <c r="P11" s="554">
        <f t="shared" si="3"/>
        <v>-963.79206002065621</v>
      </c>
      <c r="Q11" s="552">
        <f>+[5]중부권!$G$16</f>
        <v>12564.677905030972</v>
      </c>
      <c r="R11" s="553">
        <f>+[5]중부권!$H$16</f>
        <v>12432.171431297282</v>
      </c>
      <c r="S11" s="554">
        <f t="shared" si="4"/>
        <v>-132.50647373369065</v>
      </c>
      <c r="T11" s="552">
        <f>+[5]중부권!$G$17</f>
        <v>14578.37621624589</v>
      </c>
      <c r="U11" s="553">
        <f>+[5]중부권!$H$17</f>
        <v>14147.574372437915</v>
      </c>
      <c r="V11" s="554">
        <f t="shared" si="5"/>
        <v>-430.80184380797436</v>
      </c>
    </row>
    <row r="12" spans="4:22" ht="24" customHeight="1" x14ac:dyDescent="0.3">
      <c r="D12" s="484" t="s">
        <v>22</v>
      </c>
      <c r="E12" s="555">
        <f>+[5]안양!$G$9</f>
        <v>100000</v>
      </c>
      <c r="F12" s="556">
        <f>+[5]안양!$H$9</f>
        <v>99711.299165118937</v>
      </c>
      <c r="G12" s="557">
        <f t="shared" si="0"/>
        <v>-288.7008348810632</v>
      </c>
      <c r="H12" s="555">
        <f>+[5]안양!$G$10</f>
        <v>87100</v>
      </c>
      <c r="I12" s="556">
        <f>+[5]안양!$H$10</f>
        <v>102199.98670483746</v>
      </c>
      <c r="J12" s="557">
        <f t="shared" si="1"/>
        <v>15099.986704837458</v>
      </c>
      <c r="K12" s="555">
        <f>+[5]안양!$G$12</f>
        <v>64000</v>
      </c>
      <c r="L12" s="556">
        <f>+[5]안양!$H$12</f>
        <v>64112.29469025541</v>
      </c>
      <c r="M12" s="557">
        <f t="shared" si="2"/>
        <v>112.29469025541039</v>
      </c>
      <c r="N12" s="555">
        <f>+[5]안양!$G$13</f>
        <v>45000</v>
      </c>
      <c r="O12" s="556">
        <f>+[5]안양!$H$13</f>
        <v>44949.952862185826</v>
      </c>
      <c r="P12" s="557">
        <f t="shared" si="3"/>
        <v>-50.047137814173766</v>
      </c>
      <c r="Q12" s="555">
        <f>+[5]안양!$G$16</f>
        <v>15333.333333333334</v>
      </c>
      <c r="R12" s="556">
        <f>+[5]안양!$H$16</f>
        <v>16023.74709186281</v>
      </c>
      <c r="S12" s="557">
        <f t="shared" si="4"/>
        <v>690.41375852947567</v>
      </c>
      <c r="T12" s="555">
        <f>+[5]안양!$G$17</f>
        <v>15161.290322580646</v>
      </c>
      <c r="U12" s="556">
        <f>+[5]안양!$H$17</f>
        <v>15308.30577735264</v>
      </c>
      <c r="V12" s="557">
        <f t="shared" si="5"/>
        <v>147.01545477199397</v>
      </c>
    </row>
    <row r="13" spans="4:22" ht="24" customHeight="1" x14ac:dyDescent="0.3">
      <c r="D13" s="450" t="s">
        <v>23</v>
      </c>
      <c r="E13" s="558">
        <f>+[5]인천!$G$9</f>
        <v>100000</v>
      </c>
      <c r="F13" s="559">
        <f>+[5]인천!$H$9</f>
        <v>99845.003889871732</v>
      </c>
      <c r="G13" s="560">
        <f t="shared" si="0"/>
        <v>-154.9961101282679</v>
      </c>
      <c r="H13" s="558">
        <f>+[5]인천!$G$10</f>
        <v>99500</v>
      </c>
      <c r="I13" s="559">
        <f>+[5]인천!$H$10</f>
        <v>98244.126125255163</v>
      </c>
      <c r="J13" s="560">
        <f t="shared" si="1"/>
        <v>-1255.8738747448369</v>
      </c>
      <c r="K13" s="558">
        <f>+[5]인천!$G$12</f>
        <v>64500</v>
      </c>
      <c r="L13" s="559">
        <f>+[5]인천!$H$12</f>
        <v>64466.888905833315</v>
      </c>
      <c r="M13" s="560">
        <f t="shared" si="2"/>
        <v>-33.111094166684779</v>
      </c>
      <c r="N13" s="558">
        <f>+[5]인천!$G$13</f>
        <v>45000</v>
      </c>
      <c r="O13" s="559">
        <f>+[5]인천!$H$13</f>
        <v>39561.888755037835</v>
      </c>
      <c r="P13" s="560">
        <f t="shared" si="3"/>
        <v>-5438.1112449621651</v>
      </c>
      <c r="Q13" s="558">
        <f>+[5]인천!$G$16</f>
        <v>15733.333333333332</v>
      </c>
      <c r="R13" s="559">
        <f>+[5]인천!$H$16</f>
        <v>15554.599858518315</v>
      </c>
      <c r="S13" s="560">
        <f t="shared" si="4"/>
        <v>-178.73347481501696</v>
      </c>
      <c r="T13" s="558">
        <f>+[5]인천!$G$17</f>
        <v>15503.982479525654</v>
      </c>
      <c r="U13" s="559">
        <f>+[5]인천!$H$17</f>
        <v>14413.248995507967</v>
      </c>
      <c r="V13" s="560">
        <f t="shared" si="5"/>
        <v>-1090.7334840176864</v>
      </c>
    </row>
    <row r="14" spans="4:22" ht="24" customHeight="1" x14ac:dyDescent="0.3">
      <c r="D14" s="450" t="s">
        <v>24</v>
      </c>
      <c r="E14" s="558">
        <f>+[5]파주!$G$9</f>
        <v>100000</v>
      </c>
      <c r="F14" s="559">
        <f>+[5]파주!$H$9</f>
        <v>99999.999723838439</v>
      </c>
      <c r="G14" s="560">
        <f t="shared" si="0"/>
        <v>-2.7616156148724258E-4</v>
      </c>
      <c r="H14" s="558">
        <f>+[5]파주!$G$10</f>
        <v>0</v>
      </c>
      <c r="I14" s="559">
        <f>+[5]파주!$H$10</f>
        <v>99876.468302681504</v>
      </c>
      <c r="J14" s="560">
        <f t="shared" si="1"/>
        <v>99876.468302681504</v>
      </c>
      <c r="K14" s="558">
        <f>+[5]파주!$G$12</f>
        <v>64500</v>
      </c>
      <c r="L14" s="559">
        <f>+[5]파주!$H$12</f>
        <v>63653.38158580671</v>
      </c>
      <c r="M14" s="560">
        <f t="shared" si="2"/>
        <v>-846.61841419328994</v>
      </c>
      <c r="N14" s="558">
        <f>+[5]파주!$G$13</f>
        <v>44999.999999999993</v>
      </c>
      <c r="O14" s="559">
        <f>+[5]파주!$H$13</f>
        <v>43403.140128433421</v>
      </c>
      <c r="P14" s="560">
        <f t="shared" si="3"/>
        <v>-1596.8598715665721</v>
      </c>
      <c r="Q14" s="558">
        <f>+[5]파주!$G$16</f>
        <v>15266.666666666666</v>
      </c>
      <c r="R14" s="559">
        <f>+[5]파주!$H$16</f>
        <v>16158.550165844812</v>
      </c>
      <c r="S14" s="560">
        <f t="shared" si="4"/>
        <v>891.88349917814594</v>
      </c>
      <c r="T14" s="558">
        <f>+[5]파주!$G$17</f>
        <v>13419.354838709678</v>
      </c>
      <c r="U14" s="559">
        <f>+[5]파주!$H$17</f>
        <v>12401.770937908417</v>
      </c>
      <c r="V14" s="560">
        <f t="shared" si="5"/>
        <v>-1017.5839008012608</v>
      </c>
    </row>
    <row r="15" spans="4:22" ht="24" customHeight="1" x14ac:dyDescent="0.3">
      <c r="D15" s="450" t="s">
        <v>178</v>
      </c>
      <c r="E15" s="558">
        <f>+[5]김포!$G$9</f>
        <v>100000</v>
      </c>
      <c r="F15" s="559">
        <f>+[5]김포!$H$9</f>
        <v>99999.999663159033</v>
      </c>
      <c r="G15" s="560">
        <f t="shared" si="0"/>
        <v>-3.368409670656547E-4</v>
      </c>
      <c r="H15" s="558">
        <f>+[5]김포!$G$10</f>
        <v>0</v>
      </c>
      <c r="I15" s="559">
        <f>+[5]김포!$H$10</f>
        <v>0</v>
      </c>
      <c r="J15" s="560">
        <f t="shared" si="1"/>
        <v>0</v>
      </c>
      <c r="K15" s="558">
        <f>+[5]김포!$G$12</f>
        <v>64300</v>
      </c>
      <c r="L15" s="559">
        <f>+[5]김포!$H$12</f>
        <v>63859.805367147528</v>
      </c>
      <c r="M15" s="560">
        <f t="shared" si="2"/>
        <v>-440.19463285247184</v>
      </c>
      <c r="N15" s="558">
        <f>+[5]김포!$G$13</f>
        <v>46000</v>
      </c>
      <c r="O15" s="559">
        <f>+[5]김포!$H$13</f>
        <v>40174.997104337199</v>
      </c>
      <c r="P15" s="560">
        <f t="shared" si="3"/>
        <v>-5825.0028956628012</v>
      </c>
      <c r="Q15" s="558">
        <f>+[5]김포!$G$16</f>
        <v>14666.666666666666</v>
      </c>
      <c r="R15" s="559">
        <f>+[5]김포!$H$16</f>
        <v>14761.774563965631</v>
      </c>
      <c r="S15" s="560">
        <f t="shared" si="4"/>
        <v>95.107897298965327</v>
      </c>
      <c r="T15" s="558">
        <f>+[5]김포!$G$17</f>
        <v>14436.32358393858</v>
      </c>
      <c r="U15" s="559">
        <f>+[5]김포!$H$17</f>
        <v>14123.948494952187</v>
      </c>
      <c r="V15" s="560">
        <f t="shared" si="5"/>
        <v>-312.37508898639317</v>
      </c>
    </row>
    <row r="16" spans="4:22" ht="24" customHeight="1" x14ac:dyDescent="0.3">
      <c r="D16" s="485" t="s">
        <v>25</v>
      </c>
      <c r="E16" s="561">
        <f>+[5]부산!$G$9</f>
        <v>100000.00000000001</v>
      </c>
      <c r="F16" s="562">
        <f>+[5]부산!$H$9</f>
        <v>100000.46883695743</v>
      </c>
      <c r="G16" s="563">
        <f t="shared" si="0"/>
        <v>0.46883695741416886</v>
      </c>
      <c r="H16" s="561">
        <f>+[5]부산!$G$10</f>
        <v>92100.000000000015</v>
      </c>
      <c r="I16" s="562">
        <f>+[5]부산!$H$10</f>
        <v>93837.786795611086</v>
      </c>
      <c r="J16" s="563">
        <f t="shared" si="1"/>
        <v>1737.7867956110713</v>
      </c>
      <c r="K16" s="561">
        <f>+[5]부산!$G$12</f>
        <v>65000</v>
      </c>
      <c r="L16" s="562">
        <f>+[5]부산!$H$12</f>
        <v>0</v>
      </c>
      <c r="M16" s="563">
        <f t="shared" si="2"/>
        <v>-65000</v>
      </c>
      <c r="N16" s="561">
        <f>+[5]부산!$G$13</f>
        <v>36500</v>
      </c>
      <c r="O16" s="562">
        <f>+[5]부산!$H$13</f>
        <v>36500.010678732964</v>
      </c>
      <c r="P16" s="563">
        <f t="shared" si="3"/>
        <v>1.0678732964152005E-2</v>
      </c>
      <c r="Q16" s="561">
        <f>+[5]부산!$G$16</f>
        <v>10736.425813127402</v>
      </c>
      <c r="R16" s="562">
        <f>+[5]부산!$H$16</f>
        <v>11733.942303128917</v>
      </c>
      <c r="S16" s="563">
        <f t="shared" si="4"/>
        <v>997.51649000151519</v>
      </c>
      <c r="T16" s="561">
        <f>+[5]부산!$G$17</f>
        <v>17414.046021123264</v>
      </c>
      <c r="U16" s="562">
        <f>+[5]부산!$H$17</f>
        <v>18612.615352468234</v>
      </c>
      <c r="V16" s="563">
        <f t="shared" si="5"/>
        <v>1198.5693313449701</v>
      </c>
    </row>
    <row r="17" spans="4:25" ht="24" customHeight="1" x14ac:dyDescent="0.3">
      <c r="D17" s="450" t="s">
        <v>26</v>
      </c>
      <c r="E17" s="558">
        <f>+[5]서부산!$G$9</f>
        <v>100000</v>
      </c>
      <c r="F17" s="559">
        <f>+[5]서부산!$H$9</f>
        <v>100018.15237772766</v>
      </c>
      <c r="G17" s="560">
        <f t="shared" si="0"/>
        <v>18.152377727659768</v>
      </c>
      <c r="H17" s="558">
        <f>+[5]서부산!$G$10</f>
        <v>92100.000000000015</v>
      </c>
      <c r="I17" s="559">
        <f>+[5]서부산!$H$10</f>
        <v>92099.940392342251</v>
      </c>
      <c r="J17" s="560">
        <f t="shared" si="1"/>
        <v>-5.9607657763990574E-2</v>
      </c>
      <c r="K17" s="558">
        <f>+[5]서부산!$G$12</f>
        <v>65000</v>
      </c>
      <c r="L17" s="559">
        <f>+[5]서부산!$H$12</f>
        <v>65398.851795287599</v>
      </c>
      <c r="M17" s="560">
        <f t="shared" si="2"/>
        <v>398.85179528759909</v>
      </c>
      <c r="N17" s="558">
        <f>+[5]서부산!$G$13</f>
        <v>35200</v>
      </c>
      <c r="O17" s="559">
        <f>+[5]서부산!$H$13</f>
        <v>35401.414638701601</v>
      </c>
      <c r="P17" s="560">
        <f t="shared" si="3"/>
        <v>201.41463870160078</v>
      </c>
      <c r="Q17" s="558">
        <f>+[5]서부산!$G$16</f>
        <v>10666.666666666666</v>
      </c>
      <c r="R17" s="559">
        <f>+[5]서부산!$H$16</f>
        <v>12205.143229334119</v>
      </c>
      <c r="S17" s="560">
        <f t="shared" si="4"/>
        <v>1538.4765626674525</v>
      </c>
      <c r="T17" s="558">
        <f>+[5]서부산!$G$17</f>
        <v>17671.323476209582</v>
      </c>
      <c r="U17" s="559">
        <f>+[5]서부산!$H$17</f>
        <v>18551.103275571815</v>
      </c>
      <c r="V17" s="560">
        <f t="shared" si="5"/>
        <v>879.77979936223346</v>
      </c>
    </row>
    <row r="18" spans="4:25" ht="24" customHeight="1" x14ac:dyDescent="0.3">
      <c r="D18" s="450" t="s">
        <v>27</v>
      </c>
      <c r="E18" s="558">
        <f>+[5]김해!$G$9</f>
        <v>100000</v>
      </c>
      <c r="F18" s="559">
        <f>+[5]김해!$H$9</f>
        <v>100000.00000000001</v>
      </c>
      <c r="G18" s="560">
        <f t="shared" si="0"/>
        <v>0</v>
      </c>
      <c r="H18" s="558">
        <f>+[5]김해!$G$10</f>
        <v>92100</v>
      </c>
      <c r="I18" s="559">
        <f>+[5]김해!$H$10</f>
        <v>92099.996630747162</v>
      </c>
      <c r="J18" s="560">
        <f t="shared" si="1"/>
        <v>-3.369252837728709E-3</v>
      </c>
      <c r="K18" s="558">
        <f>+[5]김해!$G$12</f>
        <v>64000</v>
      </c>
      <c r="L18" s="559">
        <f>+[5]김해!$H$12</f>
        <v>63568.372718289611</v>
      </c>
      <c r="M18" s="560">
        <f t="shared" si="2"/>
        <v>-431.62728171038907</v>
      </c>
      <c r="N18" s="558">
        <f>+[5]김해!$G$13</f>
        <v>35000</v>
      </c>
      <c r="O18" s="559">
        <f>+[5]김해!$H$13</f>
        <v>35000.036902756794</v>
      </c>
      <c r="P18" s="560">
        <f t="shared" si="3"/>
        <v>3.6902756794006564E-2</v>
      </c>
      <c r="Q18" s="558">
        <f>+[5]김해!$G$16</f>
        <v>9426.6666666666661</v>
      </c>
      <c r="R18" s="559">
        <f>+[5]김해!$H$16</f>
        <v>9207.3079215593189</v>
      </c>
      <c r="S18" s="560">
        <f t="shared" si="4"/>
        <v>-219.3587451073472</v>
      </c>
      <c r="T18" s="558">
        <f>+[5]김해!$G$17</f>
        <v>17730.479017177095</v>
      </c>
      <c r="U18" s="559">
        <f>+[5]김해!$H$17</f>
        <v>15801.765711688224</v>
      </c>
      <c r="V18" s="560">
        <f t="shared" si="5"/>
        <v>-1928.7133054888709</v>
      </c>
    </row>
    <row r="19" spans="4:25" ht="24" customHeight="1" x14ac:dyDescent="0.3">
      <c r="D19" s="450" t="s">
        <v>28</v>
      </c>
      <c r="E19" s="558">
        <f>+[5]정관!$G$9</f>
        <v>100000</v>
      </c>
      <c r="F19" s="559">
        <f>+[5]정관!$H$9</f>
        <v>100047.25387009789</v>
      </c>
      <c r="G19" s="560">
        <f t="shared" si="0"/>
        <v>47.253870097891195</v>
      </c>
      <c r="H19" s="558">
        <f>+[5]정관!$G$10</f>
        <v>92100.000000000015</v>
      </c>
      <c r="I19" s="559">
        <f>+[5]정관!$H$10</f>
        <v>92100.002804296528</v>
      </c>
      <c r="J19" s="560">
        <f t="shared" si="1"/>
        <v>2.8042965132044628E-3</v>
      </c>
      <c r="K19" s="558">
        <f>+[5]정관!$G$12</f>
        <v>63500</v>
      </c>
      <c r="L19" s="559">
        <f>+[5]정관!$H$12</f>
        <v>62130.505209655414</v>
      </c>
      <c r="M19" s="560">
        <f t="shared" si="2"/>
        <v>-1369.4947903445864</v>
      </c>
      <c r="N19" s="558">
        <f>+[5]정관!$G$13</f>
        <v>35500</v>
      </c>
      <c r="O19" s="559">
        <f>+[5]정관!$H$13</f>
        <v>35500.007654408881</v>
      </c>
      <c r="P19" s="560">
        <f t="shared" si="3"/>
        <v>7.6544088806258515E-3</v>
      </c>
      <c r="Q19" s="558">
        <f>+[5]정관!$G$16</f>
        <v>10733.333333333332</v>
      </c>
      <c r="R19" s="559">
        <f>+[5]정관!$H$16</f>
        <v>11391.582646257619</v>
      </c>
      <c r="S19" s="560">
        <f t="shared" si="4"/>
        <v>658.24931292428664</v>
      </c>
      <c r="T19" s="558">
        <f>+[5]정관!$G$17</f>
        <v>18315.171013635976</v>
      </c>
      <c r="U19" s="559">
        <f>+[5]정관!$H$17</f>
        <v>18899.659421638473</v>
      </c>
      <c r="V19" s="560">
        <f t="shared" si="5"/>
        <v>584.48840800249673</v>
      </c>
    </row>
    <row r="20" spans="4:25" ht="24" customHeight="1" x14ac:dyDescent="0.3">
      <c r="D20" s="450" t="s">
        <v>29</v>
      </c>
      <c r="E20" s="558">
        <f>+[5]양산!$G$9</f>
        <v>100000</v>
      </c>
      <c r="F20" s="559">
        <f>+[5]양산!$H$9</f>
        <v>99983.076676553668</v>
      </c>
      <c r="G20" s="560">
        <f t="shared" si="0"/>
        <v>-16.923323446331779</v>
      </c>
      <c r="H20" s="558">
        <f>+[5]양산!$G$10</f>
        <v>92100</v>
      </c>
      <c r="I20" s="559">
        <f>+[5]양산!$H$10</f>
        <v>102199.99884336903</v>
      </c>
      <c r="J20" s="560">
        <f t="shared" si="1"/>
        <v>10099.998843369031</v>
      </c>
      <c r="K20" s="558">
        <f>+[5]양산!$G$12</f>
        <v>63000</v>
      </c>
      <c r="L20" s="559">
        <f>+[5]양산!$H$12</f>
        <v>62513.064021031605</v>
      </c>
      <c r="M20" s="560">
        <f t="shared" si="2"/>
        <v>-486.93597896839492</v>
      </c>
      <c r="N20" s="558">
        <f>+[5]양산!$G$13</f>
        <v>36000</v>
      </c>
      <c r="O20" s="559">
        <f>+[5]양산!$H$13</f>
        <v>35999.996916636126</v>
      </c>
      <c r="P20" s="560">
        <f t="shared" si="3"/>
        <v>-3.0833638738840818E-3</v>
      </c>
      <c r="Q20" s="558">
        <f>+[5]양산!$G$16</f>
        <v>9066.6666666666679</v>
      </c>
      <c r="R20" s="559">
        <f>+[5]양산!$H$16</f>
        <v>9585.9031606928129</v>
      </c>
      <c r="S20" s="560">
        <f t="shared" si="4"/>
        <v>519.23649402614501</v>
      </c>
      <c r="T20" s="558">
        <f>+[5]양산!$G$17</f>
        <v>17446.695345461932</v>
      </c>
      <c r="U20" s="559">
        <f>+[5]양산!$H$17</f>
        <v>16704.556966191234</v>
      </c>
      <c r="V20" s="560">
        <f t="shared" si="5"/>
        <v>-742.13837927069835</v>
      </c>
    </row>
    <row r="21" spans="4:25" ht="24" customHeight="1" x14ac:dyDescent="0.3">
      <c r="D21" s="450" t="s">
        <v>30</v>
      </c>
      <c r="E21" s="558">
        <f>+[5]창원!$G$9</f>
        <v>100000</v>
      </c>
      <c r="F21" s="559">
        <f>+[5]창원!$H$9</f>
        <v>100000.00029974911</v>
      </c>
      <c r="G21" s="560">
        <f t="shared" si="0"/>
        <v>2.9974911012686789E-4</v>
      </c>
      <c r="H21" s="558">
        <f>+[5]창원!$G$10</f>
        <v>0</v>
      </c>
      <c r="I21" s="559">
        <f>+[5]창원!$H$10</f>
        <v>0</v>
      </c>
      <c r="J21" s="560">
        <f t="shared" si="1"/>
        <v>0</v>
      </c>
      <c r="K21" s="558">
        <f>+[5]창원!$G$12</f>
        <v>65000</v>
      </c>
      <c r="L21" s="559">
        <f>+[5]창원!$H$12</f>
        <v>65012.26839357827</v>
      </c>
      <c r="M21" s="560">
        <f t="shared" si="2"/>
        <v>12.268393578269752</v>
      </c>
      <c r="N21" s="558">
        <f>+[5]창원!$G$13</f>
        <v>33000.000000000007</v>
      </c>
      <c r="O21" s="559">
        <f>+[5]창원!$H$13</f>
        <v>33000.001882006618</v>
      </c>
      <c r="P21" s="560">
        <f t="shared" si="3"/>
        <v>1.8820066106854938E-3</v>
      </c>
      <c r="Q21" s="558">
        <f>+[5]창원!$G$16</f>
        <v>10400</v>
      </c>
      <c r="R21" s="559">
        <f>+[5]창원!$H$16</f>
        <v>11266.666176802155</v>
      </c>
      <c r="S21" s="560">
        <f t="shared" si="4"/>
        <v>866.66617680215495</v>
      </c>
      <c r="T21" s="558">
        <f>+[5]창원!$G$17</f>
        <v>17019.616516901082</v>
      </c>
      <c r="U21" s="559">
        <f>+[5]창원!$H$17</f>
        <v>17260.987676116536</v>
      </c>
      <c r="V21" s="560">
        <f t="shared" si="5"/>
        <v>241.3711592154541</v>
      </c>
      <c r="Y21" s="542"/>
    </row>
    <row r="22" spans="4:25" ht="24" customHeight="1" x14ac:dyDescent="0.3">
      <c r="D22" s="450" t="s">
        <v>95</v>
      </c>
      <c r="E22" s="558">
        <f>+[5]대구!$G$9</f>
        <v>100000</v>
      </c>
      <c r="F22" s="559">
        <f>+[5]대구!$H$9</f>
        <v>99999.999999999985</v>
      </c>
      <c r="G22" s="560">
        <f t="shared" si="0"/>
        <v>0</v>
      </c>
      <c r="H22" s="558">
        <f>+[5]대구!$G$10</f>
        <v>0</v>
      </c>
      <c r="I22" s="559">
        <f>+[5]대구!$H$10</f>
        <v>0</v>
      </c>
      <c r="J22" s="560">
        <f t="shared" si="1"/>
        <v>0</v>
      </c>
      <c r="K22" s="558">
        <f>+[5]대구!$G$12</f>
        <v>62499.999999999993</v>
      </c>
      <c r="L22" s="559">
        <f>+[5]대구!$H$12</f>
        <v>60946.890317576552</v>
      </c>
      <c r="M22" s="560">
        <f t="shared" si="2"/>
        <v>-1553.109682423441</v>
      </c>
      <c r="N22" s="558">
        <f>+[5]대구!$G$13</f>
        <v>35500</v>
      </c>
      <c r="O22" s="559">
        <f>+[5]대구!$H$13</f>
        <v>35417.446732732889</v>
      </c>
      <c r="P22" s="560">
        <f t="shared" si="3"/>
        <v>-82.553267267110641</v>
      </c>
      <c r="Q22" s="558">
        <f>+[5]대구!$G$16</f>
        <v>10466.666666666668</v>
      </c>
      <c r="R22" s="559">
        <f>+[5]대구!$H$16</f>
        <v>11125.875585240783</v>
      </c>
      <c r="S22" s="560">
        <f t="shared" si="4"/>
        <v>659.20891857411516</v>
      </c>
      <c r="T22" s="558">
        <f>+[5]대구!$G$17</f>
        <v>14718.131256952169</v>
      </c>
      <c r="U22" s="559">
        <f>+[5]대구!$H$17</f>
        <v>14278.265985004717</v>
      </c>
      <c r="V22" s="560">
        <f t="shared" si="5"/>
        <v>-439.86527194745213</v>
      </c>
    </row>
    <row r="23" spans="4:25" ht="24" customHeight="1" x14ac:dyDescent="0.3">
      <c r="D23" s="450" t="s">
        <v>97</v>
      </c>
      <c r="E23" s="558">
        <f>+[5]울산!$G$9</f>
        <v>100000</v>
      </c>
      <c r="F23" s="559">
        <f>+[5]울산!$H$9</f>
        <v>100000.40440720844</v>
      </c>
      <c r="G23" s="560">
        <f t="shared" si="0"/>
        <v>0.40440720843616873</v>
      </c>
      <c r="H23" s="558">
        <f>+[5]울산!$G$10</f>
        <v>0</v>
      </c>
      <c r="I23" s="559">
        <f>+[5]울산!$H$10</f>
        <v>0</v>
      </c>
      <c r="J23" s="560">
        <f t="shared" si="1"/>
        <v>0</v>
      </c>
      <c r="K23" s="558">
        <f>+[5]울산!$G$12</f>
        <v>61300.000000000007</v>
      </c>
      <c r="L23" s="559">
        <f>+[5]울산!$H$12</f>
        <v>60226.437376141286</v>
      </c>
      <c r="M23" s="560">
        <f t="shared" si="2"/>
        <v>-1073.5626238587211</v>
      </c>
      <c r="N23" s="558">
        <f>+[5]울산!$G$13</f>
        <v>37000</v>
      </c>
      <c r="O23" s="559">
        <f>+[5]울산!$H$13</f>
        <v>37000.008658985913</v>
      </c>
      <c r="P23" s="560">
        <f t="shared" si="3"/>
        <v>8.6589859129162505E-3</v>
      </c>
      <c r="Q23" s="558">
        <f>+[5]울산!$G$16</f>
        <v>10913.333333333334</v>
      </c>
      <c r="R23" s="559">
        <f>+[5]울산!$H$16</f>
        <v>11323.002045341496</v>
      </c>
      <c r="S23" s="560">
        <f t="shared" si="4"/>
        <v>409.6687120081624</v>
      </c>
      <c r="T23" s="558">
        <f>+[5]울산!$G$17</f>
        <v>19035.061179087876</v>
      </c>
      <c r="U23" s="559">
        <f>+[5]울산!$H$17</f>
        <v>19342.745713176799</v>
      </c>
      <c r="V23" s="560">
        <f t="shared" si="5"/>
        <v>307.6845340889231</v>
      </c>
    </row>
    <row r="24" spans="4:25" ht="24" customHeight="1" x14ac:dyDescent="0.3">
      <c r="D24" s="485" t="s">
        <v>31</v>
      </c>
      <c r="E24" s="561">
        <f>+[5]아산!$G$9</f>
        <v>100000</v>
      </c>
      <c r="F24" s="562">
        <f>+[5]아산!$H$9</f>
        <v>100036.81766285862</v>
      </c>
      <c r="G24" s="563">
        <f t="shared" si="0"/>
        <v>36.817662858622498</v>
      </c>
      <c r="H24" s="561">
        <f>+[5]아산!$G$10</f>
        <v>87100</v>
      </c>
      <c r="I24" s="562">
        <f>+[5]아산!$H$10</f>
        <v>86599.94846160266</v>
      </c>
      <c r="J24" s="563">
        <f t="shared" si="1"/>
        <v>-500.05153839733975</v>
      </c>
      <c r="K24" s="561">
        <f>+[5]아산!$G$12</f>
        <v>64500</v>
      </c>
      <c r="L24" s="562">
        <f>+[5]아산!$H$12</f>
        <v>64509.915758878509</v>
      </c>
      <c r="M24" s="563">
        <f t="shared" si="2"/>
        <v>9.915758878509223</v>
      </c>
      <c r="N24" s="561">
        <f>+[5]아산!$G$13</f>
        <v>42000</v>
      </c>
      <c r="O24" s="562">
        <f>+[5]아산!$H$13</f>
        <v>39253.002590731026</v>
      </c>
      <c r="P24" s="563">
        <f t="shared" si="3"/>
        <v>-2746.9974092689736</v>
      </c>
      <c r="Q24" s="561">
        <f>+[5]아산!$G$16</f>
        <v>10933.333333333336</v>
      </c>
      <c r="R24" s="562">
        <f>+[5]아산!$H$16</f>
        <v>11357.785250035939</v>
      </c>
      <c r="S24" s="563">
        <f t="shared" si="4"/>
        <v>424.45191670260283</v>
      </c>
      <c r="T24" s="561">
        <f>+[5]아산!$G$17</f>
        <v>13742.308305428276</v>
      </c>
      <c r="U24" s="562">
        <f>+[5]아산!$H$17</f>
        <v>13163.35517554444</v>
      </c>
      <c r="V24" s="563">
        <f t="shared" si="5"/>
        <v>-578.95312988383557</v>
      </c>
    </row>
    <row r="25" spans="4:25" ht="24" customHeight="1" x14ac:dyDescent="0.3">
      <c r="D25" s="450" t="s">
        <v>34</v>
      </c>
      <c r="E25" s="558">
        <f>+[5]전주!$G$9</f>
        <v>100000</v>
      </c>
      <c r="F25" s="559">
        <f>+[5]전주!$H$9</f>
        <v>99909.99794433116</v>
      </c>
      <c r="G25" s="560">
        <f t="shared" si="0"/>
        <v>-90.002055668839603</v>
      </c>
      <c r="H25" s="558">
        <f>+[5]전주!$G$10</f>
        <v>93100</v>
      </c>
      <c r="I25" s="559">
        <f>+[5]전주!$H$10</f>
        <v>97401.161686802574</v>
      </c>
      <c r="J25" s="560">
        <f t="shared" si="1"/>
        <v>4301.161686802574</v>
      </c>
      <c r="K25" s="558">
        <f>+[5]전주!$G$12</f>
        <v>65000</v>
      </c>
      <c r="L25" s="559">
        <f>+[5]전주!$H$12</f>
        <v>64999.989334593694</v>
      </c>
      <c r="M25" s="560">
        <f t="shared" si="2"/>
        <v>-1.0665406305633951E-2</v>
      </c>
      <c r="N25" s="558">
        <f>+[5]전주!$G$13</f>
        <v>35999.999999999993</v>
      </c>
      <c r="O25" s="559">
        <f>+[5]전주!$H$13</f>
        <v>36000.065048779448</v>
      </c>
      <c r="P25" s="560">
        <f t="shared" si="3"/>
        <v>6.5048779455537442E-2</v>
      </c>
      <c r="Q25" s="558">
        <f>+[5]전주!$G$16</f>
        <v>12533.333333333334</v>
      </c>
      <c r="R25" s="559">
        <f>+[5]전주!$H$16</f>
        <v>12951.962852910448</v>
      </c>
      <c r="S25" s="560">
        <f t="shared" si="4"/>
        <v>418.62951957711448</v>
      </c>
      <c r="T25" s="558">
        <f>+[5]전주!$G$17</f>
        <v>14400.125536877509</v>
      </c>
      <c r="U25" s="559">
        <f>+[5]전주!$H$17</f>
        <v>15114.955170593115</v>
      </c>
      <c r="V25" s="560">
        <f t="shared" si="5"/>
        <v>714.82963371560618</v>
      </c>
    </row>
    <row r="26" spans="4:25" ht="24" customHeight="1" x14ac:dyDescent="0.3">
      <c r="D26" s="450" t="s">
        <v>33</v>
      </c>
      <c r="E26" s="558">
        <f>+[5]군산!$G$9</f>
        <v>100000</v>
      </c>
      <c r="F26" s="559">
        <f>+[5]군산!$H$9</f>
        <v>99999.999999999985</v>
      </c>
      <c r="G26" s="560">
        <f t="shared" si="0"/>
        <v>0</v>
      </c>
      <c r="H26" s="558">
        <f>+[5]군산!$G$10</f>
        <v>95000</v>
      </c>
      <c r="I26" s="559">
        <f>+[5]군산!$H$10</f>
        <v>93186.179183715387</v>
      </c>
      <c r="J26" s="560">
        <f t="shared" si="1"/>
        <v>-1813.8208162846131</v>
      </c>
      <c r="K26" s="558">
        <f>+[5]군산!$G$12</f>
        <v>64899.999999999993</v>
      </c>
      <c r="L26" s="559">
        <f>+[5]군산!$H$12</f>
        <v>64897.258499265379</v>
      </c>
      <c r="M26" s="560">
        <f t="shared" si="2"/>
        <v>-2.7415007346135098</v>
      </c>
      <c r="N26" s="558">
        <f>+[5]군산!$G$13</f>
        <v>37500</v>
      </c>
      <c r="O26" s="559">
        <f>+[5]군산!$H$13</f>
        <v>39912.010523229386</v>
      </c>
      <c r="P26" s="560">
        <f t="shared" si="3"/>
        <v>2412.0105232293863</v>
      </c>
      <c r="Q26" s="558">
        <f>+[5]군산!$G$16</f>
        <v>13666.666666666666</v>
      </c>
      <c r="R26" s="559">
        <f>+[5]군산!$H$16</f>
        <v>14152.953326070936</v>
      </c>
      <c r="S26" s="560">
        <f t="shared" si="4"/>
        <v>486.28665940426981</v>
      </c>
      <c r="T26" s="558">
        <f>+[5]군산!$G$17</f>
        <v>14837.329653268933</v>
      </c>
      <c r="U26" s="559">
        <f>+[5]군산!$H$17</f>
        <v>15229.721838503076</v>
      </c>
      <c r="V26" s="560">
        <f t="shared" si="5"/>
        <v>392.39218523414274</v>
      </c>
    </row>
    <row r="27" spans="4:25" ht="24" customHeight="1" x14ac:dyDescent="0.3">
      <c r="D27" s="450" t="s">
        <v>32</v>
      </c>
      <c r="E27" s="558">
        <f>+[5]원주!$G$9</f>
        <v>100000.00000000001</v>
      </c>
      <c r="F27" s="559">
        <f>+[5]원주!$H$9</f>
        <v>100000.00000000003</v>
      </c>
      <c r="G27" s="560">
        <f t="shared" si="0"/>
        <v>0</v>
      </c>
      <c r="H27" s="558">
        <f>+[5]원주!$G$10</f>
        <v>0</v>
      </c>
      <c r="I27" s="559">
        <f>+[5]원주!$H$10</f>
        <v>0</v>
      </c>
      <c r="J27" s="560">
        <f t="shared" si="1"/>
        <v>0</v>
      </c>
      <c r="K27" s="558">
        <f>+[5]원주!$G$12</f>
        <v>64000</v>
      </c>
      <c r="L27" s="559">
        <f>+[5]원주!$H$12</f>
        <v>63999.591449167048</v>
      </c>
      <c r="M27" s="560">
        <f t="shared" si="2"/>
        <v>-0.40855083295173245</v>
      </c>
      <c r="N27" s="558">
        <f>+[5]원주!$G$13</f>
        <v>48999.999999999993</v>
      </c>
      <c r="O27" s="559">
        <f>+[5]원주!$H$13</f>
        <v>49000.000253457503</v>
      </c>
      <c r="P27" s="560">
        <f t="shared" si="3"/>
        <v>2.5345751055283472E-4</v>
      </c>
      <c r="Q27" s="558">
        <f>+[5]원주!$G$16</f>
        <v>13666.666666666668</v>
      </c>
      <c r="R27" s="559">
        <f>+[5]원주!$H$16</f>
        <v>13683.608010472681</v>
      </c>
      <c r="S27" s="560">
        <f t="shared" si="4"/>
        <v>16.94134380601281</v>
      </c>
      <c r="T27" s="558">
        <f>+[5]원주!$G$17</f>
        <v>13419.35483870968</v>
      </c>
      <c r="U27" s="559">
        <f>+[5]원주!$H$17</f>
        <v>13732.354435905167</v>
      </c>
      <c r="V27" s="560">
        <f t="shared" si="5"/>
        <v>312.99959719548679</v>
      </c>
    </row>
    <row r="28" spans="4:25" ht="24" customHeight="1" x14ac:dyDescent="0.3">
      <c r="D28" s="499" t="s">
        <v>35</v>
      </c>
      <c r="E28" s="564">
        <f>+[5]제주!$G$9</f>
        <v>117000</v>
      </c>
      <c r="F28" s="565">
        <f>+[5]제주!$H$9</f>
        <v>117000.00679876423</v>
      </c>
      <c r="G28" s="566">
        <f t="shared" si="0"/>
        <v>6.7987642250955105E-3</v>
      </c>
      <c r="H28" s="564">
        <f>+[5]제주!$G$10</f>
        <v>0</v>
      </c>
      <c r="I28" s="565">
        <f>+[5]제주!$H$10</f>
        <v>116999.99702512451</v>
      </c>
      <c r="J28" s="566">
        <f t="shared" si="1"/>
        <v>116999.99702512451</v>
      </c>
      <c r="K28" s="564">
        <f>+[5]제주!$G$12</f>
        <v>0</v>
      </c>
      <c r="L28" s="565">
        <f>+[5]제주!$H$12</f>
        <v>0</v>
      </c>
      <c r="M28" s="566">
        <f t="shared" si="2"/>
        <v>0</v>
      </c>
      <c r="N28" s="564">
        <f>+[5]제주!$G$13</f>
        <v>0</v>
      </c>
      <c r="O28" s="565">
        <f>+[5]제주!$H$13</f>
        <v>0</v>
      </c>
      <c r="P28" s="566">
        <f t="shared" si="3"/>
        <v>0</v>
      </c>
      <c r="Q28" s="564">
        <f>+[5]제주!$G$16</f>
        <v>18143.333333333336</v>
      </c>
      <c r="R28" s="565">
        <f>+[5]제주!$H$16</f>
        <v>17646.276664972283</v>
      </c>
      <c r="S28" s="566">
        <f t="shared" si="4"/>
        <v>-497.05666836105229</v>
      </c>
      <c r="T28" s="564">
        <f>+[5]제주!$G$17</f>
        <v>18359.608288631152</v>
      </c>
      <c r="U28" s="565">
        <f>+[5]제주!$H$17</f>
        <v>18529.524757371</v>
      </c>
      <c r="V28" s="566">
        <f t="shared" si="5"/>
        <v>169.91646873984791</v>
      </c>
    </row>
    <row r="29" spans="4:25" ht="24" customHeight="1" x14ac:dyDescent="0.3"/>
    <row r="30" spans="4:25" ht="24" customHeight="1" x14ac:dyDescent="0.3"/>
    <row r="31" spans="4:25" ht="24" customHeight="1" x14ac:dyDescent="0.3"/>
    <row r="32" spans="4:25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39AB-76B0-4EF2-A4A5-C7A0366BB8E0}">
  <sheetPr codeName="Sheet8">
    <tabColor theme="1" tint="0.249977111117893"/>
    <pageSetUpPr fitToPage="1"/>
  </sheetPr>
  <dimension ref="D1:V52"/>
  <sheetViews>
    <sheetView showGridLines="0" showZeros="0" view="pageBreakPreview" zoomScale="60" zoomScaleNormal="85" workbookViewId="0">
      <pane xSplit="4" ySplit="7" topLeftCell="E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183" t="s">
        <v>247</v>
      </c>
      <c r="F4" s="183"/>
      <c r="I4" s="183"/>
    </row>
    <row r="5" spans="4:22" ht="21.95" customHeight="1" x14ac:dyDescent="0.3">
      <c r="V5" s="185" t="s">
        <v>157</v>
      </c>
    </row>
    <row r="6" spans="4:22" ht="24" customHeight="1" thickBot="1" x14ac:dyDescent="0.35">
      <c r="D6" s="840" t="s">
        <v>11</v>
      </c>
      <c r="E6" s="438" t="s">
        <v>158</v>
      </c>
      <c r="F6" s="439"/>
      <c r="G6" s="440"/>
      <c r="H6" s="438" t="s">
        <v>159</v>
      </c>
      <c r="I6" s="439"/>
      <c r="J6" s="440"/>
      <c r="K6" s="438" t="s">
        <v>160</v>
      </c>
      <c r="L6" s="439"/>
      <c r="M6" s="440"/>
      <c r="N6" s="438" t="s">
        <v>161</v>
      </c>
      <c r="O6" s="439"/>
      <c r="P6" s="440"/>
      <c r="Q6" s="438" t="s">
        <v>162</v>
      </c>
      <c r="R6" s="439"/>
      <c r="S6" s="440"/>
      <c r="T6" s="438" t="s">
        <v>163</v>
      </c>
      <c r="U6" s="439"/>
      <c r="V6" s="440"/>
    </row>
    <row r="7" spans="4:22" ht="24" customHeight="1" x14ac:dyDescent="0.3">
      <c r="D7" s="841"/>
      <c r="E7" s="441" t="s">
        <v>12</v>
      </c>
      <c r="F7" s="442" t="s">
        <v>13</v>
      </c>
      <c r="G7" s="443" t="s">
        <v>36</v>
      </c>
      <c r="H7" s="441" t="s">
        <v>15</v>
      </c>
      <c r="I7" s="442" t="s">
        <v>16</v>
      </c>
      <c r="J7" s="443" t="s">
        <v>36</v>
      </c>
      <c r="K7" s="441" t="s">
        <v>15</v>
      </c>
      <c r="L7" s="442" t="s">
        <v>16</v>
      </c>
      <c r="M7" s="443" t="s">
        <v>36</v>
      </c>
      <c r="N7" s="441" t="s">
        <v>15</v>
      </c>
      <c r="O7" s="442" t="s">
        <v>16</v>
      </c>
      <c r="P7" s="443" t="s">
        <v>36</v>
      </c>
      <c r="Q7" s="441" t="s">
        <v>15</v>
      </c>
      <c r="R7" s="442" t="s">
        <v>16</v>
      </c>
      <c r="S7" s="443" t="s">
        <v>36</v>
      </c>
      <c r="T7" s="441" t="s">
        <v>15</v>
      </c>
      <c r="U7" s="442" t="s">
        <v>16</v>
      </c>
      <c r="V7" s="443" t="s">
        <v>36</v>
      </c>
    </row>
    <row r="8" spans="4:22" ht="24" customHeight="1" x14ac:dyDescent="0.3">
      <c r="D8" s="469" t="s">
        <v>47</v>
      </c>
      <c r="E8" s="459">
        <f>+[5]합계!$E$9</f>
        <v>241.2199340229806</v>
      </c>
      <c r="F8" s="461">
        <f>+[5]합계!$F$9</f>
        <v>261.12382551800084</v>
      </c>
      <c r="G8" s="486">
        <f>+F8-E8</f>
        <v>19.903891495020247</v>
      </c>
      <c r="H8" s="459">
        <f>+[5]합계!$E$15</f>
        <v>352.19074021482982</v>
      </c>
      <c r="I8" s="461">
        <f>+[5]합계!$F$15</f>
        <v>370.03212531388908</v>
      </c>
      <c r="J8" s="486">
        <f>+I8-H8</f>
        <v>17.841385099059266</v>
      </c>
      <c r="K8" s="530">
        <f>+([5]합계!$E$10*0.4+[5]합계!$E$11+[5]합계!$E$12+[5]합계!$E$13+[5]합계!$E$14)/[5]합계!$E$15</f>
        <v>0.26821974247884078</v>
      </c>
      <c r="L8" s="531">
        <f>+([5]합계!$F$10*0.4+[5]합계!$F$11+[5]합계!$F$12+[5]합계!$F$13+[5]합계!$F$14)/[5]합계!$F$15</f>
        <v>0.24723964505482768</v>
      </c>
      <c r="M8" s="532">
        <f>+L8-K8</f>
        <v>-2.0980097424013106E-2</v>
      </c>
      <c r="N8" s="459">
        <f>+[5]합계!$E$16</f>
        <v>821.40726339053526</v>
      </c>
      <c r="O8" s="461">
        <f>+[5]합계!$F$16</f>
        <v>821.68934398877377</v>
      </c>
      <c r="P8" s="486">
        <f>+O8-N8</f>
        <v>0.28208059823850817</v>
      </c>
      <c r="Q8" s="459">
        <f>+[5]합계!$E$17</f>
        <v>906.96672705075957</v>
      </c>
      <c r="R8" s="461">
        <f>+[5]합계!$F$17</f>
        <v>902.13563026225665</v>
      </c>
      <c r="S8" s="486">
        <f>+R8-Q8</f>
        <v>-4.8310967885029186</v>
      </c>
      <c r="T8" s="459">
        <f>+[5]합계!$E$19</f>
        <v>3.165386393084975</v>
      </c>
      <c r="U8" s="461">
        <f>+[5]합계!$F$19</f>
        <v>3.1075142341108384</v>
      </c>
      <c r="V8" s="486">
        <f>+U8-T8</f>
        <v>-5.7872158974136667E-2</v>
      </c>
    </row>
    <row r="9" spans="4:22" ht="24" customHeight="1" x14ac:dyDescent="0.3">
      <c r="D9" s="470" t="s">
        <v>19</v>
      </c>
      <c r="E9" s="464">
        <f>+[5]수도권!$E$9</f>
        <v>261.31176954732513</v>
      </c>
      <c r="F9" s="478">
        <f>+[5]수도권!$F$9</f>
        <v>278.85238121732465</v>
      </c>
      <c r="G9" s="487">
        <f t="shared" ref="G9:G28" si="0">+F9-E9</f>
        <v>17.540611669999521</v>
      </c>
      <c r="H9" s="464">
        <f>+[5]수도권!$E$15</f>
        <v>354.29724279835392</v>
      </c>
      <c r="I9" s="478">
        <f>+[5]수도권!$F$15</f>
        <v>376.63940879658503</v>
      </c>
      <c r="J9" s="487">
        <f t="shared" ref="J9:J28" si="1">+I9-H9</f>
        <v>22.34216599823111</v>
      </c>
      <c r="K9" s="536">
        <f>+([5]수도권!$E$10*0.4+[5]수도권!$E$11+[5]수도권!$E$12+[5]수도권!$E$13+[5]수도권!$E$14)/[5]수도권!$E$15</f>
        <v>0.251097152503716</v>
      </c>
      <c r="L9" s="537">
        <f>+([5]수도권!$F$10*0.4+[5]수도권!$F$11+[5]수도권!$F$12+[5]수도권!$F$13+[5]수도권!$F$14)/[5]수도권!$F$15</f>
        <v>0.23610845488790744</v>
      </c>
      <c r="M9" s="533">
        <f t="shared" ref="M9:M28" si="2">+L9-K9</f>
        <v>-1.4988697615808566E-2</v>
      </c>
      <c r="N9" s="464">
        <f>+[5]수도권!$E$16</f>
        <v>844.58098765432101</v>
      </c>
      <c r="O9" s="478">
        <f>+[5]수도권!$F$16</f>
        <v>842.57609477672747</v>
      </c>
      <c r="P9" s="487">
        <f t="shared" ref="P9:P28" si="3">+O9-N9</f>
        <v>-2.0048928775935337</v>
      </c>
      <c r="Q9" s="464">
        <f>+[5]수도권!$E$17</f>
        <v>892.26098765432107</v>
      </c>
      <c r="R9" s="478">
        <f>+[5]수도권!$F$17</f>
        <v>889.70035013669712</v>
      </c>
      <c r="S9" s="487">
        <f t="shared" ref="S9:S28" si="4">+R9-Q9</f>
        <v>-2.5606375176239453</v>
      </c>
      <c r="T9" s="464">
        <f>+[5]수도권!$E$19</f>
        <v>3.0699084773662553</v>
      </c>
      <c r="U9" s="478">
        <f>+[5]수도권!$F$19</f>
        <v>2.9682709002829886</v>
      </c>
      <c r="V9" s="487">
        <f t="shared" ref="V9:V28" si="5">+U9-T9</f>
        <v>-0.10163757708326671</v>
      </c>
    </row>
    <row r="10" spans="4:22" ht="24" customHeight="1" x14ac:dyDescent="0.3">
      <c r="D10" s="471" t="s">
        <v>20</v>
      </c>
      <c r="E10" s="466">
        <f>+[5]영남권!$E$9</f>
        <v>220.58981098466987</v>
      </c>
      <c r="F10" s="479">
        <f>+[5]영남권!$F$9</f>
        <v>230.0539624885636</v>
      </c>
      <c r="G10" s="488">
        <f t="shared" si="0"/>
        <v>9.4641515038937314</v>
      </c>
      <c r="H10" s="466">
        <f>+[5]영남권!$E$15</f>
        <v>350.4169863462842</v>
      </c>
      <c r="I10" s="479">
        <f>+[5]영남권!$F$15</f>
        <v>359.84962358950901</v>
      </c>
      <c r="J10" s="488">
        <f t="shared" si="1"/>
        <v>9.4326372432248036</v>
      </c>
      <c r="K10" s="538">
        <f>+([5]영남권!$E$10*0.4+[5]영남권!$E$11+[5]영남권!$E$12+[5]영남권!$E$13+[5]영남권!$E$14)/[5]영남권!$E$15</f>
        <v>0.29712911014684018</v>
      </c>
      <c r="L10" s="539">
        <f>+([5]영남권!$F$10*0.4+[5]영남권!$F$11+[5]영남권!$F$12+[5]영남권!$F$13+[5]영남권!$F$14)/[5]영남권!$F$15</f>
        <v>0.28195774412320207</v>
      </c>
      <c r="M10" s="534">
        <f t="shared" si="2"/>
        <v>-1.5171366023638111E-2</v>
      </c>
      <c r="N10" s="466">
        <f>+[5]영남권!$E$16</f>
        <v>807.1563288690387</v>
      </c>
      <c r="O10" s="479">
        <f>+[5]영남권!$F$16</f>
        <v>793.68504139981701</v>
      </c>
      <c r="P10" s="488">
        <f t="shared" si="3"/>
        <v>-13.471287469221693</v>
      </c>
      <c r="Q10" s="466">
        <f>+[5]영남권!$E$17</f>
        <v>912.31855150392619</v>
      </c>
      <c r="R10" s="479">
        <f>+[5]영남권!$F$17</f>
        <v>907.27993290637403</v>
      </c>
      <c r="S10" s="488">
        <f t="shared" si="4"/>
        <v>-5.0386185975521585</v>
      </c>
      <c r="T10" s="466">
        <f>+[5]영남권!$E$19</f>
        <v>3.3380126511211317</v>
      </c>
      <c r="U10" s="479">
        <f>+[5]영남권!$F$19</f>
        <v>3.2125629765172308</v>
      </c>
      <c r="V10" s="488">
        <f t="shared" si="5"/>
        <v>-0.12544967460390088</v>
      </c>
    </row>
    <row r="11" spans="4:22" ht="24" customHeight="1" x14ac:dyDescent="0.3">
      <c r="D11" s="472" t="s">
        <v>57</v>
      </c>
      <c r="E11" s="467">
        <f>+[5]중부권!$E$9</f>
        <v>248.04147540983607</v>
      </c>
      <c r="F11" s="480">
        <f>+[5]중부권!$F$9</f>
        <v>296.7725256519027</v>
      </c>
      <c r="G11" s="489">
        <f t="shared" si="0"/>
        <v>48.73105024206663</v>
      </c>
      <c r="H11" s="467">
        <f>+[5]중부권!$E$15</f>
        <v>352.02229508196717</v>
      </c>
      <c r="I11" s="480">
        <f>+[5]중부권!$F$15</f>
        <v>380.38509964623609</v>
      </c>
      <c r="J11" s="489">
        <f t="shared" si="1"/>
        <v>28.362804564268913</v>
      </c>
      <c r="K11" s="540">
        <f>+([5]중부권!$E$10*0.4+[5]중부권!$E$11+[5]중부권!$E$12+[5]중부권!$E$13+[5]중부권!$E$14)/[5]중부권!$E$15</f>
        <v>0.23720582153887426</v>
      </c>
      <c r="L11" s="541">
        <f>+([5]중부권!$F$10*0.4+[5]중부권!$F$11+[5]중부권!$F$12+[5]중부권!$F$13+[5]중부권!$F$14)/[5]중부권!$F$15</f>
        <v>0.19667459684813107</v>
      </c>
      <c r="M11" s="535">
        <f t="shared" si="2"/>
        <v>-4.0531224690743189E-2</v>
      </c>
      <c r="N11" s="467">
        <f>+[5]중부권!$E$16</f>
        <v>807.60639344262302</v>
      </c>
      <c r="O11" s="480">
        <f>+[5]중부권!$F$16</f>
        <v>845.63173312416995</v>
      </c>
      <c r="P11" s="489">
        <f t="shared" si="3"/>
        <v>38.025339681546939</v>
      </c>
      <c r="Q11" s="467">
        <f>+[5]중부권!$E$17</f>
        <v>924.1063934426229</v>
      </c>
      <c r="R11" s="480">
        <f>+[5]중부권!$F$17</f>
        <v>912.0856717516923</v>
      </c>
      <c r="S11" s="489">
        <f t="shared" si="4"/>
        <v>-12.0207216909306</v>
      </c>
      <c r="T11" s="467">
        <f>+[5]중부권!$E$19</f>
        <v>2.9636131147540987</v>
      </c>
      <c r="U11" s="480">
        <f>+[5]중부권!$F$19</f>
        <v>3.1193153623281198</v>
      </c>
      <c r="V11" s="489">
        <f t="shared" si="5"/>
        <v>0.15570224757402107</v>
      </c>
    </row>
    <row r="12" spans="4:22" ht="24" customHeight="1" x14ac:dyDescent="0.3">
      <c r="D12" s="484" t="s">
        <v>22</v>
      </c>
      <c r="E12" s="446">
        <f>+[5]안양!$E$9</f>
        <v>263.29999999999995</v>
      </c>
      <c r="F12" s="447">
        <f>+[5]안양!$F$9</f>
        <v>285.80127715652912</v>
      </c>
      <c r="G12" s="448">
        <f t="shared" si="0"/>
        <v>22.50127715652917</v>
      </c>
      <c r="H12" s="446">
        <f>+[5]안양!$E$15</f>
        <v>365.4</v>
      </c>
      <c r="I12" s="447">
        <f>+[5]안양!$F$15</f>
        <v>383.39770490544794</v>
      </c>
      <c r="J12" s="448">
        <f t="shared" si="1"/>
        <v>17.997704905447961</v>
      </c>
      <c r="K12" s="504">
        <f>+([5]안양!$E$10*0.4+[5]안양!$E$11+[5]안양!$E$12+[5]안양!$E$13+[5]안양!$E$14)/[5]안양!$E$15</f>
        <v>0.26299945265462504</v>
      </c>
      <c r="L12" s="505">
        <f>+([5]안양!$F$10*0.4+[5]안양!$F$11+[5]안양!$F$12+[5]안양!$F$13+[5]안양!$F$14)/[5]안양!$F$15</f>
        <v>0.23909870148554238</v>
      </c>
      <c r="M12" s="506">
        <f t="shared" si="2"/>
        <v>-2.3900751169082662E-2</v>
      </c>
      <c r="N12" s="446">
        <f>+[5]안양!$E$16</f>
        <v>846</v>
      </c>
      <c r="O12" s="447">
        <f>+[5]안양!$F$16</f>
        <v>847.74495253204998</v>
      </c>
      <c r="P12" s="448">
        <f t="shared" si="3"/>
        <v>1.7449525320499788</v>
      </c>
      <c r="Q12" s="446">
        <f>+[5]안양!$E$17</f>
        <v>880</v>
      </c>
      <c r="R12" s="447">
        <f>+[5]안양!$F$17</f>
        <v>859.24959697023974</v>
      </c>
      <c r="S12" s="448">
        <f t="shared" si="4"/>
        <v>-20.750403029760264</v>
      </c>
      <c r="T12" s="507">
        <f>+[5]안양!$E$19</f>
        <v>3.29</v>
      </c>
      <c r="U12" s="508">
        <f>+[5]안양!$F$19</f>
        <v>3.0588231531001329</v>
      </c>
      <c r="V12" s="509">
        <f t="shared" si="5"/>
        <v>-0.23117684689986717</v>
      </c>
    </row>
    <row r="13" spans="4:22" ht="24" customHeight="1" x14ac:dyDescent="0.3">
      <c r="D13" s="450" t="s">
        <v>23</v>
      </c>
      <c r="E13" s="451">
        <f>+[5]인천!$E$9</f>
        <v>280.06599999999997</v>
      </c>
      <c r="F13" s="452">
        <f>+[5]인천!$F$9</f>
        <v>285.65413960918346</v>
      </c>
      <c r="G13" s="188">
        <f t="shared" si="0"/>
        <v>5.5881396091834858</v>
      </c>
      <c r="H13" s="451">
        <f>+[5]인천!$E$15</f>
        <v>368.72300000000001</v>
      </c>
      <c r="I13" s="452">
        <f>+[5]인천!$F$15</f>
        <v>400.14248272531393</v>
      </c>
      <c r="J13" s="188">
        <f t="shared" si="1"/>
        <v>31.419482725313912</v>
      </c>
      <c r="K13" s="510">
        <f>+([5]인천!$E$10*0.4+[5]인천!$E$11+[5]인천!$E$12+[5]인천!$E$13+[5]인천!$E$14)/[5]인천!$E$15</f>
        <v>0.22256490644738733</v>
      </c>
      <c r="L13" s="511">
        <f>+([5]인천!$F$10*0.4+[5]인천!$F$11+[5]인천!$F$12+[5]인천!$F$13+[5]인천!$F$14)/[5]인천!$F$15</f>
        <v>0.24008088414638798</v>
      </c>
      <c r="M13" s="512">
        <f t="shared" si="2"/>
        <v>1.7515977699000651E-2</v>
      </c>
      <c r="N13" s="451">
        <f>+[5]인천!$E$16</f>
        <v>884.51400000000001</v>
      </c>
      <c r="O13" s="452">
        <f>+[5]인천!$F$16</f>
        <v>904.8409985883053</v>
      </c>
      <c r="P13" s="188">
        <f t="shared" si="3"/>
        <v>20.326998588305287</v>
      </c>
      <c r="Q13" s="451">
        <f>+[5]인천!$E$17</f>
        <v>849.48</v>
      </c>
      <c r="R13" s="452">
        <f>+[5]인천!$F$17</f>
        <v>832.86436585184651</v>
      </c>
      <c r="S13" s="188">
        <f t="shared" si="4"/>
        <v>-16.615634148153504</v>
      </c>
      <c r="T13" s="513">
        <f>+[5]인천!$E$19</f>
        <v>3.319</v>
      </c>
      <c r="U13" s="514">
        <f>+[5]인천!$F$19</f>
        <v>3.2225239616613415</v>
      </c>
      <c r="V13" s="515">
        <f t="shared" si="5"/>
        <v>-9.6476038338658476E-2</v>
      </c>
    </row>
    <row r="14" spans="4:22" ht="24" customHeight="1" x14ac:dyDescent="0.3">
      <c r="D14" s="450" t="s">
        <v>24</v>
      </c>
      <c r="E14" s="451">
        <f>+[5]파주!$E$9</f>
        <v>268.02791666666667</v>
      </c>
      <c r="F14" s="452">
        <f>+[5]파주!$F$9</f>
        <v>277.22171642933728</v>
      </c>
      <c r="G14" s="188">
        <f t="shared" si="0"/>
        <v>9.1937997626706078</v>
      </c>
      <c r="H14" s="451">
        <f>+[5]파주!$E$15</f>
        <v>346.92124999999999</v>
      </c>
      <c r="I14" s="452">
        <f>+[5]파주!$F$15</f>
        <v>360.082057495024</v>
      </c>
      <c r="J14" s="188">
        <f t="shared" si="1"/>
        <v>13.160807495024017</v>
      </c>
      <c r="K14" s="510">
        <f>+([5]파주!$E$10*0.4+[5]파주!$E$11+[5]파주!$E$12+[5]파주!$E$13+[5]파주!$E$14)/[5]파주!$E$15</f>
        <v>0.22740991891771789</v>
      </c>
      <c r="L14" s="511">
        <f>+([5]파주!$F$10*0.4+[5]파주!$F$11+[5]파주!$F$12+[5]파주!$F$13+[5]파주!$F$14)/[5]파주!$F$15</f>
        <v>0.20927329415241017</v>
      </c>
      <c r="M14" s="512">
        <f t="shared" si="2"/>
        <v>-1.8136624765307724E-2</v>
      </c>
      <c r="N14" s="451">
        <f>+[5]파주!$E$16</f>
        <v>868.77499999999998</v>
      </c>
      <c r="O14" s="452">
        <f>+[5]파주!$F$16</f>
        <v>781.52962792834069</v>
      </c>
      <c r="P14" s="188">
        <f t="shared" si="3"/>
        <v>-87.24537207165929</v>
      </c>
      <c r="Q14" s="451">
        <f>+[5]파주!$E$17</f>
        <v>872.8295833333334</v>
      </c>
      <c r="R14" s="452">
        <f>+[5]파주!$F$17</f>
        <v>953.8089496248657</v>
      </c>
      <c r="S14" s="188">
        <f t="shared" si="4"/>
        <v>80.979366291532301</v>
      </c>
      <c r="T14" s="513">
        <f>+[5]파주!$E$19</f>
        <v>2.7753700000000001</v>
      </c>
      <c r="U14" s="514">
        <f>+[5]파주!$F$19</f>
        <v>2.6628138876129239</v>
      </c>
      <c r="V14" s="515">
        <f t="shared" si="5"/>
        <v>-0.11255611238707619</v>
      </c>
    </row>
    <row r="15" spans="4:22" ht="24" customHeight="1" x14ac:dyDescent="0.3">
      <c r="D15" s="450" t="s">
        <v>178</v>
      </c>
      <c r="E15" s="451">
        <f>+[5]김포!$E$9</f>
        <v>215</v>
      </c>
      <c r="F15" s="452">
        <f>+[5]김포!$F$9</f>
        <v>244.86639063015508</v>
      </c>
      <c r="G15" s="188">
        <f t="shared" si="0"/>
        <v>29.866390630155081</v>
      </c>
      <c r="H15" s="451">
        <f>+[5]김포!$E$15</f>
        <v>313</v>
      </c>
      <c r="I15" s="452">
        <f>+[5]김포!$F$15</f>
        <v>338.35015176509398</v>
      </c>
      <c r="J15" s="188">
        <f t="shared" si="1"/>
        <v>25.350151765093983</v>
      </c>
      <c r="K15" s="510">
        <f>+([5]김포!$E$10*0.4+[5]김포!$E$11+[5]김포!$E$12+[5]김포!$E$13+[5]김포!$E$14)/[5]김포!$E$15</f>
        <v>0.31309904153354634</v>
      </c>
      <c r="L15" s="511">
        <f>+([5]김포!$F$10*0.4+[5]김포!$F$11+[5]김포!$F$12+[5]김포!$F$13+[5]김포!$F$14)/[5]김포!$F$15</f>
        <v>0.27629294873153126</v>
      </c>
      <c r="M15" s="512">
        <f t="shared" si="2"/>
        <v>-3.6806092802015078E-2</v>
      </c>
      <c r="N15" s="451">
        <f>+[5]김포!$E$16</f>
        <v>740</v>
      </c>
      <c r="O15" s="452">
        <f>+[5]김포!$F$16</f>
        <v>819.21230616958121</v>
      </c>
      <c r="P15" s="188">
        <f t="shared" si="3"/>
        <v>79.212306169581211</v>
      </c>
      <c r="Q15" s="451">
        <f>+[5]김포!$E$17</f>
        <v>1020</v>
      </c>
      <c r="R15" s="452">
        <f>+[5]김포!$F$17</f>
        <v>975.90316727152754</v>
      </c>
      <c r="S15" s="188">
        <f t="shared" si="4"/>
        <v>-44.096832728472464</v>
      </c>
      <c r="T15" s="513">
        <f>+[5]김포!$E$19</f>
        <v>2.5</v>
      </c>
      <c r="U15" s="514">
        <f>+[5]김포!$F$19</f>
        <v>2.7700758825470149</v>
      </c>
      <c r="V15" s="515">
        <f t="shared" si="5"/>
        <v>0.27007588254701487</v>
      </c>
    </row>
    <row r="16" spans="4:22" ht="24" customHeight="1" x14ac:dyDescent="0.3">
      <c r="D16" s="485" t="s">
        <v>25</v>
      </c>
      <c r="E16" s="454">
        <f>+[5]부산!$E$9</f>
        <v>222.29870089069894</v>
      </c>
      <c r="F16" s="455">
        <f>+[5]부산!$F$9</f>
        <v>169.2504671558975</v>
      </c>
      <c r="G16" s="456">
        <f t="shared" si="0"/>
        <v>-53.048233734801443</v>
      </c>
      <c r="H16" s="454">
        <f>+[5]부산!$E$15</f>
        <v>365.39802537334845</v>
      </c>
      <c r="I16" s="455">
        <f>+[5]부산!$F$15</f>
        <v>379.47222182447331</v>
      </c>
      <c r="J16" s="456">
        <f t="shared" si="1"/>
        <v>14.074196451124863</v>
      </c>
      <c r="K16" s="516">
        <f>+([5]부산!$E$10*0.4+[5]부산!$E$11+[5]부산!$E$12+[5]부산!$E$13+[5]부산!$E$14)/[5]부산!$E$15</f>
        <v>0.2957952031699651</v>
      </c>
      <c r="L16" s="517">
        <f>+([5]부산!$F$10*0.4+[5]부산!$F$11+[5]부산!$F$12+[5]부산!$F$13+[5]부산!$F$14)/[5]부산!$F$15</f>
        <v>0.27464129001994492</v>
      </c>
      <c r="M16" s="518">
        <f t="shared" si="2"/>
        <v>-2.1153913150020187E-2</v>
      </c>
      <c r="N16" s="454">
        <f>+[5]부산!$E$16</f>
        <v>842.39073587285998</v>
      </c>
      <c r="O16" s="455">
        <f>+[5]부산!$F$16</f>
        <v>879.98926078396289</v>
      </c>
      <c r="P16" s="456">
        <f t="shared" si="3"/>
        <v>37.598524911102913</v>
      </c>
      <c r="Q16" s="454">
        <f>+[5]부산!$E$17</f>
        <v>887.87203855601126</v>
      </c>
      <c r="R16" s="455">
        <f>+[5]부산!$F$17</f>
        <v>839.44394725851726</v>
      </c>
      <c r="S16" s="456">
        <f t="shared" si="4"/>
        <v>-48.428091297494007</v>
      </c>
      <c r="T16" s="519">
        <f>+[5]부산!$E$19</f>
        <v>3.0366419658448645</v>
      </c>
      <c r="U16" s="520">
        <f>+[5]부산!$F$19</f>
        <v>3.4090531591193867</v>
      </c>
      <c r="V16" s="521">
        <f t="shared" si="5"/>
        <v>0.37241119327452221</v>
      </c>
    </row>
    <row r="17" spans="4:22" ht="24" customHeight="1" x14ac:dyDescent="0.3">
      <c r="D17" s="450" t="s">
        <v>26</v>
      </c>
      <c r="E17" s="451">
        <f>+[5]서부산!$E$9</f>
        <v>225.39999999999998</v>
      </c>
      <c r="F17" s="452">
        <f>+[5]서부산!$F$9</f>
        <v>247.03566334709765</v>
      </c>
      <c r="G17" s="188">
        <f t="shared" si="0"/>
        <v>21.635663347097676</v>
      </c>
      <c r="H17" s="451">
        <f>+[5]서부산!$E$15</f>
        <v>352.79999999999995</v>
      </c>
      <c r="I17" s="452">
        <f>+[5]서부산!$F$15</f>
        <v>345.07889579791134</v>
      </c>
      <c r="J17" s="188">
        <f t="shared" si="1"/>
        <v>-7.7211042020886111</v>
      </c>
      <c r="K17" s="510">
        <f>+([5]서부산!$E$10*0.4+[5]서부산!$E$11+[5]서부산!$E$12+[5]서부산!$E$13+[5]서부산!$E$14)/[5]서부산!$E$15</f>
        <v>0.28287981859410438</v>
      </c>
      <c r="L17" s="511">
        <f>+([5]서부산!$F$10*0.4+[5]서부산!$F$11+[5]서부산!$F$12+[5]서부산!$F$13+[5]서부산!$F$14)/[5]서부산!$F$15</f>
        <v>0.26102917578882545</v>
      </c>
      <c r="M17" s="512">
        <f t="shared" si="2"/>
        <v>-2.185064280527893E-2</v>
      </c>
      <c r="N17" s="451">
        <f>+[5]서부산!$E$16</f>
        <v>819.90000000000009</v>
      </c>
      <c r="O17" s="452">
        <f>+[5]서부산!$F$16</f>
        <v>849.88316735487047</v>
      </c>
      <c r="P17" s="188">
        <f t="shared" si="3"/>
        <v>29.983167354870375</v>
      </c>
      <c r="Q17" s="451">
        <f>+[5]서부산!$E$17</f>
        <v>909.40000000000009</v>
      </c>
      <c r="R17" s="452">
        <f>+[5]서부산!$F$17</f>
        <v>870.04372115618196</v>
      </c>
      <c r="S17" s="188">
        <f t="shared" si="4"/>
        <v>-39.356278843818131</v>
      </c>
      <c r="T17" s="513">
        <f>+[5]서부산!$E$19</f>
        <v>4.891</v>
      </c>
      <c r="U17" s="514">
        <f>+[5]서부산!$F$19</f>
        <v>3.1452523682292925</v>
      </c>
      <c r="V17" s="515">
        <f t="shared" si="5"/>
        <v>-1.7457476317707075</v>
      </c>
    </row>
    <row r="18" spans="4:22" ht="24" customHeight="1" x14ac:dyDescent="0.3">
      <c r="D18" s="450" t="s">
        <v>27</v>
      </c>
      <c r="E18" s="451">
        <f>+[5]김해!$E$9</f>
        <v>190.14999999999998</v>
      </c>
      <c r="F18" s="452">
        <f>+[5]김해!$F$9</f>
        <v>209.53973855730496</v>
      </c>
      <c r="G18" s="188">
        <f t="shared" si="0"/>
        <v>19.38973855730498</v>
      </c>
      <c r="H18" s="451">
        <f>+[5]김해!$E$15</f>
        <v>342.99999999999989</v>
      </c>
      <c r="I18" s="452">
        <f>+[5]김해!$F$15</f>
        <v>358.52298425485162</v>
      </c>
      <c r="J18" s="188">
        <f t="shared" si="1"/>
        <v>15.522984254851735</v>
      </c>
      <c r="K18" s="510">
        <f>+([5]김해!$E$10*0.4+[5]김해!$E$11+[5]김해!$E$12+[5]김해!$E$13+[5]김해!$E$14)/[5]김해!$E$15</f>
        <v>0.20387755102040822</v>
      </c>
      <c r="L18" s="511">
        <f>+([5]김해!$F$10*0.4+[5]김해!$F$11+[5]김해!$F$12+[5]김해!$F$13+[5]김해!$F$14)/[5]김해!$F$15</f>
        <v>0.20496951144003114</v>
      </c>
      <c r="M18" s="512">
        <f t="shared" si="2"/>
        <v>1.0919604196229227E-3</v>
      </c>
      <c r="N18" s="451">
        <f>+[5]김해!$E$16</f>
        <v>830</v>
      </c>
      <c r="O18" s="452">
        <f>+[5]김해!$F$16</f>
        <v>754.2584401318187</v>
      </c>
      <c r="P18" s="188">
        <f t="shared" si="3"/>
        <v>-75.741559868181298</v>
      </c>
      <c r="Q18" s="451">
        <f>+[5]김해!$E$17</f>
        <v>890</v>
      </c>
      <c r="R18" s="452">
        <f>+[5]김해!$F$17</f>
        <v>875.78205785426599</v>
      </c>
      <c r="S18" s="188">
        <f t="shared" si="4"/>
        <v>-14.217942145734014</v>
      </c>
      <c r="T18" s="513">
        <f>+[5]김해!$E$19</f>
        <v>3.3</v>
      </c>
      <c r="U18" s="514">
        <f>+[5]김해!$F$19</f>
        <v>3.3697180519956049</v>
      </c>
      <c r="V18" s="515">
        <f t="shared" si="5"/>
        <v>6.9718051995605101E-2</v>
      </c>
    </row>
    <row r="19" spans="4:22" ht="24" customHeight="1" x14ac:dyDescent="0.3">
      <c r="D19" s="450" t="s">
        <v>28</v>
      </c>
      <c r="E19" s="451">
        <f>+[5]정관!$E$9</f>
        <v>205.8</v>
      </c>
      <c r="F19" s="452">
        <f>+[5]정관!$F$9</f>
        <v>243.56663312195568</v>
      </c>
      <c r="G19" s="188">
        <f t="shared" si="0"/>
        <v>37.766633121955664</v>
      </c>
      <c r="H19" s="451">
        <f>+[5]정관!$E$15</f>
        <v>357</v>
      </c>
      <c r="I19" s="452">
        <f>+[5]정관!$F$15</f>
        <v>364.00364718316325</v>
      </c>
      <c r="J19" s="188">
        <f t="shared" si="1"/>
        <v>7.0036471831632525</v>
      </c>
      <c r="K19" s="510">
        <f>+([5]정관!$E$10*0.4+[5]정관!$E$11+[5]정관!$E$12+[5]정관!$E$13+[5]정관!$E$14)/[5]정관!$E$15</f>
        <v>0.29831932773109243</v>
      </c>
      <c r="L19" s="511">
        <f>+([5]정관!$F$10*0.4+[5]정관!$F$11+[5]정관!$F$12+[5]정관!$F$13+[5]정관!$F$14)/[5]정관!$F$15</f>
        <v>0.24997298820657329</v>
      </c>
      <c r="M19" s="512">
        <f t="shared" si="2"/>
        <v>-4.8346339524519139E-2</v>
      </c>
      <c r="N19" s="451">
        <f>+[5]정관!$E$16</f>
        <v>795</v>
      </c>
      <c r="O19" s="452">
        <f>+[5]정관!$F$16</f>
        <v>784.2243359985298</v>
      </c>
      <c r="P19" s="188">
        <f t="shared" si="3"/>
        <v>-10.775664001470204</v>
      </c>
      <c r="Q19" s="451">
        <f>+[5]정관!$E$17</f>
        <v>920</v>
      </c>
      <c r="R19" s="452">
        <f>+[5]정관!$F$17</f>
        <v>926.89008363201913</v>
      </c>
      <c r="S19" s="188">
        <f t="shared" si="4"/>
        <v>6.8900836320191274</v>
      </c>
      <c r="T19" s="513">
        <f>+[5]정관!$E$19</f>
        <v>3.0523500000000001</v>
      </c>
      <c r="U19" s="514">
        <f>+[5]정관!$F$19</f>
        <v>3.2486030695708106</v>
      </c>
      <c r="V19" s="515">
        <f t="shared" si="5"/>
        <v>0.19625306957081046</v>
      </c>
    </row>
    <row r="20" spans="4:22" ht="24" customHeight="1" x14ac:dyDescent="0.3">
      <c r="D20" s="450" t="s">
        <v>29</v>
      </c>
      <c r="E20" s="451">
        <f>+[5]양산!$E$9</f>
        <v>212.88666666666666</v>
      </c>
      <c r="F20" s="452">
        <f>+[5]양산!$F$9</f>
        <v>239.21527753810739</v>
      </c>
      <c r="G20" s="188">
        <f t="shared" si="0"/>
        <v>26.328610871440731</v>
      </c>
      <c r="H20" s="451">
        <f>+[5]양산!$E$15</f>
        <v>332.38333333333333</v>
      </c>
      <c r="I20" s="452">
        <f>+[5]양산!$F$15</f>
        <v>353.8217709232095</v>
      </c>
      <c r="J20" s="188">
        <f t="shared" si="1"/>
        <v>21.438437589876173</v>
      </c>
      <c r="K20" s="510">
        <f>+([5]양산!$E$10*0.4+[5]양산!$E$11+[5]양산!$E$12+[5]양산!$E$13+[5]양산!$E$14)/[5]양산!$E$15</f>
        <v>0.32942435942435944</v>
      </c>
      <c r="L20" s="511">
        <f>+([5]양산!$F$10*0.4+[5]양산!$F$11+[5]양산!$F$12+[5]양산!$F$13+[5]양산!$F$14)/[5]양산!$F$15</f>
        <v>0.30282700372526827</v>
      </c>
      <c r="M20" s="512">
        <f t="shared" si="2"/>
        <v>-2.6597355699091163E-2</v>
      </c>
      <c r="N20" s="451">
        <f>+[5]양산!$E$16</f>
        <v>783.08333333333337</v>
      </c>
      <c r="O20" s="452">
        <f>+[5]양산!$F$16</f>
        <v>707.60389703767601</v>
      </c>
      <c r="P20" s="188">
        <f t="shared" si="3"/>
        <v>-75.479436295657365</v>
      </c>
      <c r="Q20" s="451">
        <f>+[5]양산!$E$17</f>
        <v>921.7157533333334</v>
      </c>
      <c r="R20" s="452">
        <f>+[5]양산!$F$17</f>
        <v>917.58556226632174</v>
      </c>
      <c r="S20" s="188">
        <f t="shared" si="4"/>
        <v>-4.1301910670116513</v>
      </c>
      <c r="T20" s="513">
        <f>+[5]양산!$E$19</f>
        <v>2.4209204166666667</v>
      </c>
      <c r="U20" s="514">
        <f>+[5]양산!$F$19</f>
        <v>3.0292493528904223</v>
      </c>
      <c r="V20" s="515">
        <f t="shared" si="5"/>
        <v>0.60832893622375561</v>
      </c>
    </row>
    <row r="21" spans="4:22" ht="24" customHeight="1" x14ac:dyDescent="0.3">
      <c r="D21" s="450" t="s">
        <v>30</v>
      </c>
      <c r="E21" s="451">
        <f>+[5]창원!$E$9</f>
        <v>239.4</v>
      </c>
      <c r="F21" s="452">
        <f>+[5]창원!$F$9</f>
        <v>228.81502537722915</v>
      </c>
      <c r="G21" s="188">
        <f t="shared" si="0"/>
        <v>-10.584974622770858</v>
      </c>
      <c r="H21" s="451">
        <f>+[5]창원!$E$15</f>
        <v>343.4</v>
      </c>
      <c r="I21" s="452">
        <f>+[5]창원!$F$15</f>
        <v>350.60646913580251</v>
      </c>
      <c r="J21" s="188">
        <f t="shared" si="1"/>
        <v>7.2064691358025357</v>
      </c>
      <c r="K21" s="510">
        <f>+([5]창원!$E$10*0.4+[5]창원!$E$11+[5]창원!$E$12+[5]창원!$E$13+[5]창원!$E$14)/[5]창원!$E$15</f>
        <v>0.30285381479324402</v>
      </c>
      <c r="L21" s="511">
        <f>+([5]창원!$F$10*0.4+[5]창원!$F$11+[5]창원!$F$12+[5]창원!$F$13+[5]창원!$F$14)/[5]창원!$F$15</f>
        <v>0.34737363534327464</v>
      </c>
      <c r="M21" s="512">
        <f t="shared" si="2"/>
        <v>4.451982055003062E-2</v>
      </c>
      <c r="N21" s="451">
        <f>+[5]창원!$E$16</f>
        <v>837.30000000000007</v>
      </c>
      <c r="O21" s="452">
        <f>+[5]창원!$F$16</f>
        <v>886.74519890260649</v>
      </c>
      <c r="P21" s="188">
        <f t="shared" si="3"/>
        <v>49.445198902606421</v>
      </c>
      <c r="Q21" s="451">
        <f>+[5]창원!$E$17</f>
        <v>880.6</v>
      </c>
      <c r="R21" s="452">
        <f>+[5]창원!$F$17</f>
        <v>862.46707818930065</v>
      </c>
      <c r="S21" s="188">
        <f t="shared" si="4"/>
        <v>-18.132921810699372</v>
      </c>
      <c r="T21" s="513">
        <f>+[5]창원!$E$19</f>
        <v>3.08</v>
      </c>
      <c r="U21" s="514">
        <f>+[5]창원!$F$19</f>
        <v>3.0741392318244158</v>
      </c>
      <c r="V21" s="515">
        <f t="shared" si="5"/>
        <v>-5.86076817558423E-3</v>
      </c>
    </row>
    <row r="22" spans="4:22" ht="24" customHeight="1" x14ac:dyDescent="0.3">
      <c r="D22" s="450" t="s">
        <v>95</v>
      </c>
      <c r="E22" s="451">
        <f>+[5]대구!$E$9</f>
        <v>233.21999999999997</v>
      </c>
      <c r="F22" s="452">
        <f>+[5]대구!$F$9</f>
        <v>265.06420076726346</v>
      </c>
      <c r="G22" s="188">
        <f t="shared" si="0"/>
        <v>31.844200767263487</v>
      </c>
      <c r="H22" s="451">
        <f>+[5]대구!$E$15</f>
        <v>338</v>
      </c>
      <c r="I22" s="452">
        <f>+[5]대구!$F$15</f>
        <v>366.4664443734016</v>
      </c>
      <c r="J22" s="188">
        <f t="shared" si="1"/>
        <v>28.4664443734016</v>
      </c>
      <c r="K22" s="510">
        <f>+([5]대구!$E$10*0.4+[5]대구!$E$11+[5]대구!$E$12+[5]대구!$E$13+[5]대구!$E$14)/[5]대구!$E$15</f>
        <v>0.31000000000000011</v>
      </c>
      <c r="L22" s="511">
        <f>+([5]대구!$F$10*0.4+[5]대구!$F$11+[5]대구!$F$12+[5]대구!$F$13+[5]대구!$F$14)/[5]대구!$F$15</f>
        <v>0.27670266995255066</v>
      </c>
      <c r="M22" s="512">
        <f t="shared" si="2"/>
        <v>-3.3297330047449447E-2</v>
      </c>
      <c r="N22" s="451">
        <f>+[5]대구!$E$16</f>
        <v>773.65296287352862</v>
      </c>
      <c r="O22" s="452">
        <f>+[5]대구!$F$16</f>
        <v>671.97775127877208</v>
      </c>
      <c r="P22" s="188">
        <f t="shared" si="3"/>
        <v>-101.67521159475655</v>
      </c>
      <c r="Q22" s="451">
        <f>+[5]대구!$E$17</f>
        <v>945.57584351209061</v>
      </c>
      <c r="R22" s="452">
        <f>+[5]대구!$F$17</f>
        <v>1064.3836956521734</v>
      </c>
      <c r="S22" s="188">
        <f t="shared" si="4"/>
        <v>118.80785214008279</v>
      </c>
      <c r="T22" s="513">
        <f>+[5]대구!$E$19</f>
        <v>2.7040000000000002</v>
      </c>
      <c r="U22" s="514">
        <f>+[5]대구!$F$19</f>
        <v>3.3886860613810748</v>
      </c>
      <c r="V22" s="515">
        <f t="shared" si="5"/>
        <v>0.68468606138107457</v>
      </c>
    </row>
    <row r="23" spans="4:22" ht="24" customHeight="1" x14ac:dyDescent="0.3">
      <c r="D23" s="450" t="s">
        <v>97</v>
      </c>
      <c r="E23" s="451">
        <f>+[5]울산!$E$9</f>
        <v>225.6</v>
      </c>
      <c r="F23" s="452">
        <f>+[5]울산!$F$9</f>
        <v>229.96328123904968</v>
      </c>
      <c r="G23" s="188">
        <f t="shared" si="0"/>
        <v>4.3632812390496838</v>
      </c>
      <c r="H23" s="451">
        <f>+[5]울산!$E$15</f>
        <v>358.5</v>
      </c>
      <c r="I23" s="452">
        <f>+[5]울산!$F$15</f>
        <v>361.11039526245708</v>
      </c>
      <c r="J23" s="188">
        <f t="shared" si="1"/>
        <v>2.6103952624570752</v>
      </c>
      <c r="K23" s="510">
        <f>+([5]울산!$E$10*0.4+[5]울산!$E$11+[5]울산!$E$12+[5]울산!$E$13+[5]울산!$E$14)/[5]울산!$E$15</f>
        <v>0.37071129707112971</v>
      </c>
      <c r="L23" s="511">
        <f>+([5]울산!$F$10*0.4+[5]울산!$F$11+[5]울산!$F$12+[5]울산!$F$13+[5]울산!$F$14)/[5]울산!$F$15</f>
        <v>0.36317734339408564</v>
      </c>
      <c r="M23" s="512">
        <f t="shared" si="2"/>
        <v>-7.5339536770440696E-3</v>
      </c>
      <c r="N23" s="451">
        <f>+[5]울산!$E$16</f>
        <v>730</v>
      </c>
      <c r="O23" s="452">
        <f>+[5]울산!$F$16</f>
        <v>785.60964328264049</v>
      </c>
      <c r="P23" s="188">
        <f t="shared" si="3"/>
        <v>55.609643282640491</v>
      </c>
      <c r="Q23" s="451">
        <f>+[5]울산!$E$17</f>
        <v>970</v>
      </c>
      <c r="R23" s="452">
        <f>+[5]울산!$F$17</f>
        <v>904.46205059920089</v>
      </c>
      <c r="S23" s="188">
        <f t="shared" si="4"/>
        <v>-65.537949400799107</v>
      </c>
      <c r="T23" s="513">
        <f>+[5]울산!$E$19</f>
        <v>3.2</v>
      </c>
      <c r="U23" s="514">
        <f>+[5]울산!$F$19</f>
        <v>3.0005746723666689</v>
      </c>
      <c r="V23" s="515">
        <f t="shared" si="5"/>
        <v>-0.19942532763333132</v>
      </c>
    </row>
    <row r="24" spans="4:22" ht="24" customHeight="1" x14ac:dyDescent="0.3">
      <c r="D24" s="485" t="s">
        <v>31</v>
      </c>
      <c r="E24" s="454">
        <f>+[5]아산!$E$9</f>
        <v>233.54642857142858</v>
      </c>
      <c r="F24" s="455">
        <f>+[5]아산!$F$9</f>
        <v>333.73348257079095</v>
      </c>
      <c r="G24" s="456">
        <f t="shared" si="0"/>
        <v>100.18705399936238</v>
      </c>
      <c r="H24" s="454">
        <f>+[5]아산!$E$15</f>
        <v>364.75357142857143</v>
      </c>
      <c r="I24" s="455">
        <f>+[5]아산!$F$15</f>
        <v>405.87437401334068</v>
      </c>
      <c r="J24" s="456">
        <f t="shared" si="1"/>
        <v>41.120802584769251</v>
      </c>
      <c r="K24" s="516">
        <f>+([5]아산!$E$10*0.4+[5]아산!$E$11+[5]아산!$E$12+[5]아산!$E$13+[5]아산!$E$14)/[5]아산!$E$15</f>
        <v>0.25200105746541207</v>
      </c>
      <c r="L24" s="517">
        <f>+([5]아산!$F$10*0.4+[5]아산!$F$11+[5]아산!$F$12+[5]아산!$F$13+[5]아산!$F$14)/[5]아산!$F$15</f>
        <v>0.17034847236922876</v>
      </c>
      <c r="M24" s="518">
        <f t="shared" si="2"/>
        <v>-8.1652585096183311E-2</v>
      </c>
      <c r="N24" s="454">
        <f>+[5]아산!$E$16</f>
        <v>854.95142857142855</v>
      </c>
      <c r="O24" s="455">
        <f>+[5]아산!$F$16</f>
        <v>887.24460626057828</v>
      </c>
      <c r="P24" s="456">
        <f t="shared" si="3"/>
        <v>32.293177689149729</v>
      </c>
      <c r="Q24" s="454">
        <f>+[5]아산!$E$17</f>
        <v>861.46928571428566</v>
      </c>
      <c r="R24" s="455">
        <f>+[5]아산!$F$17</f>
        <v>885.86250053332867</v>
      </c>
      <c r="S24" s="456">
        <f t="shared" si="4"/>
        <v>24.39321481904301</v>
      </c>
      <c r="T24" s="519">
        <f>+[5]아산!$E$19</f>
        <v>3.0293000000000001</v>
      </c>
      <c r="U24" s="520">
        <f>+[5]아산!$F$19</f>
        <v>3.2778760684368455</v>
      </c>
      <c r="V24" s="521">
        <f t="shared" si="5"/>
        <v>0.24857606843684543</v>
      </c>
    </row>
    <row r="25" spans="4:22" ht="24" customHeight="1" x14ac:dyDescent="0.3">
      <c r="D25" s="450" t="s">
        <v>34</v>
      </c>
      <c r="E25" s="451">
        <f>+[5]전주!$E$9</f>
        <v>239.91</v>
      </c>
      <c r="F25" s="452">
        <f>+[5]전주!$F$9</f>
        <v>246.51751486633236</v>
      </c>
      <c r="G25" s="188">
        <f t="shared" si="0"/>
        <v>6.607514866332366</v>
      </c>
      <c r="H25" s="451">
        <f>+[5]전주!$E$15</f>
        <v>340.62</v>
      </c>
      <c r="I25" s="452">
        <f>+[5]전주!$F$15</f>
        <v>336.09744867883563</v>
      </c>
      <c r="J25" s="188">
        <f t="shared" si="1"/>
        <v>-4.5225513211643715</v>
      </c>
      <c r="K25" s="510">
        <f>+([5]전주!$E$10*0.4+[5]전주!$E$11+[5]전주!$E$12+[5]전주!$E$13+[5]전주!$E$14)/[5]전주!$E$15</f>
        <v>0.27431742117315477</v>
      </c>
      <c r="L25" s="511">
        <f>+([5]전주!$F$10*0.4+[5]전주!$F$11+[5]전주!$F$12+[5]전주!$F$13+[5]전주!$F$14)/[5]전주!$F$15</f>
        <v>0.22557396728609883</v>
      </c>
      <c r="M25" s="512">
        <f t="shared" si="2"/>
        <v>-4.8743453887055949E-2</v>
      </c>
      <c r="N25" s="451">
        <f>+[5]전주!$E$16</f>
        <v>763.95</v>
      </c>
      <c r="O25" s="452">
        <f>+[5]전주!$F$16</f>
        <v>710.70272506334345</v>
      </c>
      <c r="P25" s="188">
        <f t="shared" si="3"/>
        <v>-53.247274936656595</v>
      </c>
      <c r="Q25" s="451">
        <f>+[5]전주!$E$17</f>
        <v>980.34999999999991</v>
      </c>
      <c r="R25" s="452">
        <f>+[5]전주!$F$17</f>
        <v>1028.3106675629556</v>
      </c>
      <c r="S25" s="188">
        <f t="shared" si="4"/>
        <v>47.960667562955678</v>
      </c>
      <c r="T25" s="513">
        <f>+[5]전주!$E$19</f>
        <v>2.88</v>
      </c>
      <c r="U25" s="514">
        <f>+[5]전주!$F$19</f>
        <v>2.7173483634107245</v>
      </c>
      <c r="V25" s="515">
        <f t="shared" si="5"/>
        <v>-0.16265163658927539</v>
      </c>
    </row>
    <row r="26" spans="4:22" ht="24" customHeight="1" x14ac:dyDescent="0.3">
      <c r="D26" s="450" t="s">
        <v>33</v>
      </c>
      <c r="E26" s="451">
        <f>+[5]군산!$E$9</f>
        <v>214.5</v>
      </c>
      <c r="F26" s="452">
        <f>+[5]군산!$F$9</f>
        <v>252.86379585503715</v>
      </c>
      <c r="G26" s="188">
        <f t="shared" si="0"/>
        <v>38.363795855037154</v>
      </c>
      <c r="H26" s="451">
        <f>+[5]군산!$E$15</f>
        <v>337.1</v>
      </c>
      <c r="I26" s="452">
        <f>+[5]군산!$F$15</f>
        <v>348.52672060290371</v>
      </c>
      <c r="J26" s="188">
        <f t="shared" si="1"/>
        <v>11.426720602903686</v>
      </c>
      <c r="K26" s="510">
        <f>+([5]군산!$E$10*0.4+[5]군산!$E$11+[5]군산!$E$12+[5]군산!$E$13+[5]군산!$E$14)/[5]군산!$E$15</f>
        <v>0.34055176505487988</v>
      </c>
      <c r="L26" s="511">
        <f>+([5]군산!$F$10*0.4+[5]군산!$F$11+[5]군산!$F$12+[5]군산!$F$13+[5]군산!$F$14)/[5]군산!$F$15</f>
        <v>0.26146836610502699</v>
      </c>
      <c r="M26" s="512">
        <f t="shared" si="2"/>
        <v>-7.908339894985289E-2</v>
      </c>
      <c r="N26" s="451">
        <f>+[5]군산!$E$16</f>
        <v>785</v>
      </c>
      <c r="O26" s="452">
        <f>+[5]군산!$F$16</f>
        <v>802.19383796963302</v>
      </c>
      <c r="P26" s="188">
        <f t="shared" si="3"/>
        <v>17.193837969633023</v>
      </c>
      <c r="Q26" s="451">
        <f>+[5]군산!$E$17</f>
        <v>935</v>
      </c>
      <c r="R26" s="452">
        <f>+[5]군산!$F$17</f>
        <v>917.82334035243275</v>
      </c>
      <c r="S26" s="188">
        <f t="shared" si="4"/>
        <v>-17.176659647567249</v>
      </c>
      <c r="T26" s="513">
        <f>+[5]군산!$E$19</f>
        <v>2.84</v>
      </c>
      <c r="U26" s="514">
        <f>+[5]군산!$F$19</f>
        <v>2.8996453507702529</v>
      </c>
      <c r="V26" s="515">
        <f t="shared" si="5"/>
        <v>5.9645350770253014E-2</v>
      </c>
    </row>
    <row r="27" spans="4:22" ht="24" customHeight="1" x14ac:dyDescent="0.3">
      <c r="D27" s="450" t="s">
        <v>32</v>
      </c>
      <c r="E27" s="451">
        <f>+[5]원주!$E$9</f>
        <v>259.89999999999998</v>
      </c>
      <c r="F27" s="452">
        <f>+[5]원주!$F$9</f>
        <v>276.16866522366513</v>
      </c>
      <c r="G27" s="188">
        <f t="shared" si="0"/>
        <v>16.268665223665153</v>
      </c>
      <c r="H27" s="451">
        <f>+[5]원주!$E$15</f>
        <v>343.49999999999994</v>
      </c>
      <c r="I27" s="452">
        <f>+[5]원주!$F$15</f>
        <v>367.6804076479076</v>
      </c>
      <c r="J27" s="188">
        <f t="shared" si="1"/>
        <v>24.180407647907657</v>
      </c>
      <c r="K27" s="510">
        <f>+([5]원주!$E$10*0.4+[5]원주!$E$11+[5]원주!$E$12+[5]원주!$E$13+[5]원주!$E$14)/[5]원주!$E$15</f>
        <v>0.24337700145560409</v>
      </c>
      <c r="L27" s="511">
        <f>+([5]원주!$F$10*0.4+[5]원주!$F$11+[5]원주!$F$12+[5]원주!$F$13+[5]원주!$F$14)/[5]원주!$F$15</f>
        <v>0.24888936293791997</v>
      </c>
      <c r="M27" s="512">
        <f t="shared" si="2"/>
        <v>5.5123614823158751E-3</v>
      </c>
      <c r="N27" s="451">
        <f>+[5]원주!$E$16</f>
        <v>815.9</v>
      </c>
      <c r="O27" s="452">
        <f>+[5]원주!$F$16</f>
        <v>990.00090187590217</v>
      </c>
      <c r="P27" s="188">
        <f t="shared" si="3"/>
        <v>174.1009018759022</v>
      </c>
      <c r="Q27" s="451">
        <f>+[5]원주!$E$17</f>
        <v>953.39999999999986</v>
      </c>
      <c r="R27" s="452">
        <f>+[5]원주!$F$17</f>
        <v>799.99891774891796</v>
      </c>
      <c r="S27" s="188">
        <f t="shared" si="4"/>
        <v>-153.4010822510819</v>
      </c>
      <c r="T27" s="513">
        <f>+[5]원주!$E$19</f>
        <v>2.87</v>
      </c>
      <c r="U27" s="514">
        <f>+[5]원주!$F$19</f>
        <v>3.0002362914862917</v>
      </c>
      <c r="V27" s="515">
        <f t="shared" si="5"/>
        <v>0.13023629148629157</v>
      </c>
    </row>
    <row r="28" spans="4:22" ht="24" customHeight="1" x14ac:dyDescent="0.3">
      <c r="D28" s="499" t="s">
        <v>35</v>
      </c>
      <c r="E28" s="522">
        <f>+[5]제주!$E$9</f>
        <v>344.5</v>
      </c>
      <c r="F28" s="523">
        <f>+[5]제주!$F$9</f>
        <v>198.31223196881089</v>
      </c>
      <c r="G28" s="197">
        <f t="shared" si="0"/>
        <v>-146.18776803118911</v>
      </c>
      <c r="H28" s="522">
        <f>+[5]제주!$E$15</f>
        <v>344.5</v>
      </c>
      <c r="I28" s="523">
        <f>+[5]제주!$F$15</f>
        <v>344.65369395711497</v>
      </c>
      <c r="J28" s="197">
        <f t="shared" si="1"/>
        <v>0.15369395711496736</v>
      </c>
      <c r="K28" s="524">
        <f>+([5]제주!$E$10*0.4+[5]제주!$E$11+[5]제주!$E$12+[5]제주!$E$13+[5]제주!$E$14)/[5]제주!$E$15</f>
        <v>0</v>
      </c>
      <c r="L28" s="525">
        <f>+([5]제주!$F$10*0.4+[5]제주!$F$11+[5]제주!$F$12+[5]제주!$F$13+[5]제주!$F$14)/[5]제주!$F$15</f>
        <v>0.16984174497954257</v>
      </c>
      <c r="M28" s="526">
        <f t="shared" si="2"/>
        <v>0.16984174497954257</v>
      </c>
      <c r="N28" s="522">
        <f>+[5]제주!$E$16</f>
        <v>714.80000000000007</v>
      </c>
      <c r="O28" s="523">
        <f>+[5]제주!$F$16</f>
        <v>661.51559454191045</v>
      </c>
      <c r="P28" s="197">
        <f t="shared" si="3"/>
        <v>-53.284405458089623</v>
      </c>
      <c r="Q28" s="522">
        <f>+[5]제주!$E$17</f>
        <v>1034.2</v>
      </c>
      <c r="R28" s="523">
        <f>+[5]제주!$F$17</f>
        <v>1031.551332033788</v>
      </c>
      <c r="S28" s="197">
        <f t="shared" si="4"/>
        <v>-2.6486679662120878</v>
      </c>
      <c r="T28" s="527">
        <f>+[5]제주!$E$19</f>
        <v>3.06</v>
      </c>
      <c r="U28" s="528">
        <f>+[5]제주!$F$19</f>
        <v>3.4294639376218328</v>
      </c>
      <c r="V28" s="529">
        <f t="shared" si="5"/>
        <v>0.36946393762183272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61FB-6B01-4C55-AA47-C5B05ACD7200}">
  <sheetPr codeName="Sheet9">
    <tabColor theme="1" tint="0.249977111117893"/>
    <pageSetUpPr fitToPage="1"/>
  </sheetPr>
  <dimension ref="D3:AN55"/>
  <sheetViews>
    <sheetView showGridLines="0" topLeftCell="A4" zoomScale="70" zoomScaleNormal="70" workbookViewId="0">
      <pane ySplit="6" topLeftCell="A10" activePane="bottomLeft" state="frozenSplit"/>
      <selection activeCell="J19" sqref="J19"/>
      <selection pane="bottomLeft" activeCell="J19" sqref="J19"/>
    </sheetView>
  </sheetViews>
  <sheetFormatPr defaultRowHeight="16.5" x14ac:dyDescent="0.3"/>
  <cols>
    <col min="1" max="3" width="5.625" style="6" customWidth="1"/>
    <col min="4" max="5" width="13" style="6" customWidth="1"/>
    <col min="6" max="15" width="15.75" style="6" customWidth="1"/>
    <col min="16" max="17" width="3.25" style="76" customWidth="1"/>
    <col min="18" max="18" width="9" style="6"/>
    <col min="19" max="30" width="10.25" style="6" hidden="1" customWidth="1"/>
    <col min="31" max="39" width="10.25" style="6" customWidth="1"/>
    <col min="40" max="16384" width="9" style="6"/>
  </cols>
  <sheetData>
    <row r="3" spans="4:17" ht="9.9499999999999993" customHeight="1" x14ac:dyDescent="0.3"/>
    <row r="5" spans="4:17" ht="9.9499999999999993" customHeight="1" x14ac:dyDescent="0.3"/>
    <row r="6" spans="4:17" ht="31.5" x14ac:dyDescent="0.3">
      <c r="D6" s="183" t="s">
        <v>252</v>
      </c>
      <c r="F6" s="183"/>
      <c r="G6" s="183"/>
      <c r="H6" s="183"/>
      <c r="I6" s="183"/>
      <c r="J6" s="183"/>
      <c r="K6" s="183"/>
      <c r="L6" s="183"/>
      <c r="M6" s="183"/>
    </row>
    <row r="7" spans="4:17" ht="21.95" customHeight="1" thickBot="1" x14ac:dyDescent="0.35">
      <c r="D7" s="184"/>
      <c r="O7" s="185" t="s">
        <v>76</v>
      </c>
    </row>
    <row r="8" spans="4:17" ht="25.5" customHeight="1" thickTop="1" x14ac:dyDescent="0.3">
      <c r="D8" s="842" t="s">
        <v>11</v>
      </c>
      <c r="E8" s="843"/>
      <c r="F8" s="852" t="s">
        <v>241</v>
      </c>
      <c r="G8" s="853"/>
      <c r="H8" s="853"/>
      <c r="I8" s="853"/>
      <c r="J8" s="854"/>
      <c r="K8" s="810" t="s">
        <v>251</v>
      </c>
      <c r="L8" s="810"/>
      <c r="M8" s="810"/>
      <c r="N8" s="810"/>
      <c r="O8" s="813"/>
      <c r="P8" s="186"/>
      <c r="Q8" s="186"/>
    </row>
    <row r="9" spans="4:17" ht="25.5" customHeight="1" x14ac:dyDescent="0.3">
      <c r="D9" s="844"/>
      <c r="E9" s="845"/>
      <c r="F9" s="568" t="s">
        <v>12</v>
      </c>
      <c r="G9" s="357" t="s">
        <v>13</v>
      </c>
      <c r="H9" s="366" t="s">
        <v>71</v>
      </c>
      <c r="I9" s="357" t="s">
        <v>14</v>
      </c>
      <c r="J9" s="569" t="s">
        <v>72</v>
      </c>
      <c r="K9" s="366" t="s">
        <v>12</v>
      </c>
      <c r="L9" s="357" t="s">
        <v>13</v>
      </c>
      <c r="M9" s="366" t="s">
        <v>71</v>
      </c>
      <c r="N9" s="357" t="s">
        <v>14</v>
      </c>
      <c r="O9" s="367" t="s">
        <v>72</v>
      </c>
      <c r="P9" s="186"/>
      <c r="Q9" s="186"/>
    </row>
    <row r="10" spans="4:17" ht="25.5" customHeight="1" x14ac:dyDescent="0.3">
      <c r="D10" s="71" t="s">
        <v>110</v>
      </c>
      <c r="E10" s="90" t="s">
        <v>86</v>
      </c>
      <c r="F10" s="570">
        <f>+IFERROR(HLOOKUP($F$8,[13]손익!$G$5:$AI$63,2,),)</f>
        <v>8900</v>
      </c>
      <c r="G10" s="358">
        <f>+'[7]10월'!$G$8</f>
        <v>8972.0079999999998</v>
      </c>
      <c r="H10" s="203">
        <f>+G10-F10</f>
        <v>72.007999999999811</v>
      </c>
      <c r="I10" s="358">
        <f>+IFERROR(HLOOKUP($F$8,[8]월별!$E$2:$T$53,2,),)</f>
        <v>9070.0450000000001</v>
      </c>
      <c r="J10" s="571">
        <f>+G10-I10</f>
        <v>-98.037000000000262</v>
      </c>
      <c r="K10" s="203">
        <f>+F10+[4]건자재!K10</f>
        <v>72200</v>
      </c>
      <c r="L10" s="358">
        <f>+G10+[4]건자재!L10</f>
        <v>86939.351999999999</v>
      </c>
      <c r="M10" s="203">
        <f>+L10-K10</f>
        <v>14739.351999999999</v>
      </c>
      <c r="N10" s="358">
        <f>+I10+[4]건자재!N10</f>
        <v>78625.76400000001</v>
      </c>
      <c r="O10" s="351">
        <f>+L10-N10</f>
        <v>8313.5879999999888</v>
      </c>
      <c r="P10" s="77"/>
      <c r="Q10" s="77"/>
    </row>
    <row r="11" spans="4:17" ht="25.5" customHeight="1" x14ac:dyDescent="0.3">
      <c r="D11" s="72" t="s">
        <v>21</v>
      </c>
      <c r="E11" s="356" t="s">
        <v>122</v>
      </c>
      <c r="F11" s="572">
        <f>+F12/F10*1000</f>
        <v>976966.29213483143</v>
      </c>
      <c r="G11" s="359">
        <f t="shared" ref="G11" si="0">+G12/G10*1000</f>
        <v>818946.47731031897</v>
      </c>
      <c r="H11" s="213">
        <f t="shared" ref="H11:H28" si="1">+G11-F11</f>
        <v>-158019.81482451246</v>
      </c>
      <c r="I11" s="359">
        <f>+I12/I10*1000</f>
        <v>964243.14311560732</v>
      </c>
      <c r="J11" s="573">
        <f t="shared" ref="J11:J28" si="2">+G11-I11</f>
        <v>-145296.66580528836</v>
      </c>
      <c r="K11" s="213">
        <f>+K12/K10*1000</f>
        <v>977008.31024930743</v>
      </c>
      <c r="L11" s="359">
        <f>+L12/L10*1000</f>
        <v>834404.78050722089</v>
      </c>
      <c r="M11" s="213">
        <f t="shared" ref="M11:M28" si="3">+L11-K11</f>
        <v>-142603.52974208654</v>
      </c>
      <c r="N11" s="359">
        <f>+N12/N10*1000</f>
        <v>1026308.9336085813</v>
      </c>
      <c r="O11" s="211">
        <f t="shared" ref="O11:O28" si="4">+L11-N11</f>
        <v>-191904.15310136043</v>
      </c>
      <c r="P11" s="77"/>
      <c r="Q11" s="77"/>
    </row>
    <row r="12" spans="4:17" ht="25.5" customHeight="1" x14ac:dyDescent="0.3">
      <c r="D12" s="187" t="s">
        <v>77</v>
      </c>
      <c r="E12" s="91" t="s">
        <v>122</v>
      </c>
      <c r="F12" s="417">
        <f>+IFERROR(HLOOKUP($F$8,[13]손익!$G$5:$AI$63,22,),)</f>
        <v>8695000</v>
      </c>
      <c r="G12" s="360">
        <f>+'[7]10월'!$G$9</f>
        <v>7347594.3459999999</v>
      </c>
      <c r="H12" s="195">
        <f t="shared" si="1"/>
        <v>-1347405.6540000001</v>
      </c>
      <c r="I12" s="360">
        <f>+IFERROR(HLOOKUP($F$8,[8]월별!$E$2:$T$53,5,),)</f>
        <v>8745728.6989999991</v>
      </c>
      <c r="J12" s="418">
        <f t="shared" si="2"/>
        <v>-1398134.3529999992</v>
      </c>
      <c r="K12" s="195">
        <f>+F12+[4]건자재!K12</f>
        <v>70540000</v>
      </c>
      <c r="L12" s="360">
        <f>+G12+[4]건자재!L12</f>
        <v>72542610.923000008</v>
      </c>
      <c r="M12" s="195">
        <f t="shared" si="3"/>
        <v>2002610.9230000079</v>
      </c>
      <c r="N12" s="360">
        <f>+I12+[4]건자재!N12</f>
        <v>80694324.004999995</v>
      </c>
      <c r="O12" s="218">
        <f t="shared" si="4"/>
        <v>-8151713.0819999874</v>
      </c>
      <c r="P12" s="77"/>
      <c r="Q12" s="77"/>
    </row>
    <row r="13" spans="4:17" ht="25.5" customHeight="1" x14ac:dyDescent="0.3">
      <c r="D13" s="187"/>
      <c r="E13" s="92" t="s">
        <v>123</v>
      </c>
      <c r="F13" s="574">
        <f>+IFERROR(HLOOKUP($F$8,[13]손익!$G$5:$AI$63,23,),)</f>
        <v>2178416.8421052638</v>
      </c>
      <c r="G13" s="361">
        <f>+'[7]10월'!$J$9</f>
        <v>1331090.9230000013</v>
      </c>
      <c r="H13" s="205">
        <f t="shared" si="1"/>
        <v>-847325.9191052625</v>
      </c>
      <c r="I13" s="361">
        <f>+IFERROR(HLOOKUP($F$8,[8]월별!$E$2:$T$53,6,),)</f>
        <v>2568331.477</v>
      </c>
      <c r="J13" s="575">
        <f t="shared" si="2"/>
        <v>-1237240.5539999986</v>
      </c>
      <c r="K13" s="205">
        <f>+F13+[4]건자재!K13</f>
        <v>17746960.000000007</v>
      </c>
      <c r="L13" s="361">
        <f>+G13+[4]건자재!L13</f>
        <v>14068465.402999997</v>
      </c>
      <c r="M13" s="205">
        <f t="shared" si="3"/>
        <v>-3678494.5970000103</v>
      </c>
      <c r="N13" s="361">
        <f>+I13+[4]건자재!N13</f>
        <v>15646419.943999998</v>
      </c>
      <c r="O13" s="352">
        <f t="shared" si="4"/>
        <v>-1577954.5410000011</v>
      </c>
      <c r="P13" s="77"/>
      <c r="Q13" s="77"/>
    </row>
    <row r="14" spans="4:17" ht="25.5" customHeight="1" x14ac:dyDescent="0.3">
      <c r="D14" s="187"/>
      <c r="E14" s="94" t="s">
        <v>58</v>
      </c>
      <c r="F14" s="415">
        <f>SUM(F12:F13)</f>
        <v>10873416.842105264</v>
      </c>
      <c r="G14" s="362">
        <f>SUM(G12:G13)</f>
        <v>8678685.2690000013</v>
      </c>
      <c r="H14" s="204">
        <f t="shared" si="1"/>
        <v>-2194731.5731052626</v>
      </c>
      <c r="I14" s="362">
        <f>SUM(I12:I13)</f>
        <v>11314060.175999999</v>
      </c>
      <c r="J14" s="416">
        <f t="shared" si="2"/>
        <v>-2635374.9069999978</v>
      </c>
      <c r="K14" s="204">
        <f>SUM(K12:K13)</f>
        <v>88286960</v>
      </c>
      <c r="L14" s="362">
        <f>SUM(L12:L13)</f>
        <v>86611076.326000005</v>
      </c>
      <c r="M14" s="204">
        <f t="shared" si="3"/>
        <v>-1675883.673999995</v>
      </c>
      <c r="N14" s="362">
        <f>SUM(N12:N13)</f>
        <v>96340743.949000001</v>
      </c>
      <c r="O14" s="221">
        <f t="shared" si="4"/>
        <v>-9729667.6229999959</v>
      </c>
      <c r="P14" s="77"/>
      <c r="Q14" s="77"/>
    </row>
    <row r="15" spans="4:17" ht="25.5" customHeight="1" x14ac:dyDescent="0.3">
      <c r="D15" s="71" t="s">
        <v>5</v>
      </c>
      <c r="E15" s="90" t="s">
        <v>122</v>
      </c>
      <c r="F15" s="570">
        <f>+IFERROR(HLOOKUP($F$8,[13]손익!$G$5:$AI$63,25,),)</f>
        <v>8492710</v>
      </c>
      <c r="G15" s="358">
        <f>+'[7]10월'!$G$11</f>
        <v>7174616.267</v>
      </c>
      <c r="H15" s="203">
        <f t="shared" si="1"/>
        <v>-1318093.733</v>
      </c>
      <c r="I15" s="358">
        <f>+IFERROR(HLOOKUP($F$8,[8]월별!$E$2:$T$53,8,),)</f>
        <v>8609681.6109999996</v>
      </c>
      <c r="J15" s="571">
        <f t="shared" si="2"/>
        <v>-1435065.3439999996</v>
      </c>
      <c r="K15" s="203">
        <f>+F15+[4]건자재!K15</f>
        <v>68898745</v>
      </c>
      <c r="L15" s="358">
        <f>+G15+[4]건자재!L15</f>
        <v>70987434.585000008</v>
      </c>
      <c r="M15" s="203">
        <f t="shared" si="3"/>
        <v>2088689.5850000083</v>
      </c>
      <c r="N15" s="358">
        <f>+I15+[4]건자재!N15</f>
        <v>79114082.586999997</v>
      </c>
      <c r="O15" s="351">
        <f t="shared" si="4"/>
        <v>-8126648.0019999892</v>
      </c>
      <c r="P15" s="77"/>
      <c r="Q15" s="77"/>
    </row>
    <row r="16" spans="4:17" ht="25.5" customHeight="1" x14ac:dyDescent="0.3">
      <c r="D16" s="187"/>
      <c r="E16" s="92" t="s">
        <v>123</v>
      </c>
      <c r="F16" s="574">
        <f>+IFERROR(HLOOKUP($F$8,[13]손익!$G$5:$AI$63,26,),)</f>
        <v>2102651.5043368433</v>
      </c>
      <c r="G16" s="361">
        <f>+'[7]10월'!$J$11</f>
        <v>1293553.2259999989</v>
      </c>
      <c r="H16" s="205">
        <f t="shared" si="1"/>
        <v>-809098.27833684441</v>
      </c>
      <c r="I16" s="361">
        <f>+IFERROR(HLOOKUP($F$8,[8]월별!$E$2:$T$53,9,),)</f>
        <v>2499384.3090000004</v>
      </c>
      <c r="J16" s="575">
        <f t="shared" si="2"/>
        <v>-1205831.0830000015</v>
      </c>
      <c r="K16" s="205">
        <f>+F16+[4]건자재!K16</f>
        <v>17129720.731199995</v>
      </c>
      <c r="L16" s="361">
        <f>+G16+[4]건자재!L16</f>
        <v>13712719.064000003</v>
      </c>
      <c r="M16" s="205">
        <f t="shared" si="3"/>
        <v>-3417001.6671999916</v>
      </c>
      <c r="N16" s="361">
        <f>+I16+[4]건자재!N16</f>
        <v>15255896.543999998</v>
      </c>
      <c r="O16" s="352">
        <f t="shared" si="4"/>
        <v>-1543177.4799999949</v>
      </c>
      <c r="P16" s="77"/>
      <c r="Q16" s="77"/>
    </row>
    <row r="17" spans="4:17" ht="25.5" customHeight="1" x14ac:dyDescent="0.3">
      <c r="D17" s="72"/>
      <c r="E17" s="368" t="s">
        <v>43</v>
      </c>
      <c r="F17" s="576">
        <f>SUM(F15:F16)</f>
        <v>10595361.504336843</v>
      </c>
      <c r="G17" s="369">
        <f>SUM(G15:G16)</f>
        <v>8468169.4929999989</v>
      </c>
      <c r="H17" s="370">
        <f t="shared" si="1"/>
        <v>-2127192.0113368444</v>
      </c>
      <c r="I17" s="369">
        <f>SUM(I15:I16)</f>
        <v>11109065.92</v>
      </c>
      <c r="J17" s="577">
        <f t="shared" si="2"/>
        <v>-2640896.4270000011</v>
      </c>
      <c r="K17" s="370">
        <f>SUM(K15:K16)</f>
        <v>86028465.731199995</v>
      </c>
      <c r="L17" s="369">
        <f>SUM(L15:L16)</f>
        <v>84700153.649000019</v>
      </c>
      <c r="M17" s="370">
        <f t="shared" si="3"/>
        <v>-1328312.0821999758</v>
      </c>
      <c r="N17" s="369">
        <f>SUM(N15:N16)</f>
        <v>94369979.130999997</v>
      </c>
      <c r="O17" s="371">
        <f t="shared" si="4"/>
        <v>-9669825.4819999784</v>
      </c>
      <c r="P17" s="77"/>
      <c r="Q17" s="77"/>
    </row>
    <row r="18" spans="4:17" ht="25.5" customHeight="1" x14ac:dyDescent="0.3">
      <c r="D18" s="187" t="s">
        <v>18</v>
      </c>
      <c r="E18" s="91" t="s">
        <v>122</v>
      </c>
      <c r="F18" s="417">
        <f>+F12-F15</f>
        <v>202290</v>
      </c>
      <c r="G18" s="360">
        <f>+G12-G15</f>
        <v>172978.07899999991</v>
      </c>
      <c r="H18" s="195">
        <f t="shared" si="1"/>
        <v>-29311.921000000089</v>
      </c>
      <c r="I18" s="360">
        <f>+I12-I15</f>
        <v>136047.08799999952</v>
      </c>
      <c r="J18" s="418">
        <f t="shared" si="2"/>
        <v>36930.991000000387</v>
      </c>
      <c r="K18" s="195">
        <f>+K12-K15</f>
        <v>1641255</v>
      </c>
      <c r="L18" s="360">
        <f>+L12-L15</f>
        <v>1555176.3379999995</v>
      </c>
      <c r="M18" s="195">
        <f t="shared" si="3"/>
        <v>-86078.662000000477</v>
      </c>
      <c r="N18" s="360">
        <f>+N12-N15</f>
        <v>1580241.4179999977</v>
      </c>
      <c r="O18" s="218">
        <f t="shared" si="4"/>
        <v>-25065.079999998212</v>
      </c>
      <c r="P18" s="77"/>
      <c r="Q18" s="77"/>
    </row>
    <row r="19" spans="4:17" ht="25.5" customHeight="1" x14ac:dyDescent="0.3">
      <c r="D19" s="187"/>
      <c r="E19" s="193" t="s">
        <v>9</v>
      </c>
      <c r="F19" s="578">
        <f>+F18/F12</f>
        <v>2.3265094882116158E-2</v>
      </c>
      <c r="G19" s="363">
        <f>+G18/G12</f>
        <v>2.3542137855523892E-2</v>
      </c>
      <c r="H19" s="196">
        <f t="shared" si="1"/>
        <v>2.7704297340773454E-4</v>
      </c>
      <c r="I19" s="363">
        <f>+I18/I12</f>
        <v>1.555583218760895E-2</v>
      </c>
      <c r="J19" s="579">
        <f t="shared" si="2"/>
        <v>7.9863056679149429E-3</v>
      </c>
      <c r="K19" s="196">
        <f>+K18/K12</f>
        <v>2.3267011624610149E-2</v>
      </c>
      <c r="L19" s="363">
        <f>+L18/L12</f>
        <v>2.1438108143787844E-2</v>
      </c>
      <c r="M19" s="196">
        <f t="shared" si="3"/>
        <v>-1.8289034808223054E-3</v>
      </c>
      <c r="N19" s="363">
        <f>+N18/N12</f>
        <v>1.9583055406748096E-2</v>
      </c>
      <c r="O19" s="353">
        <f t="shared" si="4"/>
        <v>1.8550527370397481E-3</v>
      </c>
      <c r="P19" s="77"/>
      <c r="Q19" s="77"/>
    </row>
    <row r="20" spans="4:17" ht="25.5" customHeight="1" x14ac:dyDescent="0.3">
      <c r="D20" s="187"/>
      <c r="E20" s="93" t="s">
        <v>123</v>
      </c>
      <c r="F20" s="415">
        <f>+F13-F16</f>
        <v>75765.337768420577</v>
      </c>
      <c r="G20" s="362">
        <f>+G13-G16</f>
        <v>37537.697000002488</v>
      </c>
      <c r="H20" s="204">
        <f t="shared" si="1"/>
        <v>-38227.640768418089</v>
      </c>
      <c r="I20" s="362">
        <f>+I13-I16</f>
        <v>68947.167999999598</v>
      </c>
      <c r="J20" s="416">
        <f t="shared" si="2"/>
        <v>-31409.470999997109</v>
      </c>
      <c r="K20" s="204">
        <f>+K13-K16</f>
        <v>617239.26880001277</v>
      </c>
      <c r="L20" s="362">
        <f>+L13-L16</f>
        <v>355746.3389999941</v>
      </c>
      <c r="M20" s="204">
        <f t="shared" si="3"/>
        <v>-261492.92980001867</v>
      </c>
      <c r="N20" s="362">
        <f>+N13-N16</f>
        <v>390523.40000000037</v>
      </c>
      <c r="O20" s="221">
        <f t="shared" si="4"/>
        <v>-34777.061000006273</v>
      </c>
      <c r="P20" s="77"/>
      <c r="Q20" s="77"/>
    </row>
    <row r="21" spans="4:17" ht="25.5" customHeight="1" x14ac:dyDescent="0.3">
      <c r="D21" s="187"/>
      <c r="E21" s="194" t="s">
        <v>9</v>
      </c>
      <c r="F21" s="580">
        <f>+F20/F13</f>
        <v>3.4779999999999769E-2</v>
      </c>
      <c r="G21" s="364">
        <f>+G20/G13</f>
        <v>2.8200700907343241E-2</v>
      </c>
      <c r="H21" s="206">
        <f t="shared" si="1"/>
        <v>-6.5792990926565285E-3</v>
      </c>
      <c r="I21" s="364">
        <f>+I20/I13</f>
        <v>2.6845120506226464E-2</v>
      </c>
      <c r="J21" s="581">
        <f t="shared" si="2"/>
        <v>1.3555804011167773E-3</v>
      </c>
      <c r="K21" s="206">
        <f>+K20/K13</f>
        <v>3.4780000000000706E-2</v>
      </c>
      <c r="L21" s="364">
        <f>+L20/L13</f>
        <v>2.5286790620683744E-2</v>
      </c>
      <c r="M21" s="206">
        <f t="shared" si="3"/>
        <v>-9.4932093793169622E-3</v>
      </c>
      <c r="N21" s="364">
        <f>+N20/N13</f>
        <v>2.4959281509618188E-2</v>
      </c>
      <c r="O21" s="354">
        <f t="shared" si="4"/>
        <v>3.2750911106555619E-4</v>
      </c>
      <c r="P21" s="77"/>
      <c r="Q21" s="77"/>
    </row>
    <row r="22" spans="4:17" ht="25.5" customHeight="1" x14ac:dyDescent="0.3">
      <c r="D22" s="187"/>
      <c r="E22" s="94" t="s">
        <v>58</v>
      </c>
      <c r="F22" s="415">
        <f>SUM(F18,F20)</f>
        <v>278055.33776842058</v>
      </c>
      <c r="G22" s="362">
        <f>SUM(G18,G20)</f>
        <v>210515.7760000024</v>
      </c>
      <c r="H22" s="204">
        <f t="shared" si="1"/>
        <v>-67539.561768418178</v>
      </c>
      <c r="I22" s="362">
        <f>SUM(I18,I20)</f>
        <v>204994.25599999912</v>
      </c>
      <c r="J22" s="416">
        <f t="shared" si="2"/>
        <v>5521.5200000032783</v>
      </c>
      <c r="K22" s="204">
        <f>+K14-K17</f>
        <v>2258494.2688000053</v>
      </c>
      <c r="L22" s="362">
        <f>+L14-L17</f>
        <v>1910922.6769999862</v>
      </c>
      <c r="M22" s="204">
        <f t="shared" si="3"/>
        <v>-347571.59180001915</v>
      </c>
      <c r="N22" s="362">
        <f>+N14-N17</f>
        <v>1970764.8180000037</v>
      </c>
      <c r="O22" s="221">
        <f t="shared" si="4"/>
        <v>-59842.141000017524</v>
      </c>
      <c r="P22" s="77"/>
      <c r="Q22" s="77"/>
    </row>
    <row r="23" spans="4:17" ht="25.5" customHeight="1" x14ac:dyDescent="0.3">
      <c r="D23" s="187"/>
      <c r="E23" s="372" t="s">
        <v>9</v>
      </c>
      <c r="F23" s="578">
        <f>+F22/F14</f>
        <v>2.5572029639450915E-2</v>
      </c>
      <c r="G23" s="363">
        <f>+G22/G14</f>
        <v>2.4256643659144816E-2</v>
      </c>
      <c r="H23" s="196">
        <f t="shared" si="1"/>
        <v>-1.315385980306099E-3</v>
      </c>
      <c r="I23" s="363">
        <f>+I22/I14</f>
        <v>1.8118540365804674E-2</v>
      </c>
      <c r="J23" s="579">
        <f t="shared" si="2"/>
        <v>6.1381032933401428E-3</v>
      </c>
      <c r="K23" s="196">
        <f>+K22/K14</f>
        <v>2.5581289341030718E-2</v>
      </c>
      <c r="L23" s="363">
        <f>+L22/L14</f>
        <v>2.2063259782240361E-2</v>
      </c>
      <c r="M23" s="196">
        <f t="shared" si="3"/>
        <v>-3.5180295587903566E-3</v>
      </c>
      <c r="N23" s="363">
        <f>+N22/N14</f>
        <v>2.0456192647248701E-2</v>
      </c>
      <c r="O23" s="353">
        <f t="shared" si="4"/>
        <v>1.6070671349916604E-3</v>
      </c>
      <c r="P23" s="77"/>
      <c r="Q23" s="77"/>
    </row>
    <row r="24" spans="4:17" ht="25.5" customHeight="1" x14ac:dyDescent="0.3">
      <c r="D24" s="71" t="s">
        <v>124</v>
      </c>
      <c r="E24" s="90" t="s">
        <v>125</v>
      </c>
      <c r="F24" s="570">
        <f>+IFERROR(HLOOKUP($F$8,[13]판매4!$G$4:$U$50,7,),)</f>
        <v>83504.47</v>
      </c>
      <c r="G24" s="358">
        <f>+'[7]10월'!$M$19</f>
        <v>94469.845000000001</v>
      </c>
      <c r="H24" s="203">
        <f t="shared" si="1"/>
        <v>10965.375</v>
      </c>
      <c r="I24" s="358">
        <f>+IFERROR(HLOOKUP($F$8,[8]월별!$E$2:$T$53,17,),)</f>
        <v>84192.554000000004</v>
      </c>
      <c r="J24" s="571">
        <f t="shared" si="2"/>
        <v>10277.290999999997</v>
      </c>
      <c r="K24" s="203">
        <f>+F24+[4]건자재!K24</f>
        <v>832469.87999999989</v>
      </c>
      <c r="L24" s="358">
        <f>+G24+[4]건자재!L24</f>
        <v>910366.17099999997</v>
      </c>
      <c r="M24" s="203">
        <f t="shared" si="3"/>
        <v>77896.291000000085</v>
      </c>
      <c r="N24" s="358">
        <f>+I24+[4]건자재!N24</f>
        <v>818190.85900000005</v>
      </c>
      <c r="O24" s="351">
        <f t="shared" si="4"/>
        <v>92175.311999999918</v>
      </c>
      <c r="P24" s="77"/>
      <c r="Q24" s="77"/>
    </row>
    <row r="25" spans="4:17" ht="25.5" customHeight="1" x14ac:dyDescent="0.3">
      <c r="D25" s="187"/>
      <c r="E25" s="92" t="s">
        <v>126</v>
      </c>
      <c r="F25" s="574">
        <f>+IFERROR(HLOOKUP($F$8,[13]판매4!$G$4:$U$50,31,),)+IFERROR(HLOOKUP($F$8,[13]판매4!$G$4:$U$50,34,),)</f>
        <v>38766.589999999997</v>
      </c>
      <c r="G25" s="361">
        <f>+'[7]10월'!$M$37+'[7]10월'!$M$40</f>
        <v>72040.602000000014</v>
      </c>
      <c r="H25" s="205">
        <f t="shared" si="1"/>
        <v>33274.012000000017</v>
      </c>
      <c r="I25" s="361">
        <f>+IFERROR(HLOOKUP($F$8,[8]월별!$E$2:$T$53,35,),)+IFERROR(HLOOKUP($F$8,[8]월별!$E$2:$T$53,38,),)</f>
        <v>35480.264999999999</v>
      </c>
      <c r="J25" s="575">
        <f t="shared" si="2"/>
        <v>36560.337000000014</v>
      </c>
      <c r="K25" s="205">
        <f>+F25+[4]건자재!K25</f>
        <v>430369.29000000004</v>
      </c>
      <c r="L25" s="361">
        <f>+G25+[4]건자재!L25</f>
        <v>517052.80699999997</v>
      </c>
      <c r="M25" s="205">
        <f t="shared" si="3"/>
        <v>86683.516999999934</v>
      </c>
      <c r="N25" s="361">
        <f>+I25+[4]건자재!N25</f>
        <v>382483.67599999998</v>
      </c>
      <c r="O25" s="352">
        <f t="shared" si="4"/>
        <v>134569.13099999999</v>
      </c>
      <c r="P25" s="77"/>
      <c r="Q25" s="77"/>
    </row>
    <row r="26" spans="4:17" ht="25.5" customHeight="1" x14ac:dyDescent="0.3">
      <c r="D26" s="72"/>
      <c r="E26" s="368" t="s">
        <v>58</v>
      </c>
      <c r="F26" s="576">
        <f>SUM(F24:F25)</f>
        <v>122271.06</v>
      </c>
      <c r="G26" s="369">
        <f>SUM(G24:G25)</f>
        <v>166510.44700000001</v>
      </c>
      <c r="H26" s="370">
        <f t="shared" si="1"/>
        <v>44239.387000000017</v>
      </c>
      <c r="I26" s="369">
        <f>SUM(I24:I25)</f>
        <v>119672.819</v>
      </c>
      <c r="J26" s="577">
        <f t="shared" si="2"/>
        <v>46837.628000000012</v>
      </c>
      <c r="K26" s="370">
        <f>SUM(K24:K25)</f>
        <v>1262839.17</v>
      </c>
      <c r="L26" s="369">
        <f>SUM(L24:L25)</f>
        <v>1427418.9779999999</v>
      </c>
      <c r="M26" s="370">
        <f t="shared" si="3"/>
        <v>164579.80799999996</v>
      </c>
      <c r="N26" s="369">
        <f>SUM(N24:N25)</f>
        <v>1200674.5350000001</v>
      </c>
      <c r="O26" s="371">
        <f t="shared" si="4"/>
        <v>226744.44299999974</v>
      </c>
      <c r="P26" s="77"/>
      <c r="Q26" s="77"/>
    </row>
    <row r="27" spans="4:17" ht="25.5" customHeight="1" x14ac:dyDescent="0.3">
      <c r="D27" s="187" t="s">
        <v>7</v>
      </c>
      <c r="E27" s="372"/>
      <c r="F27" s="417">
        <f>+F22-F26</f>
        <v>155784.27776842058</v>
      </c>
      <c r="G27" s="360">
        <f>+G22-G26</f>
        <v>44005.329000002384</v>
      </c>
      <c r="H27" s="195">
        <f t="shared" si="1"/>
        <v>-111778.94876841819</v>
      </c>
      <c r="I27" s="360">
        <f>+I22-I26</f>
        <v>85321.436999999118</v>
      </c>
      <c r="J27" s="418">
        <f t="shared" si="2"/>
        <v>-41316.107999996733</v>
      </c>
      <c r="K27" s="195">
        <f>+K22-K26</f>
        <v>995655.09880000539</v>
      </c>
      <c r="L27" s="360">
        <f>+L22-L26</f>
        <v>483503.69899998629</v>
      </c>
      <c r="M27" s="195">
        <f t="shared" si="3"/>
        <v>-512151.39980001911</v>
      </c>
      <c r="N27" s="360">
        <f>+N22-N26</f>
        <v>770090.28300000355</v>
      </c>
      <c r="O27" s="218">
        <f t="shared" si="4"/>
        <v>-286586.58400001726</v>
      </c>
      <c r="P27" s="77"/>
      <c r="Q27" s="77"/>
    </row>
    <row r="28" spans="4:17" ht="25.5" customHeight="1" thickBot="1" x14ac:dyDescent="0.35">
      <c r="D28" s="187"/>
      <c r="E28" s="567" t="s">
        <v>10</v>
      </c>
      <c r="F28" s="582">
        <f>+F27/F14</f>
        <v>1.4327076762584438E-2</v>
      </c>
      <c r="G28" s="583">
        <f>+G27/G14</f>
        <v>5.0705063769495217E-3</v>
      </c>
      <c r="H28" s="584">
        <f t="shared" si="1"/>
        <v>-9.256570385634915E-3</v>
      </c>
      <c r="I28" s="583">
        <f>+I27/I14</f>
        <v>7.5411864240379064E-3</v>
      </c>
      <c r="J28" s="585">
        <f t="shared" si="2"/>
        <v>-2.4706800470883847E-3</v>
      </c>
      <c r="K28" s="207">
        <f>+K27/K14</f>
        <v>1.1277487624446525E-2</v>
      </c>
      <c r="L28" s="365">
        <f>+L27/L14</f>
        <v>5.5824695813743407E-3</v>
      </c>
      <c r="M28" s="207">
        <f t="shared" si="3"/>
        <v>-5.6950180430721843E-3</v>
      </c>
      <c r="N28" s="365">
        <f>+N27/N14</f>
        <v>7.993401871669862E-3</v>
      </c>
      <c r="O28" s="355">
        <f t="shared" si="4"/>
        <v>-2.4109322902955213E-3</v>
      </c>
      <c r="P28" s="77"/>
      <c r="Q28" s="77"/>
    </row>
    <row r="29" spans="4:17" ht="25.5" customHeight="1" thickTop="1" x14ac:dyDescent="0.3">
      <c r="D29" s="846" t="s">
        <v>129</v>
      </c>
      <c r="E29" s="847"/>
      <c r="F29" s="164"/>
      <c r="G29" s="164"/>
      <c r="H29" s="164"/>
      <c r="I29" s="164"/>
      <c r="J29" s="164"/>
      <c r="K29" s="164"/>
      <c r="L29" s="164"/>
      <c r="M29" s="164"/>
      <c r="N29" s="75"/>
      <c r="O29" s="188"/>
      <c r="P29" s="77"/>
      <c r="Q29" s="77"/>
    </row>
    <row r="30" spans="4:17" ht="25.5" customHeight="1" x14ac:dyDescent="0.3">
      <c r="D30" s="848"/>
      <c r="E30" s="849"/>
      <c r="F30" s="164"/>
      <c r="G30" s="164"/>
      <c r="H30" s="164"/>
      <c r="I30" s="164"/>
      <c r="J30" s="164"/>
      <c r="K30" s="164"/>
      <c r="L30" s="164"/>
      <c r="M30" s="164"/>
      <c r="N30" s="75"/>
      <c r="O30" s="188"/>
      <c r="P30" s="77"/>
      <c r="Q30" s="77"/>
    </row>
    <row r="31" spans="4:17" ht="25.5" customHeight="1" x14ac:dyDescent="0.3">
      <c r="D31" s="848"/>
      <c r="E31" s="849"/>
      <c r="F31" s="164"/>
      <c r="G31" s="164"/>
      <c r="H31" s="164"/>
      <c r="I31" s="164"/>
      <c r="J31" s="164"/>
      <c r="K31" s="164"/>
      <c r="L31" s="164"/>
      <c r="M31" s="164"/>
      <c r="N31" s="75"/>
      <c r="O31" s="188"/>
      <c r="P31" s="77"/>
      <c r="Q31" s="77"/>
    </row>
    <row r="32" spans="4:17" ht="25.5" customHeight="1" x14ac:dyDescent="0.3">
      <c r="D32" s="848"/>
      <c r="E32" s="849"/>
      <c r="F32" s="164"/>
      <c r="G32" s="164"/>
      <c r="H32" s="164"/>
      <c r="I32" s="164"/>
      <c r="J32" s="164"/>
      <c r="K32" s="164"/>
      <c r="L32" s="164"/>
      <c r="M32" s="164"/>
      <c r="N32" s="75"/>
      <c r="O32" s="188"/>
      <c r="P32" s="77"/>
      <c r="Q32" s="77"/>
    </row>
    <row r="33" spans="4:40" ht="25.5" customHeight="1" x14ac:dyDescent="0.3">
      <c r="D33" s="848"/>
      <c r="E33" s="849"/>
      <c r="F33" s="164"/>
      <c r="G33" s="164"/>
      <c r="H33" s="164"/>
      <c r="I33" s="164"/>
      <c r="J33" s="164"/>
      <c r="K33" s="164"/>
      <c r="L33" s="164"/>
      <c r="M33" s="164"/>
      <c r="N33" s="75"/>
      <c r="O33" s="188"/>
      <c r="P33" s="77"/>
      <c r="Q33" s="77"/>
    </row>
    <row r="34" spans="4:40" ht="25.5" customHeight="1" x14ac:dyDescent="0.3">
      <c r="D34" s="850"/>
      <c r="E34" s="851"/>
      <c r="F34" s="198"/>
      <c r="G34" s="198"/>
      <c r="H34" s="198"/>
      <c r="I34" s="198"/>
      <c r="J34" s="198"/>
      <c r="K34" s="198"/>
      <c r="L34" s="198"/>
      <c r="M34" s="198"/>
      <c r="N34" s="166"/>
      <c r="O34" s="197"/>
      <c r="R34" s="6" t="s">
        <v>164</v>
      </c>
    </row>
    <row r="35" spans="4:40" ht="21.95" customHeight="1" x14ac:dyDescent="0.3"/>
    <row r="36" spans="4:40" ht="21.95" customHeight="1" x14ac:dyDescent="0.3">
      <c r="F36" s="6">
        <f>+IFERROR(HLOOKUP($F$8,[13]손익!$G$5:$AJ$65,17,),)</f>
        <v>155784.27776842058</v>
      </c>
      <c r="G36" s="6">
        <f>+'[7]10월'!$M$41</f>
        <v>44005.329000002384</v>
      </c>
      <c r="I36" s="6">
        <f>+IFERROR(HLOOKUP($F$8,[8]월별!$E$2:$T$53,39,),)</f>
        <v>85321.436999999103</v>
      </c>
      <c r="K36" s="6">
        <f>+F36+[4]건자재!K36</f>
        <v>995655.09880000982</v>
      </c>
      <c r="L36" s="6">
        <f>+G36+[4]건자재!L36</f>
        <v>483503.69900000305</v>
      </c>
      <c r="N36" s="6">
        <f>+I36+[4]건자재!N36</f>
        <v>770090.2830000018</v>
      </c>
      <c r="R36" s="503"/>
      <c r="S36" s="592" t="s">
        <v>180</v>
      </c>
      <c r="T36" s="592" t="s">
        <v>179</v>
      </c>
      <c r="U36" s="592" t="s">
        <v>181</v>
      </c>
      <c r="V36" s="592" t="s">
        <v>173</v>
      </c>
      <c r="W36" s="592" t="s">
        <v>211</v>
      </c>
      <c r="X36" s="592" t="s">
        <v>182</v>
      </c>
      <c r="Y36" s="592" t="s">
        <v>228</v>
      </c>
      <c r="Z36" s="592" t="s">
        <v>187</v>
      </c>
      <c r="AA36" s="592" t="s">
        <v>188</v>
      </c>
      <c r="AB36" s="592" t="s">
        <v>189</v>
      </c>
      <c r="AC36" s="592" t="s">
        <v>190</v>
      </c>
      <c r="AD36" s="592" t="s">
        <v>191</v>
      </c>
      <c r="AE36" s="592" t="s">
        <v>180</v>
      </c>
      <c r="AF36" s="592" t="s">
        <v>202</v>
      </c>
      <c r="AG36" s="592" t="s">
        <v>209</v>
      </c>
      <c r="AH36" s="592" t="s">
        <v>210</v>
      </c>
      <c r="AI36" s="592" t="s">
        <v>211</v>
      </c>
      <c r="AJ36" s="592" t="s">
        <v>182</v>
      </c>
      <c r="AK36" s="592" t="s">
        <v>228</v>
      </c>
      <c r="AL36" s="592" t="s">
        <v>227</v>
      </c>
      <c r="AM36" s="592" t="s">
        <v>234</v>
      </c>
      <c r="AN36" s="592" t="s">
        <v>189</v>
      </c>
    </row>
    <row r="37" spans="4:40" ht="21.95" customHeight="1" x14ac:dyDescent="0.3">
      <c r="F37" s="6" t="b">
        <f>+F27=F36</f>
        <v>1</v>
      </c>
      <c r="G37" s="6" t="b">
        <f>+G27=G36</f>
        <v>1</v>
      </c>
      <c r="I37" s="6" t="b">
        <f>+I27=I36</f>
        <v>1</v>
      </c>
      <c r="K37" s="6" t="b">
        <f>+K27=K36</f>
        <v>0</v>
      </c>
      <c r="L37" s="6" t="b">
        <f>+L27=L36</f>
        <v>0</v>
      </c>
      <c r="N37" s="6" t="b">
        <f>+N27=N36</f>
        <v>0</v>
      </c>
      <c r="R37" s="199" t="s">
        <v>121</v>
      </c>
      <c r="S37" s="209" t="s">
        <v>180</v>
      </c>
      <c r="T37" s="209" t="s">
        <v>179</v>
      </c>
      <c r="U37" s="209">
        <v>3</v>
      </c>
      <c r="V37" s="209" t="s">
        <v>173</v>
      </c>
      <c r="W37" s="209" t="s">
        <v>211</v>
      </c>
      <c r="X37" s="209" t="s">
        <v>182</v>
      </c>
      <c r="Y37" s="209" t="s">
        <v>228</v>
      </c>
      <c r="Z37" s="209" t="str">
        <f t="shared" ref="Z37:AE37" si="5">+Z36</f>
        <v>8월</v>
      </c>
      <c r="AA37" s="209" t="str">
        <f t="shared" si="5"/>
        <v>9월</v>
      </c>
      <c r="AB37" s="209" t="str">
        <f t="shared" si="5"/>
        <v>10월</v>
      </c>
      <c r="AC37" s="209" t="str">
        <f t="shared" si="5"/>
        <v>11월</v>
      </c>
      <c r="AD37" s="209" t="str">
        <f t="shared" si="5"/>
        <v>12월</v>
      </c>
      <c r="AE37" s="209" t="str">
        <f t="shared" si="5"/>
        <v>1월</v>
      </c>
      <c r="AF37" s="209" t="str">
        <f t="shared" ref="AF37:AG37" si="6">+AF36</f>
        <v>2월</v>
      </c>
      <c r="AG37" s="209" t="str">
        <f t="shared" si="6"/>
        <v>3월</v>
      </c>
      <c r="AH37" s="209" t="str">
        <f t="shared" ref="AH37:AI37" si="7">+AH36</f>
        <v>4월</v>
      </c>
      <c r="AI37" s="209" t="str">
        <f t="shared" si="7"/>
        <v>5월</v>
      </c>
      <c r="AJ37" s="209" t="str">
        <f t="shared" ref="AJ37:AK37" si="8">+AJ36</f>
        <v>6월</v>
      </c>
      <c r="AK37" s="209" t="str">
        <f t="shared" si="8"/>
        <v>7월</v>
      </c>
      <c r="AL37" s="209" t="str">
        <f t="shared" ref="AL37:AM37" si="9">+AL36</f>
        <v>8월</v>
      </c>
      <c r="AM37" s="209" t="str">
        <f t="shared" si="9"/>
        <v>9월</v>
      </c>
      <c r="AN37" s="209" t="str">
        <f t="shared" ref="AN37" si="10">+AN36</f>
        <v>10월</v>
      </c>
    </row>
    <row r="38" spans="4:40" ht="21.95" customHeight="1" x14ac:dyDescent="0.3">
      <c r="F38" s="593">
        <f>+F27-F36</f>
        <v>0</v>
      </c>
      <c r="G38" s="593">
        <f>+G27-G36</f>
        <v>0</v>
      </c>
      <c r="I38" s="593">
        <f>+I27-I36</f>
        <v>0</v>
      </c>
      <c r="K38" s="593">
        <f>+K27-K36</f>
        <v>-4.4237822294235229E-9</v>
      </c>
      <c r="L38" s="593">
        <f>+L27-L36</f>
        <v>-1.6763806343078613E-8</v>
      </c>
      <c r="N38" s="98">
        <f>+N27-N36</f>
        <v>1.7462298274040222E-9</v>
      </c>
      <c r="R38" s="200" t="s">
        <v>127</v>
      </c>
      <c r="S38" s="74">
        <f>+IFERROR(HLOOKUP(S$36,[8]월별!$E$2:$S$67,42,),)</f>
        <v>1098907.8680546847</v>
      </c>
      <c r="T38" s="74">
        <f>+IFERROR(HLOOKUP(T$36,[8]월별!$E$2:$S$67,42,),)</f>
        <v>1027486.9738044508</v>
      </c>
      <c r="U38" s="74">
        <f>+IFERROR(HLOOKUP(U$36,[8]월별!$E$2:$S$67,42,),)</f>
        <v>1030973.3939193247</v>
      </c>
      <c r="V38" s="74">
        <f>+IFERROR(HLOOKUP(V$36,[8]월별!$E$2:$S$67,42,),)</f>
        <v>1048311.1321207784</v>
      </c>
      <c r="W38" s="74">
        <f>+IFERROR(HLOOKUP(W$36,[8]월별!$E$2:$S$67,42,),)</f>
        <v>1064717.6492676102</v>
      </c>
      <c r="X38" s="74">
        <f>+IFERROR(HLOOKUP(X$36,[8]월별!$E$2:$S$67,42,),)</f>
        <v>1043902.0889611768</v>
      </c>
      <c r="Y38" s="74">
        <f>+IFERROR(HLOOKUP(Y$36,[8]월별!$E$2:$S$67,42,),)</f>
        <v>1025254.3120930659</v>
      </c>
      <c r="Z38" s="74">
        <f>+IFERROR(HLOOKUP(Z$36,[8]월별!$E$2:$S$67,42,),)</f>
        <v>957693.63511625899</v>
      </c>
      <c r="AA38" s="74">
        <f>+IFERROR(HLOOKUP(AA$36,[8]월별!$E$2:$S$67,42,),)</f>
        <v>1007624.1816933632</v>
      </c>
      <c r="AB38" s="74">
        <f>+IFERROR(HLOOKUP(AB$36,[8]월별!$E$2:$S$67,42,),)</f>
        <v>964243.14311560732</v>
      </c>
      <c r="AC38" s="74">
        <f>+IFERROR(HLOOKUP(AC$36,[8]월별!$E$2:$S$67,42,),)</f>
        <v>985246.58044154115</v>
      </c>
      <c r="AD38" s="74">
        <f>+IFERROR(HLOOKUP(AD$36,[8]월별!$E$2:$S$67,42,),)</f>
        <v>951341.4287927025</v>
      </c>
      <c r="AE38" s="74">
        <f>+IFERROR(HLOOKUP(AE$36,[7]월별!$E$2:$S$67,42,),)</f>
        <v>920730.85338998202</v>
      </c>
      <c r="AF38" s="74">
        <f>+IFERROR(HLOOKUP(AF$36,[7]월별!$E$2:$S$67,42,),)</f>
        <v>886130.8859870329</v>
      </c>
      <c r="AG38" s="74">
        <f>+IFERROR(HLOOKUP(AG$36,[7]월별!$E$2:$S$67,42,),)</f>
        <v>873530.5235919673</v>
      </c>
      <c r="AH38" s="74">
        <f>+IFERROR(HLOOKUP(AH$36,[7]월별!$E$2:$S$67,42,),)</f>
        <v>853042.90795678552</v>
      </c>
      <c r="AI38" s="74">
        <f>+IFERROR(HLOOKUP(AI$36,[7]월별!$E$2:$S$67,42,),)</f>
        <v>811389.30758305453</v>
      </c>
      <c r="AJ38" s="74">
        <f>+IFERROR(HLOOKUP(AJ$36,[7]월별!$E$2:$S$67,42,),)</f>
        <v>785072.67759542307</v>
      </c>
      <c r="AK38" s="74">
        <f>+IFERROR(HLOOKUP(AK$36,[7]월별!$E$2:$S$67,42,),)</f>
        <v>751049.2097042331</v>
      </c>
      <c r="AL38" s="74">
        <f>+IFERROR(HLOOKUP(AL$36,[7]월별!$E$2:$S$67,42,),)</f>
        <v>846014.52770958561</v>
      </c>
      <c r="AM38" s="74">
        <f>+IFERROR(HLOOKUP(AM$36,[7]월별!$E$2:$S$67,42,),)</f>
        <v>879572.42936012533</v>
      </c>
      <c r="AN38" s="74">
        <f>+IFERROR(HLOOKUP(AN$36,[7]월별!$E$2:$S$67,42,),)</f>
        <v>818946.47731031897</v>
      </c>
    </row>
    <row r="39" spans="4:40" ht="21.95" customHeight="1" x14ac:dyDescent="0.3">
      <c r="R39" s="201" t="s">
        <v>128</v>
      </c>
      <c r="S39" s="202">
        <f>+IFERROR(HLOOKUP(S$36,[8]월별!$E$2:$S$67,43,),)</f>
        <v>1.9263299607757241E-2</v>
      </c>
      <c r="T39" s="202">
        <f>+IFERROR(HLOOKUP(T$36,[8]월별!$E$2:$S$67,43,),)</f>
        <v>2.0328430506478493E-2</v>
      </c>
      <c r="U39" s="202">
        <f>+IFERROR(HLOOKUP(U$36,[8]월별!$E$2:$S$67,43,),)</f>
        <v>1.815970186077798E-2</v>
      </c>
      <c r="V39" s="202">
        <f>+IFERROR(HLOOKUP(V$36,[8]월별!$E$2:$S$67,43,),)</f>
        <v>2.0783119934692784E-2</v>
      </c>
      <c r="W39" s="202">
        <f>+IFERROR(HLOOKUP(W$36,[8]월별!$E$2:$S$67,43,),)</f>
        <v>1.8530156032889104E-2</v>
      </c>
      <c r="X39" s="202">
        <f>+IFERROR(HLOOKUP(X$36,[8]월별!$E$2:$S$67,43,),)</f>
        <v>2.338088905753952E-2</v>
      </c>
      <c r="Y39" s="202">
        <f>+IFERROR(HLOOKUP(Y$36,[8]월별!$E$2:$S$67,43,),)</f>
        <v>2.4066421287530761E-2</v>
      </c>
      <c r="Z39" s="202">
        <f>+IFERROR(HLOOKUP(Z$36,[8]월별!$E$2:$S$67,43,),)</f>
        <v>2.751551238666371E-2</v>
      </c>
      <c r="AA39" s="202">
        <f>+IFERROR(HLOOKUP(AA$36,[8]월별!$E$2:$S$67,43,),)</f>
        <v>1.6738202604907604E-2</v>
      </c>
      <c r="AB39" s="202">
        <f>+IFERROR(HLOOKUP(AB$36,[8]월별!$E$2:$S$67,43,),)</f>
        <v>1.8118540365804674E-2</v>
      </c>
      <c r="AC39" s="202">
        <f>+IFERROR(HLOOKUP(AC$36,[8]월별!$E$2:$S$67,43,),)</f>
        <v>1.7419708473984639E-2</v>
      </c>
      <c r="AD39" s="202">
        <f>+IFERROR(HLOOKUP(AD$36,[8]월별!$E$2:$S$67,43,),)</f>
        <v>2.0746012557623313E-2</v>
      </c>
      <c r="AE39" s="202">
        <f>+IFERROR(HLOOKUP(AE$36,[7]월별!$E$2:$S$67,43,),)</f>
        <v>0</v>
      </c>
      <c r="AF39" s="202">
        <f>+IFERROR(HLOOKUP(AF$36,[7]월별!$E$2:$S$67,43,),)</f>
        <v>0</v>
      </c>
      <c r="AG39" s="202">
        <f>+IFERROR(HLOOKUP(AG$36,[7]월별!$E$2:$S$67,43,),)</f>
        <v>0</v>
      </c>
      <c r="AH39" s="202">
        <f>+IFERROR(HLOOKUP(AH$36,[7]월별!$E$2:$S$67,43,),)</f>
        <v>0</v>
      </c>
      <c r="AI39" s="202">
        <f>+IFERROR(HLOOKUP(AI$36,[7]월별!$E$2:$S$67,43,),)</f>
        <v>0</v>
      </c>
      <c r="AJ39" s="202">
        <f>+IFERROR(HLOOKUP(AJ$36,[7]월별!$E$2:$S$67,43,),)</f>
        <v>0</v>
      </c>
      <c r="AK39" s="202">
        <f>+IFERROR(HLOOKUP(AK$36,[7]월별!$E$2:$S$67,43,),)</f>
        <v>0</v>
      </c>
      <c r="AL39" s="202">
        <f>+IFERROR(HLOOKUP(AL$36,[7]월별!$E$2:$S$67,43,),)</f>
        <v>0</v>
      </c>
      <c r="AM39" s="202">
        <f>+IFERROR(HLOOKUP(AM$36,[7]월별!$E$2:$S$67,43,),)</f>
        <v>0</v>
      </c>
      <c r="AN39" s="202">
        <f>+IFERROR(HLOOKUP(AN$36,[7]월별!$E$2:$S$67,43,),)</f>
        <v>0</v>
      </c>
    </row>
    <row r="40" spans="4:40" ht="21.95" customHeight="1" x14ac:dyDescent="0.3"/>
    <row r="41" spans="4:40" ht="21.95" customHeight="1" x14ac:dyDescent="0.3"/>
    <row r="42" spans="4:40" ht="21.95" customHeight="1" x14ac:dyDescent="0.3"/>
    <row r="43" spans="4:40" ht="21.95" customHeight="1" x14ac:dyDescent="0.3"/>
    <row r="44" spans="4:40" ht="21.95" customHeight="1" x14ac:dyDescent="0.3"/>
    <row r="45" spans="4:40" ht="21.95" customHeight="1" x14ac:dyDescent="0.3"/>
    <row r="46" spans="4:40" ht="21.95" customHeight="1" x14ac:dyDescent="0.3"/>
    <row r="47" spans="4:40" ht="21.95" customHeight="1" x14ac:dyDescent="0.3"/>
    <row r="48" spans="4:40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</sheetData>
  <mergeCells count="4">
    <mergeCell ref="D8:E9"/>
    <mergeCell ref="D29:E34"/>
    <mergeCell ref="K8:O8"/>
    <mergeCell ref="F8:J8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7A83-1708-4984-987D-736EDAE7F598}">
  <sheetPr codeName="Sheet10">
    <tabColor theme="0" tint="-0.249977111117893"/>
    <pageSetUpPr fitToPage="1"/>
  </sheetPr>
  <dimension ref="A1:AM53"/>
  <sheetViews>
    <sheetView showGridLines="0" showZeros="0" view="pageBreakPreview" zoomScale="60" zoomScaleNormal="85" workbookViewId="0">
      <pane xSplit="6" ySplit="7" topLeftCell="G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RowHeight="16.5" x14ac:dyDescent="0.3"/>
  <cols>
    <col min="1" max="3" width="5.625" style="6" customWidth="1"/>
    <col min="4" max="4" width="3.125" style="6" customWidth="1"/>
    <col min="5" max="6" width="8.625" style="6" customWidth="1"/>
    <col min="7" max="36" width="10.625" style="6" customWidth="1"/>
    <col min="37" max="37" width="9" style="6"/>
    <col min="38" max="39" width="14.25" style="6" customWidth="1"/>
    <col min="40" max="16384" width="9" style="6"/>
  </cols>
  <sheetData>
    <row r="1" spans="1:39" ht="22.5" customHeight="1" x14ac:dyDescent="0.3">
      <c r="A1" s="422" t="s">
        <v>241</v>
      </c>
    </row>
    <row r="2" spans="1:39" ht="9.75" customHeight="1" x14ac:dyDescent="0.3"/>
    <row r="3" spans="1:39" ht="9.9499999999999993" customHeight="1" x14ac:dyDescent="0.3"/>
    <row r="4" spans="1:39" ht="31.5" x14ac:dyDescent="0.3">
      <c r="D4" s="183" t="s">
        <v>253</v>
      </c>
      <c r="F4" s="183"/>
      <c r="I4" s="183"/>
    </row>
    <row r="5" spans="1:39" ht="21.95" customHeight="1" thickBot="1" x14ac:dyDescent="0.35">
      <c r="J5" s="76"/>
      <c r="AE5" s="76"/>
      <c r="AH5" s="76"/>
      <c r="AJ5" s="185" t="s">
        <v>167</v>
      </c>
    </row>
    <row r="6" spans="1:39" ht="24" customHeight="1" thickTop="1" x14ac:dyDescent="0.3">
      <c r="D6" s="295" t="s">
        <v>15</v>
      </c>
      <c r="E6" s="855" t="s">
        <v>11</v>
      </c>
      <c r="F6" s="856"/>
      <c r="G6" s="293" t="s">
        <v>140</v>
      </c>
      <c r="H6" s="292"/>
      <c r="I6" s="292"/>
      <c r="J6" s="292" t="s">
        <v>139</v>
      </c>
      <c r="K6" s="292"/>
      <c r="L6" s="294"/>
      <c r="M6" s="292" t="s">
        <v>213</v>
      </c>
      <c r="N6" s="292"/>
      <c r="O6" s="294"/>
      <c r="P6" s="388" t="s">
        <v>138</v>
      </c>
      <c r="Q6" s="389"/>
      <c r="R6" s="390"/>
      <c r="S6" s="293" t="s">
        <v>184</v>
      </c>
      <c r="T6" s="292"/>
      <c r="U6" s="292"/>
      <c r="V6" s="292" t="s">
        <v>185</v>
      </c>
      <c r="W6" s="292"/>
      <c r="X6" s="294"/>
      <c r="Y6" s="292" t="s">
        <v>225</v>
      </c>
      <c r="Z6" s="292"/>
      <c r="AA6" s="294"/>
      <c r="AB6" s="388" t="s">
        <v>186</v>
      </c>
      <c r="AC6" s="389"/>
      <c r="AD6" s="390"/>
      <c r="AE6" s="387" t="s">
        <v>137</v>
      </c>
      <c r="AF6" s="292"/>
      <c r="AG6" s="294"/>
      <c r="AH6" s="388" t="s">
        <v>136</v>
      </c>
      <c r="AI6" s="389"/>
      <c r="AJ6" s="390"/>
    </row>
    <row r="7" spans="1:39" ht="24" customHeight="1" x14ac:dyDescent="0.3">
      <c r="D7" s="291"/>
      <c r="E7" s="857"/>
      <c r="F7" s="858"/>
      <c r="G7" s="287" t="s">
        <v>12</v>
      </c>
      <c r="H7" s="373" t="s">
        <v>13</v>
      </c>
      <c r="I7" s="290" t="s">
        <v>36</v>
      </c>
      <c r="J7" s="289" t="s">
        <v>15</v>
      </c>
      <c r="K7" s="373" t="s">
        <v>16</v>
      </c>
      <c r="L7" s="288" t="s">
        <v>36</v>
      </c>
      <c r="M7" s="289" t="s">
        <v>15</v>
      </c>
      <c r="N7" s="373" t="s">
        <v>16</v>
      </c>
      <c r="O7" s="288" t="s">
        <v>36</v>
      </c>
      <c r="P7" s="391" t="s">
        <v>15</v>
      </c>
      <c r="Q7" s="373" t="s">
        <v>16</v>
      </c>
      <c r="R7" s="392" t="s">
        <v>36</v>
      </c>
      <c r="S7" s="287" t="s">
        <v>12</v>
      </c>
      <c r="T7" s="373" t="s">
        <v>13</v>
      </c>
      <c r="U7" s="290" t="s">
        <v>36</v>
      </c>
      <c r="V7" s="289" t="s">
        <v>15</v>
      </c>
      <c r="W7" s="373" t="s">
        <v>16</v>
      </c>
      <c r="X7" s="288" t="s">
        <v>36</v>
      </c>
      <c r="Y7" s="289" t="s">
        <v>15</v>
      </c>
      <c r="Z7" s="373" t="s">
        <v>16</v>
      </c>
      <c r="AA7" s="288" t="s">
        <v>36</v>
      </c>
      <c r="AB7" s="391" t="s">
        <v>15</v>
      </c>
      <c r="AC7" s="373" t="s">
        <v>16</v>
      </c>
      <c r="AD7" s="392" t="s">
        <v>36</v>
      </c>
      <c r="AE7" s="288" t="s">
        <v>15</v>
      </c>
      <c r="AF7" s="373" t="s">
        <v>16</v>
      </c>
      <c r="AG7" s="288" t="s">
        <v>36</v>
      </c>
      <c r="AH7" s="391" t="s">
        <v>15</v>
      </c>
      <c r="AI7" s="373" t="s">
        <v>16</v>
      </c>
      <c r="AJ7" s="392" t="s">
        <v>36</v>
      </c>
    </row>
    <row r="8" spans="1:39" ht="24" customHeight="1" x14ac:dyDescent="0.3">
      <c r="D8" s="77"/>
      <c r="E8" s="264" t="s">
        <v>110</v>
      </c>
      <c r="F8" s="263" t="s">
        <v>132</v>
      </c>
      <c r="G8" s="259">
        <f>+IFERROR(HLOOKUP($A$1,[14]손익요약!$G$5:$AL$106,3,),)</f>
        <v>16598.866666666665</v>
      </c>
      <c r="H8" s="374">
        <f>+'[9]서부산크라샤(당월)'!$F$66</f>
        <v>0</v>
      </c>
      <c r="I8" s="262">
        <f>H8-G8</f>
        <v>-16598.866666666665</v>
      </c>
      <c r="J8" s="261">
        <f>+IFERROR(HLOOKUP($A$1,[14]손익요약!$G$5:$AL$106,6,),)</f>
        <v>2454.0966666666664</v>
      </c>
      <c r="K8" s="374">
        <f>+'[9]서부산크라샤(당월)'!$I$66</f>
        <v>0</v>
      </c>
      <c r="L8" s="260">
        <f>K8-J8</f>
        <v>-2454.0966666666664</v>
      </c>
      <c r="M8" s="261">
        <f>+IFERROR(HLOOKUP($A$1,[14]손익요약!$G$5:$AL$106,9,),)</f>
        <v>0</v>
      </c>
      <c r="N8" s="374"/>
      <c r="O8" s="260">
        <f>N8-M8</f>
        <v>0</v>
      </c>
      <c r="P8" s="393">
        <f>+G8+J8+M8</f>
        <v>19052.963333333333</v>
      </c>
      <c r="Q8" s="374">
        <f>+H8+K8+N8</f>
        <v>0</v>
      </c>
      <c r="R8" s="394">
        <f>Q8-P8</f>
        <v>-19052.963333333333</v>
      </c>
      <c r="S8" s="259">
        <f>+IFERROR(HLOOKUP($A$1,[15]손익요약!$G$5:$AL$106,3,),)</f>
        <v>13075.643242034368</v>
      </c>
      <c r="T8" s="374">
        <f>+'[9]부산크라샤(당월)'!$F$66</f>
        <v>14831</v>
      </c>
      <c r="U8" s="262">
        <f>T8-S8</f>
        <v>1755.3567579656319</v>
      </c>
      <c r="V8" s="261">
        <f>+IFERROR(HLOOKUP($A$1,[15]손익요약!$G$5:$AL$106,6,),)</f>
        <v>11490.084829884816</v>
      </c>
      <c r="W8" s="374">
        <f>+'[9]부산크라샤(당월)'!$I$66</f>
        <v>10932</v>
      </c>
      <c r="X8" s="260">
        <f>W8-V8</f>
        <v>-558.08482988481592</v>
      </c>
      <c r="Y8" s="261"/>
      <c r="Z8" s="374">
        <f>+'[9]부산크라샤(당월)'!$L$66</f>
        <v>0</v>
      </c>
      <c r="AA8" s="260">
        <f>Z8-Y8</f>
        <v>0</v>
      </c>
      <c r="AB8" s="393">
        <f>+S8+V8+Y8</f>
        <v>24565.728071919184</v>
      </c>
      <c r="AC8" s="374">
        <f t="shared" ref="AC8" si="0">+T8+W8+Z8</f>
        <v>25763</v>
      </c>
      <c r="AD8" s="394">
        <f>AC8-AB8</f>
        <v>1197.271928080816</v>
      </c>
      <c r="AE8" s="260">
        <f>+IFERROR(HLOOKUP($A$1,[16]손익계획!$G$5:$AX$449,3,),)</f>
        <v>19754.222470020948</v>
      </c>
      <c r="AF8" s="374">
        <f>+'[9]부산모래장(당월)'!$R$48</f>
        <v>12792</v>
      </c>
      <c r="AG8" s="260">
        <f>AF8-AE8</f>
        <v>-6962.2224700209481</v>
      </c>
      <c r="AH8" s="393">
        <f>+P8+AB8+AE8</f>
        <v>63372.913875273465</v>
      </c>
      <c r="AI8" s="374">
        <f>+Q8+AC8+AF8</f>
        <v>38555</v>
      </c>
      <c r="AJ8" s="394">
        <f>AI8-AH8</f>
        <v>-24817.913875273465</v>
      </c>
    </row>
    <row r="9" spans="1:39" ht="24" customHeight="1" x14ac:dyDescent="0.3">
      <c r="D9" s="77"/>
      <c r="E9" s="281"/>
      <c r="F9" s="286" t="s">
        <v>10</v>
      </c>
      <c r="G9" s="282">
        <f>+G8/G$12</f>
        <v>0.83416140952751072</v>
      </c>
      <c r="H9" s="375">
        <f>+H8/H$12</f>
        <v>0</v>
      </c>
      <c r="I9" s="285">
        <f>+H9-G9</f>
        <v>-0.83416140952751072</v>
      </c>
      <c r="J9" s="284">
        <f>+J8/J$12</f>
        <v>0.25958023840811162</v>
      </c>
      <c r="K9" s="375" t="e">
        <f>+K8/K$12</f>
        <v>#DIV/0!</v>
      </c>
      <c r="L9" s="283" t="e">
        <f>+K9-J9</f>
        <v>#DIV/0!</v>
      </c>
      <c r="M9" s="284">
        <f>+M8/M$12</f>
        <v>0</v>
      </c>
      <c r="N9" s="375"/>
      <c r="O9" s="283">
        <f>+N9-M9</f>
        <v>0</v>
      </c>
      <c r="P9" s="395">
        <f>+P8/P$12</f>
        <v>0.37101974446265323</v>
      </c>
      <c r="Q9" s="375">
        <f>+Q8/Q$12</f>
        <v>0</v>
      </c>
      <c r="R9" s="396">
        <f>+Q9-P9</f>
        <v>-0.37101974446265323</v>
      </c>
      <c r="S9" s="282">
        <f>+S8/S$12</f>
        <v>0.72338467112624516</v>
      </c>
      <c r="T9" s="375">
        <f>+T8/T$12</f>
        <v>0.76547096774193546</v>
      </c>
      <c r="U9" s="285">
        <f>+T9-S9</f>
        <v>4.20862966156903E-2</v>
      </c>
      <c r="V9" s="284">
        <f>+V8/V$12</f>
        <v>0.45076683371464238</v>
      </c>
      <c r="W9" s="375">
        <f>+W8/W$12</f>
        <v>0.56830941983780414</v>
      </c>
      <c r="X9" s="283">
        <f>+W9-V9</f>
        <v>0.11754258612316176</v>
      </c>
      <c r="Y9" s="284"/>
      <c r="Z9" s="375" t="e">
        <f>+Z8/Z$12</f>
        <v>#DIV/0!</v>
      </c>
      <c r="AA9" s="283" t="e">
        <f>+Z9-Y9</f>
        <v>#DIV/0!</v>
      </c>
      <c r="AB9" s="395">
        <f>+AB8/AB$12</f>
        <v>0.56387736780998088</v>
      </c>
      <c r="AC9" s="375">
        <f>+AC8/AC$12</f>
        <v>0.66724508559736861</v>
      </c>
      <c r="AD9" s="396">
        <f>+AC9-AB9</f>
        <v>0.10336771778738774</v>
      </c>
      <c r="AE9" s="283">
        <f>+AE8/AE$12</f>
        <v>0.6752605539342097</v>
      </c>
      <c r="AF9" s="375">
        <f>+AF8/AF$12</f>
        <v>0.63581688950743076</v>
      </c>
      <c r="AG9" s="283">
        <f>+AF9-AE9</f>
        <v>-3.9443664426778935E-2</v>
      </c>
      <c r="AH9" s="395">
        <f>+AH8/AH$12</f>
        <v>0.51036020576056484</v>
      </c>
      <c r="AI9" s="375">
        <f>+AI8/AI$12</f>
        <v>0.64162090198036281</v>
      </c>
      <c r="AJ9" s="396">
        <f>+AI9-AH9</f>
        <v>0.13126069621979797</v>
      </c>
    </row>
    <row r="10" spans="1:39" ht="24" customHeight="1" x14ac:dyDescent="0.3">
      <c r="D10" s="257"/>
      <c r="E10" s="281"/>
      <c r="F10" s="280" t="s">
        <v>135</v>
      </c>
      <c r="G10" s="276">
        <f>+IFERROR(HLOOKUP($A$1,[14]손익요약!$G$5:$AL$106,2,),)</f>
        <v>3300</v>
      </c>
      <c r="H10" s="376">
        <f>+'[9]서부산크라샤(당월)'!$F$59</f>
        <v>1360</v>
      </c>
      <c r="I10" s="279">
        <f>H10-G10</f>
        <v>-1940</v>
      </c>
      <c r="J10" s="278">
        <f>+IFERROR(HLOOKUP($A$1,[14]손익요약!$G$5:$AL$106,5,),)</f>
        <v>7000</v>
      </c>
      <c r="K10" s="376">
        <f>+'[9]서부산크라샤(당월)'!$I$59</f>
        <v>0</v>
      </c>
      <c r="L10" s="277">
        <f>K10-J10</f>
        <v>-7000</v>
      </c>
      <c r="M10" s="278">
        <f>+IFERROR(HLOOKUP($A$1,[14]손익요약!$G$5:$AL$106,8,),)</f>
        <v>22000</v>
      </c>
      <c r="N10" s="376"/>
      <c r="O10" s="277">
        <f>N10-M10</f>
        <v>-22000</v>
      </c>
      <c r="P10" s="397">
        <f>+G10+J10+M10</f>
        <v>32300</v>
      </c>
      <c r="Q10" s="376">
        <f>+H10+K10+N10</f>
        <v>1360</v>
      </c>
      <c r="R10" s="398">
        <f>Q10-P10</f>
        <v>-30940</v>
      </c>
      <c r="S10" s="276">
        <f>+IFERROR(HLOOKUP($A$1,[15]손익요약!$G$5:$AL$106,2,),)</f>
        <v>5000</v>
      </c>
      <c r="T10" s="376">
        <f>+'[9]부산크라샤(당월)'!$F$59</f>
        <v>4544</v>
      </c>
      <c r="U10" s="279">
        <f>T10-S10</f>
        <v>-456</v>
      </c>
      <c r="V10" s="278">
        <f>+IFERROR(HLOOKUP($A$1,[15]손익요약!$G$5:$AL$106,5,),)</f>
        <v>14000</v>
      </c>
      <c r="W10" s="376">
        <f>+'[9]부산크라샤(당월)'!$I$59</f>
        <v>8304</v>
      </c>
      <c r="X10" s="277">
        <f>W10-V10</f>
        <v>-5696</v>
      </c>
      <c r="Y10" s="278"/>
      <c r="Z10" s="376">
        <f>+'[9]부산크라샤(당월)'!$L$59</f>
        <v>0</v>
      </c>
      <c r="AA10" s="277">
        <f>Z10-Y10</f>
        <v>0</v>
      </c>
      <c r="AB10" s="397">
        <f>+S10+V10+Y10</f>
        <v>19000</v>
      </c>
      <c r="AC10" s="376">
        <f>+T10+W10+Z10</f>
        <v>12848</v>
      </c>
      <c r="AD10" s="398">
        <f>AC10-AB10</f>
        <v>-6152</v>
      </c>
      <c r="AE10" s="277">
        <f>+IFERROR(HLOOKUP($A$1,[16]손익계획!$G$5:$AX$449,2,),)</f>
        <v>9500</v>
      </c>
      <c r="AF10" s="376">
        <f>+'[9]부산모래장(당월)'!$R$47</f>
        <v>7327</v>
      </c>
      <c r="AG10" s="277">
        <f>AF10-AE10</f>
        <v>-2173</v>
      </c>
      <c r="AH10" s="397">
        <f>+P10+AB10+AE10</f>
        <v>60800</v>
      </c>
      <c r="AI10" s="376">
        <f>+Q10+AC10+AF10</f>
        <v>21535</v>
      </c>
      <c r="AJ10" s="398">
        <f>AI10-AH10</f>
        <v>-39265</v>
      </c>
    </row>
    <row r="11" spans="1:39" ht="24" customHeight="1" x14ac:dyDescent="0.3">
      <c r="D11" s="257"/>
      <c r="E11" s="258"/>
      <c r="F11" s="275" t="s">
        <v>10</v>
      </c>
      <c r="G11" s="271">
        <f>+G10/G$12</f>
        <v>0.16583859047248922</v>
      </c>
      <c r="H11" s="377">
        <f>+H10/H$12</f>
        <v>1</v>
      </c>
      <c r="I11" s="274">
        <f>+H11-G11</f>
        <v>0.83416140952751072</v>
      </c>
      <c r="J11" s="273">
        <f>+J10/J$12</f>
        <v>0.74041976159188838</v>
      </c>
      <c r="K11" s="377" t="e">
        <f>+K10/K$12</f>
        <v>#DIV/0!</v>
      </c>
      <c r="L11" s="272" t="e">
        <f>+K11-J11</f>
        <v>#DIV/0!</v>
      </c>
      <c r="M11" s="273">
        <f>+M10/M$12</f>
        <v>1</v>
      </c>
      <c r="N11" s="377"/>
      <c r="O11" s="272">
        <f>+N11-M11</f>
        <v>-1</v>
      </c>
      <c r="P11" s="399">
        <f>+P10/P$12</f>
        <v>0.62898025553734682</v>
      </c>
      <c r="Q11" s="377">
        <f>+Q10/Q$12</f>
        <v>1</v>
      </c>
      <c r="R11" s="400">
        <f>+Q11-P11</f>
        <v>0.37101974446265318</v>
      </c>
      <c r="S11" s="271">
        <f>+S10/S$12</f>
        <v>0.27661532887375478</v>
      </c>
      <c r="T11" s="377">
        <f>+T10/T$12</f>
        <v>0.23452903225806451</v>
      </c>
      <c r="U11" s="274">
        <f>+T11-S11</f>
        <v>-4.2086296615690272E-2</v>
      </c>
      <c r="V11" s="273">
        <f>+V10/V$12</f>
        <v>0.54923316628535768</v>
      </c>
      <c r="W11" s="377">
        <f>+W10/W$12</f>
        <v>0.43169058016219586</v>
      </c>
      <c r="X11" s="272">
        <f>+W11-V11</f>
        <v>-0.11754258612316182</v>
      </c>
      <c r="Y11" s="273"/>
      <c r="Z11" s="377" t="e">
        <f>+Z10/Z$12</f>
        <v>#DIV/0!</v>
      </c>
      <c r="AA11" s="272" t="e">
        <f>+Z11-Y11</f>
        <v>#DIV/0!</v>
      </c>
      <c r="AB11" s="399">
        <f>+AB10/AB$12</f>
        <v>0.43612263219001912</v>
      </c>
      <c r="AC11" s="377">
        <f>+AC10/AC$12</f>
        <v>0.33275491440263139</v>
      </c>
      <c r="AD11" s="400">
        <f>+AC11-AB11</f>
        <v>-0.10336771778738774</v>
      </c>
      <c r="AE11" s="272">
        <f>+AE10/AE$12</f>
        <v>0.32473944606579036</v>
      </c>
      <c r="AF11" s="377">
        <f>+AF10/AF$12</f>
        <v>0.36418311049256924</v>
      </c>
      <c r="AG11" s="272">
        <f>+AF11-AE11</f>
        <v>3.9443664426778879E-2</v>
      </c>
      <c r="AH11" s="399">
        <f>+AH10/AH$12</f>
        <v>0.48963979423943516</v>
      </c>
      <c r="AI11" s="377">
        <f>+AI10/AI$12</f>
        <v>0.35837909801963719</v>
      </c>
      <c r="AJ11" s="400">
        <f>+AI11-AH11</f>
        <v>-0.13126069621979797</v>
      </c>
    </row>
    <row r="12" spans="1:39" ht="24" customHeight="1" x14ac:dyDescent="0.3">
      <c r="D12" s="257"/>
      <c r="E12" s="270"/>
      <c r="F12" s="269" t="s">
        <v>43</v>
      </c>
      <c r="G12" s="265">
        <f>G8+G10</f>
        <v>19898.866666666665</v>
      </c>
      <c r="H12" s="378">
        <f>H8+H10</f>
        <v>1360</v>
      </c>
      <c r="I12" s="268">
        <f t="shared" ref="I12:I32" si="1">H12-G12</f>
        <v>-18538.866666666665</v>
      </c>
      <c r="J12" s="267">
        <f>J8+J10</f>
        <v>9454.0966666666664</v>
      </c>
      <c r="K12" s="378">
        <f>K8+K10</f>
        <v>0</v>
      </c>
      <c r="L12" s="266">
        <f t="shared" ref="L12:L32" si="2">K12-J12</f>
        <v>-9454.0966666666664</v>
      </c>
      <c r="M12" s="267">
        <f>M8+M10</f>
        <v>22000</v>
      </c>
      <c r="N12" s="378"/>
      <c r="O12" s="266">
        <f t="shared" ref="O12:O32" si="3">N12-M12</f>
        <v>-22000</v>
      </c>
      <c r="P12" s="401">
        <f>P8+P10</f>
        <v>51352.963333333333</v>
      </c>
      <c r="Q12" s="378">
        <f>Q8+Q10</f>
        <v>1360</v>
      </c>
      <c r="R12" s="402">
        <f t="shared" ref="R12:R32" si="4">Q12-P12</f>
        <v>-49992.963333333333</v>
      </c>
      <c r="S12" s="265">
        <f>S8+S10</f>
        <v>18075.64324203437</v>
      </c>
      <c r="T12" s="378">
        <f>T8+T10</f>
        <v>19375</v>
      </c>
      <c r="U12" s="268">
        <f t="shared" ref="U12:U32" si="5">T12-S12</f>
        <v>1299.3567579656301</v>
      </c>
      <c r="V12" s="267">
        <f>V8+V10</f>
        <v>25490.084829884814</v>
      </c>
      <c r="W12" s="378">
        <f>W8+W10</f>
        <v>19236</v>
      </c>
      <c r="X12" s="266">
        <f t="shared" ref="X12:X32" si="6">W12-V12</f>
        <v>-6254.0848298848141</v>
      </c>
      <c r="Y12" s="267"/>
      <c r="Z12" s="378">
        <f>Z8+Z10</f>
        <v>0</v>
      </c>
      <c r="AA12" s="266">
        <f t="shared" ref="AA12:AA32" si="7">Z12-Y12</f>
        <v>0</v>
      </c>
      <c r="AB12" s="401">
        <f>AB8+AB10</f>
        <v>43565.728071919184</v>
      </c>
      <c r="AC12" s="378">
        <f>AC8+AC10</f>
        <v>38611</v>
      </c>
      <c r="AD12" s="402">
        <f t="shared" ref="AD12:AD32" si="8">AC12-AB12</f>
        <v>-4954.728071919184</v>
      </c>
      <c r="AE12" s="266">
        <f>AE8+AE10</f>
        <v>29254.222470020948</v>
      </c>
      <c r="AF12" s="378">
        <f>AF8+AF10</f>
        <v>20119</v>
      </c>
      <c r="AG12" s="266">
        <f t="shared" ref="AG12:AG32" si="9">AF12-AE12</f>
        <v>-9135.2224700209481</v>
      </c>
      <c r="AH12" s="401">
        <f>AH8+AH10</f>
        <v>124172.91387527346</v>
      </c>
      <c r="AI12" s="378">
        <f>AI8+AI10</f>
        <v>60090</v>
      </c>
      <c r="AJ12" s="402">
        <f t="shared" ref="AJ12:AJ32" si="10">AI12-AH12</f>
        <v>-64082.913875273458</v>
      </c>
      <c r="AL12" s="6">
        <f>+'사업장별(당월)'!J32*1000</f>
        <v>124172.91387527347</v>
      </c>
      <c r="AM12" s="6">
        <f>+'사업장별(당월)'!K32*1000</f>
        <v>60089.999999999993</v>
      </c>
    </row>
    <row r="13" spans="1:39" ht="24" customHeight="1" x14ac:dyDescent="0.3">
      <c r="D13" s="257"/>
      <c r="E13" s="264" t="s">
        <v>77</v>
      </c>
      <c r="F13" s="263" t="s">
        <v>132</v>
      </c>
      <c r="G13" s="259">
        <f>+IFERROR(HLOOKUP($A$1,[14]손익요약!$G$5:$AL$106,15,),)</f>
        <v>251258.26666666666</v>
      </c>
      <c r="H13" s="374">
        <f>+'[9]서부산크라샤(당월)'!$F$72</f>
        <v>0</v>
      </c>
      <c r="I13" s="262">
        <f t="shared" si="1"/>
        <v>-251258.26666666666</v>
      </c>
      <c r="J13" s="261">
        <f>+IFERROR(HLOOKUP($A$1,[14]손익요약!$G$5:$AL$106,18,),)</f>
        <v>45341.183333333334</v>
      </c>
      <c r="K13" s="374">
        <f>+'[9]서부산크라샤(당월)'!$I$72</f>
        <v>0</v>
      </c>
      <c r="L13" s="260">
        <f t="shared" si="2"/>
        <v>-45341.183333333334</v>
      </c>
      <c r="M13" s="261">
        <f>+IFERROR(HLOOKUP($A$1,[14]손익요약!$G$5:$AL$106,21,),)</f>
        <v>0</v>
      </c>
      <c r="N13" s="374"/>
      <c r="O13" s="260">
        <f t="shared" si="3"/>
        <v>0</v>
      </c>
      <c r="P13" s="393">
        <f>+G13+J13+M13</f>
        <v>296599.45</v>
      </c>
      <c r="Q13" s="374">
        <f>+H13+K13+N13</f>
        <v>0</v>
      </c>
      <c r="R13" s="394">
        <f t="shared" si="4"/>
        <v>-296599.45</v>
      </c>
      <c r="S13" s="259">
        <f>+IFERROR(HLOOKUP($A$1,[15]손익요약!$G$5:$AL$106,12,),)</f>
        <v>209210.29187254989</v>
      </c>
      <c r="T13" s="374">
        <f>+'[9]부산크라샤(당월)'!$F$72</f>
        <v>221526.5</v>
      </c>
      <c r="U13" s="262">
        <f t="shared" si="5"/>
        <v>12316.208127450111</v>
      </c>
      <c r="V13" s="261">
        <f>+IFERROR(HLOOKUP($A$1,[15]손익요약!$G$5:$AL$106,15,),)</f>
        <v>254805.26721638301</v>
      </c>
      <c r="W13" s="374">
        <f>+'[9]부산크라샤(당월)'!$I$72</f>
        <v>227686</v>
      </c>
      <c r="X13" s="260">
        <f t="shared" si="6"/>
        <v>-27119.267216383014</v>
      </c>
      <c r="Y13" s="261"/>
      <c r="Z13" s="374">
        <f>+'[9]부산크라샤(당월)'!$L$72</f>
        <v>0</v>
      </c>
      <c r="AA13" s="260">
        <f t="shared" si="7"/>
        <v>0</v>
      </c>
      <c r="AB13" s="393">
        <f>+S13+V13+Y13</f>
        <v>464015.55908893293</v>
      </c>
      <c r="AC13" s="374">
        <f>+T13+W13+Z13</f>
        <v>449212.5</v>
      </c>
      <c r="AD13" s="394">
        <f t="shared" si="8"/>
        <v>-14803.059088932932</v>
      </c>
      <c r="AE13" s="260">
        <f>+IFERROR(HLOOKUP($A$1,[16]손익계획!$G$5:$AX$449,6,),)</f>
        <v>561413.80631466</v>
      </c>
      <c r="AF13" s="374">
        <f>+'[9]부산모래장(당월)'!$R$54</f>
        <v>373128</v>
      </c>
      <c r="AG13" s="260">
        <f t="shared" si="9"/>
        <v>-188285.80631466</v>
      </c>
      <c r="AH13" s="393">
        <f>+P13+AB13+AE13</f>
        <v>1322028.815403593</v>
      </c>
      <c r="AI13" s="374">
        <f>+Q13+AC13+AF13</f>
        <v>822340.5</v>
      </c>
      <c r="AJ13" s="394">
        <f t="shared" si="10"/>
        <v>-499688.31540359301</v>
      </c>
      <c r="AL13" s="6" t="b">
        <f>+AL12=AH12</f>
        <v>1</v>
      </c>
      <c r="AM13" s="6" t="b">
        <f>+AM12=AI12</f>
        <v>1</v>
      </c>
    </row>
    <row r="14" spans="1:39" ht="24" customHeight="1" x14ac:dyDescent="0.3">
      <c r="D14" s="257"/>
      <c r="E14" s="258"/>
      <c r="F14" s="256" t="s">
        <v>131</v>
      </c>
      <c r="G14" s="252">
        <f>+G13/G8*1000</f>
        <v>15137.073615467723</v>
      </c>
      <c r="H14" s="379" t="e">
        <f>+H13/H8*1000</f>
        <v>#DIV/0!</v>
      </c>
      <c r="I14" s="255" t="e">
        <f t="shared" si="1"/>
        <v>#DIV/0!</v>
      </c>
      <c r="J14" s="254">
        <f>+J13/J8*1000</f>
        <v>18475.712040682996</v>
      </c>
      <c r="K14" s="379" t="e">
        <f>+K13/K8*1000</f>
        <v>#DIV/0!</v>
      </c>
      <c r="L14" s="253" t="e">
        <f t="shared" si="2"/>
        <v>#DIV/0!</v>
      </c>
      <c r="M14" s="254" t="e">
        <f>+M13/M8*1000</f>
        <v>#DIV/0!</v>
      </c>
      <c r="N14" s="379"/>
      <c r="O14" s="253" t="e">
        <f t="shared" si="3"/>
        <v>#DIV/0!</v>
      </c>
      <c r="P14" s="403">
        <f>+P13/P8*1000</f>
        <v>15567.103384967764</v>
      </c>
      <c r="Q14" s="379" t="e">
        <f>+Q13/Q8*1000</f>
        <v>#DIV/0!</v>
      </c>
      <c r="R14" s="404" t="e">
        <f t="shared" si="4"/>
        <v>#DIV/0!</v>
      </c>
      <c r="S14" s="252">
        <f>+S13/S8*1000</f>
        <v>16000</v>
      </c>
      <c r="T14" s="379">
        <f>+T13/T8*1000</f>
        <v>14936.720382981592</v>
      </c>
      <c r="U14" s="255">
        <f t="shared" si="5"/>
        <v>-1063.2796170184083</v>
      </c>
      <c r="V14" s="254">
        <f>+V13/V8*1000</f>
        <v>22176.099740678535</v>
      </c>
      <c r="W14" s="379">
        <f>+W13/W8*1000</f>
        <v>20827.478960848883</v>
      </c>
      <c r="X14" s="253">
        <f t="shared" si="6"/>
        <v>-1348.6207798296527</v>
      </c>
      <c r="Y14" s="254"/>
      <c r="Z14" s="379" t="e">
        <f>+Z13/Z8*1000</f>
        <v>#DIV/0!</v>
      </c>
      <c r="AA14" s="253" t="e">
        <f t="shared" si="7"/>
        <v>#DIV/0!</v>
      </c>
      <c r="AB14" s="403">
        <f>+AB13/AB8*1000</f>
        <v>18888.736280499012</v>
      </c>
      <c r="AC14" s="379">
        <f>+AC13/AC8*1000</f>
        <v>17436.34281721849</v>
      </c>
      <c r="AD14" s="404">
        <f t="shared" si="8"/>
        <v>-1452.3934632805212</v>
      </c>
      <c r="AE14" s="253">
        <f>+AE13/AE8*1000</f>
        <v>28419.939441639013</v>
      </c>
      <c r="AF14" s="379">
        <f>+AF13/AF8*1000</f>
        <v>29168.855534709193</v>
      </c>
      <c r="AG14" s="253">
        <f t="shared" si="9"/>
        <v>748.91609307018007</v>
      </c>
      <c r="AH14" s="403">
        <f>+AH13/AH8*1000</f>
        <v>20861.101921327558</v>
      </c>
      <c r="AI14" s="379">
        <f>+AI13/AI8*1000</f>
        <v>21329.023472960707</v>
      </c>
      <c r="AJ14" s="404">
        <f t="shared" si="10"/>
        <v>467.92155163314965</v>
      </c>
    </row>
    <row r="15" spans="1:39" ht="24" customHeight="1" x14ac:dyDescent="0.3">
      <c r="D15" s="257"/>
      <c r="E15" s="662"/>
      <c r="F15" s="223" t="s">
        <v>135</v>
      </c>
      <c r="G15" s="247">
        <f>+IFERROR(HLOOKUP($A$1,[14]손익요약!$G$5:$AL$106,14,),)</f>
        <v>37950</v>
      </c>
      <c r="H15" s="380">
        <f>+'[9]서부산크라샤(당월)'!$F$71</f>
        <v>15640</v>
      </c>
      <c r="I15" s="250">
        <f t="shared" si="1"/>
        <v>-22310</v>
      </c>
      <c r="J15" s="249">
        <f>+IFERROR(HLOOKUP($A$1,[14]손익요약!$G$5:$AL$106,17,),)</f>
        <v>105000</v>
      </c>
      <c r="K15" s="380">
        <f>+'[9]서부산크라샤(당월)'!$I$71</f>
        <v>0</v>
      </c>
      <c r="L15" s="248">
        <f t="shared" si="2"/>
        <v>-105000</v>
      </c>
      <c r="M15" s="249">
        <f>+IFERROR(HLOOKUP($A$1,[14]손익요약!$G$5:$AL$106,20,),)</f>
        <v>198000</v>
      </c>
      <c r="N15" s="380"/>
      <c r="O15" s="248">
        <f t="shared" si="3"/>
        <v>-198000</v>
      </c>
      <c r="P15" s="405">
        <f>+G15+J15+M15</f>
        <v>340950</v>
      </c>
      <c r="Q15" s="380">
        <f>+H15+K15+N15</f>
        <v>15640</v>
      </c>
      <c r="R15" s="406">
        <f t="shared" si="4"/>
        <v>-325310</v>
      </c>
      <c r="S15" s="247">
        <f>+IFERROR(HLOOKUP($A$1,[15]손익요약!$G$5:$AL$106,11,),)</f>
        <v>60000</v>
      </c>
      <c r="T15" s="380">
        <f>+'[9]부산크라샤(당월)'!$F$71</f>
        <v>59072</v>
      </c>
      <c r="U15" s="250">
        <f t="shared" si="5"/>
        <v>-928</v>
      </c>
      <c r="V15" s="249">
        <f>+IFERROR(HLOOKUP($A$1,[15]손익요약!$G$5:$AL$106,14,),)</f>
        <v>266000</v>
      </c>
      <c r="W15" s="380">
        <f>+'[9]부산크라샤(당월)'!$I$71</f>
        <v>150784</v>
      </c>
      <c r="X15" s="248">
        <f t="shared" si="6"/>
        <v>-115216</v>
      </c>
      <c r="Y15" s="249"/>
      <c r="Z15" s="380">
        <f>+'[9]부산크라샤(당월)'!$L$71</f>
        <v>0</v>
      </c>
      <c r="AA15" s="248">
        <f t="shared" si="7"/>
        <v>0</v>
      </c>
      <c r="AB15" s="405">
        <f>+S15+V15+Y15</f>
        <v>326000</v>
      </c>
      <c r="AC15" s="380">
        <f>+T15+W15+Z15</f>
        <v>209856</v>
      </c>
      <c r="AD15" s="406">
        <f t="shared" si="8"/>
        <v>-116144</v>
      </c>
      <c r="AE15" s="248">
        <f>+IFERROR(HLOOKUP($A$1,[16]손익계획!$G$5:$AX$449,5,),)</f>
        <v>270750</v>
      </c>
      <c r="AF15" s="380">
        <f>+'[9]부산모래장(당월)'!$R$53</f>
        <v>197982</v>
      </c>
      <c r="AG15" s="248">
        <f t="shared" si="9"/>
        <v>-72768</v>
      </c>
      <c r="AH15" s="405">
        <f>+P15+AB15+AE15</f>
        <v>937700</v>
      </c>
      <c r="AI15" s="380">
        <f>+Q15+AC15+AF15</f>
        <v>423478</v>
      </c>
      <c r="AJ15" s="406">
        <f t="shared" si="10"/>
        <v>-514222</v>
      </c>
    </row>
    <row r="16" spans="1:39" ht="24" customHeight="1" x14ac:dyDescent="0.3">
      <c r="D16" s="76"/>
      <c r="E16" s="662"/>
      <c r="F16" s="256" t="s">
        <v>131</v>
      </c>
      <c r="G16" s="252">
        <f>IFERROR(G15/G10,)*1000</f>
        <v>11500</v>
      </c>
      <c r="H16" s="379">
        <f>IFERROR(H15/H10,)*1000</f>
        <v>11500</v>
      </c>
      <c r="I16" s="255">
        <f t="shared" si="1"/>
        <v>0</v>
      </c>
      <c r="J16" s="254">
        <f>IFERROR(J15/J10,)*1000</f>
        <v>15000</v>
      </c>
      <c r="K16" s="379">
        <f>IFERROR(K15/K10,)*1000</f>
        <v>0</v>
      </c>
      <c r="L16" s="253">
        <f t="shared" si="2"/>
        <v>-15000</v>
      </c>
      <c r="M16" s="254">
        <f>IFERROR(M15/M10,)*1000</f>
        <v>9000</v>
      </c>
      <c r="N16" s="379"/>
      <c r="O16" s="253">
        <f t="shared" si="3"/>
        <v>-9000</v>
      </c>
      <c r="P16" s="403">
        <f>IFERROR(P15/P10,)*1000</f>
        <v>10555.727554179568</v>
      </c>
      <c r="Q16" s="379">
        <f>IFERROR(Q15/Q10,)*1000</f>
        <v>11500</v>
      </c>
      <c r="R16" s="404">
        <f t="shared" si="4"/>
        <v>944.27244582043204</v>
      </c>
      <c r="S16" s="252">
        <f>IFERROR(S15/S10,)*1000</f>
        <v>12000</v>
      </c>
      <c r="T16" s="379">
        <f>IFERROR(T15/T10,)*1000</f>
        <v>13000</v>
      </c>
      <c r="U16" s="255">
        <f t="shared" si="5"/>
        <v>1000</v>
      </c>
      <c r="V16" s="254">
        <f>IFERROR(V15/V10,)*1000</f>
        <v>19000</v>
      </c>
      <c r="W16" s="379">
        <f>IFERROR(W15/W10,)*1000</f>
        <v>18157.996146435453</v>
      </c>
      <c r="X16" s="253">
        <f t="shared" si="6"/>
        <v>-842.00385356454717</v>
      </c>
      <c r="Y16" s="254"/>
      <c r="Z16" s="379">
        <f>IFERROR(Z15/Z10,)*1000</f>
        <v>0</v>
      </c>
      <c r="AA16" s="253">
        <f t="shared" si="7"/>
        <v>0</v>
      </c>
      <c r="AB16" s="403">
        <f>IFERROR(AB15/AB10,)*1000</f>
        <v>17157.894736842107</v>
      </c>
      <c r="AC16" s="379">
        <f>IFERROR(AC15/AC10,)*1000</f>
        <v>16333.748443337485</v>
      </c>
      <c r="AD16" s="404">
        <f t="shared" si="8"/>
        <v>-824.14629350462201</v>
      </c>
      <c r="AE16" s="253">
        <f>IFERROR(AE15/AE10,)*1000</f>
        <v>28500</v>
      </c>
      <c r="AF16" s="379">
        <f>IFERROR(AF15/AF10,)*1000</f>
        <v>27020.881670533643</v>
      </c>
      <c r="AG16" s="253">
        <f t="shared" si="9"/>
        <v>-1479.118329466357</v>
      </c>
      <c r="AH16" s="403">
        <f>IFERROR(AH15/AH10,)*1000</f>
        <v>15422.697368421053</v>
      </c>
      <c r="AI16" s="379">
        <f>IFERROR(AI15/AI10,)*1000</f>
        <v>19664.638959832831</v>
      </c>
      <c r="AJ16" s="404">
        <f t="shared" si="10"/>
        <v>4241.9415914117781</v>
      </c>
    </row>
    <row r="17" spans="4:39" ht="24" customHeight="1" x14ac:dyDescent="0.3">
      <c r="D17" s="76"/>
      <c r="E17" s="662"/>
      <c r="F17" s="251" t="s">
        <v>43</v>
      </c>
      <c r="G17" s="247">
        <f>G13+G15</f>
        <v>289208.26666666666</v>
      </c>
      <c r="H17" s="380">
        <f>H13+H15</f>
        <v>15640</v>
      </c>
      <c r="I17" s="250">
        <f t="shared" si="1"/>
        <v>-273568.26666666666</v>
      </c>
      <c r="J17" s="249">
        <f>J13+J15</f>
        <v>150341.18333333335</v>
      </c>
      <c r="K17" s="380">
        <f>K13+K15</f>
        <v>0</v>
      </c>
      <c r="L17" s="248">
        <f t="shared" si="2"/>
        <v>-150341.18333333335</v>
      </c>
      <c r="M17" s="249">
        <f>M13+M15</f>
        <v>198000</v>
      </c>
      <c r="N17" s="380"/>
      <c r="O17" s="248">
        <f t="shared" si="3"/>
        <v>-198000</v>
      </c>
      <c r="P17" s="405">
        <f>P13+P15</f>
        <v>637549.44999999995</v>
      </c>
      <c r="Q17" s="380">
        <f>Q13+Q15</f>
        <v>15640</v>
      </c>
      <c r="R17" s="406">
        <f t="shared" si="4"/>
        <v>-621909.44999999995</v>
      </c>
      <c r="S17" s="247">
        <f>S13+S15</f>
        <v>269210.29187254992</v>
      </c>
      <c r="T17" s="380">
        <f>T13+T15</f>
        <v>280598.5</v>
      </c>
      <c r="U17" s="250">
        <f t="shared" si="5"/>
        <v>11388.208127450082</v>
      </c>
      <c r="V17" s="249">
        <f>V13+V15</f>
        <v>520805.26721638301</v>
      </c>
      <c r="W17" s="380">
        <f>W13+W15</f>
        <v>378470</v>
      </c>
      <c r="X17" s="248">
        <f t="shared" si="6"/>
        <v>-142335.26721638301</v>
      </c>
      <c r="Y17" s="249"/>
      <c r="Z17" s="380">
        <f>Z13+Z15</f>
        <v>0</v>
      </c>
      <c r="AA17" s="248">
        <f t="shared" si="7"/>
        <v>0</v>
      </c>
      <c r="AB17" s="405">
        <f>AB13+AB15</f>
        <v>790015.55908893293</v>
      </c>
      <c r="AC17" s="380">
        <f>AC13+AC15</f>
        <v>659068.5</v>
      </c>
      <c r="AD17" s="406">
        <f t="shared" si="8"/>
        <v>-130947.05908893293</v>
      </c>
      <c r="AE17" s="248">
        <f>AE13+AE15</f>
        <v>832163.80631466</v>
      </c>
      <c r="AF17" s="380">
        <f>AF13+AF15</f>
        <v>571110</v>
      </c>
      <c r="AG17" s="248">
        <f t="shared" si="9"/>
        <v>-261053.80631466</v>
      </c>
      <c r="AH17" s="405">
        <f>AH13+AH15</f>
        <v>2259728.8154035928</v>
      </c>
      <c r="AI17" s="380">
        <f>AI13+AI15</f>
        <v>1245818.5</v>
      </c>
      <c r="AJ17" s="406">
        <f t="shared" si="10"/>
        <v>-1013910.3154035928</v>
      </c>
      <c r="AL17" s="6">
        <f>+'사업장별(당월)'!O32*1000</f>
        <v>2259728.8154035928</v>
      </c>
      <c r="AM17" s="6">
        <f>+'사업장별(당월)'!P32*1000</f>
        <v>1245818.4999999998</v>
      </c>
    </row>
    <row r="18" spans="4:39" ht="24" customHeight="1" x14ac:dyDescent="0.3">
      <c r="D18" s="76"/>
      <c r="E18" s="246" t="s">
        <v>7</v>
      </c>
      <c r="F18" s="245" t="s">
        <v>134</v>
      </c>
      <c r="G18" s="660">
        <f>+IFERROR(HLOOKUP($A$1,[14]손익요약!$G$5:$AL$106,80,),)</f>
        <v>78680.997212362796</v>
      </c>
      <c r="H18" s="381">
        <f>+'[9]서부산크라샤(당월)'!$F$87</f>
        <v>0</v>
      </c>
      <c r="I18" s="232">
        <f t="shared" si="1"/>
        <v>-78680.997212362796</v>
      </c>
      <c r="J18" s="231">
        <f>+IFERROR(HLOOKUP($A$1,[14]손익요약!$G$5:$AL$106,83,),)</f>
        <v>19699.238016745065</v>
      </c>
      <c r="K18" s="381">
        <f>+'[9]서부산크라샤(당월)'!$I$87</f>
        <v>0</v>
      </c>
      <c r="L18" s="230">
        <f t="shared" si="2"/>
        <v>-19699.238016745065</v>
      </c>
      <c r="M18" s="231">
        <f>+IFERROR(HLOOKUP($A$1,[14]손익요약!$G$5:$AL$106,86,),)</f>
        <v>0</v>
      </c>
      <c r="N18" s="381"/>
      <c r="O18" s="230">
        <f t="shared" si="3"/>
        <v>0</v>
      </c>
      <c r="P18" s="407">
        <f>+G18+J18+M18</f>
        <v>98380.235229107857</v>
      </c>
      <c r="Q18" s="381">
        <f>+H18+K18+N18</f>
        <v>0</v>
      </c>
      <c r="R18" s="408">
        <f t="shared" si="4"/>
        <v>-98380.235229107857</v>
      </c>
      <c r="S18" s="660">
        <f>+IFERROR(HLOOKUP($A$1,[15]손익요약!$G$5:$U$95,57,),)</f>
        <v>2128.8160271552588</v>
      </c>
      <c r="T18" s="381">
        <f>+'[9]부산크라샤(당월)'!$F$87</f>
        <v>-71462.210489891542</v>
      </c>
      <c r="U18" s="232">
        <f t="shared" si="5"/>
        <v>-73591.026517046805</v>
      </c>
      <c r="V18" s="231">
        <f>+IFERROR(HLOOKUP($A$1,[15]손익요약!$G$5:$AL$106,60,),)</f>
        <v>71735.725920152632</v>
      </c>
      <c r="W18" s="381">
        <f>+'[9]부산크라샤(당월)'!$I$87</f>
        <v>1772.2218592914978</v>
      </c>
      <c r="X18" s="230">
        <f t="shared" si="6"/>
        <v>-69963.504060861131</v>
      </c>
      <c r="Y18" s="231"/>
      <c r="Z18" s="381">
        <f>+'[9]부산크라샤(당월)'!$L$87</f>
        <v>0</v>
      </c>
      <c r="AA18" s="230">
        <f t="shared" si="7"/>
        <v>0</v>
      </c>
      <c r="AB18" s="407">
        <f>+S18+V18+Y18</f>
        <v>73864.541947307895</v>
      </c>
      <c r="AC18" s="381">
        <f>+T18+W18+Z18</f>
        <v>-69689.988630600041</v>
      </c>
      <c r="AD18" s="408">
        <f t="shared" si="8"/>
        <v>-143554.53057790792</v>
      </c>
      <c r="AE18" s="230">
        <f>+IFERROR(HLOOKUP($A$1,[16]손익계획!$G$5:$AX$449,25,),)</f>
        <v>40620.293790546013</v>
      </c>
      <c r="AF18" s="381">
        <f>+'[9]부산모래장(당월)'!$R$82</f>
        <v>58903.228999999999</v>
      </c>
      <c r="AG18" s="230">
        <f t="shared" si="9"/>
        <v>18282.935209453986</v>
      </c>
      <c r="AH18" s="407">
        <f>+P18+AB18+AE18</f>
        <v>212865.07096696176</v>
      </c>
      <c r="AI18" s="381">
        <f>+Q18+AC18+AF18</f>
        <v>-10786.759630600041</v>
      </c>
      <c r="AJ18" s="408">
        <f t="shared" si="10"/>
        <v>-223651.83059756181</v>
      </c>
      <c r="AL18" s="6" t="b">
        <f>+AL17=AH17</f>
        <v>1</v>
      </c>
      <c r="AM18" s="6" t="b">
        <f>+AM17=AI17</f>
        <v>1</v>
      </c>
    </row>
    <row r="19" spans="4:39" ht="24" customHeight="1" x14ac:dyDescent="0.3">
      <c r="D19" s="76"/>
      <c r="E19" s="165"/>
      <c r="F19" s="244" t="s">
        <v>133</v>
      </c>
      <c r="G19" s="240">
        <f>+IFERROR(HLOOKUP($A$1,[14]손익요약!$G$5:$AL$106,79,),)</f>
        <v>3825.9814443742189</v>
      </c>
      <c r="H19" s="382">
        <f>+'[9]서부산크라샤(당월)'!$F$86</f>
        <v>-83948.514345143398</v>
      </c>
      <c r="I19" s="243">
        <f t="shared" si="1"/>
        <v>-87774.495789517619</v>
      </c>
      <c r="J19" s="242">
        <f>+IFERROR(HLOOKUP($A$1,[14]손익요약!$G$5:$AL$106,82,),)</f>
        <v>32236.341686104322</v>
      </c>
      <c r="K19" s="382">
        <f>+'[9]서부산크라샤(당월)'!$I$86</f>
        <v>0</v>
      </c>
      <c r="L19" s="241">
        <f t="shared" si="2"/>
        <v>-32236.341686104322</v>
      </c>
      <c r="M19" s="242">
        <f>+IFERROR(HLOOKUP($A$1,[14]손익요약!$G$5:$AL$106,85,),)</f>
        <v>39558.204558736485</v>
      </c>
      <c r="N19" s="382"/>
      <c r="O19" s="241">
        <f t="shared" si="3"/>
        <v>-39558.204558736485</v>
      </c>
      <c r="P19" s="409">
        <f>+G19+J19+M19</f>
        <v>75620.527689215029</v>
      </c>
      <c r="Q19" s="382">
        <f>+H19+K19+N19</f>
        <v>-83948.514345143398</v>
      </c>
      <c r="R19" s="410">
        <f t="shared" si="4"/>
        <v>-159569.04203435843</v>
      </c>
      <c r="S19" s="240">
        <f>+IFERROR(HLOOKUP($A$1,[15]손익요약!$G$5:$AL$106,56,),)</f>
        <v>-18876.266135138525</v>
      </c>
      <c r="T19" s="382">
        <f>+'[9]부산크라샤(당월)'!$F$86</f>
        <v>-30336.467879188127</v>
      </c>
      <c r="U19" s="243">
        <f t="shared" si="5"/>
        <v>-11460.201744049602</v>
      </c>
      <c r="V19" s="242">
        <f>+IFERROR(HLOOKUP($A$1,[15]손익요약!$G$5:$AL$106,59,),)</f>
        <v>43628.94870467233</v>
      </c>
      <c r="W19" s="382">
        <f>+'[9]부산크라샤(당월)'!$I$86</f>
        <v>-19917.237310211873</v>
      </c>
      <c r="X19" s="241">
        <f t="shared" si="6"/>
        <v>-63546.186014884202</v>
      </c>
      <c r="Y19" s="242"/>
      <c r="Z19" s="382">
        <f>+'[9]부산크라샤(당월)'!$L$86</f>
        <v>0</v>
      </c>
      <c r="AA19" s="241">
        <f t="shared" si="7"/>
        <v>0</v>
      </c>
      <c r="AB19" s="409">
        <f>+S19+V19+Y19</f>
        <v>24752.682569533805</v>
      </c>
      <c r="AC19" s="382">
        <f>+T19+W19+Z19</f>
        <v>-50253.705189400003</v>
      </c>
      <c r="AD19" s="410">
        <f t="shared" si="8"/>
        <v>-75006.387758933808</v>
      </c>
      <c r="AE19" s="241">
        <f>+IFERROR(HLOOKUP($A$1,[16]손익계획!$G$5:$AX$449,24,),)</f>
        <v>19913.097035832059</v>
      </c>
      <c r="AF19" s="382">
        <f>+'[9]부산모래장(당월)'!$I$81-'[9]부산모래장(당월)'!$R$82</f>
        <v>-4968.8719312565445</v>
      </c>
      <c r="AG19" s="241">
        <f t="shared" si="9"/>
        <v>-24881.968967088604</v>
      </c>
      <c r="AH19" s="409">
        <f>+P19+AB19+AE19</f>
        <v>120286.3072945809</v>
      </c>
      <c r="AI19" s="382">
        <f>+Q19+AC19+AF19</f>
        <v>-139171.09146579995</v>
      </c>
      <c r="AJ19" s="410">
        <f t="shared" si="10"/>
        <v>-259457.39876038086</v>
      </c>
    </row>
    <row r="20" spans="4:39" ht="24" customHeight="1" x14ac:dyDescent="0.3">
      <c r="D20" s="76"/>
      <c r="E20" s="663"/>
      <c r="F20" s="239" t="s">
        <v>58</v>
      </c>
      <c r="G20" s="235">
        <f>G18+G19</f>
        <v>82506.978656737017</v>
      </c>
      <c r="H20" s="383">
        <f>H18+H19</f>
        <v>-83948.514345143398</v>
      </c>
      <c r="I20" s="238">
        <f t="shared" si="1"/>
        <v>-166455.49300188042</v>
      </c>
      <c r="J20" s="237">
        <f>J18+J19</f>
        <v>51935.579702849383</v>
      </c>
      <c r="K20" s="383">
        <f>K18+K19</f>
        <v>0</v>
      </c>
      <c r="L20" s="236">
        <f t="shared" si="2"/>
        <v>-51935.579702849383</v>
      </c>
      <c r="M20" s="237">
        <f>M18+M19</f>
        <v>39558.204558736485</v>
      </c>
      <c r="N20" s="383"/>
      <c r="O20" s="236">
        <f t="shared" si="3"/>
        <v>-39558.204558736485</v>
      </c>
      <c r="P20" s="411">
        <f>P18+P19</f>
        <v>174000.76291832287</v>
      </c>
      <c r="Q20" s="383">
        <f>Q18+Q19</f>
        <v>-83948.514345143398</v>
      </c>
      <c r="R20" s="412">
        <f t="shared" si="4"/>
        <v>-257949.27726346627</v>
      </c>
      <c r="S20" s="235">
        <f>S18+S19</f>
        <v>-16747.450107983266</v>
      </c>
      <c r="T20" s="383">
        <f>T18+T19</f>
        <v>-101798.67836907967</v>
      </c>
      <c r="U20" s="238">
        <f t="shared" si="5"/>
        <v>-85051.228261096403</v>
      </c>
      <c r="V20" s="237">
        <f>V18+V19</f>
        <v>115364.67462482495</v>
      </c>
      <c r="W20" s="383">
        <f>W18+W19</f>
        <v>-18145.015450920375</v>
      </c>
      <c r="X20" s="236">
        <f t="shared" si="6"/>
        <v>-133509.69007574534</v>
      </c>
      <c r="Y20" s="237"/>
      <c r="Z20" s="383">
        <f>Z18+Z19</f>
        <v>0</v>
      </c>
      <c r="AA20" s="236">
        <f t="shared" si="7"/>
        <v>0</v>
      </c>
      <c r="AB20" s="411">
        <f>AB18+AB19</f>
        <v>98617.224516841699</v>
      </c>
      <c r="AC20" s="383">
        <f>AC18+AC19</f>
        <v>-119943.69382000004</v>
      </c>
      <c r="AD20" s="412">
        <f t="shared" si="8"/>
        <v>-218560.91833684174</v>
      </c>
      <c r="AE20" s="236">
        <f>AE18+AE19</f>
        <v>60533.390826378076</v>
      </c>
      <c r="AF20" s="383">
        <f>AF18+AF19</f>
        <v>53934.357068743455</v>
      </c>
      <c r="AG20" s="236">
        <f t="shared" si="9"/>
        <v>-6599.033757634621</v>
      </c>
      <c r="AH20" s="411">
        <f>AH18+AH19</f>
        <v>333151.37826154265</v>
      </c>
      <c r="AI20" s="383">
        <f>AI18+AI19</f>
        <v>-149957.8510964</v>
      </c>
      <c r="AJ20" s="412">
        <f t="shared" si="10"/>
        <v>-483109.22935794265</v>
      </c>
      <c r="AL20" s="6">
        <f>+'사업장별(당월)'!T32*1000</f>
        <v>333151.37826154259</v>
      </c>
      <c r="AM20" s="6">
        <f>'사업장별(당월)'!U32*1000</f>
        <v>-149957.85109640006</v>
      </c>
    </row>
    <row r="21" spans="4:39" ht="24" customHeight="1" x14ac:dyDescent="0.3">
      <c r="D21" s="76"/>
      <c r="E21" s="234" t="s">
        <v>132</v>
      </c>
      <c r="F21" s="233" t="s">
        <v>25</v>
      </c>
      <c r="G21" s="229">
        <f>+IFERROR(HLOOKUP($A$1,[14]손익!$G$5:$AB$252,3,),)</f>
        <v>0</v>
      </c>
      <c r="H21" s="381">
        <f>+'[9]서부산크라샤(당월)'!$F$60</f>
        <v>0</v>
      </c>
      <c r="I21" s="232">
        <f t="shared" si="1"/>
        <v>0</v>
      </c>
      <c r="J21" s="231">
        <f>+IFERROR(HLOOKUP($A$1,[14]손익!$G$5:$AB$252,12,),)</f>
        <v>0</v>
      </c>
      <c r="K21" s="381">
        <f>+'[9]서부산크라샤(당월)'!$I$60</f>
        <v>0</v>
      </c>
      <c r="L21" s="230">
        <f t="shared" si="2"/>
        <v>0</v>
      </c>
      <c r="M21" s="231"/>
      <c r="N21" s="381"/>
      <c r="O21" s="230">
        <f t="shared" si="3"/>
        <v>0</v>
      </c>
      <c r="P21" s="407">
        <f t="shared" ref="P21:P26" si="11">+G21+J21+M21</f>
        <v>0</v>
      </c>
      <c r="Q21" s="381">
        <f t="shared" ref="Q21:Q26" si="12">+H21+K21+N21</f>
        <v>0</v>
      </c>
      <c r="R21" s="408">
        <f t="shared" si="4"/>
        <v>0</v>
      </c>
      <c r="S21" s="229">
        <f>+IFERROR(HLOOKUP($A$1,[15]손익!$G$5:$AB$252,3,),)</f>
        <v>13075.643242034368</v>
      </c>
      <c r="T21" s="381">
        <f>+'[9]부산크라샤(당월)'!$F$60</f>
        <v>7919</v>
      </c>
      <c r="U21" s="232">
        <f t="shared" si="5"/>
        <v>-5156.6432420343681</v>
      </c>
      <c r="V21" s="231">
        <f>+IFERROR(HLOOKUP($A$1,[15]손익!$G$5:$AB$252,12,),)</f>
        <v>9123.4138621428792</v>
      </c>
      <c r="W21" s="381">
        <f>+'[9]부산크라샤(당월)'!$I$60</f>
        <v>5620</v>
      </c>
      <c r="X21" s="230">
        <f t="shared" si="6"/>
        <v>-3503.4138621428792</v>
      </c>
      <c r="Y21" s="231"/>
      <c r="Z21" s="381">
        <f>+'[9]부산크라샤(당월)'!$L$60</f>
        <v>0</v>
      </c>
      <c r="AA21" s="230">
        <f t="shared" si="7"/>
        <v>0</v>
      </c>
      <c r="AB21" s="407">
        <f t="shared" ref="AB21:AB32" si="13">+S21+V21+Y21</f>
        <v>22199.057104177249</v>
      </c>
      <c r="AC21" s="381">
        <f t="shared" ref="AC21:AC32" si="14">+T21+W21+Z21</f>
        <v>13539</v>
      </c>
      <c r="AD21" s="408">
        <f t="shared" si="8"/>
        <v>-8660.0571041772491</v>
      </c>
      <c r="AE21" s="230">
        <f>+IFERROR(HLOOKUP($A$1,[16]이송계획!$G$193:$U$216,16,),)</f>
        <v>5163.50219030067</v>
      </c>
      <c r="AF21" s="381">
        <f>+'[9]부산모래장(당월)'!$R$64</f>
        <v>3944</v>
      </c>
      <c r="AG21" s="230">
        <f t="shared" si="9"/>
        <v>-1219.50219030067</v>
      </c>
      <c r="AH21" s="407">
        <f t="shared" ref="AH21:AI26" si="15">+P21+AB21+AE21</f>
        <v>27362.55929447792</v>
      </c>
      <c r="AI21" s="381">
        <f t="shared" si="15"/>
        <v>17483</v>
      </c>
      <c r="AJ21" s="408">
        <f t="shared" si="10"/>
        <v>-9879.55929447792</v>
      </c>
      <c r="AL21" s="594" t="b">
        <f>+AL20=AH20</f>
        <v>1</v>
      </c>
      <c r="AM21" s="594" t="b">
        <f>+AM20=AI20</f>
        <v>1</v>
      </c>
    </row>
    <row r="22" spans="4:39" ht="24" customHeight="1" x14ac:dyDescent="0.3">
      <c r="D22" s="76"/>
      <c r="E22" s="165" t="s">
        <v>0</v>
      </c>
      <c r="F22" s="220" t="s">
        <v>26</v>
      </c>
      <c r="G22" s="225">
        <f>+IFERROR(HLOOKUP($A$1,[14]손익!$G$5:$AB$252,4,),)</f>
        <v>14211.6</v>
      </c>
      <c r="H22" s="384">
        <f>+'[9]서부산크라샤(당월)'!$F$61</f>
        <v>0</v>
      </c>
      <c r="I22" s="228">
        <f t="shared" si="1"/>
        <v>-14211.6</v>
      </c>
      <c r="J22" s="227">
        <f>+IFERROR(HLOOKUP($A$1,[14]손익!$G$5:$AB$252,13,),)</f>
        <v>1218.5333333333333</v>
      </c>
      <c r="K22" s="384">
        <f>+'[9]서부산크라샤(당월)'!$I$61</f>
        <v>0</v>
      </c>
      <c r="L22" s="226">
        <f t="shared" si="2"/>
        <v>-1218.5333333333333</v>
      </c>
      <c r="M22" s="227"/>
      <c r="N22" s="384"/>
      <c r="O22" s="226">
        <f t="shared" si="3"/>
        <v>0</v>
      </c>
      <c r="P22" s="413">
        <f t="shared" si="11"/>
        <v>15430.133333333333</v>
      </c>
      <c r="Q22" s="384">
        <f t="shared" si="12"/>
        <v>0</v>
      </c>
      <c r="R22" s="414">
        <f t="shared" si="4"/>
        <v>-15430.133333333333</v>
      </c>
      <c r="S22" s="225">
        <f>+IFERROR(HLOOKUP($A$1,[15]손익!$G$5:$AB$252,4,),)</f>
        <v>0</v>
      </c>
      <c r="T22" s="384">
        <f>+'[9]부산크라샤(당월)'!$F$61</f>
        <v>6912</v>
      </c>
      <c r="U22" s="228">
        <f t="shared" si="5"/>
        <v>6912</v>
      </c>
      <c r="V22" s="227">
        <f>+IFERROR(HLOOKUP($A$1,[15]손익!$G$5:$AB$252,13,),)</f>
        <v>2366.6709677419362</v>
      </c>
      <c r="W22" s="384">
        <f>+'[9]부산크라샤(당월)'!$I$61</f>
        <v>4912</v>
      </c>
      <c r="X22" s="226">
        <f t="shared" si="6"/>
        <v>2545.3290322580638</v>
      </c>
      <c r="Y22" s="227"/>
      <c r="Z22" s="384">
        <f>+'[9]부산크라샤(당월)'!$L$61</f>
        <v>0</v>
      </c>
      <c r="AA22" s="226">
        <f t="shared" si="7"/>
        <v>0</v>
      </c>
      <c r="AB22" s="413">
        <f t="shared" si="13"/>
        <v>2366.6709677419362</v>
      </c>
      <c r="AC22" s="384">
        <f t="shared" si="14"/>
        <v>11824</v>
      </c>
      <c r="AD22" s="414">
        <f t="shared" si="8"/>
        <v>9457.3290322580633</v>
      </c>
      <c r="AE22" s="226">
        <f>+IFERROR(HLOOKUP($A$1,[16]이송계획!$G$193:$U$216,17,),)</f>
        <v>5364.3636363636369</v>
      </c>
      <c r="AF22" s="384">
        <f>+'[9]부산모래장(당월)'!$R$65</f>
        <v>2704</v>
      </c>
      <c r="AG22" s="226">
        <f t="shared" si="9"/>
        <v>-2660.3636363636369</v>
      </c>
      <c r="AH22" s="413">
        <f t="shared" si="15"/>
        <v>23161.167937438906</v>
      </c>
      <c r="AI22" s="384">
        <f t="shared" si="15"/>
        <v>14528</v>
      </c>
      <c r="AJ22" s="414">
        <f t="shared" si="10"/>
        <v>-8633.1679374389059</v>
      </c>
      <c r="AL22" s="98">
        <f>+AH20-AL20</f>
        <v>0</v>
      </c>
      <c r="AM22" s="98">
        <f>+AI20-AM20</f>
        <v>0</v>
      </c>
    </row>
    <row r="23" spans="4:39" ht="24" customHeight="1" x14ac:dyDescent="0.3">
      <c r="D23" s="76"/>
      <c r="E23" s="165"/>
      <c r="F23" s="220" t="s">
        <v>27</v>
      </c>
      <c r="G23" s="225">
        <f>+IFERROR(HLOOKUP($A$1,[14]손익!$G$5:$AB$252,5,),)</f>
        <v>1438.6666666666667</v>
      </c>
      <c r="H23" s="384">
        <f>+'[9]서부산크라샤(당월)'!$F$62</f>
        <v>0</v>
      </c>
      <c r="I23" s="228">
        <f t="shared" si="1"/>
        <v>-1438.6666666666667</v>
      </c>
      <c r="J23" s="227">
        <f>+IFERROR(HLOOKUP($A$1,[14]손익!$G$5:$AB$252,14,),)</f>
        <v>0</v>
      </c>
      <c r="K23" s="384">
        <f>+'[9]서부산크라샤(당월)'!$I$62</f>
        <v>0</v>
      </c>
      <c r="L23" s="226">
        <f t="shared" si="2"/>
        <v>0</v>
      </c>
      <c r="M23" s="227"/>
      <c r="N23" s="384"/>
      <c r="O23" s="226">
        <f t="shared" si="3"/>
        <v>0</v>
      </c>
      <c r="P23" s="413">
        <f t="shared" si="11"/>
        <v>1438.6666666666667</v>
      </c>
      <c r="Q23" s="384">
        <f t="shared" si="12"/>
        <v>0</v>
      </c>
      <c r="R23" s="414">
        <f t="shared" si="4"/>
        <v>-1438.6666666666667</v>
      </c>
      <c r="S23" s="225">
        <f>+IFERROR(HLOOKUP($A$1,[15]손익!$G$5:$AB$252,5,),)</f>
        <v>0</v>
      </c>
      <c r="T23" s="384">
        <f>+'[9]부산크라샤(당월)'!$F$62</f>
        <v>0</v>
      </c>
      <c r="U23" s="228">
        <f t="shared" si="5"/>
        <v>0</v>
      </c>
      <c r="V23" s="227">
        <f>+IFERROR(HLOOKUP($A$1,[15]손익!$G$5:$AB$252,14,),)</f>
        <v>0</v>
      </c>
      <c r="W23" s="384">
        <f>+'[9]부산크라샤(당월)'!$I$62</f>
        <v>0</v>
      </c>
      <c r="X23" s="226">
        <f t="shared" si="6"/>
        <v>0</v>
      </c>
      <c r="Y23" s="227"/>
      <c r="Z23" s="384">
        <f>+'[9]부산크라샤(당월)'!$L$62</f>
        <v>0</v>
      </c>
      <c r="AA23" s="226">
        <f t="shared" si="7"/>
        <v>0</v>
      </c>
      <c r="AB23" s="413">
        <f t="shared" si="13"/>
        <v>0</v>
      </c>
      <c r="AC23" s="384">
        <f t="shared" si="14"/>
        <v>0</v>
      </c>
      <c r="AD23" s="414">
        <f t="shared" si="8"/>
        <v>0</v>
      </c>
      <c r="AE23" s="226">
        <f>+IFERROR(HLOOKUP($A$1,[16]이송계획!$G$193:$U$216,18,),)</f>
        <v>3454.5454545454545</v>
      </c>
      <c r="AF23" s="384">
        <f>+'[9]부산모래장(당월)'!$V$64</f>
        <v>0</v>
      </c>
      <c r="AG23" s="226">
        <f t="shared" si="9"/>
        <v>-3454.5454545454545</v>
      </c>
      <c r="AH23" s="413">
        <f t="shared" si="15"/>
        <v>4893.212121212121</v>
      </c>
      <c r="AI23" s="384">
        <f t="shared" si="15"/>
        <v>0</v>
      </c>
      <c r="AJ23" s="414">
        <f t="shared" si="10"/>
        <v>-4893.212121212121</v>
      </c>
    </row>
    <row r="24" spans="4:39" ht="24" customHeight="1" x14ac:dyDescent="0.3">
      <c r="D24" s="76"/>
      <c r="E24" s="165"/>
      <c r="F24" s="220" t="s">
        <v>28</v>
      </c>
      <c r="G24" s="225">
        <f>+IFERROR(HLOOKUP($A$1,[14]손익!$G$5:$AB$252,6,),)</f>
        <v>0</v>
      </c>
      <c r="H24" s="384">
        <f>+'[9]서부산크라샤(당월)'!$F$63</f>
        <v>0</v>
      </c>
      <c r="I24" s="228">
        <f t="shared" si="1"/>
        <v>0</v>
      </c>
      <c r="J24" s="227">
        <f>+IFERROR(HLOOKUP($A$1,[14]손익!$G$5:$AB$252,15,),)</f>
        <v>0</v>
      </c>
      <c r="K24" s="384">
        <f>+'[9]서부산크라샤(당월)'!$I$63</f>
        <v>0</v>
      </c>
      <c r="L24" s="226">
        <f t="shared" si="2"/>
        <v>0</v>
      </c>
      <c r="M24" s="227"/>
      <c r="N24" s="384"/>
      <c r="O24" s="226">
        <f t="shared" si="3"/>
        <v>0</v>
      </c>
      <c r="P24" s="413">
        <f t="shared" si="11"/>
        <v>0</v>
      </c>
      <c r="Q24" s="384">
        <f t="shared" si="12"/>
        <v>0</v>
      </c>
      <c r="R24" s="414">
        <f t="shared" si="4"/>
        <v>0</v>
      </c>
      <c r="S24" s="225">
        <f>+IFERROR(HLOOKUP($A$1,[15]손익!$G$5:$AB$252,6,),)</f>
        <v>0</v>
      </c>
      <c r="T24" s="384">
        <f>+'[9]부산크라샤(당월)'!$F$63</f>
        <v>0</v>
      </c>
      <c r="U24" s="228">
        <f t="shared" si="5"/>
        <v>0</v>
      </c>
      <c r="V24" s="227">
        <f>+IFERROR(HLOOKUP($A$1,[15]손익!$G$5:$AB$252,15,),)</f>
        <v>0</v>
      </c>
      <c r="W24" s="384">
        <f>+'[9]부산크라샤(당월)'!$I$63</f>
        <v>400</v>
      </c>
      <c r="X24" s="226">
        <f t="shared" si="6"/>
        <v>400</v>
      </c>
      <c r="Y24" s="227"/>
      <c r="Z24" s="384">
        <f>+'[9]부산크라샤(당월)'!$L$63</f>
        <v>0</v>
      </c>
      <c r="AA24" s="226">
        <f t="shared" si="7"/>
        <v>0</v>
      </c>
      <c r="AB24" s="413">
        <f t="shared" si="13"/>
        <v>0</v>
      </c>
      <c r="AC24" s="384">
        <f t="shared" si="14"/>
        <v>400</v>
      </c>
      <c r="AD24" s="414">
        <f t="shared" si="8"/>
        <v>400</v>
      </c>
      <c r="AE24" s="226">
        <f>+IFERROR(HLOOKUP($A$1,[16]이송계획!$G$193:$U$216,19,),)</f>
        <v>4168.9510489510485</v>
      </c>
      <c r="AF24" s="384">
        <f>+'[9]부산모래장(당월)'!$V$65</f>
        <v>0</v>
      </c>
      <c r="AG24" s="226">
        <f t="shared" si="9"/>
        <v>-4168.9510489510485</v>
      </c>
      <c r="AH24" s="413">
        <f t="shared" si="15"/>
        <v>4168.9510489510485</v>
      </c>
      <c r="AI24" s="384">
        <f t="shared" si="15"/>
        <v>400</v>
      </c>
      <c r="AJ24" s="414">
        <f t="shared" si="10"/>
        <v>-3768.9510489510485</v>
      </c>
    </row>
    <row r="25" spans="4:39" ht="24" customHeight="1" x14ac:dyDescent="0.3">
      <c r="D25" s="76"/>
      <c r="E25" s="165"/>
      <c r="F25" s="220" t="s">
        <v>29</v>
      </c>
      <c r="G25" s="225">
        <f>+IFERROR(HLOOKUP($A$1,[14]손익!$G$5:$AB$252,7,),)</f>
        <v>0</v>
      </c>
      <c r="H25" s="384">
        <f>+'[9]서부산크라샤(당월)'!$F$64</f>
        <v>0</v>
      </c>
      <c r="I25" s="228">
        <f t="shared" si="1"/>
        <v>0</v>
      </c>
      <c r="J25" s="227">
        <f>+IFERROR(HLOOKUP($A$1,[14]손익!$G$5:$AB$252,16,),)</f>
        <v>687.03</v>
      </c>
      <c r="K25" s="384">
        <f>+'[9]서부산크라샤(당월)'!$I$64</f>
        <v>0</v>
      </c>
      <c r="L25" s="226">
        <f t="shared" si="2"/>
        <v>-687.03</v>
      </c>
      <c r="M25" s="227"/>
      <c r="N25" s="384"/>
      <c r="O25" s="226">
        <f t="shared" si="3"/>
        <v>0</v>
      </c>
      <c r="P25" s="413">
        <f t="shared" si="11"/>
        <v>687.03</v>
      </c>
      <c r="Q25" s="384">
        <f t="shared" si="12"/>
        <v>0</v>
      </c>
      <c r="R25" s="414">
        <f t="shared" si="4"/>
        <v>-687.03</v>
      </c>
      <c r="S25" s="225">
        <f>+IFERROR(HLOOKUP($A$1,[15]손익!$G$5:$AB$252,7,),)</f>
        <v>0</v>
      </c>
      <c r="T25" s="384">
        <f>+'[9]부산크라샤(당월)'!$F$64</f>
        <v>0</v>
      </c>
      <c r="U25" s="228">
        <f t="shared" si="5"/>
        <v>0</v>
      </c>
      <c r="V25" s="227">
        <f>+IFERROR(HLOOKUP($A$1,[15]손익!$G$5:$AB$252,16,),)</f>
        <v>0</v>
      </c>
      <c r="W25" s="384">
        <f>+'[9]부산크라샤(당월)'!$I$64</f>
        <v>0</v>
      </c>
      <c r="X25" s="226">
        <f t="shared" si="6"/>
        <v>0</v>
      </c>
      <c r="Y25" s="227"/>
      <c r="Z25" s="384">
        <f>+'[9]부산크라샤(당월)'!$L$64</f>
        <v>0</v>
      </c>
      <c r="AA25" s="226">
        <f t="shared" si="7"/>
        <v>0</v>
      </c>
      <c r="AB25" s="413">
        <f t="shared" si="13"/>
        <v>0</v>
      </c>
      <c r="AC25" s="384">
        <f t="shared" si="14"/>
        <v>0</v>
      </c>
      <c r="AD25" s="414">
        <f t="shared" si="8"/>
        <v>0</v>
      </c>
      <c r="AE25" s="226">
        <f>+IFERROR(HLOOKUP($A$1,[16]이송계획!$G$193:$U$216,20,),)</f>
        <v>1602.86013986014</v>
      </c>
      <c r="AF25" s="384">
        <f>+'[9]부산모래장(당월)'!$R$66</f>
        <v>1744</v>
      </c>
      <c r="AG25" s="226">
        <f t="shared" si="9"/>
        <v>141.13986013986005</v>
      </c>
      <c r="AH25" s="413">
        <f t="shared" si="15"/>
        <v>2289.8901398601402</v>
      </c>
      <c r="AI25" s="384">
        <f t="shared" si="15"/>
        <v>1744</v>
      </c>
      <c r="AJ25" s="414">
        <f t="shared" si="10"/>
        <v>-545.89013986014015</v>
      </c>
    </row>
    <row r="26" spans="4:39" ht="24" customHeight="1" x14ac:dyDescent="0.3">
      <c r="D26" s="76"/>
      <c r="E26" s="165"/>
      <c r="F26" s="220" t="s">
        <v>30</v>
      </c>
      <c r="G26" s="225">
        <f>+IFERROR(HLOOKUP($A$1,[14]손익!$G$5:$AB$252,8,),)</f>
        <v>948.6</v>
      </c>
      <c r="H26" s="384">
        <f>+'[9]서부산크라샤(당월)'!$F$65</f>
        <v>0</v>
      </c>
      <c r="I26" s="228">
        <f t="shared" si="1"/>
        <v>-948.6</v>
      </c>
      <c r="J26" s="227">
        <f>+IFERROR(HLOOKUP($A$1,[14]손익!$G$5:$AB$252,17,),)</f>
        <v>548.5333333333333</v>
      </c>
      <c r="K26" s="384">
        <f>+'[9]서부산크라샤(당월)'!$I$65</f>
        <v>0</v>
      </c>
      <c r="L26" s="226">
        <f t="shared" si="2"/>
        <v>-548.5333333333333</v>
      </c>
      <c r="M26" s="227"/>
      <c r="N26" s="384"/>
      <c r="O26" s="226">
        <f t="shared" si="3"/>
        <v>0</v>
      </c>
      <c r="P26" s="413">
        <f t="shared" si="11"/>
        <v>1497.1333333333332</v>
      </c>
      <c r="Q26" s="382">
        <f t="shared" si="12"/>
        <v>0</v>
      </c>
      <c r="R26" s="432">
        <f t="shared" si="4"/>
        <v>-1497.1333333333332</v>
      </c>
      <c r="S26" s="225">
        <f>+IFERROR(HLOOKUP($A$1,[15]손익!$G$5:$AB$252,8,),)</f>
        <v>0</v>
      </c>
      <c r="T26" s="384">
        <f>+'[9]부산크라샤(당월)'!$F$65</f>
        <v>0</v>
      </c>
      <c r="U26" s="228">
        <f t="shared" si="5"/>
        <v>0</v>
      </c>
      <c r="V26" s="227">
        <f>+IFERROR(HLOOKUP($A$1,[15]손익!$G$5:$AB$252,17,),)</f>
        <v>0</v>
      </c>
      <c r="W26" s="384">
        <f>+'[9]부산크라샤(당월)'!$I$65</f>
        <v>0</v>
      </c>
      <c r="X26" s="226">
        <f t="shared" si="6"/>
        <v>0</v>
      </c>
      <c r="Y26" s="227"/>
      <c r="Z26" s="384">
        <f>+'[9]부산크라샤(당월)'!$L$65</f>
        <v>0</v>
      </c>
      <c r="AA26" s="226">
        <f t="shared" si="7"/>
        <v>0</v>
      </c>
      <c r="AB26" s="413">
        <f t="shared" si="13"/>
        <v>0</v>
      </c>
      <c r="AC26" s="382">
        <f t="shared" si="14"/>
        <v>0</v>
      </c>
      <c r="AD26" s="432">
        <f t="shared" si="8"/>
        <v>0</v>
      </c>
      <c r="AE26" s="226">
        <f>+IFERROR(HLOOKUP($A$1,[16]이송계획!$G$193:$U$216,21,),)</f>
        <v>0</v>
      </c>
      <c r="AF26" s="384"/>
      <c r="AG26" s="226">
        <f t="shared" si="9"/>
        <v>0</v>
      </c>
      <c r="AH26" s="413">
        <f t="shared" si="15"/>
        <v>1497.1333333333332</v>
      </c>
      <c r="AI26" s="382">
        <f t="shared" si="15"/>
        <v>0</v>
      </c>
      <c r="AJ26" s="414">
        <f t="shared" si="10"/>
        <v>-1497.1333333333332</v>
      </c>
    </row>
    <row r="27" spans="4:39" ht="24" customHeight="1" x14ac:dyDescent="0.3">
      <c r="D27" s="76"/>
      <c r="E27" s="224" t="s">
        <v>132</v>
      </c>
      <c r="F27" s="223" t="s">
        <v>25</v>
      </c>
      <c r="G27" s="191">
        <f>+IFERROR(HLOOKUP($A$1,[14]손익!$G$5:$AB$252,31,),)</f>
        <v>0</v>
      </c>
      <c r="H27" s="385">
        <f t="shared" ref="H27:H32" si="16">IFERROR(H35/H21,)*1000</f>
        <v>0</v>
      </c>
      <c r="I27" s="192">
        <f t="shared" si="1"/>
        <v>0</v>
      </c>
      <c r="J27" s="222">
        <f>+IFERROR(HLOOKUP($A$1,[14]손익!$G$5:$AB$252,40,),)</f>
        <v>0</v>
      </c>
      <c r="K27" s="385">
        <f t="shared" ref="K27:K32" si="17">IFERROR(K35/K21,)*1000</f>
        <v>0</v>
      </c>
      <c r="L27" s="204">
        <f t="shared" si="2"/>
        <v>0</v>
      </c>
      <c r="M27" s="222"/>
      <c r="N27" s="385"/>
      <c r="O27" s="204">
        <f t="shared" si="3"/>
        <v>0</v>
      </c>
      <c r="P27" s="427">
        <f>+IFERROR(HLOOKUP($A$1,[14]손익!$G$5:$AB$252,48,),)</f>
        <v>9000</v>
      </c>
      <c r="Q27" s="423">
        <f t="shared" ref="Q27:Q32" si="18">IFERROR(Q35/Q21,)*1000</f>
        <v>0</v>
      </c>
      <c r="R27" s="433">
        <f t="shared" si="4"/>
        <v>-9000</v>
      </c>
      <c r="S27" s="191">
        <f>+IFERROR(HLOOKUP($A$1,[15]손익!$G$5:$AB$252,30,),)</f>
        <v>16000</v>
      </c>
      <c r="T27" s="385">
        <f t="shared" ref="T27:T32" si="19">IFERROR(T35/T21,)*1000</f>
        <v>17500</v>
      </c>
      <c r="U27" s="192">
        <f t="shared" si="5"/>
        <v>1500</v>
      </c>
      <c r="V27" s="222">
        <f>+IFERROR(HLOOKUP($A$1,[15]손익!$G$5:$AB$252,39,),)</f>
        <v>23000</v>
      </c>
      <c r="W27" s="385">
        <f t="shared" ref="W27:W32" si="20">IFERROR(W35/W21,)*1000</f>
        <v>23500</v>
      </c>
      <c r="X27" s="204">
        <f t="shared" si="6"/>
        <v>500</v>
      </c>
      <c r="Y27" s="222"/>
      <c r="Z27" s="385">
        <f t="shared" ref="Z27" si="21">IFERROR(Z35/Z21,)*1000</f>
        <v>0</v>
      </c>
      <c r="AA27" s="204">
        <f t="shared" si="7"/>
        <v>0</v>
      </c>
      <c r="AB27" s="427">
        <f t="shared" si="13"/>
        <v>39000</v>
      </c>
      <c r="AC27" s="423">
        <f t="shared" si="14"/>
        <v>41000</v>
      </c>
      <c r="AD27" s="433">
        <f t="shared" si="8"/>
        <v>2000</v>
      </c>
      <c r="AE27" s="204">
        <f t="shared" ref="AE27:AF32" si="22">IFERROR(AE35/AE21,)*1000</f>
        <v>30500</v>
      </c>
      <c r="AF27" s="385">
        <f t="shared" si="22"/>
        <v>32912.77890466532</v>
      </c>
      <c r="AG27" s="204">
        <f t="shared" si="9"/>
        <v>2412.7789046653197</v>
      </c>
      <c r="AH27" s="415">
        <f t="shared" ref="AH27:AH32" si="23">+AH35/AH21*1000</f>
        <v>21070.237666779878</v>
      </c>
      <c r="AI27" s="385">
        <f t="shared" ref="AI27:AI32" si="24">IFERROR(AI35/AI21,)*1000</f>
        <v>22905.70840244809</v>
      </c>
      <c r="AJ27" s="416">
        <f t="shared" si="10"/>
        <v>1835.470735668212</v>
      </c>
    </row>
    <row r="28" spans="4:39" ht="24" customHeight="1" x14ac:dyDescent="0.3">
      <c r="D28" s="76"/>
      <c r="E28" s="165" t="s">
        <v>131</v>
      </c>
      <c r="F28" s="220" t="s">
        <v>26</v>
      </c>
      <c r="G28" s="189">
        <f>+IFERROR(HLOOKUP($A$1,[14]손익!$G$5:$AB$252,32,),)</f>
        <v>16000</v>
      </c>
      <c r="H28" s="95">
        <f t="shared" si="16"/>
        <v>0</v>
      </c>
      <c r="I28" s="190">
        <f t="shared" si="1"/>
        <v>-16000</v>
      </c>
      <c r="J28" s="219">
        <f>+IFERROR(HLOOKUP($A$1,[14]손익!$G$5:$AB$252,41,),)</f>
        <v>22000</v>
      </c>
      <c r="K28" s="95">
        <f t="shared" si="17"/>
        <v>0</v>
      </c>
      <c r="L28" s="195">
        <f t="shared" si="2"/>
        <v>-22000</v>
      </c>
      <c r="M28" s="219"/>
      <c r="N28" s="95"/>
      <c r="O28" s="195">
        <f t="shared" si="3"/>
        <v>0</v>
      </c>
      <c r="P28" s="428">
        <f>+IFERROR(HLOOKUP($A$1,[14]손익!$G$5:$AB$252,49,),)</f>
        <v>10555.727554179568</v>
      </c>
      <c r="Q28" s="424">
        <f t="shared" si="18"/>
        <v>0</v>
      </c>
      <c r="R28" s="434">
        <f t="shared" si="4"/>
        <v>-10555.727554179568</v>
      </c>
      <c r="S28" s="189">
        <f>+IFERROR(HLOOKUP($A$1,[15]손익!$G$5:$AB$252,31,),)</f>
        <v>0</v>
      </c>
      <c r="T28" s="95">
        <f t="shared" si="19"/>
        <v>12000</v>
      </c>
      <c r="U28" s="190">
        <f t="shared" si="5"/>
        <v>12000</v>
      </c>
      <c r="V28" s="219">
        <f>+IFERROR(HLOOKUP($A$1,[15]손익!$G$5:$AB$252,40,),)</f>
        <v>19000</v>
      </c>
      <c r="W28" s="95">
        <f t="shared" si="20"/>
        <v>18000</v>
      </c>
      <c r="X28" s="195">
        <f t="shared" si="6"/>
        <v>-1000</v>
      </c>
      <c r="Y28" s="219"/>
      <c r="Z28" s="95">
        <f t="shared" ref="Z28" si="25">IFERROR(Z36/Z22,)*1000</f>
        <v>0</v>
      </c>
      <c r="AA28" s="195">
        <f t="shared" si="7"/>
        <v>0</v>
      </c>
      <c r="AB28" s="428">
        <f t="shared" si="13"/>
        <v>19000</v>
      </c>
      <c r="AC28" s="424">
        <f t="shared" si="14"/>
        <v>30000</v>
      </c>
      <c r="AD28" s="434">
        <f t="shared" si="8"/>
        <v>11000</v>
      </c>
      <c r="AE28" s="195">
        <f t="shared" si="22"/>
        <v>28000.000000000004</v>
      </c>
      <c r="AF28" s="95">
        <f t="shared" si="22"/>
        <v>27500</v>
      </c>
      <c r="AG28" s="195">
        <f t="shared" si="9"/>
        <v>-500.00000000000364</v>
      </c>
      <c r="AH28" s="417">
        <f t="shared" si="23"/>
        <v>19401.537295200022</v>
      </c>
      <c r="AI28" s="95">
        <f t="shared" si="24"/>
        <v>16913.546255506608</v>
      </c>
      <c r="AJ28" s="418">
        <f t="shared" si="10"/>
        <v>-2487.9910396934138</v>
      </c>
    </row>
    <row r="29" spans="4:39" ht="24" customHeight="1" x14ac:dyDescent="0.3">
      <c r="D29" s="76"/>
      <c r="E29" s="165"/>
      <c r="F29" s="220" t="s">
        <v>27</v>
      </c>
      <c r="G29" s="189">
        <f>+IFERROR(HLOOKUP($A$1,[14]손익!$G$5:$AB$252,33,),)</f>
        <v>10000</v>
      </c>
      <c r="H29" s="95">
        <f t="shared" si="16"/>
        <v>0</v>
      </c>
      <c r="I29" s="190">
        <f t="shared" si="1"/>
        <v>-10000</v>
      </c>
      <c r="J29" s="219">
        <f>+IFERROR(HLOOKUP($A$1,[14]손익!$G$5:$AB$252,42,),)</f>
        <v>0</v>
      </c>
      <c r="K29" s="95">
        <f t="shared" si="17"/>
        <v>0</v>
      </c>
      <c r="L29" s="195">
        <f t="shared" si="2"/>
        <v>0</v>
      </c>
      <c r="M29" s="219"/>
      <c r="N29" s="95"/>
      <c r="O29" s="195">
        <f t="shared" si="3"/>
        <v>0</v>
      </c>
      <c r="P29" s="429">
        <f>+IFERROR(HLOOKUP($A$1,[14]손익!$G$5:$AB$252,50,),)</f>
        <v>0</v>
      </c>
      <c r="Q29" s="425">
        <f t="shared" si="18"/>
        <v>0</v>
      </c>
      <c r="R29" s="434">
        <f t="shared" si="4"/>
        <v>0</v>
      </c>
      <c r="S29" s="189">
        <f>+IFERROR(HLOOKUP($A$1,[15]손익!$G$5:$AB$252,32,),)</f>
        <v>0</v>
      </c>
      <c r="T29" s="95">
        <f t="shared" si="19"/>
        <v>0</v>
      </c>
      <c r="U29" s="190">
        <f t="shared" si="5"/>
        <v>0</v>
      </c>
      <c r="V29" s="219">
        <f>+IFERROR(HLOOKUP($A$1,[15]손익!$G$5:$AB$252,41,),)</f>
        <v>0</v>
      </c>
      <c r="W29" s="95">
        <f t="shared" si="20"/>
        <v>0</v>
      </c>
      <c r="X29" s="195">
        <f t="shared" si="6"/>
        <v>0</v>
      </c>
      <c r="Y29" s="219"/>
      <c r="Z29" s="95">
        <f t="shared" ref="Z29" si="26">IFERROR(Z37/Z23,)*1000</f>
        <v>0</v>
      </c>
      <c r="AA29" s="195">
        <f t="shared" si="7"/>
        <v>0</v>
      </c>
      <c r="AB29" s="429">
        <f t="shared" si="13"/>
        <v>0</v>
      </c>
      <c r="AC29" s="425">
        <f t="shared" si="14"/>
        <v>0</v>
      </c>
      <c r="AD29" s="434">
        <f t="shared" si="8"/>
        <v>0</v>
      </c>
      <c r="AE29" s="195">
        <f t="shared" si="22"/>
        <v>27500</v>
      </c>
      <c r="AF29" s="95">
        <f t="shared" si="22"/>
        <v>0</v>
      </c>
      <c r="AG29" s="195">
        <f t="shared" si="9"/>
        <v>-27500</v>
      </c>
      <c r="AH29" s="417">
        <f t="shared" si="23"/>
        <v>22354.777180509798</v>
      </c>
      <c r="AI29" s="95">
        <f t="shared" si="24"/>
        <v>0</v>
      </c>
      <c r="AJ29" s="418">
        <f t="shared" si="10"/>
        <v>-22354.777180509798</v>
      </c>
    </row>
    <row r="30" spans="4:39" ht="24" customHeight="1" x14ac:dyDescent="0.3">
      <c r="D30" s="76"/>
      <c r="E30" s="165"/>
      <c r="F30" s="220" t="s">
        <v>28</v>
      </c>
      <c r="G30" s="189">
        <f>+IFERROR(HLOOKUP($A$1,[14]손익!$G$5:$AB$252,34,),)</f>
        <v>0</v>
      </c>
      <c r="H30" s="95">
        <f t="shared" si="16"/>
        <v>0</v>
      </c>
      <c r="I30" s="190">
        <f t="shared" si="1"/>
        <v>0</v>
      </c>
      <c r="J30" s="219">
        <f>+IFERROR(HLOOKUP($A$1,[14]손익!$G$5:$AB$252,43,),)</f>
        <v>0</v>
      </c>
      <c r="K30" s="95">
        <f t="shared" si="17"/>
        <v>0</v>
      </c>
      <c r="L30" s="195">
        <f t="shared" si="2"/>
        <v>0</v>
      </c>
      <c r="M30" s="219"/>
      <c r="N30" s="95"/>
      <c r="O30" s="195">
        <f t="shared" si="3"/>
        <v>0</v>
      </c>
      <c r="P30" s="429">
        <f>+IFERROR(HLOOKUP($A$1,[14]손익!$G$5:$AB$252,51,),)</f>
        <v>16473.826106492925</v>
      </c>
      <c r="Q30" s="55">
        <f t="shared" si="18"/>
        <v>0</v>
      </c>
      <c r="R30" s="435">
        <f t="shared" si="4"/>
        <v>-16473.826106492925</v>
      </c>
      <c r="S30" s="189">
        <f>+IFERROR(HLOOKUP($A$1,[15]손익!$G$5:$AB$252,33,),)</f>
        <v>0</v>
      </c>
      <c r="T30" s="95">
        <f t="shared" si="19"/>
        <v>0</v>
      </c>
      <c r="U30" s="190">
        <f t="shared" si="5"/>
        <v>0</v>
      </c>
      <c r="V30" s="219">
        <f>+IFERROR(HLOOKUP($A$1,[15]손익!$G$5:$AB$252,42,),)</f>
        <v>0</v>
      </c>
      <c r="W30" s="95">
        <f t="shared" si="20"/>
        <v>18000</v>
      </c>
      <c r="X30" s="195">
        <f t="shared" si="6"/>
        <v>18000</v>
      </c>
      <c r="Y30" s="219"/>
      <c r="Z30" s="95">
        <f t="shared" ref="Z30" si="27">IFERROR(Z38/Z24,)*1000</f>
        <v>0</v>
      </c>
      <c r="AA30" s="195">
        <f t="shared" si="7"/>
        <v>0</v>
      </c>
      <c r="AB30" s="429">
        <f t="shared" si="13"/>
        <v>0</v>
      </c>
      <c r="AC30" s="55">
        <f t="shared" si="14"/>
        <v>18000</v>
      </c>
      <c r="AD30" s="435">
        <f t="shared" si="8"/>
        <v>18000</v>
      </c>
      <c r="AE30" s="195">
        <f t="shared" si="22"/>
        <v>27500.000000000004</v>
      </c>
      <c r="AF30" s="95">
        <f t="shared" si="22"/>
        <v>0</v>
      </c>
      <c r="AG30" s="195">
        <f t="shared" si="9"/>
        <v>-27500.000000000004</v>
      </c>
      <c r="AH30" s="417">
        <f t="shared" si="23"/>
        <v>27500.000000000004</v>
      </c>
      <c r="AI30" s="95">
        <f t="shared" si="24"/>
        <v>320500</v>
      </c>
      <c r="AJ30" s="418">
        <f t="shared" si="10"/>
        <v>293000</v>
      </c>
    </row>
    <row r="31" spans="4:39" ht="24" customHeight="1" x14ac:dyDescent="0.3">
      <c r="D31" s="76"/>
      <c r="E31" s="165"/>
      <c r="F31" s="220" t="s">
        <v>29</v>
      </c>
      <c r="G31" s="189">
        <f>+IFERROR(HLOOKUP($A$1,[14]손익!$G$5:$AB$252,35,),)</f>
        <v>0</v>
      </c>
      <c r="H31" s="95">
        <f t="shared" si="16"/>
        <v>0</v>
      </c>
      <c r="I31" s="190">
        <f t="shared" si="1"/>
        <v>0</v>
      </c>
      <c r="J31" s="219">
        <f>+IFERROR(HLOOKUP($A$1,[14]손익!$G$5:$AB$252,44,),)</f>
        <v>15000</v>
      </c>
      <c r="K31" s="95">
        <f t="shared" si="17"/>
        <v>0</v>
      </c>
      <c r="L31" s="195">
        <f t="shared" si="2"/>
        <v>-15000</v>
      </c>
      <c r="M31" s="219"/>
      <c r="N31" s="95"/>
      <c r="O31" s="195">
        <f t="shared" si="3"/>
        <v>0</v>
      </c>
      <c r="P31" s="429">
        <f>+IFERROR(HLOOKUP($A$1,[14]손익!$G$5:$AB$252,52,),)</f>
        <v>10000</v>
      </c>
      <c r="Q31" s="55">
        <f t="shared" si="18"/>
        <v>0</v>
      </c>
      <c r="R31" s="435">
        <f t="shared" si="4"/>
        <v>-10000</v>
      </c>
      <c r="S31" s="189">
        <f>+IFERROR(HLOOKUP($A$1,[15]손익!$G$5:$AB$252,34,),)</f>
        <v>0</v>
      </c>
      <c r="T31" s="95">
        <f t="shared" si="19"/>
        <v>0</v>
      </c>
      <c r="U31" s="190">
        <f t="shared" si="5"/>
        <v>0</v>
      </c>
      <c r="V31" s="219">
        <f>+IFERROR(HLOOKUP($A$1,[15]손익!$G$5:$AB$252,43,),)</f>
        <v>0</v>
      </c>
      <c r="W31" s="95">
        <f t="shared" si="20"/>
        <v>0</v>
      </c>
      <c r="X31" s="195">
        <f t="shared" si="6"/>
        <v>0</v>
      </c>
      <c r="Y31" s="219"/>
      <c r="Z31" s="95">
        <f t="shared" ref="Z31" si="28">IFERROR(Z39/Z25,)*1000</f>
        <v>0</v>
      </c>
      <c r="AA31" s="195">
        <f t="shared" si="7"/>
        <v>0</v>
      </c>
      <c r="AB31" s="429">
        <f t="shared" si="13"/>
        <v>0</v>
      </c>
      <c r="AC31" s="55">
        <f t="shared" si="14"/>
        <v>0</v>
      </c>
      <c r="AD31" s="435">
        <f t="shared" si="8"/>
        <v>0</v>
      </c>
      <c r="AE31" s="195">
        <f t="shared" si="22"/>
        <v>27500</v>
      </c>
      <c r="AF31" s="95">
        <f t="shared" si="22"/>
        <v>0</v>
      </c>
      <c r="AG31" s="195">
        <f t="shared" si="9"/>
        <v>-27500</v>
      </c>
      <c r="AH31" s="417">
        <f t="shared" si="23"/>
        <v>23749.656326078366</v>
      </c>
      <c r="AI31" s="95">
        <f t="shared" si="24"/>
        <v>0</v>
      </c>
      <c r="AJ31" s="418">
        <f t="shared" si="10"/>
        <v>-23749.656326078366</v>
      </c>
    </row>
    <row r="32" spans="4:39" ht="24" customHeight="1" thickBot="1" x14ac:dyDescent="0.35">
      <c r="D32" s="76"/>
      <c r="E32" s="217"/>
      <c r="F32" s="216" t="s">
        <v>30</v>
      </c>
      <c r="G32" s="212">
        <f>+IFERROR(HLOOKUP($A$1,[14]손익!$G$5:$AB$252,36,),)</f>
        <v>10000</v>
      </c>
      <c r="H32" s="386">
        <f t="shared" si="16"/>
        <v>0</v>
      </c>
      <c r="I32" s="215">
        <f t="shared" si="1"/>
        <v>-10000</v>
      </c>
      <c r="J32" s="214">
        <f>+IFERROR(HLOOKUP($A$1,[14]손익!$G$5:$AB$252,45,),)</f>
        <v>15000</v>
      </c>
      <c r="K32" s="386">
        <f t="shared" si="17"/>
        <v>0</v>
      </c>
      <c r="L32" s="213">
        <f t="shared" si="2"/>
        <v>-15000</v>
      </c>
      <c r="M32" s="214"/>
      <c r="N32" s="386"/>
      <c r="O32" s="213">
        <f t="shared" si="3"/>
        <v>0</v>
      </c>
      <c r="P32" s="430">
        <f>+IFERROR(HLOOKUP($A$1,[14]손익!$G$5:$AB$252,53,),)</f>
        <v>0</v>
      </c>
      <c r="Q32" s="426">
        <f t="shared" si="18"/>
        <v>0</v>
      </c>
      <c r="R32" s="436">
        <f t="shared" si="4"/>
        <v>0</v>
      </c>
      <c r="S32" s="212">
        <f>+IFERROR(HLOOKUP($A$1,[15]손익!$G$5:$AB$252,35,),)</f>
        <v>0</v>
      </c>
      <c r="T32" s="386">
        <f t="shared" si="19"/>
        <v>0</v>
      </c>
      <c r="U32" s="215">
        <f t="shared" si="5"/>
        <v>0</v>
      </c>
      <c r="V32" s="214">
        <f>+IFERROR(HLOOKUP($A$1,[15]손익!$G$5:$AB$252,44,),)</f>
        <v>0</v>
      </c>
      <c r="W32" s="386">
        <f t="shared" si="20"/>
        <v>0</v>
      </c>
      <c r="X32" s="213">
        <f t="shared" si="6"/>
        <v>0</v>
      </c>
      <c r="Y32" s="214"/>
      <c r="Z32" s="386">
        <f t="shared" ref="Z32" si="29">IFERROR(Z40/Z26,)*1000</f>
        <v>0</v>
      </c>
      <c r="AA32" s="213">
        <f t="shared" si="7"/>
        <v>0</v>
      </c>
      <c r="AB32" s="430">
        <f t="shared" si="13"/>
        <v>0</v>
      </c>
      <c r="AC32" s="426">
        <f t="shared" si="14"/>
        <v>0</v>
      </c>
      <c r="AD32" s="436">
        <f t="shared" si="8"/>
        <v>0</v>
      </c>
      <c r="AE32" s="213">
        <f t="shared" si="22"/>
        <v>0</v>
      </c>
      <c r="AF32" s="386">
        <f t="shared" si="22"/>
        <v>0</v>
      </c>
      <c r="AG32" s="213">
        <f t="shared" si="9"/>
        <v>0</v>
      </c>
      <c r="AH32" s="419">
        <f t="shared" si="23"/>
        <v>11831.945495836488</v>
      </c>
      <c r="AI32" s="420">
        <f t="shared" si="24"/>
        <v>0</v>
      </c>
      <c r="AJ32" s="421">
        <f t="shared" si="10"/>
        <v>-11831.945495836488</v>
      </c>
    </row>
    <row r="33" spans="5:36" ht="21.95" customHeight="1" thickTop="1" x14ac:dyDescent="0.3">
      <c r="E33" s="6" t="s">
        <v>130</v>
      </c>
      <c r="G33" s="210"/>
      <c r="H33" s="210"/>
      <c r="I33" s="210"/>
      <c r="J33" s="76"/>
      <c r="M33" s="76"/>
      <c r="S33" s="210"/>
      <c r="T33" s="210"/>
      <c r="U33" s="210"/>
      <c r="V33" s="76"/>
      <c r="AE33" s="76"/>
      <c r="AH33" s="76"/>
    </row>
    <row r="34" spans="5:36" ht="21.95" customHeight="1" x14ac:dyDescent="0.3">
      <c r="J34" s="76"/>
      <c r="M34" s="76"/>
      <c r="V34" s="76"/>
      <c r="AE34" s="76"/>
      <c r="AF34" s="6" t="s">
        <v>164</v>
      </c>
      <c r="AH34" s="76"/>
    </row>
    <row r="35" spans="5:36" ht="21.95" customHeight="1" x14ac:dyDescent="0.3">
      <c r="E35" s="26" t="s">
        <v>132</v>
      </c>
      <c r="F35" s="431" t="s">
        <v>25</v>
      </c>
      <c r="G35" s="6">
        <f>+IFERROR(HLOOKUP($A$1,[14]손익!$G$5:$AB$252,59,),)</f>
        <v>0</v>
      </c>
      <c r="H35" s="6">
        <f>+IFERROR(VLOOKUP($F35,'[17]서부산(손익)'!$L$16:$R$29,4,),)/1000</f>
        <v>0</v>
      </c>
      <c r="I35" s="6">
        <f t="shared" ref="I35:I41" si="30">+H35-G35</f>
        <v>0</v>
      </c>
      <c r="J35" s="76">
        <f>+IFERROR(HLOOKUP($A$1,[14]손익!$G$5:$AB$252,68,),)</f>
        <v>0</v>
      </c>
      <c r="K35" s="6">
        <f>+IFERROR(VLOOKUP($F35,'[17]서부산(손익)'!$L$16:$R$29,3,),)/1000</f>
        <v>0</v>
      </c>
      <c r="L35" s="6">
        <f>+K35-J35</f>
        <v>0</v>
      </c>
      <c r="M35" s="76"/>
      <c r="O35" s="6">
        <f>+N35-M35</f>
        <v>0</v>
      </c>
      <c r="P35" s="6">
        <f>SUM(G35,J35,M35)</f>
        <v>0</v>
      </c>
      <c r="Q35" s="6">
        <f>SUM(H35,K35,N35)</f>
        <v>0</v>
      </c>
      <c r="R35" s="6">
        <f t="shared" ref="R35:R41" si="31">+Q35-P35</f>
        <v>0</v>
      </c>
      <c r="S35" s="6">
        <f>+IFERROR(HLOOKUP($A$1,[15]손익!$G$5:$AB$252,57,),)</f>
        <v>209210.29187254989</v>
      </c>
      <c r="T35" s="6">
        <f>+IFERROR(VLOOKUP($F35,'[17]부산크라샤(손익)'!$L$16:$R$29,3,),)/1000</f>
        <v>138582.5</v>
      </c>
      <c r="U35" s="6">
        <f t="shared" ref="U35:U41" si="32">+T35-S35</f>
        <v>-70627.791872549889</v>
      </c>
      <c r="V35" s="76">
        <f>+IFERROR(HLOOKUP($A$1,[15]손익!$G$5:$AB$252,66,),)</f>
        <v>209838.51882928621</v>
      </c>
      <c r="W35" s="6">
        <f>+IFERROR(VLOOKUP($F35,'[17]부산크라샤(손익)'!$L$16:$R$29,4,),)/1000</f>
        <v>132070</v>
      </c>
      <c r="X35" s="6">
        <f>+W35-V35</f>
        <v>-77768.518829286215</v>
      </c>
      <c r="AA35" s="6">
        <f>+Z35-Y35</f>
        <v>0</v>
      </c>
      <c r="AB35" s="6">
        <f>SUM(S35,V35)</f>
        <v>419048.81070183613</v>
      </c>
      <c r="AC35" s="6">
        <f t="shared" ref="AC35:AC41" si="33">SUM(T35,W35)</f>
        <v>270652.5</v>
      </c>
      <c r="AD35" s="6">
        <f t="shared" ref="AD35:AD41" si="34">+AC35-AB35</f>
        <v>-148396.31070183613</v>
      </c>
      <c r="AE35" s="437">
        <f>+IFERROR(HLOOKUP($A$1,[16]이송계획!$G$70:$W$100,16,),)+IFERROR(HLOOKUP($A$1,[16]이송계획!$G$70:$W$100,23,),)</f>
        <v>157486.81680417043</v>
      </c>
      <c r="AF35" s="6">
        <f>+'[9]부산모래장(당월)'!R76</f>
        <v>129808</v>
      </c>
      <c r="AH35" s="76">
        <f t="shared" ref="AH35:AI41" si="35">+P35+AB35+AE35</f>
        <v>576535.62750600651</v>
      </c>
      <c r="AI35" s="76">
        <f t="shared" si="35"/>
        <v>400460.5</v>
      </c>
      <c r="AJ35" s="6">
        <f t="shared" ref="AJ35:AJ41" si="36">+AI35-AH35</f>
        <v>-176075.12750600651</v>
      </c>
    </row>
    <row r="36" spans="5:36" ht="21.95" customHeight="1" x14ac:dyDescent="0.3">
      <c r="E36" s="26" t="s">
        <v>77</v>
      </c>
      <c r="F36" s="431" t="s">
        <v>26</v>
      </c>
      <c r="G36" s="6">
        <f>+IFERROR(HLOOKUP($A$1,[14]손익!$G$5:$AB$252,60,),)</f>
        <v>227385.60000000001</v>
      </c>
      <c r="H36" s="6">
        <f>+IFERROR(VLOOKUP($F36,'[17]서부산(손익)'!$L$16:$R$29,4,),)/1000</f>
        <v>0</v>
      </c>
      <c r="I36" s="6">
        <f t="shared" si="30"/>
        <v>-227385.60000000001</v>
      </c>
      <c r="J36" s="76">
        <f>+IFERROR(HLOOKUP($A$1,[14]손익!$G$5:$AB$252,69,),)</f>
        <v>26807.733333333334</v>
      </c>
      <c r="K36" s="6">
        <f>+IFERROR(VLOOKUP($F36,'[17]서부산(손익)'!$L$16:$R$29,3,),)/1000</f>
        <v>0</v>
      </c>
      <c r="L36" s="6">
        <f t="shared" ref="L36:L41" si="37">+K36-J36</f>
        <v>-26807.733333333334</v>
      </c>
      <c r="M36" s="76"/>
      <c r="O36" s="6">
        <f t="shared" ref="O36:O41" si="38">+N36-M36</f>
        <v>0</v>
      </c>
      <c r="P36" s="6">
        <f t="shared" ref="P36:P41" si="39">SUM(G36,J36,M36)</f>
        <v>254193.33333333334</v>
      </c>
      <c r="Q36" s="6">
        <f t="shared" ref="Q36:Q41" si="40">SUM(H36,K36,N36)</f>
        <v>0</v>
      </c>
      <c r="R36" s="6">
        <f t="shared" si="31"/>
        <v>-254193.33333333334</v>
      </c>
      <c r="S36" s="6">
        <f>+IFERROR(HLOOKUP($A$1,[15]손익!$G$5:$AB$252,58,),)</f>
        <v>0</v>
      </c>
      <c r="T36" s="6">
        <f>+IFERROR(VLOOKUP($F36,'[17]부산크라샤(손익)'!$L$16:$R$29,3,),)/1000</f>
        <v>82944</v>
      </c>
      <c r="U36" s="6">
        <f t="shared" si="32"/>
        <v>82944</v>
      </c>
      <c r="V36" s="76">
        <f>+IFERROR(HLOOKUP($A$1,[15]손익!$G$5:$AB$252,67,),)</f>
        <v>44966.748387096784</v>
      </c>
      <c r="W36" s="6">
        <f>+IFERROR(VLOOKUP($F36,'[17]부산크라샤(손익)'!$L$16:$R$29,4,),)/1000</f>
        <v>88416</v>
      </c>
      <c r="X36" s="6">
        <f t="shared" ref="X36:X41" si="41">+W36-V36</f>
        <v>43449.251612903216</v>
      </c>
      <c r="AA36" s="6">
        <f t="shared" ref="AA36:AA41" si="42">+Z36-Y36</f>
        <v>0</v>
      </c>
      <c r="AB36" s="6">
        <f t="shared" ref="AB36:AB41" si="43">SUM(S36,V36)</f>
        <v>44966.748387096784</v>
      </c>
      <c r="AC36" s="6">
        <f t="shared" si="33"/>
        <v>171360</v>
      </c>
      <c r="AD36" s="6">
        <f>+AC36-AB36</f>
        <v>126393.25161290322</v>
      </c>
      <c r="AE36" s="437">
        <f>+IFERROR(HLOOKUP($A$1,[16]이송계획!$G$70:$W$100,17,),)+IFERROR(HLOOKUP($A$1,[16]이송계획!$G$70:$W$100,24,),)</f>
        <v>150202.18181818185</v>
      </c>
      <c r="AF36" s="6">
        <f>+'[9]부산모래장(당월)'!R77</f>
        <v>74360</v>
      </c>
      <c r="AH36" s="6">
        <f t="shared" si="35"/>
        <v>449362.26353861194</v>
      </c>
      <c r="AI36" s="6">
        <f t="shared" si="35"/>
        <v>245720</v>
      </c>
      <c r="AJ36" s="6">
        <f t="shared" si="36"/>
        <v>-203642.26353861194</v>
      </c>
    </row>
    <row r="37" spans="5:36" ht="21.95" customHeight="1" x14ac:dyDescent="0.3">
      <c r="F37" s="431" t="s">
        <v>27</v>
      </c>
      <c r="G37" s="6">
        <f>+IFERROR(HLOOKUP($A$1,[14]손익!$G$5:$AB$252,61,),)</f>
        <v>14386.666666666668</v>
      </c>
      <c r="H37" s="6">
        <f>+IFERROR(VLOOKUP($F37,'[17]서부산(손익)'!$L$16:$R$29,4,),)/1000</f>
        <v>0</v>
      </c>
      <c r="I37" s="6">
        <f t="shared" si="30"/>
        <v>-14386.666666666668</v>
      </c>
      <c r="J37" s="76">
        <f>+IFERROR(HLOOKUP($A$1,[14]손익!$G$5:$AB$252,70,),)</f>
        <v>0</v>
      </c>
      <c r="K37" s="6">
        <f>+IFERROR(VLOOKUP($F37,'[17]서부산(손익)'!$L$16:$R$29,3,),)/1000</f>
        <v>0</v>
      </c>
      <c r="L37" s="6">
        <f t="shared" si="37"/>
        <v>0</v>
      </c>
      <c r="M37" s="76"/>
      <c r="O37" s="6">
        <f t="shared" si="38"/>
        <v>0</v>
      </c>
      <c r="P37" s="6">
        <f t="shared" si="39"/>
        <v>14386.666666666668</v>
      </c>
      <c r="Q37" s="6">
        <f t="shared" si="40"/>
        <v>0</v>
      </c>
      <c r="R37" s="6">
        <f t="shared" si="31"/>
        <v>-14386.666666666668</v>
      </c>
      <c r="S37" s="6">
        <f>+IFERROR(HLOOKUP($A$1,[15]손익!$G$5:$AB$252,59,),)</f>
        <v>0</v>
      </c>
      <c r="T37" s="6">
        <f>+IFERROR(VLOOKUP($F37,'[17]부산크라샤(손익)'!$L$16:$R$29,3,),)/1000</f>
        <v>0</v>
      </c>
      <c r="U37" s="6">
        <f t="shared" si="32"/>
        <v>0</v>
      </c>
      <c r="V37" s="76">
        <f>+IFERROR(HLOOKUP($A$1,[15]손익!$G$5:$AB$252,68,),)</f>
        <v>0</v>
      </c>
      <c r="W37" s="6">
        <f>+IFERROR(VLOOKUP($F37,'[17]부산크라샤(손익)'!$L$16:$R$29,4,),)/1000</f>
        <v>0</v>
      </c>
      <c r="X37" s="6">
        <f t="shared" si="41"/>
        <v>0</v>
      </c>
      <c r="AA37" s="6">
        <f t="shared" si="42"/>
        <v>0</v>
      </c>
      <c r="AB37" s="6">
        <f t="shared" si="43"/>
        <v>0</v>
      </c>
      <c r="AC37" s="6">
        <f t="shared" si="33"/>
        <v>0</v>
      </c>
      <c r="AD37" s="6">
        <f t="shared" si="34"/>
        <v>0</v>
      </c>
      <c r="AE37" s="437">
        <f>+IFERROR(HLOOKUP($A$1,[16]이송계획!$G$70:$W$100,18,),)+IFERROR(HLOOKUP($A$1,[16]이송계획!$G$70:$W$100,25,),)</f>
        <v>95000</v>
      </c>
      <c r="AF37" s="6">
        <f>+'[9]부산모래장(당월)'!R78</f>
        <v>47960</v>
      </c>
      <c r="AH37" s="6">
        <f t="shared" si="35"/>
        <v>109386.66666666667</v>
      </c>
      <c r="AI37" s="6">
        <f t="shared" si="35"/>
        <v>47960</v>
      </c>
      <c r="AJ37" s="6">
        <f t="shared" si="36"/>
        <v>-61426.666666666672</v>
      </c>
    </row>
    <row r="38" spans="5:36" ht="21.95" customHeight="1" x14ac:dyDescent="0.3">
      <c r="F38" s="431" t="s">
        <v>28</v>
      </c>
      <c r="G38" s="6">
        <f>+IFERROR(HLOOKUP($A$1,[14]손익!$G$5:$AB$252,62,),)</f>
        <v>0</v>
      </c>
      <c r="H38" s="6">
        <f>+IFERROR(VLOOKUP($F38,'[17]서부산(손익)'!$L$16:$R$29,4,),)/1000</f>
        <v>0</v>
      </c>
      <c r="I38" s="6">
        <f t="shared" si="30"/>
        <v>0</v>
      </c>
      <c r="J38" s="76">
        <f>+IFERROR(HLOOKUP($A$1,[14]손익!$G$5:$AB$252,71,),)</f>
        <v>0</v>
      </c>
      <c r="K38" s="6">
        <f>+IFERROR(VLOOKUP($F38,'[17]서부산(손익)'!$L$16:$R$29,3,),)/1000</f>
        <v>0</v>
      </c>
      <c r="L38" s="6">
        <f t="shared" si="37"/>
        <v>0</v>
      </c>
      <c r="M38" s="76"/>
      <c r="O38" s="6">
        <f t="shared" si="38"/>
        <v>0</v>
      </c>
      <c r="P38" s="6">
        <f t="shared" si="39"/>
        <v>0</v>
      </c>
      <c r="Q38" s="6">
        <f t="shared" si="40"/>
        <v>0</v>
      </c>
      <c r="R38" s="6">
        <f t="shared" si="31"/>
        <v>0</v>
      </c>
      <c r="S38" s="6">
        <f>+IFERROR(HLOOKUP($A$1,[15]손익!$G$5:$AB$252,60,),)</f>
        <v>0</v>
      </c>
      <c r="T38" s="6">
        <f>+IFERROR(VLOOKUP($F38,'[17]부산크라샤(손익)'!$L$16:$R$29,3,),)/1000</f>
        <v>0</v>
      </c>
      <c r="U38" s="6">
        <f t="shared" si="32"/>
        <v>0</v>
      </c>
      <c r="V38" s="76">
        <f>+IFERROR(HLOOKUP($A$1,[15]손익!$G$5:$AB$252,69,),)</f>
        <v>0</v>
      </c>
      <c r="W38" s="6">
        <f>+IFERROR(VLOOKUP($F38,'[17]부산크라샤(손익)'!$L$16:$R$29,4,),)/1000</f>
        <v>7200</v>
      </c>
      <c r="X38" s="6">
        <f t="shared" si="41"/>
        <v>7200</v>
      </c>
      <c r="AA38" s="6">
        <f t="shared" si="42"/>
        <v>0</v>
      </c>
      <c r="AB38" s="6">
        <f t="shared" si="43"/>
        <v>0</v>
      </c>
      <c r="AC38" s="6">
        <f t="shared" si="33"/>
        <v>7200</v>
      </c>
      <c r="AD38" s="6">
        <f t="shared" si="34"/>
        <v>7200</v>
      </c>
      <c r="AE38" s="437">
        <f>+IFERROR(HLOOKUP($A$1,[16]이송계획!$G$70:$W$100,19,),)+IFERROR(HLOOKUP($A$1,[16]이송계획!$G$70:$W$100,26,),)</f>
        <v>114646.15384615384</v>
      </c>
      <c r="AF38" s="6">
        <f>+'[9]부산모래장(당월)'!R79</f>
        <v>121000</v>
      </c>
      <c r="AH38" s="6">
        <f t="shared" si="35"/>
        <v>114646.15384615384</v>
      </c>
      <c r="AI38" s="6">
        <f t="shared" si="35"/>
        <v>128200</v>
      </c>
      <c r="AJ38" s="6">
        <f t="shared" si="36"/>
        <v>13553.846153846156</v>
      </c>
    </row>
    <row r="39" spans="5:36" ht="21.95" customHeight="1" x14ac:dyDescent="0.3">
      <c r="F39" s="431" t="s">
        <v>29</v>
      </c>
      <c r="G39" s="6">
        <f>+IFERROR(HLOOKUP($A$1,[14]손익!$G$5:$AB$252,63,),)</f>
        <v>0</v>
      </c>
      <c r="H39" s="6">
        <f>+IFERROR(VLOOKUP($F39,'[17]서부산(손익)'!$L$16:$R$29,4,),)/1000</f>
        <v>0</v>
      </c>
      <c r="I39" s="6">
        <f t="shared" si="30"/>
        <v>0</v>
      </c>
      <c r="J39" s="76">
        <f>+IFERROR(HLOOKUP($A$1,[14]손익!$G$5:$AB$252,72,),)</f>
        <v>10305.450000000001</v>
      </c>
      <c r="K39" s="6">
        <f>+IFERROR(VLOOKUP($F39,'[17]서부산(손익)'!$L$16:$R$29,3,),)/1000</f>
        <v>0</v>
      </c>
      <c r="L39" s="6">
        <f t="shared" si="37"/>
        <v>-10305.450000000001</v>
      </c>
      <c r="M39" s="76"/>
      <c r="O39" s="6">
        <f t="shared" si="38"/>
        <v>0</v>
      </c>
      <c r="P39" s="6">
        <f t="shared" si="39"/>
        <v>10305.450000000001</v>
      </c>
      <c r="Q39" s="6">
        <f t="shared" si="40"/>
        <v>0</v>
      </c>
      <c r="R39" s="6">
        <f t="shared" si="31"/>
        <v>-10305.450000000001</v>
      </c>
      <c r="S39" s="6">
        <f>+IFERROR(HLOOKUP($A$1,[15]손익!$G$5:$AB$252,61,),)</f>
        <v>0</v>
      </c>
      <c r="T39" s="6">
        <f>+IFERROR(VLOOKUP($F39,'[17]부산크라샤(손익)'!$L$16:$R$29,3,),)/1000</f>
        <v>0</v>
      </c>
      <c r="U39" s="6">
        <f t="shared" si="32"/>
        <v>0</v>
      </c>
      <c r="V39" s="76">
        <f>+IFERROR(HLOOKUP($A$1,[15]손익!$G$5:$AB$252,70,),)</f>
        <v>0</v>
      </c>
      <c r="W39" s="6">
        <f>+IFERROR(VLOOKUP($F39,'[17]부산크라샤(손익)'!$L$16:$R$29,4,),)/1000</f>
        <v>0</v>
      </c>
      <c r="X39" s="6">
        <f t="shared" si="41"/>
        <v>0</v>
      </c>
      <c r="AA39" s="6">
        <f t="shared" si="42"/>
        <v>0</v>
      </c>
      <c r="AB39" s="6">
        <f t="shared" si="43"/>
        <v>0</v>
      </c>
      <c r="AC39" s="6">
        <f t="shared" si="33"/>
        <v>0</v>
      </c>
      <c r="AD39" s="6">
        <f t="shared" si="34"/>
        <v>0</v>
      </c>
      <c r="AE39" s="437">
        <f>+IFERROR(HLOOKUP($A$1,[16]이송계획!$G$70:$W$100,20,),)+IFERROR(HLOOKUP($A$1,[16]이송계획!$G$70:$W$100,27,),)</f>
        <v>44078.653846153851</v>
      </c>
      <c r="AF39" s="6">
        <f>+'[9]부산모래장(당월)'!R80</f>
        <v>0</v>
      </c>
      <c r="AH39" s="6">
        <f t="shared" si="35"/>
        <v>54384.103846153856</v>
      </c>
      <c r="AI39" s="6">
        <f t="shared" si="35"/>
        <v>0</v>
      </c>
      <c r="AJ39" s="6">
        <f t="shared" si="36"/>
        <v>-54384.103846153856</v>
      </c>
    </row>
    <row r="40" spans="5:36" ht="21.95" customHeight="1" x14ac:dyDescent="0.3">
      <c r="F40" s="431" t="s">
        <v>30</v>
      </c>
      <c r="G40" s="6">
        <f>+IFERROR(HLOOKUP($A$1,[14]손익!$G$5:$AB$252,64,),)</f>
        <v>9486</v>
      </c>
      <c r="H40" s="6">
        <f>+IFERROR(VLOOKUP($F40,'[17]서부산(손익)'!$L$16:$R$29,4,),)/1000</f>
        <v>0</v>
      </c>
      <c r="I40" s="6">
        <f t="shared" si="30"/>
        <v>-9486</v>
      </c>
      <c r="J40" s="76">
        <f>+IFERROR(HLOOKUP($A$1,[14]손익!$G$5:$AB$252,73,),)</f>
        <v>8228</v>
      </c>
      <c r="K40" s="6">
        <f>+IFERROR(VLOOKUP($F40,'[17]서부산(손익)'!$L$16:$R$29,3,),)/1000</f>
        <v>0</v>
      </c>
      <c r="L40" s="6">
        <f t="shared" si="37"/>
        <v>-8228</v>
      </c>
      <c r="M40" s="76"/>
      <c r="O40" s="6">
        <f t="shared" si="38"/>
        <v>0</v>
      </c>
      <c r="P40" s="6">
        <f t="shared" si="39"/>
        <v>17714</v>
      </c>
      <c r="Q40" s="6">
        <f t="shared" si="40"/>
        <v>0</v>
      </c>
      <c r="R40" s="6">
        <f t="shared" si="31"/>
        <v>-17714</v>
      </c>
      <c r="S40" s="6">
        <f>+IFERROR(HLOOKUP($A$1,[15]손익!$G$5:$AB$252,62,),)</f>
        <v>0</v>
      </c>
      <c r="T40" s="6">
        <f>+IFERROR(VLOOKUP($F40,'[17]부산크라샤(손익)'!$L$16:$R$29,3,),)/1000</f>
        <v>0</v>
      </c>
      <c r="U40" s="6">
        <f t="shared" si="32"/>
        <v>0</v>
      </c>
      <c r="V40" s="76">
        <f>+IFERROR(HLOOKUP($A$1,[15]손익!$G$5:$AB$252,71,),)</f>
        <v>0</v>
      </c>
      <c r="W40" s="6">
        <f>+IFERROR(VLOOKUP($F40,'[17]부산크라샤(손익)'!$L$16:$R$29,4,),)/1000</f>
        <v>0</v>
      </c>
      <c r="X40" s="6">
        <f t="shared" si="41"/>
        <v>0</v>
      </c>
      <c r="AA40" s="6">
        <f t="shared" si="42"/>
        <v>0</v>
      </c>
      <c r="AB40" s="6">
        <f t="shared" si="43"/>
        <v>0</v>
      </c>
      <c r="AC40" s="6">
        <f t="shared" si="33"/>
        <v>0</v>
      </c>
      <c r="AD40" s="6">
        <f t="shared" si="34"/>
        <v>0</v>
      </c>
      <c r="AE40" s="437">
        <f>+IFERROR(HLOOKUP($A$1,[16]이송계획!$G$70:$W$100,21,),)+IFERROR(HLOOKUP($A$1,[16]이송계획!$G$70:$W$100,28,),)</f>
        <v>0</v>
      </c>
      <c r="AH40" s="6">
        <f t="shared" si="35"/>
        <v>17714</v>
      </c>
      <c r="AI40" s="6">
        <f t="shared" si="35"/>
        <v>0</v>
      </c>
      <c r="AJ40" s="6">
        <f t="shared" si="36"/>
        <v>-17714</v>
      </c>
    </row>
    <row r="41" spans="5:36" ht="21.95" customHeight="1" x14ac:dyDescent="0.3">
      <c r="F41" s="431" t="s">
        <v>8</v>
      </c>
      <c r="G41" s="6">
        <f>SUM(G35:G40)</f>
        <v>251258.26666666666</v>
      </c>
      <c r="H41" s="6">
        <f>SUM(H35:H40)</f>
        <v>0</v>
      </c>
      <c r="I41" s="6">
        <f t="shared" si="30"/>
        <v>-251258.26666666666</v>
      </c>
      <c r="J41" s="76">
        <f>SUM(J35:J40)</f>
        <v>45341.183333333334</v>
      </c>
      <c r="K41" s="76">
        <f>SUM(K35:K40)</f>
        <v>0</v>
      </c>
      <c r="L41" s="6">
        <f t="shared" si="37"/>
        <v>-45341.183333333334</v>
      </c>
      <c r="M41" s="76"/>
      <c r="N41" s="76"/>
      <c r="O41" s="6">
        <f t="shared" si="38"/>
        <v>0</v>
      </c>
      <c r="P41" s="6">
        <f t="shared" si="39"/>
        <v>296599.45</v>
      </c>
      <c r="Q41" s="6">
        <f t="shared" si="40"/>
        <v>0</v>
      </c>
      <c r="R41" s="6">
        <f t="shared" si="31"/>
        <v>-296599.45</v>
      </c>
      <c r="S41" s="6">
        <f>SUM(S35:S40)</f>
        <v>209210.29187254989</v>
      </c>
      <c r="T41" s="6">
        <f>SUM(T35:T40)</f>
        <v>221526.5</v>
      </c>
      <c r="U41" s="6">
        <f t="shared" si="32"/>
        <v>12316.208127450111</v>
      </c>
      <c r="V41" s="76">
        <f>SUM(V35:V40)</f>
        <v>254805.26721638301</v>
      </c>
      <c r="W41" s="76">
        <f>SUM(W35:W40)</f>
        <v>227686</v>
      </c>
      <c r="X41" s="6">
        <f t="shared" si="41"/>
        <v>-27119.267216383014</v>
      </c>
      <c r="Z41" s="76"/>
      <c r="AA41" s="6">
        <f t="shared" si="42"/>
        <v>0</v>
      </c>
      <c r="AB41" s="6">
        <f t="shared" si="43"/>
        <v>464015.55908893293</v>
      </c>
      <c r="AC41" s="6">
        <f t="shared" si="33"/>
        <v>449212.5</v>
      </c>
      <c r="AD41" s="6">
        <f t="shared" si="34"/>
        <v>-14803.059088932932</v>
      </c>
      <c r="AE41" s="6">
        <f>SUM(AE35:AE40)</f>
        <v>561413.80631466</v>
      </c>
      <c r="AF41" s="6">
        <f>SUM(AF35:AF40)</f>
        <v>373128</v>
      </c>
      <c r="AH41" s="6">
        <f t="shared" si="35"/>
        <v>1322028.815403593</v>
      </c>
      <c r="AI41" s="6">
        <f t="shared" si="35"/>
        <v>822340.5</v>
      </c>
      <c r="AJ41" s="6">
        <f t="shared" si="36"/>
        <v>-499688.31540359301</v>
      </c>
    </row>
    <row r="42" spans="5:36" ht="21.95" customHeight="1" x14ac:dyDescent="0.3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AB42" s="6" t="b">
        <f>+AB41=AB13</f>
        <v>1</v>
      </c>
      <c r="AC42" s="6" t="b">
        <f>+AC41=AC13</f>
        <v>1</v>
      </c>
      <c r="AE42" s="6" t="b">
        <f>+AE41=AE13</f>
        <v>1</v>
      </c>
      <c r="AF42" s="6" t="b">
        <f>+AF41=AF13</f>
        <v>1</v>
      </c>
      <c r="AH42" s="6" t="b">
        <f>+AH41=AH13</f>
        <v>1</v>
      </c>
      <c r="AI42" s="6" t="b">
        <f>+AI41=AI13</f>
        <v>1</v>
      </c>
    </row>
    <row r="43" spans="5:36" ht="21.95" customHeight="1" x14ac:dyDescent="0.3"/>
    <row r="44" spans="5:36" ht="21.95" customHeight="1" x14ac:dyDescent="0.3"/>
    <row r="45" spans="5:36" ht="21.95" customHeight="1" x14ac:dyDescent="0.3"/>
    <row r="46" spans="5:36" ht="21.95" customHeight="1" x14ac:dyDescent="0.3"/>
    <row r="47" spans="5:36" ht="21.95" customHeight="1" x14ac:dyDescent="0.3"/>
    <row r="48" spans="5:36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3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6ED8-5E52-4D82-B96B-B96DE3FEDC7F}">
  <sheetPr codeName="Sheet11">
    <tabColor theme="0" tint="-0.249977111117893"/>
    <pageSetUpPr fitToPage="1"/>
  </sheetPr>
  <dimension ref="A1:AM53"/>
  <sheetViews>
    <sheetView showGridLines="0" showZeros="0" view="pageBreakPreview" zoomScale="60" zoomScaleNormal="85" workbookViewId="0">
      <pane xSplit="6" ySplit="7" topLeftCell="G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RowHeight="16.5" x14ac:dyDescent="0.3"/>
  <cols>
    <col min="1" max="3" width="5.625" style="6" customWidth="1"/>
    <col min="4" max="4" width="3.125" style="6" customWidth="1"/>
    <col min="5" max="6" width="8.625" style="6" customWidth="1"/>
    <col min="7" max="36" width="10.625" style="6" customWidth="1"/>
    <col min="37" max="37" width="9" style="6"/>
    <col min="38" max="39" width="14.25" style="6" customWidth="1"/>
    <col min="40" max="16384" width="9" style="6"/>
  </cols>
  <sheetData>
    <row r="1" spans="1:39" ht="22.5" customHeight="1" x14ac:dyDescent="0.3">
      <c r="A1" s="422" t="s">
        <v>241</v>
      </c>
    </row>
    <row r="2" spans="1:39" ht="9.75" customHeight="1" x14ac:dyDescent="0.3"/>
    <row r="3" spans="1:39" ht="9.9499999999999993" customHeight="1" x14ac:dyDescent="0.3"/>
    <row r="4" spans="1:39" ht="31.5" x14ac:dyDescent="0.3">
      <c r="D4" s="183" t="s">
        <v>254</v>
      </c>
      <c r="F4" s="183"/>
      <c r="I4" s="183"/>
      <c r="P4" s="6">
        <f>+'골재사업소(당월)'!P12+'[4]골재사업소(누계)'!P12</f>
        <v>324184.05687999999</v>
      </c>
      <c r="Q4" s="6">
        <f>+'골재사업소(당월)'!Q12+'[4]골재사업소(누계)'!Q12</f>
        <v>169890</v>
      </c>
      <c r="S4" s="6">
        <f>+'골재사업소(당월)'!S12+'[4]골재사업소(누계)'!S12</f>
        <v>165587.67105688711</v>
      </c>
      <c r="T4" s="6">
        <f>+'골재사업소(당월)'!T12+'[4]골재사업소(누계)'!T12</f>
        <v>175293</v>
      </c>
      <c r="V4" s="6">
        <f>+'골재사업소(당월)'!V12+'[4]골재사업소(누계)'!V12</f>
        <v>248988.86458841315</v>
      </c>
      <c r="W4" s="6">
        <f>+'골재사업소(당월)'!W12+'[4]골재사업소(누계)'!W12</f>
        <v>178055</v>
      </c>
      <c r="AB4" s="6">
        <f>+'골재사업소(당월)'!AB12+'[4]골재사업소(누계)'!Y12</f>
        <v>43565.728071919184</v>
      </c>
      <c r="AC4" s="6">
        <f>+'골재사업소(당월)'!AC12+'[4]골재사업소(누계)'!Z12</f>
        <v>39852</v>
      </c>
      <c r="AE4" s="6">
        <f>+'골재사업소(당월)'!AE12+'[4]골재사업소(누계)'!AE12</f>
        <v>241699.07001943502</v>
      </c>
      <c r="AF4" s="6">
        <f>+'골재사업소(당월)'!AF12+'[4]골재사업소(누계)'!AF12</f>
        <v>189826</v>
      </c>
      <c r="AH4" s="6">
        <f>+'골재사업소(당월)'!AH12+'[4]골재사업소(누계)'!AE12</f>
        <v>336617.76142468757</v>
      </c>
      <c r="AI4" s="6">
        <f>+'골재사업소(당월)'!AI12+'[4]골재사업소(누계)'!AF12</f>
        <v>229797</v>
      </c>
    </row>
    <row r="5" spans="1:39" ht="21.95" customHeight="1" thickBot="1" x14ac:dyDescent="0.35">
      <c r="J5" s="76"/>
      <c r="AE5" s="76"/>
      <c r="AH5" s="76"/>
      <c r="AJ5" s="185" t="s">
        <v>167</v>
      </c>
    </row>
    <row r="6" spans="1:39" ht="24" customHeight="1" thickTop="1" x14ac:dyDescent="0.3">
      <c r="D6" s="295" t="s">
        <v>15</v>
      </c>
      <c r="E6" s="855" t="s">
        <v>11</v>
      </c>
      <c r="F6" s="856"/>
      <c r="G6" s="293" t="s">
        <v>140</v>
      </c>
      <c r="H6" s="292"/>
      <c r="I6" s="292"/>
      <c r="J6" s="292" t="s">
        <v>139</v>
      </c>
      <c r="K6" s="292"/>
      <c r="L6" s="294"/>
      <c r="M6" s="292" t="s">
        <v>212</v>
      </c>
      <c r="N6" s="292"/>
      <c r="O6" s="294"/>
      <c r="P6" s="388" t="s">
        <v>138</v>
      </c>
      <c r="Q6" s="389"/>
      <c r="R6" s="390"/>
      <c r="S6" s="293" t="s">
        <v>184</v>
      </c>
      <c r="T6" s="292"/>
      <c r="U6" s="292"/>
      <c r="V6" s="292" t="s">
        <v>185</v>
      </c>
      <c r="W6" s="292"/>
      <c r="X6" s="294"/>
      <c r="Y6" s="292" t="s">
        <v>225</v>
      </c>
      <c r="Z6" s="292"/>
      <c r="AA6" s="294"/>
      <c r="AB6" s="388" t="s">
        <v>186</v>
      </c>
      <c r="AC6" s="389"/>
      <c r="AD6" s="390"/>
      <c r="AE6" s="387" t="s">
        <v>137</v>
      </c>
      <c r="AF6" s="292"/>
      <c r="AG6" s="294"/>
      <c r="AH6" s="388" t="s">
        <v>136</v>
      </c>
      <c r="AI6" s="389"/>
      <c r="AJ6" s="390"/>
    </row>
    <row r="7" spans="1:39" ht="24" customHeight="1" x14ac:dyDescent="0.3">
      <c r="D7" s="291"/>
      <c r="E7" s="857"/>
      <c r="F7" s="858"/>
      <c r="G7" s="287" t="s">
        <v>12</v>
      </c>
      <c r="H7" s="373" t="s">
        <v>13</v>
      </c>
      <c r="I7" s="290" t="s">
        <v>36</v>
      </c>
      <c r="J7" s="289" t="s">
        <v>15</v>
      </c>
      <c r="K7" s="373" t="s">
        <v>16</v>
      </c>
      <c r="L7" s="288" t="s">
        <v>36</v>
      </c>
      <c r="M7" s="289" t="s">
        <v>15</v>
      </c>
      <c r="N7" s="373" t="s">
        <v>16</v>
      </c>
      <c r="O7" s="288" t="s">
        <v>36</v>
      </c>
      <c r="P7" s="391" t="s">
        <v>15</v>
      </c>
      <c r="Q7" s="373" t="s">
        <v>16</v>
      </c>
      <c r="R7" s="392" t="s">
        <v>36</v>
      </c>
      <c r="S7" s="287" t="s">
        <v>12</v>
      </c>
      <c r="T7" s="373" t="s">
        <v>13</v>
      </c>
      <c r="U7" s="290" t="s">
        <v>36</v>
      </c>
      <c r="V7" s="289" t="s">
        <v>15</v>
      </c>
      <c r="W7" s="373" t="s">
        <v>16</v>
      </c>
      <c r="X7" s="288" t="s">
        <v>36</v>
      </c>
      <c r="Y7" s="289" t="s">
        <v>15</v>
      </c>
      <c r="Z7" s="373" t="s">
        <v>16</v>
      </c>
      <c r="AA7" s="288" t="s">
        <v>36</v>
      </c>
      <c r="AB7" s="391" t="s">
        <v>15</v>
      </c>
      <c r="AC7" s="373" t="s">
        <v>16</v>
      </c>
      <c r="AD7" s="392" t="s">
        <v>36</v>
      </c>
      <c r="AE7" s="288" t="s">
        <v>15</v>
      </c>
      <c r="AF7" s="373" t="s">
        <v>16</v>
      </c>
      <c r="AG7" s="288" t="s">
        <v>36</v>
      </c>
      <c r="AH7" s="391" t="s">
        <v>15</v>
      </c>
      <c r="AI7" s="373" t="s">
        <v>16</v>
      </c>
      <c r="AJ7" s="392" t="s">
        <v>36</v>
      </c>
    </row>
    <row r="8" spans="1:39" ht="24" customHeight="1" x14ac:dyDescent="0.3">
      <c r="D8" s="77"/>
      <c r="E8" s="264" t="s">
        <v>110</v>
      </c>
      <c r="F8" s="263" t="s">
        <v>132</v>
      </c>
      <c r="G8" s="259">
        <f>+'골재사업소(당월)'!G8+'[4]골재사업소(누계)'!G8</f>
        <v>115945.13333333333</v>
      </c>
      <c r="H8" s="374">
        <f>+'골재사업소(당월)'!H8+'[4]골재사업소(누계)'!H8</f>
        <v>98732</v>
      </c>
      <c r="I8" s="262">
        <f>H8-G8</f>
        <v>-17213.133333333331</v>
      </c>
      <c r="J8" s="261">
        <f>+'골재사업소(당월)'!J8+'[4]골재사업소(누계)'!J8</f>
        <v>14438.923546666665</v>
      </c>
      <c r="K8" s="374">
        <f>+'골재사업소(당월)'!K8+'[4]골재사업소(누계)'!K8</f>
        <v>2096</v>
      </c>
      <c r="L8" s="260">
        <f>K8-J8</f>
        <v>-12342.923546666665</v>
      </c>
      <c r="M8" s="261">
        <f>+'골재사업소(당월)'!M8+'[4]골재사업소(누계)'!M8</f>
        <v>0</v>
      </c>
      <c r="N8" s="374">
        <f>+'골재사업소(당월)'!N8+'[4]골재사업소(누계)'!N8</f>
        <v>0</v>
      </c>
      <c r="O8" s="260">
        <f>N8-M8</f>
        <v>0</v>
      </c>
      <c r="P8" s="393">
        <f>+G8+J8+M8</f>
        <v>130384.05687999999</v>
      </c>
      <c r="Q8" s="374">
        <f>+H8+K8+N8</f>
        <v>100828</v>
      </c>
      <c r="R8" s="394">
        <f>Q8-P8</f>
        <v>-29556.056879999989</v>
      </c>
      <c r="S8" s="259">
        <f>+'골재사업소(당월)'!S8+'[4]골재사업소(누계)'!S8</f>
        <v>109587.67105688711</v>
      </c>
      <c r="T8" s="374">
        <f>+'골재사업소(당월)'!T8+'[4]골재사업소(누계)'!T8</f>
        <v>118989</v>
      </c>
      <c r="U8" s="262">
        <f>T8-S8</f>
        <v>9401.3289431128942</v>
      </c>
      <c r="V8" s="261">
        <f>+'골재사업소(당월)'!V8+'[4]골재사업소(누계)'!V8</f>
        <v>98988.864588413169</v>
      </c>
      <c r="W8" s="374">
        <f>+'골재사업소(당월)'!W8+'[4]골재사업소(누계)'!W8</f>
        <v>116727</v>
      </c>
      <c r="X8" s="260">
        <f>W8-V8</f>
        <v>17738.135411586831</v>
      </c>
      <c r="Y8" s="261">
        <f>+'골재사업소(당월)'!Y8+'[4]골재사업소(누계)'!Y8</f>
        <v>0</v>
      </c>
      <c r="Z8" s="374">
        <f>+'골재사업소(당월)'!Z8+'[4]골재사업소(누계)'!Z8</f>
        <v>0</v>
      </c>
      <c r="AA8" s="260">
        <f>Z8-Y8</f>
        <v>0</v>
      </c>
      <c r="AB8" s="393">
        <f>+S8+V8+Y8</f>
        <v>208576.53564530029</v>
      </c>
      <c r="AC8" s="374">
        <f t="shared" ref="AC8" si="0">+T8+W8+Z8</f>
        <v>235716</v>
      </c>
      <c r="AD8" s="394">
        <f>AC8-AB8</f>
        <v>27139.46435469971</v>
      </c>
      <c r="AE8" s="260">
        <f>+'골재사업소(당월)'!AE8+'[4]골재사업소(누계)'!AE8</f>
        <v>157699.07001943502</v>
      </c>
      <c r="AF8" s="374">
        <f>+'골재사업소(당월)'!AF8+'[4]골재사업소(누계)'!AF8</f>
        <v>121277</v>
      </c>
      <c r="AG8" s="260">
        <f>AF8-AE8</f>
        <v>-36422.070019435021</v>
      </c>
      <c r="AH8" s="393">
        <f>+P8+AB8+AE8</f>
        <v>496659.6625447353</v>
      </c>
      <c r="AI8" s="374">
        <f>+Q8+AC8+AF8</f>
        <v>457821</v>
      </c>
      <c r="AJ8" s="394">
        <f>AI8-AH8</f>
        <v>-38838.6625447353</v>
      </c>
    </row>
    <row r="9" spans="1:39" ht="24" customHeight="1" x14ac:dyDescent="0.3">
      <c r="D9" s="77"/>
      <c r="E9" s="281"/>
      <c r="F9" s="286" t="s">
        <v>10</v>
      </c>
      <c r="G9" s="282">
        <f>+G8/G$12</f>
        <v>0.85413841723975858</v>
      </c>
      <c r="H9" s="375">
        <f>+H8/H$12</f>
        <v>0.64117517176886207</v>
      </c>
      <c r="I9" s="285">
        <f>+H9-G9</f>
        <v>-0.21296324547089651</v>
      </c>
      <c r="J9" s="284">
        <f>+J8/J$12</f>
        <v>0.25583272393081352</v>
      </c>
      <c r="K9" s="375">
        <f>+K8/K$12</f>
        <v>0.13179074446680081</v>
      </c>
      <c r="L9" s="283">
        <f>+K9-J9</f>
        <v>-0.12404197946401271</v>
      </c>
      <c r="M9" s="284">
        <f>+M8/M$12</f>
        <v>0</v>
      </c>
      <c r="N9" s="375" t="e">
        <f>+N8/N$12</f>
        <v>#DIV/0!</v>
      </c>
      <c r="O9" s="283" t="e">
        <f>+N9-M9</f>
        <v>#DIV/0!</v>
      </c>
      <c r="P9" s="395">
        <f>+P8/P$12</f>
        <v>0.40219145301233294</v>
      </c>
      <c r="Q9" s="375">
        <f>+Q8/Q$12</f>
        <v>0.59348990523279765</v>
      </c>
      <c r="R9" s="396">
        <f>+Q9-P9</f>
        <v>0.19129845222046471</v>
      </c>
      <c r="S9" s="282">
        <f>+S8/S$12</f>
        <v>0.66181057054204606</v>
      </c>
      <c r="T9" s="375">
        <f>+T8/T$12</f>
        <v>0.67880063664835444</v>
      </c>
      <c r="U9" s="285">
        <f>+T9-S9</f>
        <v>1.6990066106308377E-2</v>
      </c>
      <c r="V9" s="284">
        <f>+V8/V$12</f>
        <v>0.39756342016356855</v>
      </c>
      <c r="W9" s="375">
        <f>+W8/W$12</f>
        <v>0.65556710005335428</v>
      </c>
      <c r="X9" s="283">
        <f>+W9-V9</f>
        <v>0.25800367988978573</v>
      </c>
      <c r="Y9" s="284" t="e">
        <f>+Y8/Y$12</f>
        <v>#DIV/0!</v>
      </c>
      <c r="Z9" s="375">
        <f>+Z8/Z$12</f>
        <v>0</v>
      </c>
      <c r="AA9" s="283" t="e">
        <f>+Z9-Y9</f>
        <v>#DIV/0!</v>
      </c>
      <c r="AB9" s="395">
        <f>+AB8/AB$12</f>
        <v>0.50310743062350338</v>
      </c>
      <c r="AC9" s="375">
        <f>+AC8/AC$12</f>
        <v>0.66475835403805528</v>
      </c>
      <c r="AD9" s="396">
        <f>+AC9-AB9</f>
        <v>0.16165092341455189</v>
      </c>
      <c r="AE9" s="283">
        <f>+AE8/AE$12</f>
        <v>0.65246039220074137</v>
      </c>
      <c r="AF9" s="375">
        <f>+AF8/AF$12</f>
        <v>0.63888508423503632</v>
      </c>
      <c r="AG9" s="283">
        <f>+AF9-AE9</f>
        <v>-1.3575307965705052E-2</v>
      </c>
      <c r="AH9" s="395">
        <f>+AH8/AH$12</f>
        <v>0.50655797634313615</v>
      </c>
      <c r="AI9" s="375">
        <f>+AI8/AI$12</f>
        <v>0.64093209483343949</v>
      </c>
      <c r="AJ9" s="396">
        <f>+AI9-AH9</f>
        <v>0.13437411849030334</v>
      </c>
    </row>
    <row r="10" spans="1:39" ht="24" customHeight="1" x14ac:dyDescent="0.3">
      <c r="D10" s="257"/>
      <c r="E10" s="281"/>
      <c r="F10" s="280" t="s">
        <v>135</v>
      </c>
      <c r="G10" s="276">
        <f>+'골재사업소(당월)'!G10+'[4]골재사업소(누계)'!G10</f>
        <v>19800</v>
      </c>
      <c r="H10" s="376">
        <f>+'골재사업소(당월)'!H10+'[4]골재사업소(누계)'!H10</f>
        <v>55254</v>
      </c>
      <c r="I10" s="279">
        <f>H10-G10</f>
        <v>35454</v>
      </c>
      <c r="J10" s="278">
        <f>+'골재사업소(당월)'!J10+'[4]골재사업소(누계)'!J10</f>
        <v>42000</v>
      </c>
      <c r="K10" s="376">
        <f>+'골재사업소(당월)'!K10+'[4]골재사업소(누계)'!K10</f>
        <v>13808</v>
      </c>
      <c r="L10" s="277">
        <f>K10-J10</f>
        <v>-28192</v>
      </c>
      <c r="M10" s="278">
        <f>+'골재사업소(당월)'!M10+'[4]골재사업소(누계)'!M10</f>
        <v>132000</v>
      </c>
      <c r="N10" s="376">
        <f>+'골재사업소(당월)'!N10+'[4]골재사업소(누계)'!N10</f>
        <v>0</v>
      </c>
      <c r="O10" s="277">
        <f>N10-M10</f>
        <v>-132000</v>
      </c>
      <c r="P10" s="397">
        <f>+G10+J10+M10</f>
        <v>193800</v>
      </c>
      <c r="Q10" s="376">
        <f>+H10+K10+N10</f>
        <v>69062</v>
      </c>
      <c r="R10" s="398">
        <f>Q10-P10</f>
        <v>-124738</v>
      </c>
      <c r="S10" s="276">
        <f>+'골재사업소(당월)'!S10+'[4]골재사업소(누계)'!S10</f>
        <v>56000</v>
      </c>
      <c r="T10" s="376">
        <f>+'골재사업소(당월)'!T10+'[4]골재사업소(누계)'!T10</f>
        <v>56304</v>
      </c>
      <c r="U10" s="279">
        <f>T10-S10</f>
        <v>304</v>
      </c>
      <c r="V10" s="278">
        <f>+'골재사업소(당월)'!V10+'[4]골재사업소(누계)'!V10</f>
        <v>150000</v>
      </c>
      <c r="W10" s="376">
        <f>+'골재사업소(당월)'!W10+'[4]골재사업소(누계)'!W10</f>
        <v>61328</v>
      </c>
      <c r="X10" s="277">
        <f>W10-V10</f>
        <v>-88672</v>
      </c>
      <c r="Y10" s="278">
        <f>+'골재사업소(당월)'!Y10+'[4]골재사업소(누계)'!Y10</f>
        <v>0</v>
      </c>
      <c r="Z10" s="376">
        <f>+'골재사업소(당월)'!Z10+'[4]골재사업소(누계)'!Z10</f>
        <v>1241</v>
      </c>
      <c r="AA10" s="277">
        <f>Z10-Y10</f>
        <v>1241</v>
      </c>
      <c r="AB10" s="397">
        <f t="shared" ref="AB10:AC10" si="1">+S10+V10+Y10</f>
        <v>206000</v>
      </c>
      <c r="AC10" s="376">
        <f t="shared" si="1"/>
        <v>118873</v>
      </c>
      <c r="AD10" s="398">
        <f>AC10-AB10</f>
        <v>-87127</v>
      </c>
      <c r="AE10" s="277">
        <f>+'골재사업소(당월)'!AE10+'[4]골재사업소(누계)'!AE10</f>
        <v>84000</v>
      </c>
      <c r="AF10" s="376">
        <f>+'골재사업소(당월)'!AF10+'[4]골재사업소(누계)'!AF10</f>
        <v>68549</v>
      </c>
      <c r="AG10" s="277">
        <f>AF10-AE10</f>
        <v>-15451</v>
      </c>
      <c r="AH10" s="397">
        <f>+P10+AB10+AE10</f>
        <v>483800</v>
      </c>
      <c r="AI10" s="376">
        <f>+Q10+AC10+AF10</f>
        <v>256484</v>
      </c>
      <c r="AJ10" s="398">
        <f>AI10-AH10</f>
        <v>-227316</v>
      </c>
    </row>
    <row r="11" spans="1:39" ht="24" customHeight="1" x14ac:dyDescent="0.3">
      <c r="D11" s="257"/>
      <c r="E11" s="258"/>
      <c r="F11" s="275" t="s">
        <v>10</v>
      </c>
      <c r="G11" s="271">
        <f>+G10/G$12</f>
        <v>0.14586158276024139</v>
      </c>
      <c r="H11" s="377">
        <f>+H10/H$12</f>
        <v>0.35882482823113787</v>
      </c>
      <c r="I11" s="274">
        <f>+H11-G11</f>
        <v>0.21296324547089648</v>
      </c>
      <c r="J11" s="273">
        <f>+J10/J$12</f>
        <v>0.74416727606918642</v>
      </c>
      <c r="K11" s="377">
        <f>+K10/K$12</f>
        <v>0.86820925553319916</v>
      </c>
      <c r="L11" s="272">
        <f>+K11-J11</f>
        <v>0.12404197946401274</v>
      </c>
      <c r="M11" s="273">
        <f>+M10/M$12</f>
        <v>1</v>
      </c>
      <c r="N11" s="377" t="e">
        <f>+N10/N$12</f>
        <v>#DIV/0!</v>
      </c>
      <c r="O11" s="272" t="e">
        <f>+N11-M11</f>
        <v>#DIV/0!</v>
      </c>
      <c r="P11" s="399">
        <f>+P10/P$12</f>
        <v>0.59780854698766706</v>
      </c>
      <c r="Q11" s="377">
        <f>+Q10/Q$12</f>
        <v>0.40651009476720229</v>
      </c>
      <c r="R11" s="400">
        <f>+Q11-P11</f>
        <v>-0.19129845222046477</v>
      </c>
      <c r="S11" s="271">
        <f>+S10/S$12</f>
        <v>0.33818942945795394</v>
      </c>
      <c r="T11" s="377">
        <f>+T10/T$12</f>
        <v>0.32119936335164551</v>
      </c>
      <c r="U11" s="274">
        <f>+T11-S11</f>
        <v>-1.6990066106308432E-2</v>
      </c>
      <c r="V11" s="273">
        <f>+V10/V$12</f>
        <v>0.60243657983643151</v>
      </c>
      <c r="W11" s="377">
        <f>+W10/W$12</f>
        <v>0.34443289994664572</v>
      </c>
      <c r="X11" s="272">
        <f>+W11-V11</f>
        <v>-0.25800367988978579</v>
      </c>
      <c r="Y11" s="273" t="e">
        <f>+Y10/Y$12</f>
        <v>#DIV/0!</v>
      </c>
      <c r="Z11" s="377">
        <f>+Z10/Z$12</f>
        <v>1</v>
      </c>
      <c r="AA11" s="272" t="e">
        <f>+Z11-Y11</f>
        <v>#DIV/0!</v>
      </c>
      <c r="AB11" s="399">
        <f>+AB10/AB$12</f>
        <v>0.49689256937649662</v>
      </c>
      <c r="AC11" s="377">
        <f>+AC10/AC$12</f>
        <v>0.33524164596194467</v>
      </c>
      <c r="AD11" s="400">
        <f>+AC11-AB11</f>
        <v>-0.16165092341455195</v>
      </c>
      <c r="AE11" s="272">
        <f>+AE10/AE$12</f>
        <v>0.34753960779925863</v>
      </c>
      <c r="AF11" s="377">
        <f>+AF10/AF$12</f>
        <v>0.36111491576496368</v>
      </c>
      <c r="AG11" s="272">
        <f>+AF11-AE11</f>
        <v>1.3575307965705052E-2</v>
      </c>
      <c r="AH11" s="399">
        <f>+AH10/AH$12</f>
        <v>0.49344202365686385</v>
      </c>
      <c r="AI11" s="377">
        <f>+AI10/AI$12</f>
        <v>0.35906790516656051</v>
      </c>
      <c r="AJ11" s="400">
        <f>+AI11-AH11</f>
        <v>-0.13437411849030334</v>
      </c>
      <c r="AL11" s="6">
        <f>+'골재사업소(당월)'!AL12</f>
        <v>124172.91387527347</v>
      </c>
    </row>
    <row r="12" spans="1:39" ht="24" customHeight="1" x14ac:dyDescent="0.3">
      <c r="D12" s="257"/>
      <c r="E12" s="270"/>
      <c r="F12" s="269" t="s">
        <v>43</v>
      </c>
      <c r="G12" s="265">
        <f>G8+G10</f>
        <v>135745.13333333333</v>
      </c>
      <c r="H12" s="378">
        <f>H8+H10</f>
        <v>153986</v>
      </c>
      <c r="I12" s="268">
        <f t="shared" ref="I12:I32" si="2">H12-G12</f>
        <v>18240.866666666669</v>
      </c>
      <c r="J12" s="267">
        <f>J8+J10</f>
        <v>56438.923546666665</v>
      </c>
      <c r="K12" s="378">
        <f>K8+K10</f>
        <v>15904</v>
      </c>
      <c r="L12" s="266">
        <f t="shared" ref="L12:L32" si="3">K12-J12</f>
        <v>-40534.923546666665</v>
      </c>
      <c r="M12" s="267">
        <f>M8+M10</f>
        <v>132000</v>
      </c>
      <c r="N12" s="378">
        <f>N8+N10</f>
        <v>0</v>
      </c>
      <c r="O12" s="266">
        <f t="shared" ref="O12:O32" si="4">N12-M12</f>
        <v>-132000</v>
      </c>
      <c r="P12" s="401">
        <f>P8+P10</f>
        <v>324184.05687999999</v>
      </c>
      <c r="Q12" s="378">
        <f>Q8+Q10</f>
        <v>169890</v>
      </c>
      <c r="R12" s="402">
        <f t="shared" ref="R12:R32" si="5">Q12-P12</f>
        <v>-154294.05687999999</v>
      </c>
      <c r="S12" s="265">
        <f>S8+S10</f>
        <v>165587.67105688711</v>
      </c>
      <c r="T12" s="378">
        <f>T8+T10</f>
        <v>175293</v>
      </c>
      <c r="U12" s="268">
        <f t="shared" ref="U12:U32" si="6">T12-S12</f>
        <v>9705.3289431128942</v>
      </c>
      <c r="V12" s="267">
        <f>V8+V10</f>
        <v>248988.86458841315</v>
      </c>
      <c r="W12" s="378">
        <f>W8+W10</f>
        <v>178055</v>
      </c>
      <c r="X12" s="266">
        <f t="shared" ref="X12:X32" si="7">W12-V12</f>
        <v>-70933.864588413155</v>
      </c>
      <c r="Y12" s="267">
        <f>Y8+Y10</f>
        <v>0</v>
      </c>
      <c r="Z12" s="378">
        <f>Z8+Z10</f>
        <v>1241</v>
      </c>
      <c r="AA12" s="266">
        <f t="shared" ref="AA12:AA32" si="8">Z12-Y12</f>
        <v>1241</v>
      </c>
      <c r="AB12" s="401">
        <f>AB8+AB10</f>
        <v>414576.53564530029</v>
      </c>
      <c r="AC12" s="378">
        <f>AC8+AC10</f>
        <v>354589</v>
      </c>
      <c r="AD12" s="402">
        <f t="shared" ref="AD12:AD32" si="9">AC12-AB12</f>
        <v>-59987.53564530029</v>
      </c>
      <c r="AE12" s="266">
        <f>AE8+AE10</f>
        <v>241699.07001943502</v>
      </c>
      <c r="AF12" s="378">
        <f>AF8+AF10</f>
        <v>189826</v>
      </c>
      <c r="AG12" s="266">
        <f t="shared" ref="AG12:AG32" si="10">AF12-AE12</f>
        <v>-51873.070019435021</v>
      </c>
      <c r="AH12" s="401">
        <f>AH8+AH10</f>
        <v>980459.66254473524</v>
      </c>
      <c r="AI12" s="378">
        <f>AI8+AI10</f>
        <v>714305</v>
      </c>
      <c r="AJ12" s="402">
        <f t="shared" ref="AJ12:AJ32" si="11">AI12-AH12</f>
        <v>-266154.66254473524</v>
      </c>
      <c r="AL12" s="6">
        <f>+'골재사업소(당월)'!AL12+'[4]골재사업소(누계)'!AL12</f>
        <v>980459.66254473524</v>
      </c>
      <c r="AM12" s="6">
        <f>+'골재사업소(당월)'!AM12+'[4]골재사업소(누계)'!AM12</f>
        <v>714305</v>
      </c>
    </row>
    <row r="13" spans="1:39" ht="24" customHeight="1" x14ac:dyDescent="0.3">
      <c r="D13" s="257"/>
      <c r="E13" s="264" t="s">
        <v>77</v>
      </c>
      <c r="F13" s="263" t="s">
        <v>132</v>
      </c>
      <c r="G13" s="259">
        <f>+'골재사업소(당월)'!G13+'[4]골재사업소(누계)'!G13</f>
        <v>1775516.9333333331</v>
      </c>
      <c r="H13" s="374">
        <f>+'골재사업소(당월)'!H13+'[4]골재사업소(누계)'!H13</f>
        <v>1603364</v>
      </c>
      <c r="I13" s="262">
        <f t="shared" si="2"/>
        <v>-172152.93333333312</v>
      </c>
      <c r="J13" s="261">
        <f>+'골재사업소(당월)'!J13+'[4]골재사업소(누계)'!J13</f>
        <v>252487.58653333335</v>
      </c>
      <c r="K13" s="374">
        <f>+'골재사업소(당월)'!K13+'[4]골재사업소(누계)'!K13</f>
        <v>19824</v>
      </c>
      <c r="L13" s="260">
        <f t="shared" si="3"/>
        <v>-232663.58653333335</v>
      </c>
      <c r="M13" s="261">
        <f>+'골재사업소(당월)'!M13+'[4]골재사업소(누계)'!M13</f>
        <v>0</v>
      </c>
      <c r="N13" s="374">
        <f>+'골재사업소(당월)'!N13+'[4]골재사업소(누계)'!N13</f>
        <v>0</v>
      </c>
      <c r="O13" s="260">
        <f t="shared" si="4"/>
        <v>0</v>
      </c>
      <c r="P13" s="393">
        <f>+G13+J13+M13</f>
        <v>2028004.5198666665</v>
      </c>
      <c r="Q13" s="374">
        <f>+H13+K13+N13</f>
        <v>1623188</v>
      </c>
      <c r="R13" s="394">
        <f t="shared" si="5"/>
        <v>-404816.51986666652</v>
      </c>
      <c r="S13" s="259">
        <f>+'골재사업소(당월)'!S13+'[4]골재사업소(누계)'!S13</f>
        <v>1753402.7369101937</v>
      </c>
      <c r="T13" s="374">
        <f>+'골재사업소(당월)'!T13+'[4]골재사업소(누계)'!T13</f>
        <v>1959899.5</v>
      </c>
      <c r="U13" s="262">
        <f t="shared" si="6"/>
        <v>206496.76308980631</v>
      </c>
      <c r="V13" s="261">
        <f>+'골재사업소(당월)'!V13+'[4]골재사업소(누계)'!V13</f>
        <v>2188907.6661786642</v>
      </c>
      <c r="W13" s="374">
        <f>+'골재사업소(당월)'!W13+'[4]골재사업소(누계)'!W13</f>
        <v>2546772.5</v>
      </c>
      <c r="X13" s="260">
        <f t="shared" si="7"/>
        <v>357864.83382133581</v>
      </c>
      <c r="Y13" s="261">
        <f>+'골재사업소(당월)'!Y13+'[4]골재사업소(누계)'!Y13</f>
        <v>0</v>
      </c>
      <c r="Z13" s="374">
        <f>+'골재사업소(당월)'!Z13+'[4]골재사업소(누계)'!Z13</f>
        <v>0</v>
      </c>
      <c r="AA13" s="260">
        <f t="shared" si="8"/>
        <v>0</v>
      </c>
      <c r="AB13" s="393">
        <f t="shared" ref="AB13:AC13" si="12">+S13+V13+Y13</f>
        <v>3942310.4030888579</v>
      </c>
      <c r="AC13" s="374">
        <f t="shared" si="12"/>
        <v>4506672</v>
      </c>
      <c r="AD13" s="394">
        <f t="shared" si="9"/>
        <v>564361.59691114211</v>
      </c>
      <c r="AE13" s="260">
        <f>+'골재사업소(당월)'!AE13+'[4]골재사업소(누계)'!AE13</f>
        <v>4592479.9663017308</v>
      </c>
      <c r="AF13" s="374">
        <f>+'골재사업소(당월)'!AF13+'[4]골재사업소(누계)'!AF13</f>
        <v>3569226.08</v>
      </c>
      <c r="AG13" s="260">
        <f t="shared" si="10"/>
        <v>-1023253.8863017308</v>
      </c>
      <c r="AH13" s="393">
        <f>+P13+AB13+AE13</f>
        <v>10562794.889257256</v>
      </c>
      <c r="AI13" s="374">
        <f>+Q13+AC13+AF13</f>
        <v>9699086.0800000001</v>
      </c>
      <c r="AJ13" s="394">
        <f t="shared" si="11"/>
        <v>-863708.80925725587</v>
      </c>
      <c r="AL13" s="6" t="b">
        <f>+AL12=AL12</f>
        <v>1</v>
      </c>
      <c r="AM13" s="6" t="b">
        <f>+AM12=AI12</f>
        <v>1</v>
      </c>
    </row>
    <row r="14" spans="1:39" ht="24" customHeight="1" x14ac:dyDescent="0.3">
      <c r="D14" s="257"/>
      <c r="E14" s="258"/>
      <c r="F14" s="256" t="s">
        <v>131</v>
      </c>
      <c r="G14" s="252">
        <f>+G13/G8*1000</f>
        <v>15313.423533084901</v>
      </c>
      <c r="H14" s="379">
        <f>+H13/H8*1000</f>
        <v>16239.5575902443</v>
      </c>
      <c r="I14" s="255">
        <f t="shared" si="2"/>
        <v>926.13405715939916</v>
      </c>
      <c r="J14" s="254">
        <f>+J13/J8*1000</f>
        <v>17486.5934927415</v>
      </c>
      <c r="K14" s="379">
        <f>+K13/K8*1000</f>
        <v>9458.0152671755714</v>
      </c>
      <c r="L14" s="253">
        <f t="shared" si="3"/>
        <v>-8028.5782255659287</v>
      </c>
      <c r="M14" s="254" t="e">
        <f>+M13/M8*1000</f>
        <v>#DIV/0!</v>
      </c>
      <c r="N14" s="379" t="e">
        <f>+N13/N8*1000</f>
        <v>#DIV/0!</v>
      </c>
      <c r="O14" s="253" t="e">
        <f t="shared" si="4"/>
        <v>#DIV/0!</v>
      </c>
      <c r="P14" s="403">
        <f>+P13/P8*1000</f>
        <v>15554.083592698429</v>
      </c>
      <c r="Q14" s="379">
        <f>+Q13/Q8*1000</f>
        <v>16098.583726742572</v>
      </c>
      <c r="R14" s="404">
        <f t="shared" si="5"/>
        <v>544.50013404414312</v>
      </c>
      <c r="S14" s="252">
        <f>+S13/S8*1000</f>
        <v>16000</v>
      </c>
      <c r="T14" s="379">
        <f>+T13/T8*1000</f>
        <v>16471.266251502238</v>
      </c>
      <c r="U14" s="255">
        <f t="shared" si="6"/>
        <v>471.26625150223845</v>
      </c>
      <c r="V14" s="254">
        <f>+V13/V8*1000</f>
        <v>22112.665654666776</v>
      </c>
      <c r="W14" s="379">
        <f>+W13/W8*1000</f>
        <v>21818.19544749715</v>
      </c>
      <c r="X14" s="253">
        <f t="shared" si="7"/>
        <v>-294.47020716962652</v>
      </c>
      <c r="Y14" s="254" t="e">
        <f>+Y13/Y8*1000</f>
        <v>#DIV/0!</v>
      </c>
      <c r="Z14" s="379" t="e">
        <f>+Z13/Z8*1000</f>
        <v>#DIV/0!</v>
      </c>
      <c r="AA14" s="253" t="e">
        <f t="shared" si="8"/>
        <v>#DIV/0!</v>
      </c>
      <c r="AB14" s="403">
        <f>+AB13/AB8*1000</f>
        <v>18901.025424034495</v>
      </c>
      <c r="AC14" s="379">
        <f>+AC13/AC8*1000</f>
        <v>19119.075497632744</v>
      </c>
      <c r="AD14" s="404">
        <f t="shared" si="9"/>
        <v>218.05007359824958</v>
      </c>
      <c r="AE14" s="253">
        <f>+AE13/AE8*1000</f>
        <v>29121.794857355522</v>
      </c>
      <c r="AF14" s="379">
        <f>+AF13/AF8*1000</f>
        <v>29430.362558440596</v>
      </c>
      <c r="AG14" s="253">
        <f t="shared" si="10"/>
        <v>308.56770108507408</v>
      </c>
      <c r="AH14" s="403">
        <f>+AH13/AH8*1000</f>
        <v>21267.672182469298</v>
      </c>
      <c r="AI14" s="379">
        <f>+AI13/AI8*1000</f>
        <v>21185.323696379153</v>
      </c>
      <c r="AJ14" s="404">
        <f t="shared" si="11"/>
        <v>-82.348486090144434</v>
      </c>
    </row>
    <row r="15" spans="1:39" ht="24" customHeight="1" x14ac:dyDescent="0.3">
      <c r="D15" s="257"/>
      <c r="E15" s="664"/>
      <c r="F15" s="223" t="s">
        <v>135</v>
      </c>
      <c r="G15" s="247">
        <f>+'골재사업소(당월)'!G15+'[4]골재사업소(누계)'!G15</f>
        <v>227700</v>
      </c>
      <c r="H15" s="380">
        <f>+'골재사업소(당월)'!H15+'[4]골재사업소(누계)'!H15</f>
        <v>647447</v>
      </c>
      <c r="I15" s="250">
        <f t="shared" si="2"/>
        <v>419747</v>
      </c>
      <c r="J15" s="249">
        <f>+'골재사업소(당월)'!J15+'[4]골재사업소(누계)'!J15</f>
        <v>630000</v>
      </c>
      <c r="K15" s="380">
        <f>+'골재사업소(당월)'!K15+'[4]골재사업소(누계)'!K15</f>
        <v>117104</v>
      </c>
      <c r="L15" s="248">
        <f t="shared" si="3"/>
        <v>-512896</v>
      </c>
      <c r="M15" s="249">
        <f>+'골재사업소(당월)'!M15+'[4]골재사업소(누계)'!M15</f>
        <v>1188000</v>
      </c>
      <c r="N15" s="380">
        <f>+'골재사업소(당월)'!N15+'[4]골재사업소(누계)'!N15</f>
        <v>0</v>
      </c>
      <c r="O15" s="248">
        <f t="shared" si="4"/>
        <v>-1188000</v>
      </c>
      <c r="P15" s="405">
        <f>+G15+J15+M15</f>
        <v>2045700</v>
      </c>
      <c r="Q15" s="380">
        <f>+H15+K15+N15</f>
        <v>764551</v>
      </c>
      <c r="R15" s="406">
        <f t="shared" si="5"/>
        <v>-1281149</v>
      </c>
      <c r="S15" s="247">
        <f>+'골재사업소(당월)'!S15+'[4]골재사업소(누계)'!S15</f>
        <v>672000</v>
      </c>
      <c r="T15" s="380">
        <f>+'골재사업소(당월)'!T15+'[4]골재사업소(누계)'!T15</f>
        <v>731952</v>
      </c>
      <c r="U15" s="250">
        <f t="shared" si="6"/>
        <v>59952</v>
      </c>
      <c r="V15" s="249">
        <f>+'골재사업소(당월)'!V15+'[4]골재사업소(누계)'!V15</f>
        <v>2850000</v>
      </c>
      <c r="W15" s="380">
        <f>+'골재사업소(당월)'!W15+'[4]골재사업소(누계)'!W15</f>
        <v>1132240</v>
      </c>
      <c r="X15" s="248">
        <f t="shared" si="7"/>
        <v>-1717760</v>
      </c>
      <c r="Y15" s="249">
        <f>+'골재사업소(당월)'!Y15+'[4]골재사업소(누계)'!Y15</f>
        <v>0</v>
      </c>
      <c r="Z15" s="380">
        <f>+'골재사업소(당월)'!Z15+'[4]골재사업소(누계)'!Z15</f>
        <v>34127.5</v>
      </c>
      <c r="AA15" s="248">
        <f t="shared" si="8"/>
        <v>34127.5</v>
      </c>
      <c r="AB15" s="405">
        <f t="shared" ref="AB15:AC15" si="13">+S15+V15+Y15</f>
        <v>3522000</v>
      </c>
      <c r="AC15" s="380">
        <f t="shared" si="13"/>
        <v>1898319.5</v>
      </c>
      <c r="AD15" s="406">
        <f t="shared" si="9"/>
        <v>-1623680.5</v>
      </c>
      <c r="AE15" s="248">
        <f>+'골재사업소(당월)'!AE15+'[4]골재사업소(누계)'!AE15</f>
        <v>2472000</v>
      </c>
      <c r="AF15" s="380">
        <f>+'골재사업소(당월)'!AF15+'[4]골재사업소(누계)'!AF15</f>
        <v>2013647.5</v>
      </c>
      <c r="AG15" s="248">
        <f t="shared" si="10"/>
        <v>-458352.5</v>
      </c>
      <c r="AH15" s="405">
        <f>+P15+AB15+AE15</f>
        <v>8039700</v>
      </c>
      <c r="AI15" s="380">
        <f>+Q15+AC15+AF15</f>
        <v>4676518</v>
      </c>
      <c r="AJ15" s="406">
        <f t="shared" si="11"/>
        <v>-3363182</v>
      </c>
    </row>
    <row r="16" spans="1:39" ht="24" customHeight="1" x14ac:dyDescent="0.3">
      <c r="D16" s="76"/>
      <c r="E16" s="664"/>
      <c r="F16" s="256" t="s">
        <v>131</v>
      </c>
      <c r="G16" s="252">
        <f>IFERROR(G15/G10,)*1000</f>
        <v>11500</v>
      </c>
      <c r="H16" s="379">
        <f>IFERROR(H15/H10,)*1000</f>
        <v>11717.649400948349</v>
      </c>
      <c r="I16" s="255">
        <f t="shared" si="2"/>
        <v>217.64940094834856</v>
      </c>
      <c r="J16" s="254">
        <f>IFERROR(J15/J10,)*1000</f>
        <v>15000</v>
      </c>
      <c r="K16" s="379">
        <f>IFERROR(K15/K10,)*1000</f>
        <v>8480.8806488991886</v>
      </c>
      <c r="L16" s="253">
        <f t="shared" si="3"/>
        <v>-6519.1193511008114</v>
      </c>
      <c r="M16" s="254">
        <f>IFERROR(M15/M10,)*1000</f>
        <v>9000</v>
      </c>
      <c r="N16" s="379">
        <f>IFERROR(N15/N10,)*1000</f>
        <v>0</v>
      </c>
      <c r="O16" s="253">
        <f t="shared" si="4"/>
        <v>-9000</v>
      </c>
      <c r="P16" s="403">
        <f>IFERROR(P15/P10,)*1000</f>
        <v>10555.727554179568</v>
      </c>
      <c r="Q16" s="379">
        <f>IFERROR(Q15/Q10,)*1000</f>
        <v>11070.501867886825</v>
      </c>
      <c r="R16" s="404">
        <f t="shared" si="5"/>
        <v>514.77431370725753</v>
      </c>
      <c r="S16" s="252">
        <f>IFERROR(S15/S10,)*1000</f>
        <v>12000</v>
      </c>
      <c r="T16" s="379">
        <f>IFERROR(T15/T10,)*1000</f>
        <v>13000</v>
      </c>
      <c r="U16" s="255">
        <f t="shared" si="6"/>
        <v>1000</v>
      </c>
      <c r="V16" s="254">
        <f>IFERROR(V15/V10,)*1000</f>
        <v>19000</v>
      </c>
      <c r="W16" s="379">
        <f>IFERROR(W15/W10,)*1000</f>
        <v>18462.040177406732</v>
      </c>
      <c r="X16" s="253">
        <f t="shared" si="7"/>
        <v>-537.95982259326775</v>
      </c>
      <c r="Y16" s="254">
        <f>IFERROR(Y15/Y10,)*1000</f>
        <v>0</v>
      </c>
      <c r="Z16" s="379">
        <f>IFERROR(Z15/Z10,)*1000</f>
        <v>27500</v>
      </c>
      <c r="AA16" s="253">
        <f t="shared" si="8"/>
        <v>27500</v>
      </c>
      <c r="AB16" s="403">
        <f>IFERROR(AB15/AB10,)*1000</f>
        <v>17097.087378640776</v>
      </c>
      <c r="AC16" s="379">
        <f>IFERROR(AC15/AC10,)*1000</f>
        <v>15969.307580358871</v>
      </c>
      <c r="AD16" s="404">
        <f t="shared" si="9"/>
        <v>-1127.7797982819047</v>
      </c>
      <c r="AE16" s="253">
        <f>IFERROR(AE15/AE10,)*1000</f>
        <v>29428.571428571428</v>
      </c>
      <c r="AF16" s="379">
        <f>IFERROR(AF15/AF10,)*1000</f>
        <v>29375.300879662725</v>
      </c>
      <c r="AG16" s="253">
        <f t="shared" si="10"/>
        <v>-53.27054890870204</v>
      </c>
      <c r="AH16" s="403">
        <f>IFERROR(AH15/AH10,)*1000</f>
        <v>16617.817279867715</v>
      </c>
      <c r="AI16" s="379">
        <f>IFERROR(AI15/AI10,)*1000</f>
        <v>18233.176338485053</v>
      </c>
      <c r="AJ16" s="404">
        <f t="shared" si="11"/>
        <v>1615.3590586173377</v>
      </c>
    </row>
    <row r="17" spans="4:39" ht="24" customHeight="1" x14ac:dyDescent="0.3">
      <c r="D17" s="76"/>
      <c r="E17" s="664"/>
      <c r="F17" s="251" t="s">
        <v>43</v>
      </c>
      <c r="G17" s="247">
        <f>G13+G15</f>
        <v>2003216.9333333331</v>
      </c>
      <c r="H17" s="380">
        <f>H13+H15</f>
        <v>2250811</v>
      </c>
      <c r="I17" s="250">
        <f t="shared" si="2"/>
        <v>247594.06666666688</v>
      </c>
      <c r="J17" s="249">
        <f>J13+J15</f>
        <v>882487.58653333341</v>
      </c>
      <c r="K17" s="380">
        <f>K13+K15</f>
        <v>136928</v>
      </c>
      <c r="L17" s="248">
        <f t="shared" si="3"/>
        <v>-745559.58653333341</v>
      </c>
      <c r="M17" s="249">
        <f>M13+M15</f>
        <v>1188000</v>
      </c>
      <c r="N17" s="380">
        <f>N13+N15</f>
        <v>0</v>
      </c>
      <c r="O17" s="248">
        <f t="shared" si="4"/>
        <v>-1188000</v>
      </c>
      <c r="P17" s="405">
        <f>P13+P15</f>
        <v>4073704.5198666668</v>
      </c>
      <c r="Q17" s="380">
        <f>Q13+Q15</f>
        <v>2387739</v>
      </c>
      <c r="R17" s="406">
        <f t="shared" si="5"/>
        <v>-1685965.5198666668</v>
      </c>
      <c r="S17" s="247">
        <f>S13+S15</f>
        <v>2425402.7369101937</v>
      </c>
      <c r="T17" s="380">
        <f>T13+T15</f>
        <v>2691851.5</v>
      </c>
      <c r="U17" s="250">
        <f t="shared" si="6"/>
        <v>266448.76308980631</v>
      </c>
      <c r="V17" s="249">
        <f>V13+V15</f>
        <v>5038907.6661786642</v>
      </c>
      <c r="W17" s="380">
        <f>W13+W15</f>
        <v>3679012.5</v>
      </c>
      <c r="X17" s="248">
        <f t="shared" si="7"/>
        <v>-1359895.1661786642</v>
      </c>
      <c r="Y17" s="249">
        <f>Y13+Y15</f>
        <v>0</v>
      </c>
      <c r="Z17" s="380">
        <f>Z13+Z15</f>
        <v>34127.5</v>
      </c>
      <c r="AA17" s="248">
        <f t="shared" si="8"/>
        <v>34127.5</v>
      </c>
      <c r="AB17" s="405">
        <f>AB13+AB15</f>
        <v>7464310.4030888584</v>
      </c>
      <c r="AC17" s="380">
        <f>AC13+AC15</f>
        <v>6404991.5</v>
      </c>
      <c r="AD17" s="406">
        <f t="shared" si="9"/>
        <v>-1059318.9030888584</v>
      </c>
      <c r="AE17" s="248">
        <f>AE13+AE15</f>
        <v>7064479.9663017308</v>
      </c>
      <c r="AF17" s="380">
        <f>AF13+AF15</f>
        <v>5582873.5800000001</v>
      </c>
      <c r="AG17" s="248">
        <f t="shared" si="10"/>
        <v>-1481606.3863017308</v>
      </c>
      <c r="AH17" s="405">
        <f>AH13+AH15</f>
        <v>18602494.889257256</v>
      </c>
      <c r="AI17" s="380">
        <f>AI13+AI15</f>
        <v>14375604.08</v>
      </c>
      <c r="AJ17" s="406">
        <f t="shared" si="11"/>
        <v>-4226890.8092572559</v>
      </c>
      <c r="AL17" s="6">
        <f>+'골재사업소(당월)'!AL17+'[4]골재사업소(누계)'!AL17</f>
        <v>18602494.889257252</v>
      </c>
      <c r="AM17" s="6">
        <f>+'골재사업소(당월)'!AM17+'[4]골재사업소(누계)'!AM17</f>
        <v>14375604.08</v>
      </c>
    </row>
    <row r="18" spans="4:39" ht="24" customHeight="1" x14ac:dyDescent="0.3">
      <c r="D18" s="76"/>
      <c r="E18" s="246" t="s">
        <v>7</v>
      </c>
      <c r="F18" s="245" t="s">
        <v>134</v>
      </c>
      <c r="G18" s="229">
        <f>+'골재사업소(당월)'!G18+'[4]골재사업소(누계)'!G18</f>
        <v>365777.96614934981</v>
      </c>
      <c r="H18" s="381">
        <f>+'골재사업소(당월)'!H18+'[4]골재사업소(누계)'!H18</f>
        <v>152007.26137924445</v>
      </c>
      <c r="I18" s="232">
        <f t="shared" si="2"/>
        <v>-213770.70477010537</v>
      </c>
      <c r="J18" s="231">
        <f>+'골재사업소(당월)'!J18+'[4]골재사업소(누계)'!J18</f>
        <v>98357.572173909663</v>
      </c>
      <c r="K18" s="381">
        <f>+'골재사업소(당월)'!K18+'[4]골재사업소(누계)'!K18</f>
        <v>8957.9034389485114</v>
      </c>
      <c r="L18" s="230">
        <f t="shared" si="3"/>
        <v>-89399.668734961146</v>
      </c>
      <c r="M18" s="231">
        <f>+'골재사업소(당월)'!M18+'[4]골재사업소(누계)'!M18</f>
        <v>0</v>
      </c>
      <c r="N18" s="381">
        <f>+'골재사업소(당월)'!N18+'[4]골재사업소(누계)'!N18</f>
        <v>0</v>
      </c>
      <c r="O18" s="230">
        <f t="shared" si="4"/>
        <v>0</v>
      </c>
      <c r="P18" s="407">
        <f>+G18+J18+M18</f>
        <v>464135.53832325945</v>
      </c>
      <c r="Q18" s="381">
        <f>+H18+K18+N18</f>
        <v>160965.16481819295</v>
      </c>
      <c r="R18" s="408">
        <f t="shared" si="5"/>
        <v>-303170.3735050665</v>
      </c>
      <c r="S18" s="660">
        <f>+'골재사업소(당월)'!S18+'[4]골재사업소(누계)'!S18</f>
        <v>-120909.57296073294</v>
      </c>
      <c r="T18" s="381">
        <f>+'골재사업소(당월)'!T18+'[4]골재사업소(누계)'!T18</f>
        <v>-299292.76996835554</v>
      </c>
      <c r="U18" s="232">
        <f t="shared" si="6"/>
        <v>-178383.1970076226</v>
      </c>
      <c r="V18" s="231">
        <f>+'골재사업소(당월)'!V18+'[4]골재사업소(누계)'!V18</f>
        <v>484124.98849335156</v>
      </c>
      <c r="W18" s="381">
        <f>+'골재사업소(당월)'!W18+'[4]골재사업소(누계)'!W18</f>
        <v>336479.23354378948</v>
      </c>
      <c r="X18" s="230">
        <f t="shared" si="7"/>
        <v>-147645.75494956208</v>
      </c>
      <c r="Y18" s="231">
        <f>+'골재사업소(당월)'!Y18+'[4]골재사업소(누계)'!Y18</f>
        <v>0</v>
      </c>
      <c r="Z18" s="381">
        <f>+'골재사업소(당월)'!Z18+'[4]골재사업소(누계)'!Z18</f>
        <v>0</v>
      </c>
      <c r="AA18" s="230">
        <f t="shared" si="8"/>
        <v>0</v>
      </c>
      <c r="AB18" s="407">
        <f t="shared" ref="AB18:AB19" si="14">+S18+V18+Y18</f>
        <v>363215.41553261864</v>
      </c>
      <c r="AC18" s="381">
        <f t="shared" ref="AC18:AC19" si="15">+T18+W18+Z18</f>
        <v>37186.46357543394</v>
      </c>
      <c r="AD18" s="408">
        <f t="shared" si="9"/>
        <v>-326028.9519571847</v>
      </c>
      <c r="AE18" s="230">
        <f>+'골재사업소(당월)'!AE18+'[4]골재사업소(누계)'!AE18</f>
        <v>239917.79340034086</v>
      </c>
      <c r="AF18" s="381">
        <f>+'골재사업소(당월)'!AF18+'[4]골재사업소(누계)'!AF18</f>
        <v>376026.12800000003</v>
      </c>
      <c r="AG18" s="230">
        <f t="shared" si="10"/>
        <v>136108.33459965917</v>
      </c>
      <c r="AH18" s="407">
        <f>+P18+AB18+AE18</f>
        <v>1067268.7472562189</v>
      </c>
      <c r="AI18" s="381">
        <f>+Q18+AC18+AF18</f>
        <v>574177.75639362691</v>
      </c>
      <c r="AJ18" s="408">
        <f t="shared" si="11"/>
        <v>-493090.99086259201</v>
      </c>
      <c r="AL18" s="6" t="b">
        <f>+AL17=AL17</f>
        <v>1</v>
      </c>
      <c r="AM18" s="6" t="b">
        <f>+AM17=AI17</f>
        <v>1</v>
      </c>
    </row>
    <row r="19" spans="4:39" ht="24" customHeight="1" x14ac:dyDescent="0.3">
      <c r="D19" s="76"/>
      <c r="E19" s="165"/>
      <c r="F19" s="244" t="s">
        <v>133</v>
      </c>
      <c r="G19" s="240">
        <f>+'골재사업소(당월)'!G19+'[4]골재사업소(누계)'!G19</f>
        <v>14301.259383107285</v>
      </c>
      <c r="H19" s="382">
        <f>+'골재사업소(당월)'!H19+'[4]골재사업소(누계)'!H19</f>
        <v>-255587.72729673138</v>
      </c>
      <c r="I19" s="243">
        <f t="shared" si="2"/>
        <v>-269888.98667983868</v>
      </c>
      <c r="J19" s="242">
        <f>+'골재사업소(당월)'!J19+'[4]골재사업소(누계)'!J19</f>
        <v>174931.25884307036</v>
      </c>
      <c r="K19" s="382">
        <f>+'골재사업소(당월)'!K19+'[4]골재사업소(누계)'!K19</f>
        <v>38049.038075170065</v>
      </c>
      <c r="L19" s="241">
        <f t="shared" si="3"/>
        <v>-136882.22076790029</v>
      </c>
      <c r="M19" s="242">
        <f>+'골재사업소(당월)'!M19+'[4]골재사업소(누계)'!M19</f>
        <v>179940.13840412942</v>
      </c>
      <c r="N19" s="382">
        <f>+'골재사업소(당월)'!N19+'[4]골재사업소(누계)'!N19</f>
        <v>0</v>
      </c>
      <c r="O19" s="241">
        <f t="shared" si="4"/>
        <v>-179940.13840412942</v>
      </c>
      <c r="P19" s="409">
        <f>+G19+J19+M19</f>
        <v>369172.65663030709</v>
      </c>
      <c r="Q19" s="382">
        <f>+H19+K19+N19</f>
        <v>-217538.6892215613</v>
      </c>
      <c r="R19" s="410">
        <f t="shared" si="5"/>
        <v>-586711.34585186839</v>
      </c>
      <c r="S19" s="240">
        <f>+'골재사업소(당월)'!S19+'[4]골재사업소(누계)'!S19</f>
        <v>-286859.24699233577</v>
      </c>
      <c r="T19" s="382">
        <f>+'골재사업소(당월)'!T19+'[4]골재사업소(누계)'!T19</f>
        <v>-320607.05613148323</v>
      </c>
      <c r="U19" s="243">
        <f t="shared" si="6"/>
        <v>-33747.809139147459</v>
      </c>
      <c r="V19" s="242">
        <f>+'골재사업소(당월)'!V19+'[4]골재사업소(누계)'!V19</f>
        <v>264283.25208283955</v>
      </c>
      <c r="W19" s="382">
        <f>+'골재사업소(당월)'!W19+'[4]골재사업소(누계)'!W19</f>
        <v>-27969.231196517496</v>
      </c>
      <c r="X19" s="241">
        <f t="shared" si="7"/>
        <v>-292252.48327935702</v>
      </c>
      <c r="Y19" s="242">
        <f>+'골재사업소(당월)'!Y19+'[4]골재사업소(누계)'!Y19</f>
        <v>0</v>
      </c>
      <c r="Z19" s="382">
        <f>+'골재사업소(당월)'!Z19+'[4]골재사업소(누계)'!Z19</f>
        <v>4813.3760625666546</v>
      </c>
      <c r="AA19" s="241">
        <f t="shared" si="8"/>
        <v>4813.3760625666546</v>
      </c>
      <c r="AB19" s="409">
        <f t="shared" si="14"/>
        <v>-22575.994909496221</v>
      </c>
      <c r="AC19" s="382">
        <f t="shared" si="15"/>
        <v>-343762.91126543406</v>
      </c>
      <c r="AD19" s="410">
        <f t="shared" si="9"/>
        <v>-321186.91635593784</v>
      </c>
      <c r="AE19" s="241">
        <f>+'골재사업소(당월)'!AE19+'[4]골재사업소(누계)'!AE19</f>
        <v>133201.37305901799</v>
      </c>
      <c r="AF19" s="382">
        <f>+'골재사업소(당월)'!AF19+'[4]골재사업소(누계)'!AF19</f>
        <v>-16871.408643984374</v>
      </c>
      <c r="AG19" s="241">
        <f t="shared" si="10"/>
        <v>-150072.78170300237</v>
      </c>
      <c r="AH19" s="409">
        <f>+P19+AB19+AE19</f>
        <v>479798.03477982886</v>
      </c>
      <c r="AI19" s="382">
        <f>+Q19+AC19+AF19</f>
        <v>-578173.00913097977</v>
      </c>
      <c r="AJ19" s="410">
        <f t="shared" si="11"/>
        <v>-1057971.0439108086</v>
      </c>
    </row>
    <row r="20" spans="4:39" ht="24" customHeight="1" x14ac:dyDescent="0.3">
      <c r="D20" s="76"/>
      <c r="E20" s="665"/>
      <c r="F20" s="239" t="s">
        <v>58</v>
      </c>
      <c r="G20" s="235">
        <f>G18+G19</f>
        <v>380079.22553245712</v>
      </c>
      <c r="H20" s="383">
        <f>H18+H19</f>
        <v>-103580.46591748693</v>
      </c>
      <c r="I20" s="238">
        <f t="shared" si="2"/>
        <v>-483659.69144994405</v>
      </c>
      <c r="J20" s="237">
        <f>J18+J19</f>
        <v>273288.83101698</v>
      </c>
      <c r="K20" s="383">
        <f>K18+K19</f>
        <v>47006.941514118575</v>
      </c>
      <c r="L20" s="236">
        <f t="shared" si="3"/>
        <v>-226281.88950286142</v>
      </c>
      <c r="M20" s="237">
        <f>M18+M19</f>
        <v>179940.13840412942</v>
      </c>
      <c r="N20" s="383">
        <f>N18+N19</f>
        <v>0</v>
      </c>
      <c r="O20" s="236">
        <f t="shared" si="4"/>
        <v>-179940.13840412942</v>
      </c>
      <c r="P20" s="411">
        <f>P18+P19</f>
        <v>833308.19495356653</v>
      </c>
      <c r="Q20" s="383">
        <f>Q18+Q19</f>
        <v>-56573.524403368356</v>
      </c>
      <c r="R20" s="412">
        <f t="shared" si="5"/>
        <v>-889881.71935693489</v>
      </c>
      <c r="S20" s="235">
        <f>S18+S19</f>
        <v>-407768.81995306874</v>
      </c>
      <c r="T20" s="383">
        <f>T18+T19</f>
        <v>-619899.82609983883</v>
      </c>
      <c r="U20" s="238">
        <f t="shared" si="6"/>
        <v>-212131.00614677009</v>
      </c>
      <c r="V20" s="237">
        <f>V18+V19</f>
        <v>748408.24057619111</v>
      </c>
      <c r="W20" s="383">
        <f>W18+W19</f>
        <v>308510.00234727201</v>
      </c>
      <c r="X20" s="236">
        <f t="shared" si="7"/>
        <v>-439898.2382289191</v>
      </c>
      <c r="Y20" s="237">
        <f>Y18+Y19</f>
        <v>0</v>
      </c>
      <c r="Z20" s="383">
        <f>Z18+Z19</f>
        <v>4813.3760625666546</v>
      </c>
      <c r="AA20" s="236">
        <f t="shared" si="8"/>
        <v>4813.3760625666546</v>
      </c>
      <c r="AB20" s="411">
        <f>AB18+AB19</f>
        <v>340639.42062312242</v>
      </c>
      <c r="AC20" s="383">
        <f>AC18+AC19</f>
        <v>-306576.44769000012</v>
      </c>
      <c r="AD20" s="412">
        <f t="shared" si="9"/>
        <v>-647215.86831312254</v>
      </c>
      <c r="AE20" s="236">
        <f>AE18+AE19</f>
        <v>373119.16645935888</v>
      </c>
      <c r="AF20" s="383">
        <f>AF18+AF19</f>
        <v>359154.71935601567</v>
      </c>
      <c r="AG20" s="236">
        <f t="shared" si="10"/>
        <v>-13964.447103343206</v>
      </c>
      <c r="AH20" s="411">
        <f>AH18+AH19</f>
        <v>1547066.7820360479</v>
      </c>
      <c r="AI20" s="383">
        <f>AI18+AI19</f>
        <v>-3995.2527373528574</v>
      </c>
      <c r="AJ20" s="412">
        <f t="shared" si="11"/>
        <v>-1551062.0347734008</v>
      </c>
      <c r="AL20" s="6">
        <f>+'골재사업소(당월)'!AL20+'[4]골재사업소(누계)'!AL20</f>
        <v>1547066.7820360477</v>
      </c>
      <c r="AM20" s="6">
        <f>+'골재사업소(당월)'!AM20+'[4]골재사업소(누계)'!AM20</f>
        <v>-3995.2527373526245</v>
      </c>
    </row>
    <row r="21" spans="4:39" ht="24" customHeight="1" x14ac:dyDescent="0.3">
      <c r="D21" s="76"/>
      <c r="E21" s="234" t="s">
        <v>132</v>
      </c>
      <c r="F21" s="233" t="s">
        <v>25</v>
      </c>
      <c r="G21" s="229">
        <f>+'골재사업소(당월)'!G21+'[4]골재사업소(누계)'!G21</f>
        <v>0</v>
      </c>
      <c r="H21" s="381">
        <f>+'골재사업소(당월)'!H21+'[4]골재사업소(누계)'!H21</f>
        <v>4208</v>
      </c>
      <c r="I21" s="232">
        <f t="shared" si="2"/>
        <v>4208</v>
      </c>
      <c r="J21" s="231">
        <f>+'골재사업소(당월)'!J21+'[4]골재사업소(누계)'!J21</f>
        <v>0</v>
      </c>
      <c r="K21" s="381">
        <f>+'골재사업소(당월)'!K21+'[4]골재사업소(누계)'!K21</f>
        <v>0</v>
      </c>
      <c r="L21" s="230">
        <f t="shared" si="3"/>
        <v>0</v>
      </c>
      <c r="M21" s="231">
        <f>+'골재사업소(당월)'!M21+'[4]골재사업소(누계)'!M21</f>
        <v>0</v>
      </c>
      <c r="N21" s="381">
        <f>+'골재사업소(당월)'!N21+'[4]골재사업소(누계)'!N21</f>
        <v>0</v>
      </c>
      <c r="O21" s="230">
        <f t="shared" si="4"/>
        <v>0</v>
      </c>
      <c r="P21" s="407">
        <f t="shared" ref="P21:Q26" si="16">+G21+J21+M21</f>
        <v>0</v>
      </c>
      <c r="Q21" s="381">
        <f t="shared" si="16"/>
        <v>4208</v>
      </c>
      <c r="R21" s="408">
        <f t="shared" si="5"/>
        <v>4208</v>
      </c>
      <c r="S21" s="229">
        <f>+'골재사업소(당월)'!S21+'[4]골재사업소(누계)'!S21</f>
        <v>109587.67105688711</v>
      </c>
      <c r="T21" s="381">
        <f>+'골재사업소(당월)'!T21+'[4]골재사업소(누계)'!T21</f>
        <v>96733</v>
      </c>
      <c r="U21" s="232">
        <f t="shared" si="6"/>
        <v>-12854.671056887106</v>
      </c>
      <c r="V21" s="231">
        <f>+'골재사업소(당월)'!V21+'[4]골재사업소(누계)'!V21</f>
        <v>77029.809749703476</v>
      </c>
      <c r="W21" s="381">
        <f>+'골재사업소(당월)'!W21+'[4]골재사업소(누계)'!W21</f>
        <v>69639</v>
      </c>
      <c r="X21" s="230">
        <f t="shared" si="7"/>
        <v>-7390.809749703476</v>
      </c>
      <c r="Y21" s="231">
        <f>+'골재사업소(당월)'!Y21+'[4]골재사업소(누계)'!Y21</f>
        <v>0</v>
      </c>
      <c r="Z21" s="381">
        <f>+'골재사업소(당월)'!Z21+'[4]골재사업소(누계)'!Z21</f>
        <v>0</v>
      </c>
      <c r="AA21" s="230">
        <f t="shared" si="8"/>
        <v>0</v>
      </c>
      <c r="AB21" s="407">
        <f t="shared" ref="AB21:AB32" si="17">+S21+V21+Y21</f>
        <v>186617.48080659058</v>
      </c>
      <c r="AC21" s="381">
        <f t="shared" ref="AC21:AC32" si="18">+T21+W21+Z21</f>
        <v>166372</v>
      </c>
      <c r="AD21" s="408">
        <f t="shared" si="9"/>
        <v>-20245.480806590582</v>
      </c>
      <c r="AE21" s="230">
        <f>+'골재사업소(당월)'!AE21+'[4]골재사업소(누계)'!AE21</f>
        <v>43498.923166288165</v>
      </c>
      <c r="AF21" s="381">
        <f>+'골재사업소(당월)'!AF21+'[4]골재사업소(누계)'!AF21</f>
        <v>42813</v>
      </c>
      <c r="AG21" s="230">
        <f t="shared" si="10"/>
        <v>-685.92316628816479</v>
      </c>
      <c r="AH21" s="407">
        <f t="shared" ref="AH21:AI26" si="19">+P21+AB21+AE21</f>
        <v>230116.40397287876</v>
      </c>
      <c r="AI21" s="381">
        <f t="shared" si="19"/>
        <v>213393</v>
      </c>
      <c r="AJ21" s="408">
        <f t="shared" si="11"/>
        <v>-16723.403972878761</v>
      </c>
      <c r="AL21" s="594" t="b">
        <f>+AL20=AL20</f>
        <v>1</v>
      </c>
      <c r="AM21" s="594" t="b">
        <f>+AM20=AI20</f>
        <v>0</v>
      </c>
    </row>
    <row r="22" spans="4:39" ht="24" customHeight="1" x14ac:dyDescent="0.3">
      <c r="D22" s="76"/>
      <c r="E22" s="165" t="s">
        <v>0</v>
      </c>
      <c r="F22" s="220" t="s">
        <v>26</v>
      </c>
      <c r="G22" s="225">
        <f>+'골재사업소(당월)'!G22+'[4]골재사업소(누계)'!G22</f>
        <v>102677.6</v>
      </c>
      <c r="H22" s="384">
        <f>+'골재사업소(당월)'!H22+'[4]골재사업소(누계)'!H22</f>
        <v>84316</v>
      </c>
      <c r="I22" s="228">
        <f t="shared" si="2"/>
        <v>-18361.600000000006</v>
      </c>
      <c r="J22" s="227">
        <f>+'골재사업소(당월)'!J22+'[4]골재사업소(누계)'!J22</f>
        <v>8006.7333333333336</v>
      </c>
      <c r="K22" s="384">
        <f>+'골재사업소(당월)'!K22+'[4]골재사업소(누계)'!K22</f>
        <v>640</v>
      </c>
      <c r="L22" s="226">
        <f t="shared" si="3"/>
        <v>-7366.7333333333336</v>
      </c>
      <c r="M22" s="227">
        <f>+'골재사업소(당월)'!M22+'[4]골재사업소(누계)'!M22</f>
        <v>0</v>
      </c>
      <c r="N22" s="384">
        <f>+'골재사업소(당월)'!N22+'[4]골재사업소(누계)'!N22</f>
        <v>0</v>
      </c>
      <c r="O22" s="226">
        <f t="shared" si="4"/>
        <v>0</v>
      </c>
      <c r="P22" s="413">
        <f t="shared" si="16"/>
        <v>110684.33333333334</v>
      </c>
      <c r="Q22" s="384">
        <f t="shared" si="16"/>
        <v>84956</v>
      </c>
      <c r="R22" s="414">
        <f t="shared" si="5"/>
        <v>-25728.333333333343</v>
      </c>
      <c r="S22" s="225">
        <f>+'골재사업소(당월)'!S22+'[4]골재사업소(누계)'!S22</f>
        <v>0</v>
      </c>
      <c r="T22" s="384">
        <f>+'골재사업소(당월)'!T22+'[4]골재사업소(누계)'!T22</f>
        <v>22256</v>
      </c>
      <c r="U22" s="228">
        <f t="shared" si="6"/>
        <v>22256</v>
      </c>
      <c r="V22" s="227">
        <f>+'골재사업소(당월)'!V22+'[4]골재사업소(누계)'!V22</f>
        <v>21959.054838709682</v>
      </c>
      <c r="W22" s="384">
        <f>+'골재사업소(당월)'!W22+'[4]골재사업소(누계)'!W22</f>
        <v>41680</v>
      </c>
      <c r="X22" s="226">
        <f t="shared" si="7"/>
        <v>19720.945161290318</v>
      </c>
      <c r="Y22" s="227">
        <f>+'골재사업소(당월)'!Y22+'[4]골재사업소(누계)'!Y22</f>
        <v>0</v>
      </c>
      <c r="Z22" s="384">
        <f>+'골재사업소(당월)'!Z22+'[4]골재사업소(누계)'!Z22</f>
        <v>0</v>
      </c>
      <c r="AA22" s="226">
        <f t="shared" si="8"/>
        <v>0</v>
      </c>
      <c r="AB22" s="413">
        <f t="shared" si="17"/>
        <v>21959.054838709682</v>
      </c>
      <c r="AC22" s="384">
        <f t="shared" si="18"/>
        <v>63936</v>
      </c>
      <c r="AD22" s="414">
        <f t="shared" si="9"/>
        <v>41976.945161290321</v>
      </c>
      <c r="AE22" s="226">
        <f>+'골재사업소(당월)'!AE22+'[4]골재사업소(누계)'!AE22</f>
        <v>37752.783216783217</v>
      </c>
      <c r="AF22" s="384">
        <f>+'골재사업소(당월)'!AF22+'[4]골재사업소(누계)'!AF22</f>
        <v>23440</v>
      </c>
      <c r="AG22" s="226">
        <f t="shared" si="10"/>
        <v>-14312.783216783217</v>
      </c>
      <c r="AH22" s="413">
        <f t="shared" si="19"/>
        <v>170396.17138882625</v>
      </c>
      <c r="AI22" s="384">
        <f t="shared" si="19"/>
        <v>172332</v>
      </c>
      <c r="AJ22" s="414">
        <f t="shared" si="11"/>
        <v>1935.8286111737543</v>
      </c>
      <c r="AL22" s="98">
        <f>+AL20-AL20</f>
        <v>0</v>
      </c>
      <c r="AM22" s="98">
        <f>+AI20-AM20</f>
        <v>-2.3283064365386963E-10</v>
      </c>
    </row>
    <row r="23" spans="4:39" ht="24" customHeight="1" x14ac:dyDescent="0.3">
      <c r="D23" s="76"/>
      <c r="E23" s="165"/>
      <c r="F23" s="220" t="s">
        <v>27</v>
      </c>
      <c r="G23" s="225">
        <f>+'골재사업소(당월)'!G23+'[4]골재사업소(누계)'!G23</f>
        <v>7968</v>
      </c>
      <c r="H23" s="384">
        <f>+'골재사업소(당월)'!H23+'[4]골재사업소(누계)'!H23</f>
        <v>6704</v>
      </c>
      <c r="I23" s="228">
        <f t="shared" si="2"/>
        <v>-1264</v>
      </c>
      <c r="J23" s="227">
        <f>+'골재사업소(당월)'!J23+'[4]골재사업소(누계)'!J23</f>
        <v>0</v>
      </c>
      <c r="K23" s="384">
        <f>+'골재사업소(당월)'!K23+'[4]골재사업소(누계)'!K23</f>
        <v>0</v>
      </c>
      <c r="L23" s="226">
        <f t="shared" si="3"/>
        <v>0</v>
      </c>
      <c r="M23" s="227">
        <f>+'골재사업소(당월)'!M23+'[4]골재사업소(누계)'!M23</f>
        <v>0</v>
      </c>
      <c r="N23" s="384">
        <f>+'골재사업소(당월)'!N23+'[4]골재사업소(누계)'!N23</f>
        <v>0</v>
      </c>
      <c r="O23" s="226">
        <f t="shared" si="4"/>
        <v>0</v>
      </c>
      <c r="P23" s="413">
        <f t="shared" si="16"/>
        <v>7968</v>
      </c>
      <c r="Q23" s="384">
        <f t="shared" si="16"/>
        <v>6704</v>
      </c>
      <c r="R23" s="414">
        <f t="shared" si="5"/>
        <v>-1264</v>
      </c>
      <c r="S23" s="225">
        <f>+'골재사업소(당월)'!S23+'[4]골재사업소(누계)'!S23</f>
        <v>0</v>
      </c>
      <c r="T23" s="384">
        <f>+'골재사업소(당월)'!T23+'[4]골재사업소(누계)'!T23</f>
        <v>0</v>
      </c>
      <c r="U23" s="228">
        <f t="shared" si="6"/>
        <v>0</v>
      </c>
      <c r="V23" s="227">
        <f>+'골재사업소(당월)'!V23+'[4]골재사업소(누계)'!V23</f>
        <v>0</v>
      </c>
      <c r="W23" s="384">
        <f>+'골재사업소(당월)'!W23+'[4]골재사업소(누계)'!W23</f>
        <v>0</v>
      </c>
      <c r="X23" s="226">
        <f t="shared" si="7"/>
        <v>0</v>
      </c>
      <c r="Y23" s="227">
        <f>+'골재사업소(당월)'!Y23+'[4]골재사업소(누계)'!Y23</f>
        <v>0</v>
      </c>
      <c r="Z23" s="384">
        <f>+'골재사업소(당월)'!Z23+'[4]골재사업소(누계)'!Z23</f>
        <v>0</v>
      </c>
      <c r="AA23" s="226">
        <f t="shared" si="8"/>
        <v>0</v>
      </c>
      <c r="AB23" s="413">
        <f t="shared" si="17"/>
        <v>0</v>
      </c>
      <c r="AC23" s="384">
        <f t="shared" si="18"/>
        <v>0</v>
      </c>
      <c r="AD23" s="414">
        <f t="shared" si="9"/>
        <v>0</v>
      </c>
      <c r="AE23" s="226">
        <f>+'골재사업소(당월)'!AE23+'[4]골재사업소(누계)'!AE23</f>
        <v>24846.153846153848</v>
      </c>
      <c r="AF23" s="384">
        <f>+'골재사업소(당월)'!AF23+'[4]골재사업소(누계)'!AF23</f>
        <v>0</v>
      </c>
      <c r="AG23" s="226">
        <f t="shared" si="10"/>
        <v>-24846.153846153848</v>
      </c>
      <c r="AH23" s="413">
        <f t="shared" si="19"/>
        <v>32814.153846153844</v>
      </c>
      <c r="AI23" s="384">
        <f t="shared" si="19"/>
        <v>6704</v>
      </c>
      <c r="AJ23" s="414">
        <f t="shared" si="11"/>
        <v>-26110.153846153844</v>
      </c>
    </row>
    <row r="24" spans="4:39" ht="24" customHeight="1" x14ac:dyDescent="0.3">
      <c r="D24" s="76"/>
      <c r="E24" s="165"/>
      <c r="F24" s="220" t="s">
        <v>28</v>
      </c>
      <c r="G24" s="225">
        <f>+'골재사업소(당월)'!G24+'[4]골재사업소(누계)'!G24</f>
        <v>0</v>
      </c>
      <c r="H24" s="384">
        <f>+'골재사업소(당월)'!H24+'[4]골재사업소(누계)'!H24</f>
        <v>0</v>
      </c>
      <c r="I24" s="228">
        <f t="shared" si="2"/>
        <v>0</v>
      </c>
      <c r="J24" s="227">
        <f>+'골재사업소(당월)'!J24+'[4]골재사업소(누계)'!J24</f>
        <v>0</v>
      </c>
      <c r="K24" s="384">
        <f>+'골재사업소(당월)'!K24+'[4]골재사업소(누계)'!K24</f>
        <v>0</v>
      </c>
      <c r="L24" s="226">
        <f t="shared" si="3"/>
        <v>0</v>
      </c>
      <c r="M24" s="227">
        <f>+'골재사업소(당월)'!M24+'[4]골재사업소(누계)'!M24</f>
        <v>0</v>
      </c>
      <c r="N24" s="384">
        <f>+'골재사업소(당월)'!N24+'[4]골재사업소(누계)'!N24</f>
        <v>0</v>
      </c>
      <c r="O24" s="226">
        <f t="shared" si="4"/>
        <v>0</v>
      </c>
      <c r="P24" s="413">
        <f t="shared" si="16"/>
        <v>0</v>
      </c>
      <c r="Q24" s="384">
        <f t="shared" si="16"/>
        <v>0</v>
      </c>
      <c r="R24" s="414">
        <f t="shared" si="5"/>
        <v>0</v>
      </c>
      <c r="S24" s="225">
        <f>+'골재사업소(당월)'!S24+'[4]골재사업소(누계)'!S24</f>
        <v>0</v>
      </c>
      <c r="T24" s="384">
        <f>+'골재사업소(당월)'!T24+'[4]골재사업소(누계)'!T24</f>
        <v>0</v>
      </c>
      <c r="U24" s="228">
        <f t="shared" si="6"/>
        <v>0</v>
      </c>
      <c r="V24" s="227">
        <f>+'골재사업소(당월)'!V24+'[4]골재사업소(누계)'!V24</f>
        <v>0</v>
      </c>
      <c r="W24" s="384">
        <f>+'골재사업소(당월)'!W24+'[4]골재사업소(누계)'!W24</f>
        <v>5168</v>
      </c>
      <c r="X24" s="226">
        <f t="shared" si="7"/>
        <v>5168</v>
      </c>
      <c r="Y24" s="227">
        <f>+'골재사업소(당월)'!Y24+'[4]골재사업소(누계)'!Y24</f>
        <v>0</v>
      </c>
      <c r="Z24" s="384">
        <f>+'골재사업소(당월)'!Z24+'[4]골재사업소(누계)'!Z24</f>
        <v>0</v>
      </c>
      <c r="AA24" s="226">
        <f t="shared" si="8"/>
        <v>0</v>
      </c>
      <c r="AB24" s="413">
        <f t="shared" si="17"/>
        <v>0</v>
      </c>
      <c r="AC24" s="384">
        <f t="shared" si="18"/>
        <v>5168</v>
      </c>
      <c r="AD24" s="414">
        <f t="shared" si="9"/>
        <v>5168</v>
      </c>
      <c r="AE24" s="226">
        <f>+'골재사업소(당월)'!AE24+'[4]골재사업소(누계)'!AE24</f>
        <v>39836.643356643362</v>
      </c>
      <c r="AF24" s="384">
        <f>+'골재사업소(당월)'!AF24+'[4]골재사업소(누계)'!AF24</f>
        <v>0</v>
      </c>
      <c r="AG24" s="226">
        <f t="shared" si="10"/>
        <v>-39836.643356643362</v>
      </c>
      <c r="AH24" s="413">
        <f t="shared" si="19"/>
        <v>39836.643356643362</v>
      </c>
      <c r="AI24" s="384">
        <f t="shared" si="19"/>
        <v>5168</v>
      </c>
      <c r="AJ24" s="414">
        <f t="shared" si="11"/>
        <v>-34668.643356643362</v>
      </c>
    </row>
    <row r="25" spans="4:39" ht="24" customHeight="1" x14ac:dyDescent="0.3">
      <c r="D25" s="76"/>
      <c r="E25" s="165"/>
      <c r="F25" s="220" t="s">
        <v>29</v>
      </c>
      <c r="G25" s="225">
        <f>+'골재사업소(당월)'!G25+'[4]골재사업소(누계)'!G25</f>
        <v>0</v>
      </c>
      <c r="H25" s="384">
        <f>+'골재사업소(당월)'!H25+'[4]골재사업소(누계)'!H25</f>
        <v>0</v>
      </c>
      <c r="I25" s="228">
        <f t="shared" si="2"/>
        <v>0</v>
      </c>
      <c r="J25" s="227">
        <f>+'골재사업소(당월)'!J25+'[4]골재사업소(누계)'!J25</f>
        <v>3366.8568799999994</v>
      </c>
      <c r="K25" s="384">
        <f>+'골재사업소(당월)'!K25+'[4]골재사업소(누계)'!K25</f>
        <v>1216</v>
      </c>
      <c r="L25" s="226">
        <f t="shared" si="3"/>
        <v>-2150.8568799999994</v>
      </c>
      <c r="M25" s="227">
        <f>+'골재사업소(당월)'!M25+'[4]골재사업소(누계)'!M25</f>
        <v>0</v>
      </c>
      <c r="N25" s="384">
        <f>+'골재사업소(당월)'!N25+'[4]골재사업소(누계)'!N25</f>
        <v>0</v>
      </c>
      <c r="O25" s="226">
        <f t="shared" si="4"/>
        <v>0</v>
      </c>
      <c r="P25" s="413">
        <f t="shared" si="16"/>
        <v>3366.8568799999994</v>
      </c>
      <c r="Q25" s="384">
        <f t="shared" si="16"/>
        <v>1216</v>
      </c>
      <c r="R25" s="414">
        <f t="shared" si="5"/>
        <v>-2150.8568799999994</v>
      </c>
      <c r="S25" s="225">
        <f>+'골재사업소(당월)'!S25+'[4]골재사업소(누계)'!S25</f>
        <v>0</v>
      </c>
      <c r="T25" s="384">
        <f>+'골재사업소(당월)'!T25+'[4]골재사업소(누계)'!T25</f>
        <v>0</v>
      </c>
      <c r="U25" s="228">
        <f t="shared" si="6"/>
        <v>0</v>
      </c>
      <c r="V25" s="227">
        <f>+'골재사업소(당월)'!V25+'[4]골재사업소(누계)'!V25</f>
        <v>0</v>
      </c>
      <c r="W25" s="384">
        <f>+'골재사업소(당월)'!W25+'[4]골재사업소(누계)'!W25</f>
        <v>240</v>
      </c>
      <c r="X25" s="226">
        <f t="shared" si="7"/>
        <v>240</v>
      </c>
      <c r="Y25" s="227">
        <f>+'골재사업소(당월)'!Y25+'[4]골재사업소(누계)'!Y25</f>
        <v>0</v>
      </c>
      <c r="Z25" s="384">
        <f>+'골재사업소(당월)'!Z25+'[4]골재사업소(누계)'!Z25</f>
        <v>0</v>
      </c>
      <c r="AA25" s="226">
        <f t="shared" si="8"/>
        <v>0</v>
      </c>
      <c r="AB25" s="413">
        <f t="shared" si="17"/>
        <v>0</v>
      </c>
      <c r="AC25" s="384">
        <f t="shared" si="18"/>
        <v>240</v>
      </c>
      <c r="AD25" s="414">
        <f t="shared" si="9"/>
        <v>240</v>
      </c>
      <c r="AE25" s="226">
        <f>+'골재사업소(당월)'!AE25+'[4]골재사업소(누계)'!AE25</f>
        <v>11764.566433566433</v>
      </c>
      <c r="AF25" s="384">
        <f>+'골재사업소(당월)'!AF25+'[4]골재사업소(누계)'!AF25</f>
        <v>19456</v>
      </c>
      <c r="AG25" s="226">
        <f t="shared" si="10"/>
        <v>7691.4335664335667</v>
      </c>
      <c r="AH25" s="413">
        <f t="shared" si="19"/>
        <v>15131.423313566433</v>
      </c>
      <c r="AI25" s="384">
        <f t="shared" si="19"/>
        <v>20912</v>
      </c>
      <c r="AJ25" s="414">
        <f t="shared" si="11"/>
        <v>5780.5766864335674</v>
      </c>
    </row>
    <row r="26" spans="4:39" ht="24" customHeight="1" x14ac:dyDescent="0.3">
      <c r="D26" s="76"/>
      <c r="E26" s="165"/>
      <c r="F26" s="220" t="s">
        <v>30</v>
      </c>
      <c r="G26" s="225">
        <f>+'골재사업소(당월)'!G26+'[4]골재사업소(누계)'!G26</f>
        <v>5299.5333333333338</v>
      </c>
      <c r="H26" s="384">
        <f>+'골재사업소(당월)'!H26+'[4]골재사업소(누계)'!H26</f>
        <v>3504</v>
      </c>
      <c r="I26" s="228">
        <f t="shared" si="2"/>
        <v>-1795.5333333333338</v>
      </c>
      <c r="J26" s="227">
        <f>+'골재사업소(당월)'!J26+'[4]골재사업소(누계)'!J26</f>
        <v>3065.3333333333335</v>
      </c>
      <c r="K26" s="384">
        <f>+'골재사업소(당월)'!K26+'[4]골재사업소(누계)'!K26</f>
        <v>240</v>
      </c>
      <c r="L26" s="226">
        <f t="shared" si="3"/>
        <v>-2825.3333333333335</v>
      </c>
      <c r="M26" s="227">
        <f>+'골재사업소(당월)'!M26+'[4]골재사업소(누계)'!M26</f>
        <v>0</v>
      </c>
      <c r="N26" s="384">
        <f>+'골재사업소(당월)'!N26+'[4]골재사업소(누계)'!N26</f>
        <v>0</v>
      </c>
      <c r="O26" s="226">
        <f t="shared" si="4"/>
        <v>0</v>
      </c>
      <c r="P26" s="413">
        <f t="shared" si="16"/>
        <v>8364.8666666666668</v>
      </c>
      <c r="Q26" s="382">
        <f t="shared" si="16"/>
        <v>3744</v>
      </c>
      <c r="R26" s="432">
        <f t="shared" si="5"/>
        <v>-4620.8666666666668</v>
      </c>
      <c r="S26" s="225">
        <f>+'골재사업소(당월)'!S26+'[4]골재사업소(누계)'!S26</f>
        <v>0</v>
      </c>
      <c r="T26" s="384">
        <f>+'골재사업소(당월)'!T26+'[4]골재사업소(누계)'!T26</f>
        <v>0</v>
      </c>
      <c r="U26" s="228">
        <f t="shared" si="6"/>
        <v>0</v>
      </c>
      <c r="V26" s="227">
        <f>+'골재사업소(당월)'!V26+'[4]골재사업소(누계)'!V26</f>
        <v>0</v>
      </c>
      <c r="W26" s="384">
        <f>+'골재사업소(당월)'!W26+'[4]골재사업소(누계)'!W26</f>
        <v>0</v>
      </c>
      <c r="X26" s="226">
        <f t="shared" si="7"/>
        <v>0</v>
      </c>
      <c r="Y26" s="227">
        <f>+'골재사업소(당월)'!Y26+'[4]골재사업소(누계)'!Y26</f>
        <v>0</v>
      </c>
      <c r="Z26" s="384">
        <f>+'골재사업소(당월)'!Z26+'[4]골재사업소(누계)'!Z26</f>
        <v>0</v>
      </c>
      <c r="AA26" s="226">
        <f t="shared" si="8"/>
        <v>0</v>
      </c>
      <c r="AB26" s="413">
        <f t="shared" si="17"/>
        <v>0</v>
      </c>
      <c r="AC26" s="382">
        <f t="shared" si="18"/>
        <v>0</v>
      </c>
      <c r="AD26" s="432">
        <f t="shared" si="9"/>
        <v>0</v>
      </c>
      <c r="AE26" s="226">
        <f>+'골재사업소(당월)'!AE26+'[4]골재사업소(누계)'!AE26</f>
        <v>0</v>
      </c>
      <c r="AF26" s="384">
        <f>+'골재사업소(당월)'!AF26+'[4]골재사업소(누계)'!AF26</f>
        <v>0</v>
      </c>
      <c r="AG26" s="226">
        <f t="shared" si="10"/>
        <v>0</v>
      </c>
      <c r="AH26" s="413">
        <f t="shared" si="19"/>
        <v>8364.8666666666668</v>
      </c>
      <c r="AI26" s="382">
        <f t="shared" si="19"/>
        <v>3744</v>
      </c>
      <c r="AJ26" s="414">
        <f t="shared" si="11"/>
        <v>-4620.8666666666668</v>
      </c>
    </row>
    <row r="27" spans="4:39" ht="24" customHeight="1" x14ac:dyDescent="0.3">
      <c r="D27" s="76"/>
      <c r="E27" s="224" t="s">
        <v>132</v>
      </c>
      <c r="F27" s="223" t="s">
        <v>25</v>
      </c>
      <c r="G27" s="191">
        <f>IFERROR(G35/G21,)*1000</f>
        <v>0</v>
      </c>
      <c r="H27" s="385">
        <f t="shared" ref="H27:H32" si="20">IFERROR(H35/H21,)*1000</f>
        <v>12500</v>
      </c>
      <c r="I27" s="192">
        <f t="shared" si="2"/>
        <v>12500</v>
      </c>
      <c r="J27" s="222">
        <f t="shared" ref="J27:K27" si="21">IFERROR(J35/J21,)*1000</f>
        <v>0</v>
      </c>
      <c r="K27" s="385">
        <f t="shared" si="21"/>
        <v>0</v>
      </c>
      <c r="L27" s="204">
        <f t="shared" si="3"/>
        <v>0</v>
      </c>
      <c r="M27" s="222">
        <f t="shared" ref="M27:N27" si="22">IFERROR(M35/M21,)*1000</f>
        <v>0</v>
      </c>
      <c r="N27" s="385">
        <f t="shared" si="22"/>
        <v>0</v>
      </c>
      <c r="O27" s="204">
        <f t="shared" si="4"/>
        <v>0</v>
      </c>
      <c r="P27" s="427">
        <f>+IFERROR(HLOOKUP($A$1,[14]손익!$G$5:$AB$252,48,),)</f>
        <v>9000</v>
      </c>
      <c r="Q27" s="423">
        <f t="shared" ref="Q27:Q32" si="23">IFERROR(Q35/Q21,)*1000</f>
        <v>12500</v>
      </c>
      <c r="R27" s="433">
        <f t="shared" si="5"/>
        <v>3500</v>
      </c>
      <c r="S27" s="191">
        <f t="shared" ref="S27:T27" si="24">IFERROR(S35/S21,)*1000</f>
        <v>16000</v>
      </c>
      <c r="T27" s="385">
        <f t="shared" si="24"/>
        <v>17500</v>
      </c>
      <c r="U27" s="192">
        <f t="shared" si="6"/>
        <v>1500</v>
      </c>
      <c r="V27" s="222">
        <f t="shared" ref="V27:W27" si="25">IFERROR(V35/V21,)*1000</f>
        <v>23000.000000000004</v>
      </c>
      <c r="W27" s="385">
        <f t="shared" si="25"/>
        <v>23500</v>
      </c>
      <c r="X27" s="204">
        <f t="shared" si="7"/>
        <v>499.99999999999636</v>
      </c>
      <c r="Y27" s="222">
        <f t="shared" ref="Y27:Z27" si="26">IFERROR(Y35/Y21,)*1000</f>
        <v>0</v>
      </c>
      <c r="Z27" s="385">
        <f t="shared" si="26"/>
        <v>0</v>
      </c>
      <c r="AA27" s="204">
        <f t="shared" si="8"/>
        <v>0</v>
      </c>
      <c r="AB27" s="427">
        <f t="shared" si="17"/>
        <v>39000</v>
      </c>
      <c r="AC27" s="423">
        <f t="shared" si="18"/>
        <v>41000</v>
      </c>
      <c r="AD27" s="433">
        <f t="shared" si="9"/>
        <v>2000</v>
      </c>
      <c r="AE27" s="204">
        <f t="shared" ref="AE27:AF27" si="27">IFERROR(AE35/AE21,)*1000</f>
        <v>31355.077881592821</v>
      </c>
      <c r="AF27" s="385">
        <f t="shared" si="27"/>
        <v>32009.585873449651</v>
      </c>
      <c r="AG27" s="204">
        <f t="shared" si="10"/>
        <v>654.5079918568299</v>
      </c>
      <c r="AH27" s="415">
        <f t="shared" ref="AH27:AH32" si="28">+AH35/AH21*1000</f>
        <v>21245.77127223826</v>
      </c>
      <c r="AI27" s="385">
        <f t="shared" ref="AI27:AI32" si="29">IFERROR(AI35/AI21,)*1000</f>
        <v>22270.507467442701</v>
      </c>
      <c r="AJ27" s="416">
        <f t="shared" si="11"/>
        <v>1024.7361952044412</v>
      </c>
    </row>
    <row r="28" spans="4:39" ht="24" customHeight="1" x14ac:dyDescent="0.3">
      <c r="D28" s="76"/>
      <c r="E28" s="165" t="s">
        <v>131</v>
      </c>
      <c r="F28" s="220" t="s">
        <v>26</v>
      </c>
      <c r="G28" s="189">
        <f t="shared" ref="G28" si="30">IFERROR(G36/G22,)*1000</f>
        <v>16000</v>
      </c>
      <c r="H28" s="95">
        <f t="shared" si="20"/>
        <v>17000</v>
      </c>
      <c r="I28" s="190">
        <f t="shared" si="2"/>
        <v>1000</v>
      </c>
      <c r="J28" s="219">
        <f t="shared" ref="J28:K28" si="31">IFERROR(J36/J22,)*1000</f>
        <v>19484.192471336621</v>
      </c>
      <c r="K28" s="95">
        <f t="shared" si="31"/>
        <v>10500</v>
      </c>
      <c r="L28" s="195">
        <f t="shared" si="3"/>
        <v>-8984.1924713366207</v>
      </c>
      <c r="M28" s="219">
        <f t="shared" ref="M28:N28" si="32">IFERROR(M36/M22,)*1000</f>
        <v>0</v>
      </c>
      <c r="N28" s="95">
        <f t="shared" si="32"/>
        <v>0</v>
      </c>
      <c r="O28" s="195">
        <f t="shared" si="4"/>
        <v>0</v>
      </c>
      <c r="P28" s="428">
        <f>+IFERROR(HLOOKUP($A$1,[14]손익!$G$5:$AB$252,49,),)</f>
        <v>10555.727554179568</v>
      </c>
      <c r="Q28" s="424">
        <f t="shared" si="23"/>
        <v>16951.033476152363</v>
      </c>
      <c r="R28" s="434">
        <f t="shared" si="5"/>
        <v>6395.3059219727947</v>
      </c>
      <c r="S28" s="189">
        <f t="shared" ref="S28:T28" si="33">IFERROR(S36/S22,)*1000</f>
        <v>0</v>
      </c>
      <c r="T28" s="95">
        <f t="shared" si="33"/>
        <v>12000</v>
      </c>
      <c r="U28" s="190">
        <f t="shared" si="6"/>
        <v>12000</v>
      </c>
      <c r="V28" s="219">
        <f t="shared" ref="V28:W28" si="34">IFERROR(V36/V22,)*1000</f>
        <v>18999.999999999996</v>
      </c>
      <c r="W28" s="95">
        <f t="shared" si="34"/>
        <v>19436.468330134358</v>
      </c>
      <c r="X28" s="195">
        <f t="shared" si="7"/>
        <v>436.46833013436117</v>
      </c>
      <c r="Y28" s="219">
        <f t="shared" ref="Y28:Z28" si="35">IFERROR(Y36/Y22,)*1000</f>
        <v>0</v>
      </c>
      <c r="Z28" s="95">
        <f t="shared" si="35"/>
        <v>0</v>
      </c>
      <c r="AA28" s="195">
        <f t="shared" si="8"/>
        <v>0</v>
      </c>
      <c r="AB28" s="428">
        <f t="shared" si="17"/>
        <v>18999.999999999996</v>
      </c>
      <c r="AC28" s="424">
        <f t="shared" si="18"/>
        <v>31436.468330134358</v>
      </c>
      <c r="AD28" s="434">
        <f t="shared" si="9"/>
        <v>12436.468330134361</v>
      </c>
      <c r="AE28" s="195">
        <f t="shared" ref="AE28:AF28" si="36">IFERROR(AE36/AE22,)*1000</f>
        <v>28000.000000000004</v>
      </c>
      <c r="AF28" s="95">
        <f t="shared" si="36"/>
        <v>27946.38839590444</v>
      </c>
      <c r="AG28" s="195">
        <f t="shared" si="10"/>
        <v>-53.611604095563962</v>
      </c>
      <c r="AH28" s="417">
        <f t="shared" si="28"/>
        <v>19209.036674126732</v>
      </c>
      <c r="AI28" s="95">
        <f t="shared" si="29"/>
        <v>18408.301093238635</v>
      </c>
      <c r="AJ28" s="418">
        <f t="shared" si="11"/>
        <v>-800.73558088809659</v>
      </c>
    </row>
    <row r="29" spans="4:39" ht="24" customHeight="1" x14ac:dyDescent="0.3">
      <c r="D29" s="76"/>
      <c r="E29" s="165"/>
      <c r="F29" s="220" t="s">
        <v>27</v>
      </c>
      <c r="G29" s="189">
        <f t="shared" ref="G29" si="37">IFERROR(G37/G23,)*1000</f>
        <v>10000</v>
      </c>
      <c r="H29" s="95">
        <f t="shared" si="20"/>
        <v>11500</v>
      </c>
      <c r="I29" s="190">
        <f t="shared" si="2"/>
        <v>1500</v>
      </c>
      <c r="J29" s="219">
        <f t="shared" ref="J29:K29" si="38">IFERROR(J37/J23,)*1000</f>
        <v>0</v>
      </c>
      <c r="K29" s="95">
        <f t="shared" si="38"/>
        <v>0</v>
      </c>
      <c r="L29" s="195">
        <f t="shared" si="3"/>
        <v>0</v>
      </c>
      <c r="M29" s="219">
        <f t="shared" ref="M29:N29" si="39">IFERROR(M37/M23,)*1000</f>
        <v>0</v>
      </c>
      <c r="N29" s="95">
        <f t="shared" si="39"/>
        <v>0</v>
      </c>
      <c r="O29" s="195">
        <f t="shared" si="4"/>
        <v>0</v>
      </c>
      <c r="P29" s="429">
        <f>+IFERROR(HLOOKUP($A$1,[14]손익!$G$5:$AB$252,50,),)</f>
        <v>0</v>
      </c>
      <c r="Q29" s="425">
        <f t="shared" si="23"/>
        <v>11500</v>
      </c>
      <c r="R29" s="434">
        <f t="shared" si="5"/>
        <v>11500</v>
      </c>
      <c r="S29" s="189">
        <f t="shared" ref="S29:T29" si="40">IFERROR(S37/S23,)*1000</f>
        <v>0</v>
      </c>
      <c r="T29" s="95">
        <f t="shared" si="40"/>
        <v>0</v>
      </c>
      <c r="U29" s="190">
        <f t="shared" si="6"/>
        <v>0</v>
      </c>
      <c r="V29" s="219">
        <f t="shared" ref="V29:W29" si="41">IFERROR(V37/V23,)*1000</f>
        <v>0</v>
      </c>
      <c r="W29" s="95">
        <f t="shared" si="41"/>
        <v>0</v>
      </c>
      <c r="X29" s="195">
        <f t="shared" si="7"/>
        <v>0</v>
      </c>
      <c r="Y29" s="219">
        <f t="shared" ref="Y29:Z29" si="42">IFERROR(Y37/Y23,)*1000</f>
        <v>0</v>
      </c>
      <c r="Z29" s="95">
        <f t="shared" si="42"/>
        <v>0</v>
      </c>
      <c r="AA29" s="195">
        <f t="shared" si="8"/>
        <v>0</v>
      </c>
      <c r="AB29" s="429">
        <f t="shared" si="17"/>
        <v>0</v>
      </c>
      <c r="AC29" s="425">
        <f t="shared" si="18"/>
        <v>0</v>
      </c>
      <c r="AD29" s="434">
        <f t="shared" si="9"/>
        <v>0</v>
      </c>
      <c r="AE29" s="195">
        <f t="shared" ref="AE29:AF29" si="43">IFERROR(AE37/AE23,)*1000</f>
        <v>27499.999999999996</v>
      </c>
      <c r="AF29" s="95">
        <f t="shared" si="43"/>
        <v>0</v>
      </c>
      <c r="AG29" s="195">
        <f t="shared" si="10"/>
        <v>-27499.999999999996</v>
      </c>
      <c r="AH29" s="417">
        <f t="shared" si="28"/>
        <v>23250.614181497665</v>
      </c>
      <c r="AI29" s="95">
        <f t="shared" si="29"/>
        <v>93031.016706443901</v>
      </c>
      <c r="AJ29" s="418">
        <f t="shared" si="11"/>
        <v>69780.402524946228</v>
      </c>
    </row>
    <row r="30" spans="4:39" ht="24" customHeight="1" x14ac:dyDescent="0.3">
      <c r="D30" s="76"/>
      <c r="E30" s="165"/>
      <c r="F30" s="220" t="s">
        <v>28</v>
      </c>
      <c r="G30" s="189">
        <f t="shared" ref="G30" si="44">IFERROR(G38/G24,)*1000</f>
        <v>0</v>
      </c>
      <c r="H30" s="95">
        <f t="shared" si="20"/>
        <v>0</v>
      </c>
      <c r="I30" s="190">
        <f t="shared" si="2"/>
        <v>0</v>
      </c>
      <c r="J30" s="219">
        <f t="shared" ref="J30:K30" si="45">IFERROR(J38/J24,)*1000</f>
        <v>0</v>
      </c>
      <c r="K30" s="95">
        <f t="shared" si="45"/>
        <v>0</v>
      </c>
      <c r="L30" s="195">
        <f t="shared" si="3"/>
        <v>0</v>
      </c>
      <c r="M30" s="219">
        <f t="shared" ref="M30:N30" si="46">IFERROR(M38/M24,)*1000</f>
        <v>0</v>
      </c>
      <c r="N30" s="95">
        <f t="shared" si="46"/>
        <v>0</v>
      </c>
      <c r="O30" s="195">
        <f t="shared" si="4"/>
        <v>0</v>
      </c>
      <c r="P30" s="429">
        <f>+IFERROR(HLOOKUP($A$1,[14]손익!$G$5:$AB$252,51,),)</f>
        <v>16473.826106492925</v>
      </c>
      <c r="Q30" s="55">
        <f t="shared" si="23"/>
        <v>0</v>
      </c>
      <c r="R30" s="435">
        <f t="shared" si="5"/>
        <v>-16473.826106492925</v>
      </c>
      <c r="S30" s="189">
        <f t="shared" ref="S30:T30" si="47">IFERROR(S38/S24,)*1000</f>
        <v>0</v>
      </c>
      <c r="T30" s="95">
        <f t="shared" si="47"/>
        <v>0</v>
      </c>
      <c r="U30" s="190">
        <f t="shared" si="6"/>
        <v>0</v>
      </c>
      <c r="V30" s="219">
        <f t="shared" ref="V30:W30" si="48">IFERROR(V38/V24,)*1000</f>
        <v>0</v>
      </c>
      <c r="W30" s="95">
        <f t="shared" si="48"/>
        <v>18495.356037151701</v>
      </c>
      <c r="X30" s="195">
        <f t="shared" si="7"/>
        <v>18495.356037151701</v>
      </c>
      <c r="Y30" s="219">
        <f t="shared" ref="Y30:Z30" si="49">IFERROR(Y38/Y24,)*1000</f>
        <v>0</v>
      </c>
      <c r="Z30" s="95">
        <f t="shared" si="49"/>
        <v>0</v>
      </c>
      <c r="AA30" s="195">
        <f t="shared" si="8"/>
        <v>0</v>
      </c>
      <c r="AB30" s="429">
        <f t="shared" si="17"/>
        <v>0</v>
      </c>
      <c r="AC30" s="55">
        <f t="shared" si="18"/>
        <v>18495.356037151701</v>
      </c>
      <c r="AD30" s="435">
        <f t="shared" si="9"/>
        <v>18495.356037151701</v>
      </c>
      <c r="AE30" s="195">
        <f t="shared" ref="AE30:AF30" si="50">IFERROR(AE38/AE24,)*1000</f>
        <v>28924.41860465116</v>
      </c>
      <c r="AF30" s="95">
        <f t="shared" si="50"/>
        <v>0</v>
      </c>
      <c r="AG30" s="195">
        <f t="shared" si="10"/>
        <v>-28924.41860465116</v>
      </c>
      <c r="AH30" s="417">
        <f t="shared" si="28"/>
        <v>28924.41860465116</v>
      </c>
      <c r="AI30" s="95">
        <f t="shared" si="29"/>
        <v>205187.38390092878</v>
      </c>
      <c r="AJ30" s="418">
        <f t="shared" si="11"/>
        <v>176262.9652962776</v>
      </c>
    </row>
    <row r="31" spans="4:39" ht="24" customHeight="1" x14ac:dyDescent="0.3">
      <c r="D31" s="76"/>
      <c r="E31" s="165"/>
      <c r="F31" s="220" t="s">
        <v>29</v>
      </c>
      <c r="G31" s="189">
        <f t="shared" ref="G31" si="51">IFERROR(G39/G25,)*1000</f>
        <v>0</v>
      </c>
      <c r="H31" s="95">
        <f t="shared" si="20"/>
        <v>0</v>
      </c>
      <c r="I31" s="190">
        <f t="shared" si="2"/>
        <v>0</v>
      </c>
      <c r="J31" s="219">
        <f t="shared" ref="J31:K31" si="52">IFERROR(J39/J25,)*1000</f>
        <v>15000.000000000002</v>
      </c>
      <c r="K31" s="95">
        <f t="shared" si="52"/>
        <v>9000</v>
      </c>
      <c r="L31" s="195">
        <f t="shared" si="3"/>
        <v>-6000.0000000000018</v>
      </c>
      <c r="M31" s="219">
        <f t="shared" ref="M31:N31" si="53">IFERROR(M39/M25,)*1000</f>
        <v>0</v>
      </c>
      <c r="N31" s="95">
        <f t="shared" si="53"/>
        <v>0</v>
      </c>
      <c r="O31" s="195">
        <f t="shared" si="4"/>
        <v>0</v>
      </c>
      <c r="P31" s="429">
        <f>+IFERROR(HLOOKUP($A$1,[14]손익!$G$5:$AB$252,52,),)</f>
        <v>10000</v>
      </c>
      <c r="Q31" s="55">
        <f t="shared" si="23"/>
        <v>9000</v>
      </c>
      <c r="R31" s="435">
        <f t="shared" si="5"/>
        <v>-1000</v>
      </c>
      <c r="S31" s="189">
        <f t="shared" ref="S31:T31" si="54">IFERROR(S39/S25,)*1000</f>
        <v>0</v>
      </c>
      <c r="T31" s="95">
        <f t="shared" si="54"/>
        <v>0</v>
      </c>
      <c r="U31" s="190">
        <f t="shared" si="6"/>
        <v>0</v>
      </c>
      <c r="V31" s="219">
        <f t="shared" ref="V31:W31" si="55">IFERROR(V39/V25,)*1000</f>
        <v>0</v>
      </c>
      <c r="W31" s="95">
        <f t="shared" si="55"/>
        <v>19000</v>
      </c>
      <c r="X31" s="195">
        <f t="shared" si="7"/>
        <v>19000</v>
      </c>
      <c r="Y31" s="219">
        <f t="shared" ref="Y31:Z31" si="56">IFERROR(Y39/Y25,)*1000</f>
        <v>0</v>
      </c>
      <c r="Z31" s="95">
        <f t="shared" si="56"/>
        <v>0</v>
      </c>
      <c r="AA31" s="195">
        <f t="shared" si="8"/>
        <v>0</v>
      </c>
      <c r="AB31" s="429">
        <f t="shared" si="17"/>
        <v>0</v>
      </c>
      <c r="AC31" s="55">
        <f t="shared" si="18"/>
        <v>19000</v>
      </c>
      <c r="AD31" s="435">
        <f t="shared" si="9"/>
        <v>19000</v>
      </c>
      <c r="AE31" s="195">
        <f t="shared" ref="AE31:AF31" si="57">IFERROR(AE39/AE25,)*1000</f>
        <v>28557.697851733279</v>
      </c>
      <c r="AF31" s="95">
        <f t="shared" si="57"/>
        <v>1661.5953947368421</v>
      </c>
      <c r="AG31" s="195">
        <f t="shared" si="10"/>
        <v>-26896.102456996436</v>
      </c>
      <c r="AH31" s="417">
        <f t="shared" si="28"/>
        <v>25541.006867472493</v>
      </c>
      <c r="AI31" s="95">
        <f t="shared" si="29"/>
        <v>2287.2991583779649</v>
      </c>
      <c r="AJ31" s="418">
        <f t="shared" si="11"/>
        <v>-23253.707709094528</v>
      </c>
    </row>
    <row r="32" spans="4:39" ht="24" customHeight="1" thickBot="1" x14ac:dyDescent="0.35">
      <c r="D32" s="76"/>
      <c r="E32" s="217"/>
      <c r="F32" s="216" t="s">
        <v>30</v>
      </c>
      <c r="G32" s="212">
        <f t="shared" ref="G32" si="58">IFERROR(G40/G26,)*1000</f>
        <v>9999.9999999999982</v>
      </c>
      <c r="H32" s="386">
        <f t="shared" si="20"/>
        <v>11500</v>
      </c>
      <c r="I32" s="215">
        <f t="shared" si="2"/>
        <v>1500.0000000000018</v>
      </c>
      <c r="J32" s="214">
        <f t="shared" ref="J32:K32" si="59">IFERROR(J40/J26,)*1000</f>
        <v>15000</v>
      </c>
      <c r="K32" s="386">
        <f t="shared" si="59"/>
        <v>9000</v>
      </c>
      <c r="L32" s="213">
        <f t="shared" si="3"/>
        <v>-6000</v>
      </c>
      <c r="M32" s="214">
        <f t="shared" ref="M32:N32" si="60">IFERROR(M40/M26,)*1000</f>
        <v>0</v>
      </c>
      <c r="N32" s="386">
        <f t="shared" si="60"/>
        <v>0</v>
      </c>
      <c r="O32" s="213">
        <f t="shared" si="4"/>
        <v>0</v>
      </c>
      <c r="P32" s="430">
        <f>+IFERROR(HLOOKUP($A$1,[14]손익!$G$5:$AB$252,53,),)</f>
        <v>0</v>
      </c>
      <c r="Q32" s="426">
        <f t="shared" si="23"/>
        <v>11339.74358974359</v>
      </c>
      <c r="R32" s="436">
        <f t="shared" si="5"/>
        <v>11339.74358974359</v>
      </c>
      <c r="S32" s="212">
        <f t="shared" ref="S32:T32" si="61">IFERROR(S40/S26,)*1000</f>
        <v>0</v>
      </c>
      <c r="T32" s="386">
        <f t="shared" si="61"/>
        <v>0</v>
      </c>
      <c r="U32" s="215">
        <f t="shared" si="6"/>
        <v>0</v>
      </c>
      <c r="V32" s="214">
        <f t="shared" ref="V32:W32" si="62">IFERROR(V40/V26,)*1000</f>
        <v>0</v>
      </c>
      <c r="W32" s="386">
        <f t="shared" si="62"/>
        <v>0</v>
      </c>
      <c r="X32" s="213">
        <f t="shared" si="7"/>
        <v>0</v>
      </c>
      <c r="Y32" s="214">
        <f t="shared" ref="Y32:Z32" si="63">IFERROR(Y40/Y26,)*1000</f>
        <v>0</v>
      </c>
      <c r="Z32" s="386">
        <f t="shared" si="63"/>
        <v>0</v>
      </c>
      <c r="AA32" s="213">
        <f t="shared" si="8"/>
        <v>0</v>
      </c>
      <c r="AB32" s="430">
        <f t="shared" si="17"/>
        <v>0</v>
      </c>
      <c r="AC32" s="426">
        <f t="shared" si="18"/>
        <v>0</v>
      </c>
      <c r="AD32" s="436">
        <f t="shared" si="9"/>
        <v>0</v>
      </c>
      <c r="AE32" s="213">
        <f t="shared" ref="AE32:AF32" si="64">IFERROR(AE40/AE26,)*1000</f>
        <v>0</v>
      </c>
      <c r="AF32" s="386">
        <f t="shared" si="64"/>
        <v>0</v>
      </c>
      <c r="AG32" s="213">
        <f t="shared" si="10"/>
        <v>0</v>
      </c>
      <c r="AH32" s="419">
        <f t="shared" si="28"/>
        <v>11832.266702796616</v>
      </c>
      <c r="AI32" s="420">
        <f t="shared" si="29"/>
        <v>11339.74358974359</v>
      </c>
      <c r="AJ32" s="421">
        <f t="shared" si="11"/>
        <v>-492.52311305302646</v>
      </c>
    </row>
    <row r="33" spans="5:36" ht="21.95" customHeight="1" thickTop="1" x14ac:dyDescent="0.3">
      <c r="E33" s="6" t="s">
        <v>130</v>
      </c>
      <c r="G33" s="210"/>
      <c r="H33" s="210"/>
      <c r="I33" s="210"/>
      <c r="J33" s="76"/>
      <c r="M33" s="76"/>
      <c r="S33" s="210"/>
      <c r="T33" s="210"/>
      <c r="U33" s="210"/>
      <c r="V33" s="76"/>
      <c r="AE33" s="76"/>
      <c r="AH33" s="76"/>
    </row>
    <row r="34" spans="5:36" ht="21.95" customHeight="1" x14ac:dyDescent="0.3">
      <c r="J34" s="76"/>
      <c r="M34" s="76"/>
      <c r="V34" s="76"/>
      <c r="AE34" s="76"/>
      <c r="AF34" s="6" t="s">
        <v>164</v>
      </c>
      <c r="AH34" s="76"/>
    </row>
    <row r="35" spans="5:36" ht="21.95" customHeight="1" x14ac:dyDescent="0.3">
      <c r="E35" s="26" t="s">
        <v>132</v>
      </c>
      <c r="F35" s="431" t="s">
        <v>25</v>
      </c>
      <c r="G35" s="6">
        <f>+'골재사업소(당월)'!G35+'[4]골재사업소(누계)'!G35</f>
        <v>0</v>
      </c>
      <c r="H35" s="6">
        <f>+'골재사업소(당월)'!H35+'[4]골재사업소(누계)'!H35</f>
        <v>52600</v>
      </c>
      <c r="I35" s="6">
        <f t="shared" ref="I35:I41" si="65">+H35-G35</f>
        <v>52600</v>
      </c>
      <c r="J35" s="76">
        <f>+'골재사업소(당월)'!J35+'[4]골재사업소(누계)'!J35</f>
        <v>0</v>
      </c>
      <c r="K35" s="6">
        <f>+'골재사업소(당월)'!K35+'[4]골재사업소(누계)'!K35</f>
        <v>0</v>
      </c>
      <c r="L35" s="6">
        <f>+K35-J35</f>
        <v>0</v>
      </c>
      <c r="M35" s="76">
        <f>+'골재사업소(당월)'!M35+'[4]골재사업소(누계)'!M35</f>
        <v>0</v>
      </c>
      <c r="N35" s="6">
        <f>+'골재사업소(당월)'!N35+'[4]골재사업소(누계)'!N35</f>
        <v>0</v>
      </c>
      <c r="O35" s="6">
        <f>+N35-M35</f>
        <v>0</v>
      </c>
      <c r="P35" s="6">
        <f>SUM(G35,J35,M35)</f>
        <v>0</v>
      </c>
      <c r="Q35" s="6">
        <f>SUM(H35,K35,N35)</f>
        <v>52600</v>
      </c>
      <c r="R35" s="6">
        <f t="shared" ref="R35:R41" si="66">+Q35-P35</f>
        <v>52600</v>
      </c>
      <c r="S35" s="6">
        <f>+'골재사업소(당월)'!S35+'[4]골재사업소(누계)'!S35</f>
        <v>1753402.7369101937</v>
      </c>
      <c r="T35" s="6">
        <f>+'골재사업소(당월)'!T35+'[4]골재사업소(누계)'!T35</f>
        <v>1692827.5</v>
      </c>
      <c r="U35" s="6">
        <f t="shared" ref="U35:U41" si="67">+T35-S35</f>
        <v>-60575.236910193693</v>
      </c>
      <c r="V35" s="76">
        <f>+'골재사업소(당월)'!V35+'[4]골재사업소(누계)'!V35</f>
        <v>1771685.6242431803</v>
      </c>
      <c r="W35" s="6">
        <f>+'골재사업소(당월)'!W35+'[4]골재사업소(누계)'!W35</f>
        <v>1636516.5</v>
      </c>
      <c r="X35" s="6">
        <f>+W35-V35</f>
        <v>-135169.12424318027</v>
      </c>
      <c r="AA35" s="6">
        <f>+Z35-Y35</f>
        <v>0</v>
      </c>
      <c r="AB35" s="6">
        <f t="shared" ref="AB35" si="68">+S35+V35+Y35</f>
        <v>3525088.361153374</v>
      </c>
      <c r="AC35" s="6">
        <f t="shared" ref="AC35:AC41" si="69">+T35+W35+Z35</f>
        <v>3329344</v>
      </c>
      <c r="AD35" s="6">
        <f t="shared" ref="AD35:AD41" si="70">+AC35-AB35</f>
        <v>-195744.36115337396</v>
      </c>
      <c r="AE35" s="437">
        <f>+'골재사업소(당월)'!AE35+'[4]골재사업소(누계)'!AE35</f>
        <v>1363912.1236443876</v>
      </c>
      <c r="AF35" s="6">
        <f>+'골재사업소(당월)'!AF35+'[4]골재사업소(누계)'!AF35</f>
        <v>1370426.4</v>
      </c>
      <c r="AH35" s="76">
        <f t="shared" ref="AH35:AI41" si="71">+P35+AB35+AE35</f>
        <v>4889000.4847977618</v>
      </c>
      <c r="AI35" s="76">
        <f t="shared" si="71"/>
        <v>4752370.4000000004</v>
      </c>
      <c r="AJ35" s="6">
        <f t="shared" ref="AJ35:AJ41" si="72">+AI35-AH35</f>
        <v>-136630.0847977614</v>
      </c>
    </row>
    <row r="36" spans="5:36" ht="21.95" customHeight="1" x14ac:dyDescent="0.3">
      <c r="E36" s="26" t="s">
        <v>77</v>
      </c>
      <c r="F36" s="431" t="s">
        <v>26</v>
      </c>
      <c r="G36" s="6">
        <f>+'골재사업소(당월)'!G36+'[4]골재사업소(누계)'!G36</f>
        <v>1642841.6</v>
      </c>
      <c r="H36" s="6">
        <f>+'골재사업소(당월)'!H36+'[4]골재사업소(누계)'!H36</f>
        <v>1433372</v>
      </c>
      <c r="I36" s="6">
        <f t="shared" si="65"/>
        <v>-209469.60000000009</v>
      </c>
      <c r="J36" s="76">
        <f>+'골재사업소(당월)'!J36+'[4]골재사업소(누계)'!J36</f>
        <v>156004.73333333331</v>
      </c>
      <c r="K36" s="6">
        <f>+'골재사업소(당월)'!K36+'[4]골재사업소(누계)'!K36</f>
        <v>6720</v>
      </c>
      <c r="L36" s="6">
        <f t="shared" ref="L36:L41" si="73">+K36-J36</f>
        <v>-149284.73333333331</v>
      </c>
      <c r="M36" s="76">
        <f>+'골재사업소(당월)'!M36+'[4]골재사업소(누계)'!M36</f>
        <v>0</v>
      </c>
      <c r="N36" s="6">
        <f>+'골재사업소(당월)'!N36+'[4]골재사업소(누계)'!N36</f>
        <v>0</v>
      </c>
      <c r="O36" s="6">
        <f t="shared" ref="O36:O41" si="74">+N36-M36</f>
        <v>0</v>
      </c>
      <c r="P36" s="6">
        <f t="shared" ref="P36:Q41" si="75">SUM(G36,J36,M36)</f>
        <v>1798846.3333333335</v>
      </c>
      <c r="Q36" s="6">
        <f t="shared" si="75"/>
        <v>1440092</v>
      </c>
      <c r="R36" s="6">
        <f t="shared" si="66"/>
        <v>-358754.33333333349</v>
      </c>
      <c r="S36" s="6">
        <f>+'골재사업소(당월)'!S36+'[4]골재사업소(누계)'!S36</f>
        <v>0</v>
      </c>
      <c r="T36" s="6">
        <f>+'골재사업소(당월)'!T36+'[4]골재사업소(누계)'!T36</f>
        <v>267072</v>
      </c>
      <c r="U36" s="6">
        <f t="shared" si="67"/>
        <v>267072</v>
      </c>
      <c r="V36" s="76">
        <f>+'골재사업소(당월)'!V36+'[4]골재사업소(누계)'!V36</f>
        <v>417222.04193548393</v>
      </c>
      <c r="W36" s="6">
        <f>+'골재사업소(당월)'!W36+'[4]골재사업소(누계)'!W36</f>
        <v>810112</v>
      </c>
      <c r="X36" s="6">
        <f t="shared" ref="X36:X41" si="76">+W36-V36</f>
        <v>392889.95806451607</v>
      </c>
      <c r="AA36" s="6">
        <f t="shared" ref="AA36:AA41" si="77">+Z36-Y36</f>
        <v>0</v>
      </c>
      <c r="AB36" s="6">
        <f t="shared" ref="AB36:AB41" si="78">+S36+V36+Y36</f>
        <v>417222.04193548393</v>
      </c>
      <c r="AC36" s="6">
        <f t="shared" si="69"/>
        <v>1077184</v>
      </c>
      <c r="AD36" s="6">
        <f>+AC36-AB36</f>
        <v>659961.95806451607</v>
      </c>
      <c r="AE36" s="437">
        <f>+'골재사업소(당월)'!AE36+'[4]골재사업소(누계)'!AE36</f>
        <v>1057077.9300699302</v>
      </c>
      <c r="AF36" s="6">
        <f>+'골재사업소(당월)'!AF36+'[4]골재사업소(누계)'!AF36</f>
        <v>655063.34400000004</v>
      </c>
      <c r="AH36" s="6">
        <f t="shared" si="71"/>
        <v>3273146.3053387478</v>
      </c>
      <c r="AI36" s="6">
        <f t="shared" si="71"/>
        <v>3172339.344</v>
      </c>
      <c r="AJ36" s="6">
        <f t="shared" si="72"/>
        <v>-100806.96133874776</v>
      </c>
    </row>
    <row r="37" spans="5:36" ht="21.95" customHeight="1" x14ac:dyDescent="0.3">
      <c r="F37" s="431" t="s">
        <v>27</v>
      </c>
      <c r="G37" s="6">
        <f>+'골재사업소(당월)'!G37+'[4]골재사업소(누계)'!G37</f>
        <v>79680</v>
      </c>
      <c r="H37" s="6">
        <f>+'골재사업소(당월)'!H37+'[4]골재사업소(누계)'!H37</f>
        <v>77096</v>
      </c>
      <c r="I37" s="6">
        <f t="shared" si="65"/>
        <v>-2584</v>
      </c>
      <c r="J37" s="76">
        <f>+'골재사업소(당월)'!J37+'[4]골재사업소(누계)'!J37</f>
        <v>0</v>
      </c>
      <c r="K37" s="6">
        <f>+'골재사업소(당월)'!K37+'[4]골재사업소(누계)'!K37</f>
        <v>0</v>
      </c>
      <c r="L37" s="6">
        <f t="shared" si="73"/>
        <v>0</v>
      </c>
      <c r="M37" s="76">
        <f>+'골재사업소(당월)'!M37+'[4]골재사업소(누계)'!M37</f>
        <v>0</v>
      </c>
      <c r="N37" s="6">
        <f>+'골재사업소(당월)'!N37+'[4]골재사업소(누계)'!N37</f>
        <v>0</v>
      </c>
      <c r="O37" s="6">
        <f t="shared" si="74"/>
        <v>0</v>
      </c>
      <c r="P37" s="6">
        <f t="shared" si="75"/>
        <v>79680</v>
      </c>
      <c r="Q37" s="6">
        <f t="shared" si="75"/>
        <v>77096</v>
      </c>
      <c r="R37" s="6">
        <f t="shared" si="66"/>
        <v>-2584</v>
      </c>
      <c r="S37" s="6">
        <f>+'골재사업소(당월)'!S37+'[4]골재사업소(누계)'!S37</f>
        <v>0</v>
      </c>
      <c r="T37" s="6">
        <f>+'골재사업소(당월)'!T37+'[4]골재사업소(누계)'!T37</f>
        <v>0</v>
      </c>
      <c r="U37" s="6">
        <f t="shared" si="67"/>
        <v>0</v>
      </c>
      <c r="V37" s="76">
        <f>+'골재사업소(당월)'!V37+'[4]골재사업소(누계)'!V37</f>
        <v>0</v>
      </c>
      <c r="W37" s="6">
        <f>+'골재사업소(당월)'!W37+'[4]골재사업소(누계)'!W37</f>
        <v>0</v>
      </c>
      <c r="X37" s="6">
        <f t="shared" si="76"/>
        <v>0</v>
      </c>
      <c r="AA37" s="6">
        <f t="shared" si="77"/>
        <v>0</v>
      </c>
      <c r="AB37" s="6">
        <f t="shared" si="78"/>
        <v>0</v>
      </c>
      <c r="AC37" s="6">
        <f t="shared" si="69"/>
        <v>0</v>
      </c>
      <c r="AD37" s="6">
        <f t="shared" si="70"/>
        <v>0</v>
      </c>
      <c r="AE37" s="437">
        <f>+'골재사업소(당월)'!AE37+'[4]골재사업소(누계)'!AE37</f>
        <v>683269.23076923075</v>
      </c>
      <c r="AF37" s="6">
        <f>+'골재사업소(당월)'!AF37+'[4]골재사업소(누계)'!AF37</f>
        <v>546583.93599999999</v>
      </c>
      <c r="AH37" s="6">
        <f t="shared" si="71"/>
        <v>762949.23076923075</v>
      </c>
      <c r="AI37" s="6">
        <f t="shared" si="71"/>
        <v>623679.93599999999</v>
      </c>
      <c r="AJ37" s="6">
        <f t="shared" si="72"/>
        <v>-139269.29476923076</v>
      </c>
    </row>
    <row r="38" spans="5:36" ht="21.95" customHeight="1" x14ac:dyDescent="0.3">
      <c r="F38" s="431" t="s">
        <v>28</v>
      </c>
      <c r="G38" s="6">
        <f>+'골재사업소(당월)'!G38+'[4]골재사업소(누계)'!G38</f>
        <v>0</v>
      </c>
      <c r="H38" s="6">
        <f>+'골재사업소(당월)'!H38+'[4]골재사업소(누계)'!H38</f>
        <v>0</v>
      </c>
      <c r="I38" s="6">
        <f t="shared" si="65"/>
        <v>0</v>
      </c>
      <c r="J38" s="76">
        <f>+'골재사업소(당월)'!J38+'[4]골재사업소(누계)'!J38</f>
        <v>0</v>
      </c>
      <c r="K38" s="6">
        <f>+'골재사업소(당월)'!K38+'[4]골재사업소(누계)'!K38</f>
        <v>0</v>
      </c>
      <c r="L38" s="6">
        <f t="shared" si="73"/>
        <v>0</v>
      </c>
      <c r="M38" s="76">
        <f>+'골재사업소(당월)'!M38+'[4]골재사업소(누계)'!M38</f>
        <v>0</v>
      </c>
      <c r="N38" s="6">
        <f>+'골재사업소(당월)'!N38+'[4]골재사업소(누계)'!N38</f>
        <v>0</v>
      </c>
      <c r="O38" s="6">
        <f t="shared" si="74"/>
        <v>0</v>
      </c>
      <c r="P38" s="6">
        <f t="shared" si="75"/>
        <v>0</v>
      </c>
      <c r="Q38" s="6">
        <f t="shared" si="75"/>
        <v>0</v>
      </c>
      <c r="R38" s="6">
        <f t="shared" si="66"/>
        <v>0</v>
      </c>
      <c r="S38" s="6">
        <f>+'골재사업소(당월)'!S38+'[4]골재사업소(누계)'!S38</f>
        <v>0</v>
      </c>
      <c r="T38" s="6">
        <f>+'골재사업소(당월)'!T38+'[4]골재사업소(누계)'!T38</f>
        <v>0</v>
      </c>
      <c r="U38" s="6">
        <f t="shared" si="67"/>
        <v>0</v>
      </c>
      <c r="V38" s="76">
        <f>+'골재사업소(당월)'!V38+'[4]골재사업소(누계)'!V38</f>
        <v>0</v>
      </c>
      <c r="W38" s="6">
        <f>+'골재사업소(당월)'!W38+'[4]골재사업소(누계)'!W38</f>
        <v>95584</v>
      </c>
      <c r="X38" s="6">
        <f t="shared" si="76"/>
        <v>95584</v>
      </c>
      <c r="AA38" s="6">
        <f t="shared" si="77"/>
        <v>0</v>
      </c>
      <c r="AB38" s="6">
        <f t="shared" si="78"/>
        <v>0</v>
      </c>
      <c r="AC38" s="6">
        <f t="shared" si="69"/>
        <v>95584</v>
      </c>
      <c r="AD38" s="6">
        <f t="shared" si="70"/>
        <v>95584</v>
      </c>
      <c r="AE38" s="437">
        <f>+'골재사업소(당월)'!AE38+'[4]골재사업소(누계)'!AE38</f>
        <v>1152251.7482517483</v>
      </c>
      <c r="AF38" s="6">
        <f>+'골재사업소(당월)'!AF38+'[4]골재사업소(누계)'!AF38</f>
        <v>964824.4</v>
      </c>
      <c r="AH38" s="6">
        <f t="shared" si="71"/>
        <v>1152251.7482517483</v>
      </c>
      <c r="AI38" s="6">
        <f t="shared" si="71"/>
        <v>1060408.3999999999</v>
      </c>
      <c r="AJ38" s="6">
        <f t="shared" si="72"/>
        <v>-91843.348251748364</v>
      </c>
    </row>
    <row r="39" spans="5:36" ht="21.95" customHeight="1" x14ac:dyDescent="0.3">
      <c r="F39" s="431" t="s">
        <v>29</v>
      </c>
      <c r="G39" s="6">
        <f>+'골재사업소(당월)'!G39+'[4]골재사업소(누계)'!G39</f>
        <v>0</v>
      </c>
      <c r="H39" s="6">
        <f>+'골재사업소(당월)'!H39+'[4]골재사업소(누계)'!H39</f>
        <v>0</v>
      </c>
      <c r="I39" s="6">
        <f t="shared" si="65"/>
        <v>0</v>
      </c>
      <c r="J39" s="76">
        <f>+'골재사업소(당월)'!J39+'[4]골재사업소(누계)'!J39</f>
        <v>50502.853199999998</v>
      </c>
      <c r="K39" s="6">
        <f>+'골재사업소(당월)'!K39+'[4]골재사업소(누계)'!K39</f>
        <v>10944</v>
      </c>
      <c r="L39" s="6">
        <f t="shared" si="73"/>
        <v>-39558.853199999998</v>
      </c>
      <c r="M39" s="76">
        <f>+'골재사업소(당월)'!M39+'[4]골재사업소(누계)'!M39</f>
        <v>0</v>
      </c>
      <c r="N39" s="6">
        <f>+'골재사업소(당월)'!N39+'[4]골재사업소(누계)'!N39</f>
        <v>0</v>
      </c>
      <c r="O39" s="6">
        <f t="shared" si="74"/>
        <v>0</v>
      </c>
      <c r="P39" s="6">
        <f t="shared" si="75"/>
        <v>50502.853199999998</v>
      </c>
      <c r="Q39" s="6">
        <f t="shared" si="75"/>
        <v>10944</v>
      </c>
      <c r="R39" s="6">
        <f t="shared" si="66"/>
        <v>-39558.853199999998</v>
      </c>
      <c r="S39" s="6">
        <f>+'골재사업소(당월)'!S39+'[4]골재사업소(누계)'!S39</f>
        <v>0</v>
      </c>
      <c r="T39" s="6">
        <f>+'골재사업소(당월)'!T39+'[4]골재사업소(누계)'!T39</f>
        <v>0</v>
      </c>
      <c r="U39" s="6">
        <f t="shared" si="67"/>
        <v>0</v>
      </c>
      <c r="V39" s="76">
        <f>+'골재사업소(당월)'!V39+'[4]골재사업소(누계)'!V39</f>
        <v>0</v>
      </c>
      <c r="W39" s="6">
        <f>+'골재사업소(당월)'!W39+'[4]골재사업소(누계)'!W39</f>
        <v>4560</v>
      </c>
      <c r="X39" s="6">
        <f t="shared" si="76"/>
        <v>4560</v>
      </c>
      <c r="AA39" s="6">
        <f t="shared" si="77"/>
        <v>0</v>
      </c>
      <c r="AB39" s="6">
        <f t="shared" si="78"/>
        <v>0</v>
      </c>
      <c r="AC39" s="6">
        <f t="shared" si="69"/>
        <v>4560</v>
      </c>
      <c r="AD39" s="6">
        <f t="shared" si="70"/>
        <v>4560</v>
      </c>
      <c r="AE39" s="437">
        <f>+'골재사업소(당월)'!AE39+'[4]골재사업소(누계)'!AE39</f>
        <v>335968.93356643361</v>
      </c>
      <c r="AF39" s="6">
        <f>+'골재사업소(당월)'!AF39+'[4]골재사업소(누계)'!AF39</f>
        <v>32328</v>
      </c>
      <c r="AH39" s="6">
        <f t="shared" si="71"/>
        <v>386471.78676643362</v>
      </c>
      <c r="AI39" s="6">
        <f t="shared" si="71"/>
        <v>47832</v>
      </c>
      <c r="AJ39" s="6">
        <f t="shared" si="72"/>
        <v>-338639.78676643362</v>
      </c>
    </row>
    <row r="40" spans="5:36" ht="21.95" customHeight="1" x14ac:dyDescent="0.3">
      <c r="F40" s="431" t="s">
        <v>30</v>
      </c>
      <c r="G40" s="6">
        <f>+'골재사업소(당월)'!G40+'[4]골재사업소(누계)'!G40</f>
        <v>52995.333333333328</v>
      </c>
      <c r="H40" s="6">
        <f>+'골재사업소(당월)'!H40+'[4]골재사업소(누계)'!H40</f>
        <v>40296</v>
      </c>
      <c r="I40" s="6">
        <f t="shared" si="65"/>
        <v>-12699.333333333328</v>
      </c>
      <c r="J40" s="76">
        <f>+'골재사업소(당월)'!J40+'[4]골재사업소(누계)'!J40</f>
        <v>45980</v>
      </c>
      <c r="K40" s="6">
        <f>+'골재사업소(당월)'!K40+'[4]골재사업소(누계)'!K40</f>
        <v>2160</v>
      </c>
      <c r="L40" s="6">
        <f t="shared" si="73"/>
        <v>-43820</v>
      </c>
      <c r="M40" s="76">
        <f>+'골재사업소(당월)'!M40+'[4]골재사업소(누계)'!M40</f>
        <v>0</v>
      </c>
      <c r="N40" s="6">
        <f>+'골재사업소(당월)'!N40+'[4]골재사업소(누계)'!N40</f>
        <v>0</v>
      </c>
      <c r="O40" s="6">
        <f t="shared" si="74"/>
        <v>0</v>
      </c>
      <c r="P40" s="6">
        <f t="shared" si="75"/>
        <v>98975.333333333328</v>
      </c>
      <c r="Q40" s="6">
        <f t="shared" si="75"/>
        <v>42456</v>
      </c>
      <c r="R40" s="6">
        <f t="shared" si="66"/>
        <v>-56519.333333333328</v>
      </c>
      <c r="S40" s="6">
        <f>+'골재사업소(당월)'!S40+'[4]골재사업소(누계)'!S40</f>
        <v>0</v>
      </c>
      <c r="T40" s="6">
        <f>+'골재사업소(당월)'!T40+'[4]골재사업소(누계)'!T40</f>
        <v>0</v>
      </c>
      <c r="U40" s="6">
        <f t="shared" si="67"/>
        <v>0</v>
      </c>
      <c r="V40" s="76">
        <f>+'골재사업소(당월)'!V40+'[4]골재사업소(누계)'!V40</f>
        <v>0</v>
      </c>
      <c r="W40" s="6">
        <f>+'골재사업소(당월)'!W40+'[4]골재사업소(누계)'!W40</f>
        <v>0</v>
      </c>
      <c r="X40" s="6">
        <f t="shared" si="76"/>
        <v>0</v>
      </c>
      <c r="AA40" s="6">
        <f t="shared" si="77"/>
        <v>0</v>
      </c>
      <c r="AB40" s="6">
        <f t="shared" si="78"/>
        <v>0</v>
      </c>
      <c r="AC40" s="6">
        <f t="shared" si="69"/>
        <v>0</v>
      </c>
      <c r="AD40" s="6">
        <f t="shared" si="70"/>
        <v>0</v>
      </c>
      <c r="AE40" s="437">
        <f>+'골재사업소(당월)'!AE40+'[4]골재사업소(누계)'!AE40</f>
        <v>0</v>
      </c>
      <c r="AF40" s="6">
        <f>+'골재사업소(당월)'!AF40+'[4]골재사업소(누계)'!AF40</f>
        <v>0</v>
      </c>
      <c r="AH40" s="6">
        <f t="shared" si="71"/>
        <v>98975.333333333328</v>
      </c>
      <c r="AI40" s="6">
        <f t="shared" si="71"/>
        <v>42456</v>
      </c>
      <c r="AJ40" s="6">
        <f t="shared" si="72"/>
        <v>-56519.333333333328</v>
      </c>
    </row>
    <row r="41" spans="5:36" ht="21.95" customHeight="1" x14ac:dyDescent="0.3">
      <c r="F41" s="431" t="s">
        <v>8</v>
      </c>
      <c r="G41" s="6">
        <f>SUM(G35:G40)</f>
        <v>1775516.9333333333</v>
      </c>
      <c r="H41" s="6">
        <f>SUM(H35:H40)</f>
        <v>1603364</v>
      </c>
      <c r="I41" s="6">
        <f t="shared" si="65"/>
        <v>-172152.93333333335</v>
      </c>
      <c r="J41" s="76">
        <f>SUM(J35:J40)</f>
        <v>252487.58653333329</v>
      </c>
      <c r="K41" s="76">
        <f>SUM(K35:K40)</f>
        <v>19824</v>
      </c>
      <c r="L41" s="6">
        <f t="shared" si="73"/>
        <v>-232663.58653333329</v>
      </c>
      <c r="M41" s="76">
        <f>SUM(M35:M40)</f>
        <v>0</v>
      </c>
      <c r="N41" s="76">
        <f>SUM(N35:N40)</f>
        <v>0</v>
      </c>
      <c r="O41" s="6">
        <f t="shared" si="74"/>
        <v>0</v>
      </c>
      <c r="P41" s="6">
        <f t="shared" si="75"/>
        <v>2028004.5198666668</v>
      </c>
      <c r="Q41" s="6">
        <f t="shared" si="75"/>
        <v>1623188</v>
      </c>
      <c r="R41" s="6">
        <f t="shared" si="66"/>
        <v>-404816.51986666676</v>
      </c>
      <c r="S41" s="6">
        <f>SUM(S35:S40)</f>
        <v>1753402.7369101937</v>
      </c>
      <c r="T41" s="6">
        <f>SUM(T35:T40)</f>
        <v>1959899.5</v>
      </c>
      <c r="U41" s="6">
        <f t="shared" si="67"/>
        <v>206496.76308980631</v>
      </c>
      <c r="V41" s="76">
        <f>SUM(V35:V40)</f>
        <v>2188907.6661786642</v>
      </c>
      <c r="W41" s="76">
        <f>SUM(W35:W40)</f>
        <v>2546772.5</v>
      </c>
      <c r="X41" s="6">
        <f t="shared" si="76"/>
        <v>357864.83382133581</v>
      </c>
      <c r="Z41" s="76"/>
      <c r="AA41" s="6">
        <f t="shared" si="77"/>
        <v>0</v>
      </c>
      <c r="AB41" s="6">
        <f t="shared" si="78"/>
        <v>3942310.4030888579</v>
      </c>
      <c r="AC41" s="6">
        <f t="shared" si="69"/>
        <v>4506672</v>
      </c>
      <c r="AD41" s="6">
        <f t="shared" si="70"/>
        <v>564361.59691114211</v>
      </c>
      <c r="AE41" s="6">
        <f>SUM(AE35:AE40)</f>
        <v>4592479.9663017299</v>
      </c>
      <c r="AF41" s="6">
        <f>SUM(AF35:AF40)</f>
        <v>3569226.0799999996</v>
      </c>
      <c r="AH41" s="6">
        <f t="shared" si="71"/>
        <v>10562794.889257254</v>
      </c>
      <c r="AI41" s="6">
        <f t="shared" si="71"/>
        <v>9699086.0800000001</v>
      </c>
      <c r="AJ41" s="6">
        <f t="shared" si="72"/>
        <v>-863708.809257254</v>
      </c>
    </row>
    <row r="42" spans="5:36" ht="21.95" customHeight="1" x14ac:dyDescent="0.3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M42" s="6" t="b">
        <f>+M41=M13</f>
        <v>1</v>
      </c>
      <c r="N42" s="6" t="b">
        <f>+N41=N13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AB42" s="6" t="b">
        <f>+AB41=AB13</f>
        <v>1</v>
      </c>
      <c r="AC42" s="6" t="b">
        <f>+AC41=AC13</f>
        <v>1</v>
      </c>
      <c r="AE42" s="6" t="b">
        <f>+AE41=AE13</f>
        <v>1</v>
      </c>
      <c r="AF42" s="6" t="b">
        <f>+AF41=AF13</f>
        <v>1</v>
      </c>
      <c r="AH42" s="6" t="b">
        <f>+AH41=AH13</f>
        <v>1</v>
      </c>
      <c r="AI42" s="6" t="b">
        <f>+AI41=AI13</f>
        <v>1</v>
      </c>
    </row>
    <row r="43" spans="5:36" ht="21.95" customHeight="1" x14ac:dyDescent="0.3"/>
    <row r="44" spans="5:36" ht="21.95" customHeight="1" x14ac:dyDescent="0.3"/>
    <row r="45" spans="5:36" ht="21.95" customHeight="1" x14ac:dyDescent="0.3"/>
    <row r="46" spans="5:36" ht="21.95" customHeight="1" x14ac:dyDescent="0.3"/>
    <row r="47" spans="5:36" ht="21.95" customHeight="1" x14ac:dyDescent="0.3"/>
    <row r="48" spans="5:36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12</vt:i4>
      </vt:variant>
    </vt:vector>
  </HeadingPairs>
  <TitlesOfParts>
    <vt:vector size="25" baseType="lpstr">
      <vt:lpstr>표지</vt:lpstr>
      <vt:lpstr>손익총괄</vt:lpstr>
      <vt:lpstr>사업장별(당월)</vt:lpstr>
      <vt:lpstr>사업장별(누계)</vt:lpstr>
      <vt:lpstr>사업장별(당월)_공장 송부용</vt:lpstr>
      <vt:lpstr>사업장별(누계)_공장 송부용</vt:lpstr>
      <vt:lpstr>영업이익</vt:lpstr>
      <vt:lpstr>공헌이익</vt:lpstr>
      <vt:lpstr>재료비단가</vt:lpstr>
      <vt:lpstr>원단위</vt:lpstr>
      <vt:lpstr>건자재</vt:lpstr>
      <vt:lpstr>골재사업소(당월)</vt:lpstr>
      <vt:lpstr>골재사업소(누계)</vt:lpstr>
      <vt:lpstr>건자재!Print_Area</vt:lpstr>
      <vt:lpstr>'골재사업소(누계)'!Print_Area</vt:lpstr>
      <vt:lpstr>'골재사업소(당월)'!Print_Area</vt:lpstr>
      <vt:lpstr>공헌이익!Print_Area</vt:lpstr>
      <vt:lpstr>'사업장별(누계)'!Print_Area</vt:lpstr>
      <vt:lpstr>'사업장별(누계)_공장 송부용'!Print_Area</vt:lpstr>
      <vt:lpstr>'사업장별(당월)'!Print_Area</vt:lpstr>
      <vt:lpstr>'사업장별(당월)_공장 송부용'!Print_Area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김 창환</cp:lastModifiedBy>
  <cp:lastPrinted>2024-11-13T23:45:01Z</cp:lastPrinted>
  <dcterms:created xsi:type="dcterms:W3CDTF">2018-12-20T00:38:36Z</dcterms:created>
  <dcterms:modified xsi:type="dcterms:W3CDTF">2024-12-20T03:54:07Z</dcterms:modified>
</cp:coreProperties>
</file>